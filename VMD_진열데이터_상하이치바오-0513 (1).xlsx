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30" yWindow="2325" windowWidth="21600" windowHeight="11385" tabRatio="600" firstSheet="0" activeTab="0" autoFilterDateGrouping="1"/>
  </bookViews>
  <sheets>
    <sheet xmlns:r="http://schemas.openxmlformats.org/officeDocument/2006/relationships" name="📦 진열 데이터" sheetId="1" state="visible" r:id="rId1"/>
    <sheet xmlns:r="http://schemas.openxmlformats.org/officeDocument/2006/relationships" name="💰 판매 실적" sheetId="2" state="visible" r:id="rId2"/>
    <sheet xmlns:r="http://schemas.openxmlformats.org/officeDocument/2006/relationships" name="📋 작성 가이드" sheetId="3" state="visible" r:id="rId3"/>
    <sheet xmlns:r="http://schemas.openxmlformats.org/officeDocument/2006/relationships" name="✅ 유효값" sheetId="4" state="visible" r:id="rId4"/>
    <sheet xmlns:r="http://schemas.openxmlformats.org/officeDocument/2006/relationships" name="七宝0412-0511" sheetId="5" state="visible" r:id="rId5"/>
  </sheets>
  <definedNames>
    <definedName name="_xlnm._FilterDatabase" localSheetId="4" hidden="1">'七宝0412-0511'!$A$3:$T$188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b val="1"/>
      <color rgb="FF7A3010"/>
      <sz val="9"/>
    </font>
    <font>
      <name val="Arial"/>
      <family val="2"/>
      <b val="1"/>
      <color rgb="FF0F6E56"/>
      <sz val="9"/>
    </font>
    <font>
      <name val="Arial"/>
      <family val="2"/>
      <b val="1"/>
      <color rgb="FF7A601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534AB7"/>
      <sz val="10"/>
    </font>
    <font>
      <name val="Arial"/>
      <family val="2"/>
      <color rgb="FF1A1A1A"/>
      <sz val="10"/>
    </font>
    <font>
      <name val="Arial"/>
      <family val="2"/>
      <i val="1"/>
      <color rgb="FF0F6E56"/>
      <sz val="9"/>
    </font>
    <font>
      <name val="Arial"/>
      <family val="2"/>
      <b val="1"/>
      <color rgb="FF0F6E56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1A1A1A"/>
      <sz val="10"/>
    </font>
    <font>
      <name val="맑은 고딕"/>
      <charset val="134"/>
      <family val="3"/>
      <color theme="1"/>
      <sz val="12"/>
      <scheme val="minor"/>
    </font>
    <font>
      <name val="Arial"/>
      <family val="2"/>
      <b val="1"/>
      <sz val="9"/>
    </font>
    <font>
      <name val="맑은 고딕"/>
      <family val="2"/>
      <color rgb="FFFF0000"/>
      <sz val="11"/>
      <scheme val="min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DE8C8"/>
      </patternFill>
    </fill>
    <fill>
      <patternFill patternType="solid">
        <fgColor rgb="FFE1F5EE"/>
      </patternFill>
    </fill>
    <fill>
      <patternFill patternType="solid">
        <fgColor rgb="FFFFF4E0"/>
      </patternFill>
    </fill>
    <fill>
      <patternFill patternType="solid">
        <fgColor rgb="FF2C2C2A"/>
      </patternFill>
    </fill>
    <fill>
      <patternFill patternType="solid">
        <fgColor rgb="FFE6F1FB"/>
      </patternFill>
    </fill>
    <fill>
      <patternFill patternType="solid">
        <fgColor rgb="FFF1EBFF"/>
      </patternFill>
    </fill>
    <fill>
      <patternFill patternType="solid">
        <fgColor rgb="FF1D9E75"/>
      </patternFill>
    </fill>
    <fill>
      <patternFill patternType="solid">
        <fgColor rgb="FFE8FBF5"/>
      </patternFill>
    </fill>
    <fill>
      <patternFill patternType="solid">
        <fgColor rgb="FF0F6E56"/>
      </patternFill>
    </fill>
    <fill>
      <patternFill patternType="solid">
        <fgColor rgb="FFFFFFFF"/>
      </patternFill>
    </fill>
    <fill>
      <patternFill patternType="solid">
        <fgColor rgb="FFF1EFE8"/>
      </patternFill>
    </fill>
    <fill>
      <patternFill patternType="solid">
        <fgColor rgb="FF3A3A38"/>
      </patternFill>
    </fill>
    <fill>
      <patternFill patternType="solid">
        <fgColor rgb="FF534AB7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2">
    <xf numFmtId="0" fontId="0" fillId="0" borderId="0"/>
    <xf numFmtId="0" fontId="17" fillId="0" borderId="0" applyAlignment="1">
      <alignment vertical="center"/>
    </xf>
  </cellStyleXfs>
  <cellXfs count="58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19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1">
      <alignment vertical="center"/>
    </xf>
    <xf numFmtId="0" fontId="17" fillId="0" borderId="0" applyAlignment="1" pivotButton="0" quotePrefix="1" xfId="1">
      <alignment vertical="center"/>
    </xf>
    <xf numFmtId="14" fontId="17" fillId="0" borderId="0" applyAlignment="1" pivotButton="0" quotePrefix="0" xfId="1">
      <alignment vertical="center"/>
    </xf>
    <xf numFmtId="0" fontId="17" fillId="18" borderId="0" applyAlignment="1" pivotButton="0" quotePrefix="0" xfId="1">
      <alignment vertical="center"/>
    </xf>
    <xf numFmtId="3" fontId="17" fillId="0" borderId="0" applyAlignment="1" pivotButton="0" quotePrefix="0" xfId="1">
      <alignment vertical="center"/>
    </xf>
    <xf numFmtId="0" fontId="17" fillId="20" borderId="0" applyAlignment="1" pivotButton="0" quotePrefix="0" xfId="1">
      <alignment vertical="center"/>
    </xf>
    <xf numFmtId="0" fontId="7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/>
    </xf>
  </cellXfs>
  <cellStyles count="2">
    <cellStyle name="표준" xfId="0" builtinId="0"/>
    <cellStyle name="常规 2" xfId="1"/>
  </cellStyles>
  <dxfs count="1">
    <dxf>
      <fill>
        <patternFill>
          <fgColor indexed="64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showGridLines="0" tabSelected="1" workbookViewId="0">
      <pane ySplit="3" topLeftCell="A213" activePane="bottomLeft" state="frozen"/>
      <selection pane="bottomLeft" activeCell="F219" sqref="F219"/>
    </sheetView>
  </sheetViews>
  <sheetFormatPr baseColWidth="8" defaultRowHeight="16.5"/>
  <cols>
    <col width="10" customWidth="1" style="49" min="1" max="1"/>
    <col width="11" customWidth="1" style="49" min="2" max="2"/>
    <col width="22" customWidth="1" style="49" min="3" max="3"/>
    <col width="10" customWidth="1" style="49" min="4" max="4"/>
    <col width="12.5" customWidth="1" style="35" min="5" max="5"/>
    <col width="13.625" customWidth="1" style="49" min="6" max="6"/>
    <col width="14.375" customWidth="1" style="49" min="7" max="7"/>
  </cols>
  <sheetData>
    <row r="1" ht="42" customHeight="1" s="49">
      <c r="A1" s="48" t="inlineStr">
        <is>
          <t>📦  진열 데이터  |  집기별 바코드 + 진열수량</t>
        </is>
      </c>
    </row>
    <row r="2" ht="15" customHeight="1" s="49">
      <c r="A2" s="50" t="inlineStr">
        <is>
          <t>← 수동 입력</t>
        </is>
      </c>
      <c r="C2" s="1" t="inlineStr">
        <is>
          <t>← 바코드 스캔</t>
        </is>
      </c>
      <c r="D2" s="2" t="inlineStr">
        <is>
          <t>← 직접 카운트</t>
        </is>
      </c>
    </row>
    <row r="3" ht="27.95" customHeight="1" s="49">
      <c r="A3" s="3" t="inlineStr">
        <is>
          <t>집기 ID</t>
        </is>
      </c>
      <c r="B3" s="3" t="inlineStr">
        <is>
          <t>집기 종류</t>
        </is>
      </c>
      <c r="C3" s="3" t="inlineStr">
        <is>
          <t>바코드 (상품코드)</t>
        </is>
      </c>
      <c r="D3" s="3" t="inlineStr">
        <is>
          <t>진열수량</t>
        </is>
      </c>
    </row>
    <row r="4" ht="18.95" customHeight="1" s="49">
      <c r="A4" s="31" t="inlineStr">
        <is>
          <t>F001</t>
        </is>
      </c>
      <c r="B4" s="31" t="inlineStr">
        <is>
          <t>FACE</t>
        </is>
      </c>
      <c r="C4" s="31" t="inlineStr">
        <is>
          <t>EEYWG24E0150165</t>
        </is>
      </c>
      <c r="D4" s="30" t="n">
        <v>1</v>
      </c>
      <c r="E4" s="36" t="n"/>
      <c r="F4" s="25" t="n"/>
      <c r="G4" s="29" t="n"/>
      <c r="H4" s="29" t="n"/>
    </row>
    <row r="5" ht="18.95" customHeight="1" s="49">
      <c r="A5" s="31" t="inlineStr">
        <is>
          <t>F001</t>
        </is>
      </c>
      <c r="B5" s="31" t="inlineStr">
        <is>
          <t>FACE</t>
        </is>
      </c>
      <c r="C5" s="31" t="inlineStr">
        <is>
          <t>EEYWG24E0142165</t>
        </is>
      </c>
      <c r="D5" s="30" t="n">
        <v>1</v>
      </c>
      <c r="F5" s="25" t="n"/>
      <c r="G5" s="29" t="n"/>
      <c r="H5" s="29" t="n"/>
    </row>
    <row r="6" ht="18.95" customHeight="1" s="49">
      <c r="A6" s="31" t="inlineStr">
        <is>
          <t>F001</t>
        </is>
      </c>
      <c r="B6" s="31" t="inlineStr">
        <is>
          <t>FACE</t>
        </is>
      </c>
      <c r="C6" s="31" t="inlineStr">
        <is>
          <t>EEYWG24E0139170</t>
        </is>
      </c>
      <c r="D6" s="30" t="n">
        <v>1</v>
      </c>
      <c r="F6" s="25" t="n"/>
      <c r="G6" s="29" t="n"/>
      <c r="H6" s="29" t="n"/>
    </row>
    <row r="7" ht="18.95" customHeight="1" s="49">
      <c r="A7" s="31" t="inlineStr">
        <is>
          <t>F001</t>
        </is>
      </c>
      <c r="B7" s="31" t="inlineStr">
        <is>
          <t>FACE</t>
        </is>
      </c>
      <c r="C7" s="31" t="inlineStr">
        <is>
          <t>EEYWG25E0159165</t>
        </is>
      </c>
      <c r="D7" s="30" t="n">
        <v>1</v>
      </c>
      <c r="F7" s="25" t="n"/>
      <c r="G7" s="29" t="n"/>
      <c r="H7" s="29" t="n"/>
    </row>
    <row r="8" ht="18.95" customHeight="1" s="49">
      <c r="A8" s="31" t="inlineStr">
        <is>
          <t>F001</t>
        </is>
      </c>
      <c r="B8" s="31" t="inlineStr">
        <is>
          <t>FACE</t>
        </is>
      </c>
      <c r="C8" s="31" t="inlineStr">
        <is>
          <t>EEYWG25E0150165</t>
        </is>
      </c>
      <c r="D8" s="30" t="n">
        <v>1</v>
      </c>
      <c r="F8" s="25" t="n"/>
      <c r="G8" s="29" t="n"/>
      <c r="H8" s="29" t="n"/>
    </row>
    <row r="9" ht="18.95" customHeight="1" s="49">
      <c r="A9" s="31" t="inlineStr">
        <is>
          <t>F001</t>
        </is>
      </c>
      <c r="B9" s="31" t="inlineStr">
        <is>
          <t>FACE</t>
        </is>
      </c>
      <c r="C9" s="31" t="inlineStr">
        <is>
          <t>EEYWG25E0125165</t>
        </is>
      </c>
      <c r="D9" s="30" t="n">
        <v>1</v>
      </c>
      <c r="F9" s="25" t="n"/>
      <c r="G9" s="29" t="n"/>
      <c r="H9" s="29" t="n"/>
    </row>
    <row r="10" ht="18.95" customHeight="1" s="49">
      <c r="A10" s="31" t="inlineStr">
        <is>
          <t>F001</t>
        </is>
      </c>
      <c r="B10" s="31" t="inlineStr">
        <is>
          <t>FACE</t>
        </is>
      </c>
      <c r="C10" s="31" t="inlineStr">
        <is>
          <t>EEYWG24E0251160</t>
        </is>
      </c>
      <c r="D10" s="30" t="n">
        <v>1</v>
      </c>
      <c r="F10" s="25" t="n"/>
      <c r="G10" s="29" t="n"/>
      <c r="H10" s="29" t="n"/>
    </row>
    <row r="11" ht="18.95" customHeight="1" s="49">
      <c r="A11" s="31" t="inlineStr">
        <is>
          <t>F001</t>
        </is>
      </c>
      <c r="B11" s="31" t="inlineStr">
        <is>
          <t>FACE</t>
        </is>
      </c>
      <c r="C11" s="31" t="inlineStr">
        <is>
          <t>EEYWG25E0139160</t>
        </is>
      </c>
      <c r="D11" s="30" t="n">
        <v>1</v>
      </c>
      <c r="F11" s="25" t="n"/>
      <c r="G11" s="29" t="n"/>
      <c r="H11" s="29" t="n"/>
    </row>
    <row r="12" ht="18.95" customHeight="1" s="49">
      <c r="A12" s="31" t="inlineStr">
        <is>
          <t>F002</t>
        </is>
      </c>
      <c r="B12" s="31" t="inlineStr">
        <is>
          <t>FACE</t>
        </is>
      </c>
      <c r="C12" s="31" t="inlineStr">
        <is>
          <t>EEWHG25E0119160</t>
        </is>
      </c>
      <c r="D12" s="30" t="n">
        <v>2</v>
      </c>
      <c r="E12" s="36" t="n"/>
      <c r="F12" s="25" t="n"/>
      <c r="G12" s="29" t="n"/>
      <c r="H12" s="29" t="n"/>
    </row>
    <row r="13" ht="18.95" customHeight="1" s="49">
      <c r="A13" s="31" t="inlineStr">
        <is>
          <t>F002</t>
        </is>
      </c>
      <c r="B13" s="31" t="inlineStr">
        <is>
          <t>FACE</t>
        </is>
      </c>
      <c r="C13" s="31" t="inlineStr">
        <is>
          <t>EEVKG25B0299160</t>
        </is>
      </c>
      <c r="D13" s="30" t="n">
        <v>2</v>
      </c>
      <c r="F13" s="25" t="n"/>
      <c r="G13" s="29" t="n"/>
      <c r="H13" s="29" t="n"/>
    </row>
    <row r="14" ht="18.95" customHeight="1" s="49">
      <c r="A14" s="31" t="inlineStr">
        <is>
          <t>F002</t>
        </is>
      </c>
      <c r="B14" s="31" t="inlineStr">
        <is>
          <t>FACE</t>
        </is>
      </c>
      <c r="C14" s="31" t="inlineStr">
        <is>
          <t>EEWHG24E0139170</t>
        </is>
      </c>
      <c r="D14" s="30" t="n">
        <v>1</v>
      </c>
      <c r="F14" s="25" t="n"/>
      <c r="G14" s="29" t="n"/>
      <c r="H14" s="29" t="n"/>
    </row>
    <row r="15" ht="18.95" customHeight="1" s="49">
      <c r="A15" s="31" t="inlineStr">
        <is>
          <t>F002</t>
        </is>
      </c>
      <c r="B15" s="31" t="inlineStr">
        <is>
          <t>FACE</t>
        </is>
      </c>
      <c r="C15" s="31" t="inlineStr">
        <is>
          <t>EEYPG24E0101165</t>
        </is>
      </c>
      <c r="D15" s="30" t="n">
        <v>2</v>
      </c>
      <c r="F15" s="25" t="n"/>
      <c r="G15" s="29" t="n"/>
      <c r="H15" s="29" t="n"/>
    </row>
    <row r="16" ht="18.95" customHeight="1" s="49">
      <c r="A16" s="31" t="inlineStr">
        <is>
          <t>F002</t>
        </is>
      </c>
      <c r="B16" s="31" t="inlineStr">
        <is>
          <t>FACE</t>
        </is>
      </c>
      <c r="C16" s="31" t="inlineStr">
        <is>
          <t>EERAG24E0439165</t>
        </is>
      </c>
      <c r="D16" s="30" t="n">
        <v>2</v>
      </c>
      <c r="F16" s="25" t="n"/>
      <c r="G16" s="29" t="n"/>
      <c r="H16" s="29" t="n"/>
    </row>
    <row r="17" ht="18.95" customHeight="1" s="49">
      <c r="A17" s="31" t="inlineStr">
        <is>
          <t>F002</t>
        </is>
      </c>
      <c r="B17" s="31" t="inlineStr">
        <is>
          <t>FACE</t>
        </is>
      </c>
      <c r="C17" s="31" t="inlineStr">
        <is>
          <t>EEKWG24E0339165</t>
        </is>
      </c>
      <c r="D17" s="30" t="n">
        <v>1</v>
      </c>
      <c r="F17" s="25" t="n"/>
      <c r="G17" s="29" t="n"/>
      <c r="H17" s="29" t="n"/>
    </row>
    <row r="18" ht="18.95" customHeight="1" s="49">
      <c r="A18" s="31" t="inlineStr">
        <is>
          <t>F002</t>
        </is>
      </c>
      <c r="B18" s="31" t="inlineStr">
        <is>
          <t>FACE</t>
        </is>
      </c>
      <c r="C18" s="31" t="inlineStr">
        <is>
          <t>EEASF49N5151FRE</t>
        </is>
      </c>
      <c r="D18" s="30" t="n">
        <v>1</v>
      </c>
      <c r="F18" s="25" t="n"/>
      <c r="G18" s="29" t="n"/>
      <c r="H18" s="29" t="n"/>
    </row>
    <row r="19" ht="18.95" customHeight="1" s="49">
      <c r="A19" s="31" t="inlineStr">
        <is>
          <t>F002</t>
        </is>
      </c>
      <c r="B19" s="31" t="inlineStr">
        <is>
          <t>FACE</t>
        </is>
      </c>
      <c r="C19" s="31" t="inlineStr">
        <is>
          <t>EETJG24E0157030</t>
        </is>
      </c>
      <c r="D19" s="30" t="n">
        <v>1</v>
      </c>
      <c r="F19" s="25" t="n"/>
      <c r="G19" s="29" t="n"/>
      <c r="H19" s="29" t="n"/>
    </row>
    <row r="20" ht="18.95" customHeight="1" s="49">
      <c r="A20" s="31" t="inlineStr">
        <is>
          <t>F002</t>
        </is>
      </c>
      <c r="B20" s="31" t="inlineStr">
        <is>
          <t>FACE</t>
        </is>
      </c>
      <c r="C20" s="31" t="inlineStr">
        <is>
          <t>EEKWG24E0339160</t>
        </is>
      </c>
      <c r="D20" s="30" t="n">
        <v>1</v>
      </c>
      <c r="F20" s="25" t="n"/>
      <c r="G20" s="29" t="n"/>
      <c r="H20" s="29" t="n"/>
    </row>
    <row r="21" ht="18.95" customHeight="1" s="49">
      <c r="A21" s="31" t="inlineStr">
        <is>
          <t>F003</t>
        </is>
      </c>
      <c r="B21" s="31" t="inlineStr">
        <is>
          <t>FACE</t>
        </is>
      </c>
      <c r="C21" s="31" t="inlineStr">
        <is>
          <t>EEOWG25B0439165</t>
        </is>
      </c>
      <c r="D21" s="30" t="n">
        <v>2</v>
      </c>
      <c r="E21" s="36" t="n"/>
      <c r="F21" s="25" t="n"/>
      <c r="G21" s="29" t="n"/>
      <c r="H21" s="29" t="n"/>
    </row>
    <row r="22" ht="18.95" customHeight="1" s="49">
      <c r="A22" s="31" t="inlineStr">
        <is>
          <t>F003</t>
        </is>
      </c>
      <c r="B22" s="31" t="inlineStr">
        <is>
          <t>FACE</t>
        </is>
      </c>
      <c r="C22" s="31" t="inlineStr">
        <is>
          <t>EETHG25E0459170</t>
        </is>
      </c>
      <c r="D22" s="30" t="n">
        <v>2</v>
      </c>
      <c r="F22" s="25" t="n"/>
      <c r="G22" s="29" t="n"/>
      <c r="H22" s="29" t="n"/>
    </row>
    <row r="23" ht="18.95" customHeight="1" s="49">
      <c r="A23" s="31" t="inlineStr">
        <is>
          <t>F003</t>
        </is>
      </c>
      <c r="B23" s="31" t="inlineStr">
        <is>
          <t>FACE</t>
        </is>
      </c>
      <c r="C23" s="31" t="inlineStr">
        <is>
          <t>EEVWG24E0159165</t>
        </is>
      </c>
      <c r="D23" s="30" t="n">
        <v>2</v>
      </c>
      <c r="F23" s="25" t="n"/>
      <c r="G23" s="29" t="n"/>
      <c r="H23" s="29" t="n"/>
    </row>
    <row r="24" ht="18.95" customHeight="1" s="49">
      <c r="A24" s="31" t="inlineStr">
        <is>
          <t>F003</t>
        </is>
      </c>
      <c r="B24" s="31" t="inlineStr">
        <is>
          <t>FACE</t>
        </is>
      </c>
      <c r="C24" s="31" t="inlineStr">
        <is>
          <t>EEVKG25B0339165</t>
        </is>
      </c>
      <c r="D24" s="30" t="n">
        <v>2</v>
      </c>
      <c r="F24" s="25" t="n"/>
      <c r="G24" s="29" t="n"/>
      <c r="H24" s="29" t="n"/>
    </row>
    <row r="25" ht="18.95" customHeight="1" s="49">
      <c r="A25" s="31" t="inlineStr">
        <is>
          <t>F003</t>
        </is>
      </c>
      <c r="B25" s="31" t="inlineStr">
        <is>
          <t>FACE</t>
        </is>
      </c>
      <c r="C25" s="31" t="inlineStr">
        <is>
          <t>EEOWG25B0599165</t>
        </is>
      </c>
      <c r="D25" s="30" t="n">
        <v>2</v>
      </c>
      <c r="F25" s="25" t="n"/>
      <c r="G25" s="29" t="n"/>
      <c r="H25" s="29" t="n"/>
    </row>
    <row r="26" ht="18.95" customHeight="1" s="49">
      <c r="A26" s="31" t="inlineStr">
        <is>
          <t>F003</t>
        </is>
      </c>
      <c r="B26" s="31" t="inlineStr">
        <is>
          <t>FACE</t>
        </is>
      </c>
      <c r="C26" s="31" t="inlineStr">
        <is>
          <t>EEJAG24B0239170</t>
        </is>
      </c>
      <c r="D26" s="30" t="n">
        <v>1</v>
      </c>
      <c r="F26" s="25" t="n"/>
      <c r="G26" s="29" t="n"/>
      <c r="H26" s="29" t="n"/>
    </row>
    <row r="27" ht="18.95" customHeight="1" s="49">
      <c r="A27" s="31" t="inlineStr">
        <is>
          <t>F003</t>
        </is>
      </c>
      <c r="B27" s="31" t="inlineStr">
        <is>
          <t>FACE</t>
        </is>
      </c>
      <c r="C27" s="31" t="inlineStr">
        <is>
          <t>EEWHG25B0699170</t>
        </is>
      </c>
      <c r="D27" s="30" t="n">
        <v>3</v>
      </c>
      <c r="F27" s="25" t="n"/>
      <c r="G27" s="29" t="n"/>
      <c r="H27" s="29" t="n"/>
    </row>
    <row r="28" ht="18.95" customHeight="1" s="49">
      <c r="A28" s="31" t="inlineStr">
        <is>
          <t>F003</t>
        </is>
      </c>
      <c r="B28" s="31" t="inlineStr">
        <is>
          <t>FACE</t>
        </is>
      </c>
      <c r="C28" s="31" t="inlineStr">
        <is>
          <t>EEVWG25B0119165</t>
        </is>
      </c>
      <c r="D28" s="30" t="n">
        <v>2</v>
      </c>
      <c r="F28" s="25" t="n"/>
      <c r="G28" s="29" t="n"/>
      <c r="H28" s="29" t="n"/>
    </row>
    <row r="29" ht="18.95" customHeight="1" s="49">
      <c r="A29" s="31" t="inlineStr">
        <is>
          <t>F004</t>
        </is>
      </c>
      <c r="B29" s="31" t="inlineStr">
        <is>
          <t>FACE</t>
        </is>
      </c>
      <c r="C29" s="31" t="inlineStr">
        <is>
          <t>EEOWG25E0139165</t>
        </is>
      </c>
      <c r="D29" s="30" t="n">
        <v>2</v>
      </c>
      <c r="E29" s="36" t="n"/>
      <c r="F29" s="25" t="n"/>
      <c r="G29" s="29" t="n"/>
      <c r="H29" s="29" t="n"/>
    </row>
    <row r="30" ht="18.95" customHeight="1" s="49">
      <c r="A30" s="31" t="inlineStr">
        <is>
          <t>F004</t>
        </is>
      </c>
      <c r="B30" s="31" t="inlineStr">
        <is>
          <t>FACE</t>
        </is>
      </c>
      <c r="C30" s="31" t="inlineStr">
        <is>
          <t>EEYWG23E0139165</t>
        </is>
      </c>
      <c r="D30" s="30" t="n">
        <v>2</v>
      </c>
      <c r="F30" s="25" t="n"/>
      <c r="G30" s="29" t="n"/>
      <c r="H30" s="29" t="n"/>
    </row>
    <row r="31" ht="18.95" customHeight="1" s="49">
      <c r="A31" s="31" t="inlineStr">
        <is>
          <t>F004</t>
        </is>
      </c>
      <c r="B31" s="31" t="inlineStr">
        <is>
          <t>FACE</t>
        </is>
      </c>
      <c r="C31" s="31" t="inlineStr">
        <is>
          <t>EERAG23E0219160</t>
        </is>
      </c>
      <c r="D31" s="30" t="n">
        <v>2</v>
      </c>
      <c r="F31" s="25" t="n"/>
      <c r="G31" s="29" t="n"/>
      <c r="H31" s="29" t="n"/>
    </row>
    <row r="32" ht="18.95" customHeight="1" s="49">
      <c r="A32" s="31" t="inlineStr">
        <is>
          <t>F004</t>
        </is>
      </c>
      <c r="B32" s="31" t="inlineStr">
        <is>
          <t>FACE</t>
        </is>
      </c>
      <c r="C32" s="31" t="inlineStr">
        <is>
          <t>EETCG24E0619165</t>
        </is>
      </c>
      <c r="D32" s="30" t="n">
        <v>2</v>
      </c>
      <c r="F32" s="25" t="n"/>
      <c r="G32" s="29" t="n"/>
      <c r="H32" s="29" t="n"/>
    </row>
    <row r="33" ht="18.95" customHeight="1" s="49">
      <c r="A33" s="31" t="inlineStr">
        <is>
          <t>F004</t>
        </is>
      </c>
      <c r="B33" s="31" t="inlineStr">
        <is>
          <t>FACE</t>
        </is>
      </c>
      <c r="C33" s="31" t="inlineStr">
        <is>
          <t>EECKG25B0439165</t>
        </is>
      </c>
      <c r="D33" s="30" t="n">
        <v>2</v>
      </c>
      <c r="F33" s="25" t="n"/>
      <c r="G33" s="29" t="n"/>
      <c r="H33" s="29" t="n"/>
    </row>
    <row r="34" ht="18.95" customHeight="1" s="49">
      <c r="A34" s="31" t="inlineStr">
        <is>
          <t>F004</t>
        </is>
      </c>
      <c r="B34" s="31" t="inlineStr">
        <is>
          <t>FACE</t>
        </is>
      </c>
      <c r="C34" s="31" t="inlineStr">
        <is>
          <t>EETAG24E0259165</t>
        </is>
      </c>
      <c r="D34" s="30" t="n">
        <v>2</v>
      </c>
      <c r="F34" s="25" t="n"/>
      <c r="G34" s="29" t="n"/>
      <c r="H34" s="29" t="n"/>
    </row>
    <row r="35" ht="18.95" customHeight="1" s="49">
      <c r="A35" s="31" t="inlineStr">
        <is>
          <t>F004</t>
        </is>
      </c>
      <c r="B35" s="31" t="inlineStr">
        <is>
          <t>FACE</t>
        </is>
      </c>
      <c r="C35" s="31" t="inlineStr">
        <is>
          <t>EEYWG25E0339165</t>
        </is>
      </c>
      <c r="D35" s="30" t="n">
        <v>2</v>
      </c>
      <c r="F35" s="25" t="n"/>
      <c r="G35" s="29" t="n"/>
      <c r="H35" s="29" t="n"/>
    </row>
    <row r="36" ht="18.95" customHeight="1" s="49">
      <c r="A36" s="31" t="inlineStr">
        <is>
          <t>F005</t>
        </is>
      </c>
      <c r="B36" s="31" t="inlineStr">
        <is>
          <t>FACE</t>
        </is>
      </c>
      <c r="C36" s="31" t="inlineStr">
        <is>
          <t>EEYAG26B0439160</t>
        </is>
      </c>
      <c r="D36" s="30" t="n">
        <v>2</v>
      </c>
      <c r="E36" s="36" t="n"/>
      <c r="F36" s="25" t="n"/>
      <c r="G36" s="29" t="n"/>
      <c r="H36" s="29" t="n"/>
    </row>
    <row r="37" ht="18.95" customHeight="1" s="49">
      <c r="A37" s="31" t="inlineStr">
        <is>
          <t>F005</t>
        </is>
      </c>
      <c r="B37" s="31" t="inlineStr">
        <is>
          <t>FACE</t>
        </is>
      </c>
      <c r="C37" s="31" t="inlineStr">
        <is>
          <t>EEYPG24E0156165</t>
        </is>
      </c>
      <c r="D37" s="30" t="n">
        <v>2</v>
      </c>
      <c r="F37" s="25" t="n"/>
      <c r="G37" s="29" t="n"/>
      <c r="H37" s="29" t="n"/>
    </row>
    <row r="38" ht="18.95" customHeight="1" s="49">
      <c r="A38" s="31" t="inlineStr">
        <is>
          <t>F005</t>
        </is>
      </c>
      <c r="B38" s="31" t="inlineStr">
        <is>
          <t>FACE</t>
        </is>
      </c>
      <c r="C38" s="31" t="inlineStr">
        <is>
          <t>EEOWG25B1032160</t>
        </is>
      </c>
      <c r="D38" s="30" t="n">
        <v>2</v>
      </c>
      <c r="F38" s="25" t="n"/>
      <c r="G38" s="29" t="n"/>
      <c r="H38" s="29" t="n"/>
    </row>
    <row r="39" ht="18.95" customHeight="1" s="49">
      <c r="A39" s="31" t="inlineStr">
        <is>
          <t>F005</t>
        </is>
      </c>
      <c r="B39" s="31" t="inlineStr">
        <is>
          <t>FACE</t>
        </is>
      </c>
      <c r="C39" s="31" t="inlineStr">
        <is>
          <t>EETJG24E0256029</t>
        </is>
      </c>
      <c r="D39" s="30" t="n">
        <v>1</v>
      </c>
      <c r="F39" s="25" t="n"/>
      <c r="G39" s="29" t="n"/>
      <c r="H39" s="29" t="n"/>
    </row>
    <row r="40" ht="18.95" customHeight="1" s="49">
      <c r="A40" s="31" t="inlineStr">
        <is>
          <t>F005</t>
        </is>
      </c>
      <c r="B40" s="31" t="inlineStr">
        <is>
          <t>FACE</t>
        </is>
      </c>
      <c r="C40" s="31" t="inlineStr">
        <is>
          <t>EEYAG25B0139165</t>
        </is>
      </c>
      <c r="D40" s="30" t="n">
        <v>2</v>
      </c>
      <c r="F40" s="25" t="n"/>
      <c r="G40" s="29" t="n"/>
      <c r="H40" s="29" t="n"/>
    </row>
    <row r="41" ht="18.95" customHeight="1" s="49">
      <c r="A41" s="31" t="inlineStr">
        <is>
          <t>F005</t>
        </is>
      </c>
      <c r="B41" s="31" t="inlineStr">
        <is>
          <t>FACE</t>
        </is>
      </c>
      <c r="C41" s="31" t="inlineStr">
        <is>
          <t>EEWHG25E0339160</t>
        </is>
      </c>
      <c r="D41" s="30" t="n">
        <v>1</v>
      </c>
      <c r="F41" s="25" t="n"/>
      <c r="G41" s="29" t="n"/>
      <c r="H41" s="29" t="n"/>
    </row>
    <row r="42" ht="18.95" customHeight="1" s="49">
      <c r="A42" s="31" t="inlineStr">
        <is>
          <t>F005</t>
        </is>
      </c>
      <c r="B42" s="31" t="inlineStr">
        <is>
          <t>FACE</t>
        </is>
      </c>
      <c r="C42" s="31" t="inlineStr">
        <is>
          <t>EEVKG25E0130170</t>
        </is>
      </c>
      <c r="D42" s="30" t="n">
        <v>2</v>
      </c>
      <c r="F42" s="25" t="n"/>
      <c r="G42" s="29" t="n"/>
      <c r="H42" s="29" t="n"/>
    </row>
    <row r="43" ht="18.95" customHeight="1" s="49">
      <c r="A43" s="31" t="inlineStr">
        <is>
          <t>F006</t>
        </is>
      </c>
      <c r="B43" s="31" t="inlineStr">
        <is>
          <t>FACE</t>
        </is>
      </c>
      <c r="C43" s="31" t="inlineStr">
        <is>
          <t>EERAG25E0351160</t>
        </is>
      </c>
      <c r="D43" s="30" t="n">
        <v>2</v>
      </c>
      <c r="E43" s="36" t="n"/>
      <c r="F43" s="25" t="n"/>
      <c r="G43" s="29" t="n"/>
      <c r="H43" s="29" t="n"/>
    </row>
    <row r="44" ht="18.95" customHeight="1" s="49">
      <c r="A44" s="31" t="inlineStr">
        <is>
          <t>F006</t>
        </is>
      </c>
      <c r="B44" s="31" t="inlineStr">
        <is>
          <t>FACE</t>
        </is>
      </c>
      <c r="C44" s="31" t="inlineStr">
        <is>
          <t>EEOWG24B0130165</t>
        </is>
      </c>
      <c r="D44" s="30" t="n">
        <v>2</v>
      </c>
      <c r="F44" s="25" t="n"/>
      <c r="G44" s="29" t="n"/>
      <c r="H44" s="29" t="n"/>
    </row>
    <row r="45" ht="18.95" customHeight="1" s="49">
      <c r="A45" s="31" t="inlineStr">
        <is>
          <t>F006</t>
        </is>
      </c>
      <c r="B45" s="31" t="inlineStr">
        <is>
          <t>FACE</t>
        </is>
      </c>
      <c r="C45" s="31" t="inlineStr">
        <is>
          <t>EEYAG25B0439160</t>
        </is>
      </c>
      <c r="D45" s="30" t="n">
        <v>2</v>
      </c>
      <c r="F45" s="25" t="n"/>
      <c r="G45" s="29" t="n"/>
      <c r="H45" s="29" t="n"/>
    </row>
    <row r="46" ht="18.95" customHeight="1" s="49">
      <c r="A46" s="31" t="inlineStr">
        <is>
          <t>F006</t>
        </is>
      </c>
      <c r="B46" s="31" t="inlineStr">
        <is>
          <t>FACE</t>
        </is>
      </c>
      <c r="C46" s="31" t="inlineStr">
        <is>
          <t>EEWJG24E0155165</t>
        </is>
      </c>
      <c r="D46" s="30" t="n">
        <v>2</v>
      </c>
      <c r="F46" s="25" t="n"/>
      <c r="G46" s="29" t="n"/>
      <c r="H46" s="29" t="n"/>
    </row>
    <row r="47" ht="18.95" customHeight="1" s="49">
      <c r="A47" s="31" t="inlineStr">
        <is>
          <t>F006</t>
        </is>
      </c>
      <c r="B47" s="31" t="inlineStr">
        <is>
          <t>FACE</t>
        </is>
      </c>
      <c r="C47" s="31" t="inlineStr">
        <is>
          <t>EEYWG25E0330165</t>
        </is>
      </c>
      <c r="D47" s="30" t="n">
        <v>2</v>
      </c>
      <c r="F47" s="25" t="n"/>
      <c r="G47" s="29" t="n"/>
      <c r="H47" s="29" t="n"/>
    </row>
    <row r="48" ht="18.95" customHeight="1" s="49">
      <c r="A48" s="31" t="inlineStr">
        <is>
          <t>F006</t>
        </is>
      </c>
      <c r="B48" s="31" t="inlineStr">
        <is>
          <t>FACE</t>
        </is>
      </c>
      <c r="C48" s="31" t="inlineStr">
        <is>
          <t>EEYWG37E0185165</t>
        </is>
      </c>
      <c r="D48" s="30" t="n">
        <v>1</v>
      </c>
      <c r="F48" s="25" t="n"/>
      <c r="G48" s="29" t="n"/>
      <c r="H48" s="29" t="n"/>
    </row>
    <row r="49" ht="18.95" customHeight="1" s="49">
      <c r="A49" s="31" t="inlineStr">
        <is>
          <t>F006</t>
        </is>
      </c>
      <c r="B49" s="31" t="inlineStr">
        <is>
          <t>FACE</t>
        </is>
      </c>
      <c r="C49" s="31" t="inlineStr">
        <is>
          <t>EEOMG26B0164165</t>
        </is>
      </c>
      <c r="D49" s="30" t="n">
        <v>2</v>
      </c>
      <c r="F49" s="25" t="n"/>
      <c r="G49" s="29" t="n"/>
      <c r="H49" s="29" t="n"/>
    </row>
    <row r="50" ht="18.95" customHeight="1" s="49">
      <c r="A50" s="31" t="inlineStr">
        <is>
          <t>F007</t>
        </is>
      </c>
      <c r="B50" s="31" t="inlineStr">
        <is>
          <t>FACE</t>
        </is>
      </c>
      <c r="C50" s="31" t="inlineStr">
        <is>
          <t>EEVKG25D0539160</t>
        </is>
      </c>
      <c r="D50" s="30" t="n">
        <v>2</v>
      </c>
      <c r="E50" s="36" t="n"/>
      <c r="F50" s="25" t="n"/>
      <c r="G50" s="29" t="n"/>
      <c r="H50" s="29" t="n"/>
    </row>
    <row r="51" ht="18.95" customHeight="1" s="49">
      <c r="A51" s="31" t="inlineStr">
        <is>
          <t>F007</t>
        </is>
      </c>
      <c r="B51" s="31" t="inlineStr">
        <is>
          <t>FACE</t>
        </is>
      </c>
      <c r="C51" s="31" t="inlineStr">
        <is>
          <t>EEOWG25B0330165</t>
        </is>
      </c>
      <c r="D51" s="30" t="n">
        <v>2</v>
      </c>
      <c r="F51" s="25" t="n"/>
      <c r="G51" s="29" t="n"/>
      <c r="H51" s="29" t="n"/>
    </row>
    <row r="52" ht="18.95" customHeight="1" s="49">
      <c r="A52" s="31" t="inlineStr">
        <is>
          <t>F007</t>
        </is>
      </c>
      <c r="B52" s="31" t="inlineStr">
        <is>
          <t>FACE</t>
        </is>
      </c>
      <c r="C52" s="31" t="inlineStr">
        <is>
          <t>EETKG25D0139165</t>
        </is>
      </c>
      <c r="D52" s="30" t="n">
        <v>2</v>
      </c>
      <c r="F52" s="25" t="n"/>
      <c r="G52" s="29" t="n"/>
      <c r="H52" s="29" t="n"/>
    </row>
    <row r="53" ht="18.95" customHeight="1" s="49">
      <c r="A53" s="31" t="inlineStr">
        <is>
          <t>F007</t>
        </is>
      </c>
      <c r="B53" s="31" t="inlineStr">
        <is>
          <t>FACE</t>
        </is>
      </c>
      <c r="C53" s="31" t="inlineStr">
        <is>
          <t>EEWHG25E0137165</t>
        </is>
      </c>
      <c r="D53" s="30" t="n">
        <v>2</v>
      </c>
      <c r="F53" s="25" t="n"/>
      <c r="G53" s="29" t="n"/>
      <c r="H53" s="29" t="n"/>
    </row>
    <row r="54" ht="18.95" customHeight="1" s="49">
      <c r="A54" s="31" t="inlineStr">
        <is>
          <t>F007</t>
        </is>
      </c>
      <c r="B54" s="31" t="inlineStr">
        <is>
          <t>FACE</t>
        </is>
      </c>
      <c r="C54" s="31" t="inlineStr">
        <is>
          <t>EEYWG25E0236160</t>
        </is>
      </c>
      <c r="D54" s="30" t="n">
        <v>1</v>
      </c>
      <c r="F54" s="25" t="n"/>
      <c r="G54" s="29" t="n"/>
      <c r="H54" s="29" t="n"/>
    </row>
    <row r="55" ht="18.95" customHeight="1" s="49">
      <c r="A55" s="31" t="inlineStr">
        <is>
          <t>F007</t>
        </is>
      </c>
      <c r="B55" s="31" t="inlineStr">
        <is>
          <t>FACE</t>
        </is>
      </c>
      <c r="C55" s="31" t="inlineStr">
        <is>
          <t>EEOWG25B0239160</t>
        </is>
      </c>
      <c r="D55" s="30" t="n">
        <v>2</v>
      </c>
      <c r="F55" s="25" t="n"/>
      <c r="G55" s="29" t="n"/>
      <c r="H55" s="29" t="n"/>
    </row>
    <row r="56" ht="18.95" customHeight="1" s="49">
      <c r="A56" s="31" t="inlineStr">
        <is>
          <t>F007</t>
        </is>
      </c>
      <c r="B56" s="31" t="inlineStr">
        <is>
          <t>FACE</t>
        </is>
      </c>
      <c r="C56" s="31" t="inlineStr">
        <is>
          <t>EETCG24E0636165</t>
        </is>
      </c>
      <c r="D56" s="30" t="n">
        <v>2</v>
      </c>
      <c r="F56" s="25" t="n"/>
      <c r="G56" s="29" t="n"/>
      <c r="H56" s="29" t="n"/>
    </row>
    <row r="57" ht="18.95" customHeight="1" s="49">
      <c r="A57" s="31" t="inlineStr">
        <is>
          <t>F007</t>
        </is>
      </c>
      <c r="B57" s="31" t="inlineStr">
        <is>
          <t>FACE</t>
        </is>
      </c>
      <c r="C57" s="31" t="inlineStr">
        <is>
          <t>EEYWG25E0337165</t>
        </is>
      </c>
      <c r="D57" s="30" t="n">
        <v>2</v>
      </c>
      <c r="F57" s="25" t="n"/>
      <c r="G57" s="29" t="n"/>
      <c r="H57" s="29" t="n"/>
    </row>
    <row r="58" ht="18.95" customHeight="1" s="49">
      <c r="A58" s="31" t="inlineStr">
        <is>
          <t>F008</t>
        </is>
      </c>
      <c r="B58" s="31" t="inlineStr">
        <is>
          <t>FACE</t>
        </is>
      </c>
      <c r="C58" s="31" t="inlineStr">
        <is>
          <t>EEAPE24R0185245</t>
        </is>
      </c>
      <c r="D58" s="30" t="n">
        <v>1</v>
      </c>
      <c r="E58" s="36" t="n"/>
      <c r="F58" s="25" t="n"/>
      <c r="G58" s="29" t="n"/>
      <c r="H58" s="29" t="n"/>
    </row>
    <row r="59" ht="18.95" customHeight="1" s="49">
      <c r="A59" s="31" t="inlineStr">
        <is>
          <t>F008</t>
        </is>
      </c>
      <c r="B59" s="31" t="inlineStr">
        <is>
          <t>FACE</t>
        </is>
      </c>
      <c r="C59" s="31" t="inlineStr">
        <is>
          <t>EEAPE24R0119245</t>
        </is>
      </c>
      <c r="D59" s="30" t="n">
        <v>1</v>
      </c>
      <c r="F59" s="25" t="n"/>
      <c r="G59" s="29" t="n"/>
      <c r="H59" s="29" t="n"/>
    </row>
    <row r="60" ht="18.95" customHeight="1" s="49">
      <c r="A60" s="31" t="inlineStr">
        <is>
          <t>F008</t>
        </is>
      </c>
      <c r="B60" s="31" t="inlineStr">
        <is>
          <t>FACE</t>
        </is>
      </c>
      <c r="C60" s="31" t="inlineStr">
        <is>
          <t>EEAKF49B0156FRE</t>
        </is>
      </c>
      <c r="D60" s="30" t="n">
        <v>1</v>
      </c>
      <c r="F60" s="25" t="n"/>
      <c r="G60" s="29" t="n"/>
      <c r="H60" s="29" t="n"/>
    </row>
    <row r="61" ht="18.95" customHeight="1" s="49">
      <c r="A61" s="31" t="inlineStr">
        <is>
          <t>F008</t>
        </is>
      </c>
      <c r="B61" s="31" t="inlineStr">
        <is>
          <t>FACE</t>
        </is>
      </c>
      <c r="C61" s="31" t="inlineStr">
        <is>
          <t>EEACG23E0136FRE</t>
        </is>
      </c>
      <c r="D61" s="30" t="n">
        <v>1</v>
      </c>
      <c r="F61" s="25" t="n"/>
      <c r="G61" s="29" t="n"/>
      <c r="H61" s="29" t="n"/>
    </row>
    <row r="62" ht="18.95" customHeight="1" s="49">
      <c r="A62" s="31" t="inlineStr">
        <is>
          <t>F008</t>
        </is>
      </c>
      <c r="B62" s="31" t="inlineStr">
        <is>
          <t>FACE</t>
        </is>
      </c>
      <c r="C62" s="31" t="inlineStr">
        <is>
          <t>EEYWG23E0242160</t>
        </is>
      </c>
      <c r="D62" s="30" t="n">
        <v>1</v>
      </c>
      <c r="F62" s="25" t="n"/>
      <c r="G62" s="29" t="n"/>
      <c r="H62" s="29" t="n"/>
    </row>
    <row r="63" ht="18.95" customHeight="1" s="49">
      <c r="A63" s="31" t="inlineStr">
        <is>
          <t>F008</t>
        </is>
      </c>
      <c r="B63" s="31" t="inlineStr">
        <is>
          <t>FACE</t>
        </is>
      </c>
      <c r="C63" s="31" t="inlineStr">
        <is>
          <t>EEKWG24E0215165</t>
        </is>
      </c>
      <c r="D63" s="30" t="n">
        <v>1</v>
      </c>
      <c r="F63" s="25" t="n"/>
      <c r="G63" s="29" t="n"/>
      <c r="H63" s="29" t="n"/>
    </row>
    <row r="64" ht="18.95" customHeight="1" s="49">
      <c r="A64" s="31" t="inlineStr">
        <is>
          <t>F008</t>
        </is>
      </c>
      <c r="B64" s="31" t="inlineStr">
        <is>
          <t>FACE</t>
        </is>
      </c>
      <c r="C64" s="31" t="inlineStr">
        <is>
          <t>EEYWG23E0250165</t>
        </is>
      </c>
      <c r="D64" s="30" t="n">
        <v>1</v>
      </c>
      <c r="F64" s="25" t="n"/>
      <c r="G64" s="29" t="n"/>
      <c r="H64" s="29" t="n"/>
    </row>
    <row r="65" ht="18.95" customHeight="1" s="49">
      <c r="A65" s="31" t="inlineStr">
        <is>
          <t>F008</t>
        </is>
      </c>
      <c r="B65" s="31" t="inlineStr">
        <is>
          <t>FACE</t>
        </is>
      </c>
      <c r="C65" s="31" t="inlineStr">
        <is>
          <t>EEKWG24E0251170</t>
        </is>
      </c>
      <c r="D65" s="30" t="n">
        <v>1</v>
      </c>
      <c r="F65" s="25" t="n"/>
      <c r="G65" s="29" t="n"/>
      <c r="H65" s="29" t="n"/>
    </row>
    <row r="66" ht="18.95" customHeight="1" s="49">
      <c r="A66" s="31" t="inlineStr">
        <is>
          <t>F008</t>
        </is>
      </c>
      <c r="B66" s="31" t="inlineStr">
        <is>
          <t>FACE</t>
        </is>
      </c>
      <c r="C66" s="31" t="inlineStr">
        <is>
          <t>EEYWG23E0230165</t>
        </is>
      </c>
      <c r="D66" s="30" t="n">
        <v>1</v>
      </c>
      <c r="F66" s="25" t="n"/>
      <c r="G66" s="29" t="n"/>
      <c r="H66" s="29" t="n"/>
    </row>
    <row r="67" ht="18.95" customHeight="1" s="49">
      <c r="A67" s="31" t="inlineStr">
        <is>
          <t>F008</t>
        </is>
      </c>
      <c r="B67" s="31" t="inlineStr">
        <is>
          <t>FACE</t>
        </is>
      </c>
      <c r="C67" s="31" t="inlineStr">
        <is>
          <t>EEKWG24E0230170</t>
        </is>
      </c>
      <c r="D67" s="30" t="n">
        <v>1</v>
      </c>
      <c r="F67" s="25" t="n"/>
      <c r="G67" s="29" t="n"/>
      <c r="H67" s="29" t="n"/>
    </row>
    <row r="68" ht="18.95" customHeight="1" s="49">
      <c r="A68" s="31" t="inlineStr">
        <is>
          <t>F008</t>
        </is>
      </c>
      <c r="B68" s="31" t="inlineStr">
        <is>
          <t>FACE</t>
        </is>
      </c>
      <c r="C68" s="31" t="inlineStr">
        <is>
          <t>EEYWG23E0239165</t>
        </is>
      </c>
      <c r="D68" s="30" t="n">
        <v>1</v>
      </c>
      <c r="F68" s="25" t="n"/>
      <c r="G68" s="29" t="n"/>
      <c r="H68" s="29" t="n"/>
    </row>
    <row r="69" ht="18.95" customHeight="1" s="49">
      <c r="A69" s="31" t="inlineStr">
        <is>
          <t>F008</t>
        </is>
      </c>
      <c r="B69" s="31" t="inlineStr">
        <is>
          <t>FACE</t>
        </is>
      </c>
      <c r="C69" s="31" t="inlineStr">
        <is>
          <t>EEKWG24E0239165</t>
        </is>
      </c>
      <c r="D69" s="30" t="n">
        <v>1</v>
      </c>
      <c r="F69" s="25" t="n"/>
      <c r="G69" s="29" t="n"/>
      <c r="H69" s="29" t="n"/>
    </row>
    <row r="70" ht="18.95" customHeight="1" s="49">
      <c r="A70" s="31" t="inlineStr">
        <is>
          <t>F009</t>
        </is>
      </c>
      <c r="B70" s="31" t="inlineStr">
        <is>
          <t>FACE</t>
        </is>
      </c>
      <c r="C70" s="31" t="inlineStr">
        <is>
          <t>EEYWG23E0139165</t>
        </is>
      </c>
      <c r="D70" s="30" t="n">
        <v>1</v>
      </c>
      <c r="E70" s="36" t="n"/>
      <c r="F70" s="25" t="n"/>
      <c r="G70" s="29" t="n"/>
      <c r="H70" s="29" t="n"/>
    </row>
    <row r="71" ht="18.95" customHeight="1" s="49">
      <c r="A71" s="31" t="inlineStr">
        <is>
          <t>F009</t>
        </is>
      </c>
      <c r="B71" s="31" t="inlineStr">
        <is>
          <t>FACE</t>
        </is>
      </c>
      <c r="C71" s="31" t="inlineStr">
        <is>
          <t>EERNG23E0195165</t>
        </is>
      </c>
      <c r="D71" s="30" t="n">
        <v>1</v>
      </c>
      <c r="F71" s="25" t="n"/>
      <c r="G71" s="29" t="n"/>
      <c r="H71" s="29" t="n"/>
    </row>
    <row r="72" ht="18.95" customHeight="1" s="49">
      <c r="A72" s="31" t="inlineStr">
        <is>
          <t>F009</t>
        </is>
      </c>
      <c r="B72" s="31" t="inlineStr">
        <is>
          <t>FACE</t>
        </is>
      </c>
      <c r="C72" s="31" t="inlineStr">
        <is>
          <t>EEAKF25N5139FRE</t>
        </is>
      </c>
      <c r="D72" s="30" t="n">
        <v>1</v>
      </c>
      <c r="F72" s="25" t="n"/>
      <c r="G72" s="29" t="n"/>
      <c r="H72" s="29" t="n"/>
    </row>
    <row r="73" ht="18.95" customHeight="1" s="49">
      <c r="A73" s="31" t="inlineStr">
        <is>
          <t>F009</t>
        </is>
      </c>
      <c r="B73" s="31" t="inlineStr">
        <is>
          <t>FACE</t>
        </is>
      </c>
      <c r="C73" s="31" t="inlineStr">
        <is>
          <t>EEAKF25N5119FRE</t>
        </is>
      </c>
      <c r="D73" s="30" t="n">
        <v>1</v>
      </c>
      <c r="F73" s="25" t="n"/>
      <c r="G73" s="29" t="n"/>
      <c r="H73" s="29" t="n"/>
    </row>
    <row r="74" ht="18.95" customHeight="1" s="49">
      <c r="A74" s="31" t="inlineStr">
        <is>
          <t>F009</t>
        </is>
      </c>
      <c r="B74" s="31" t="inlineStr">
        <is>
          <t>FACE</t>
        </is>
      </c>
      <c r="C74" s="31" t="inlineStr">
        <is>
          <t>EETJG24E0236026</t>
        </is>
      </c>
      <c r="D74" s="30" t="n">
        <v>2</v>
      </c>
      <c r="F74" s="25" t="n"/>
      <c r="G74" s="29" t="n"/>
      <c r="H74" s="29" t="n"/>
    </row>
    <row r="75" ht="18.95" customHeight="1" s="49">
      <c r="A75" s="31" t="inlineStr">
        <is>
          <t>F009</t>
        </is>
      </c>
      <c r="B75" s="31" t="inlineStr">
        <is>
          <t>FACE</t>
        </is>
      </c>
      <c r="C75" s="31" t="inlineStr">
        <is>
          <t>EETJG23E0457027</t>
        </is>
      </c>
      <c r="D75" s="30" t="n">
        <v>2</v>
      </c>
      <c r="F75" s="25" t="n"/>
      <c r="G75" s="29" t="n"/>
      <c r="H75" s="29" t="n"/>
    </row>
    <row r="76" ht="18.95" customHeight="1" s="49">
      <c r="A76" s="31" t="inlineStr">
        <is>
          <t>F009</t>
        </is>
      </c>
      <c r="B76" s="31" t="inlineStr">
        <is>
          <t>FACE</t>
        </is>
      </c>
      <c r="C76" s="31" t="inlineStr">
        <is>
          <t>EETJG24E0157028</t>
        </is>
      </c>
      <c r="D76" s="30" t="n">
        <v>2</v>
      </c>
      <c r="F76" s="25" t="n"/>
      <c r="G76" s="29" t="n"/>
      <c r="H76" s="29" t="n"/>
    </row>
    <row r="77" ht="18.95" customHeight="1" s="49">
      <c r="A77" s="31" t="inlineStr">
        <is>
          <t>F009</t>
        </is>
      </c>
      <c r="B77" s="31" t="inlineStr">
        <is>
          <t>FACE</t>
        </is>
      </c>
      <c r="C77" s="31" t="inlineStr">
        <is>
          <t>EETJG24E0139029</t>
        </is>
      </c>
      <c r="D77" s="30" t="n">
        <v>2</v>
      </c>
      <c r="F77" s="25" t="n"/>
      <c r="G77" s="29" t="n"/>
      <c r="H77" s="29" t="n"/>
    </row>
    <row r="78" ht="18.95" customHeight="1" s="49">
      <c r="A78" s="31" t="inlineStr">
        <is>
          <t>F010</t>
        </is>
      </c>
      <c r="B78" s="31" t="inlineStr">
        <is>
          <t>FACE</t>
        </is>
      </c>
      <c r="C78" s="31" t="inlineStr">
        <is>
          <t>EEOWG24E0236165</t>
        </is>
      </c>
      <c r="D78" s="30" t="n">
        <v>2</v>
      </c>
      <c r="E78" s="36" t="n"/>
      <c r="F78" s="25" t="n"/>
      <c r="G78" s="29" t="n"/>
      <c r="H78" s="29" t="n"/>
    </row>
    <row r="79" ht="18.95" customHeight="1" s="49">
      <c r="A79" s="31" t="inlineStr">
        <is>
          <t>F010</t>
        </is>
      </c>
      <c r="B79" s="31" t="inlineStr">
        <is>
          <t>FACE</t>
        </is>
      </c>
      <c r="C79" s="31" t="inlineStr">
        <is>
          <t>EEYWG23E0151160</t>
        </is>
      </c>
      <c r="D79" s="30" t="n">
        <v>2</v>
      </c>
      <c r="F79" s="25" t="n"/>
      <c r="G79" s="29" t="n"/>
      <c r="H79" s="29" t="n"/>
    </row>
    <row r="80" ht="18.95" customHeight="1" s="49">
      <c r="A80" s="31" t="inlineStr">
        <is>
          <t>F010</t>
        </is>
      </c>
      <c r="B80" s="31" t="inlineStr">
        <is>
          <t>FACE</t>
        </is>
      </c>
      <c r="C80" s="31" t="inlineStr">
        <is>
          <t>EETJG23E0139025</t>
        </is>
      </c>
      <c r="D80" s="30" t="n">
        <v>1</v>
      </c>
      <c r="F80" s="25" t="n"/>
      <c r="G80" s="29" t="n"/>
      <c r="H80" s="29" t="n"/>
    </row>
    <row r="81" ht="18.95" customHeight="1" s="49">
      <c r="A81" s="31" t="inlineStr">
        <is>
          <t>F010</t>
        </is>
      </c>
      <c r="B81" s="31" t="inlineStr">
        <is>
          <t>FACE</t>
        </is>
      </c>
      <c r="C81" s="31" t="inlineStr">
        <is>
          <t>EEKWG24B0851165</t>
        </is>
      </c>
      <c r="D81" s="30" t="n">
        <v>2</v>
      </c>
      <c r="F81" s="25" t="n"/>
      <c r="G81" s="29" t="n"/>
      <c r="H81" s="29" t="n"/>
    </row>
    <row r="82" ht="18.95" customHeight="1" s="49">
      <c r="A82" s="31" t="inlineStr">
        <is>
          <t>F010</t>
        </is>
      </c>
      <c r="B82" s="31" t="inlineStr">
        <is>
          <t>FACE</t>
        </is>
      </c>
      <c r="C82" s="31" t="inlineStr">
        <is>
          <t>EERAG24B0539165</t>
        </is>
      </c>
      <c r="D82" s="30" t="n">
        <v>2</v>
      </c>
      <c r="F82" s="25" t="n"/>
      <c r="G82" s="29" t="n"/>
      <c r="H82" s="29" t="n"/>
    </row>
    <row r="83" ht="18.95" customHeight="1" s="49">
      <c r="A83" s="31" t="inlineStr">
        <is>
          <t>F010</t>
        </is>
      </c>
      <c r="B83" s="31" t="inlineStr">
        <is>
          <t>FACE</t>
        </is>
      </c>
      <c r="C83" s="31" t="inlineStr">
        <is>
          <t>EERNG23E0139165</t>
        </is>
      </c>
      <c r="D83" s="30" t="n">
        <v>2</v>
      </c>
      <c r="F83" s="25" t="n"/>
      <c r="G83" s="29" t="n"/>
      <c r="H83" s="29" t="n"/>
    </row>
    <row r="84" ht="18.95" customHeight="1" s="49">
      <c r="A84" s="31" t="inlineStr">
        <is>
          <t>F010</t>
        </is>
      </c>
      <c r="B84" s="31" t="inlineStr">
        <is>
          <t>FACE</t>
        </is>
      </c>
      <c r="C84" s="31" t="inlineStr">
        <is>
          <t>EEWJG24E0139160</t>
        </is>
      </c>
      <c r="D84" s="30" t="n">
        <v>2</v>
      </c>
      <c r="F84" s="25" t="n"/>
      <c r="G84" s="29" t="n"/>
      <c r="H84" s="29" t="n"/>
    </row>
    <row r="85" ht="18.95" customHeight="1" s="49">
      <c r="A85" s="31" t="inlineStr">
        <is>
          <t>F010</t>
        </is>
      </c>
      <c r="B85" s="31" t="inlineStr">
        <is>
          <t>FACE</t>
        </is>
      </c>
      <c r="C85" s="31" t="inlineStr">
        <is>
          <t>EEYWG24E0220170</t>
        </is>
      </c>
      <c r="D85" s="30" t="n">
        <v>1</v>
      </c>
      <c r="F85" s="25" t="n"/>
      <c r="G85" s="29" t="n"/>
      <c r="H85" s="29" t="n"/>
    </row>
    <row r="86" ht="18.95" customHeight="1" s="49">
      <c r="A86" s="31" t="inlineStr">
        <is>
          <t>F011</t>
        </is>
      </c>
      <c r="B86" s="31" t="inlineStr">
        <is>
          <t>FACE</t>
        </is>
      </c>
      <c r="C86" s="31" t="inlineStr">
        <is>
          <t>EEOWG24B0250165</t>
        </is>
      </c>
      <c r="D86" s="30" t="n">
        <v>2</v>
      </c>
      <c r="E86" s="36" t="n"/>
      <c r="F86" s="25" t="n"/>
      <c r="G86" s="29" t="n"/>
      <c r="H86" s="29" t="n"/>
    </row>
    <row r="87" ht="18.95" customHeight="1" s="49">
      <c r="A87" s="31" t="inlineStr">
        <is>
          <t>F011</t>
        </is>
      </c>
      <c r="B87" s="31" t="inlineStr">
        <is>
          <t>FACE</t>
        </is>
      </c>
      <c r="C87" s="31" t="inlineStr">
        <is>
          <t>EETJG24B5856026</t>
        </is>
      </c>
      <c r="D87" s="30" t="n">
        <v>2</v>
      </c>
      <c r="F87" s="25" t="n"/>
      <c r="G87" s="29" t="n"/>
      <c r="H87" s="29" t="n"/>
    </row>
    <row r="88" ht="18.95" customHeight="1" s="49">
      <c r="A88" s="31" t="inlineStr">
        <is>
          <t>F011</t>
        </is>
      </c>
      <c r="B88" s="31" t="inlineStr">
        <is>
          <t>FACE</t>
        </is>
      </c>
      <c r="C88" s="31" t="inlineStr">
        <is>
          <t>EEYCG24E0159160</t>
        </is>
      </c>
      <c r="D88" s="30" t="n">
        <v>2</v>
      </c>
      <c r="F88" s="25" t="n"/>
      <c r="G88" s="29" t="n"/>
      <c r="H88" s="29" t="n"/>
    </row>
    <row r="89" ht="18.95" customHeight="1" s="49">
      <c r="A89" s="31" t="inlineStr">
        <is>
          <t>F011</t>
        </is>
      </c>
      <c r="B89" s="31" t="inlineStr">
        <is>
          <t>FACE</t>
        </is>
      </c>
      <c r="C89" s="31" t="inlineStr">
        <is>
          <t>EETHG24E0259170</t>
        </is>
      </c>
      <c r="D89" s="30" t="n">
        <v>2</v>
      </c>
      <c r="F89" s="25" t="n"/>
      <c r="G89" s="29" t="n"/>
      <c r="H89" s="29" t="n"/>
    </row>
    <row r="90" ht="18.95" customHeight="1" s="49">
      <c r="A90" s="31" t="inlineStr">
        <is>
          <t>F011</t>
        </is>
      </c>
      <c r="B90" s="31" t="inlineStr">
        <is>
          <t>FACE</t>
        </is>
      </c>
      <c r="C90" s="31" t="inlineStr">
        <is>
          <t>EECKG24E0192660</t>
        </is>
      </c>
      <c r="D90" s="30" t="n">
        <v>1</v>
      </c>
      <c r="F90" s="25" t="n"/>
      <c r="G90" s="29" t="n"/>
      <c r="H90" s="29" t="n"/>
    </row>
    <row r="91" ht="18.95" customHeight="1" s="49">
      <c r="A91" s="31" t="inlineStr">
        <is>
          <t>F011</t>
        </is>
      </c>
      <c r="B91" s="31" t="inlineStr">
        <is>
          <t>FACE</t>
        </is>
      </c>
      <c r="C91" s="31" t="inlineStr">
        <is>
          <t>EECKG24E0239170</t>
        </is>
      </c>
      <c r="D91" s="30" t="n">
        <v>1</v>
      </c>
      <c r="F91" s="25" t="n"/>
      <c r="G91" s="29" t="n"/>
      <c r="H91" s="29" t="n"/>
    </row>
    <row r="92" ht="18.95" customHeight="1" s="49">
      <c r="A92" s="31" t="inlineStr">
        <is>
          <t>F011</t>
        </is>
      </c>
      <c r="B92" s="31" t="inlineStr">
        <is>
          <t>FACE</t>
        </is>
      </c>
      <c r="C92" s="31" t="inlineStr">
        <is>
          <t>EEOWG25B0959170</t>
        </is>
      </c>
      <c r="D92" s="30" t="n">
        <v>2</v>
      </c>
      <c r="F92" s="25" t="n"/>
      <c r="G92" s="29" t="n"/>
      <c r="H92" s="29" t="n"/>
    </row>
    <row r="93" ht="18.95" customHeight="1" s="49">
      <c r="A93" s="31" t="inlineStr">
        <is>
          <t>F011</t>
        </is>
      </c>
      <c r="B93" s="31" t="inlineStr">
        <is>
          <t>FACE</t>
        </is>
      </c>
      <c r="C93" s="31" t="inlineStr">
        <is>
          <t>EECKG24E0259165</t>
        </is>
      </c>
      <c r="D93" s="30" t="n">
        <v>1</v>
      </c>
      <c r="F93" s="25" t="n"/>
      <c r="G93" s="29" t="n"/>
      <c r="H93" s="29" t="n"/>
    </row>
    <row r="94" ht="18.95" customHeight="1" s="49">
      <c r="A94" s="31" t="inlineStr">
        <is>
          <t>F011</t>
        </is>
      </c>
      <c r="B94" s="31" t="inlineStr">
        <is>
          <t>FACE</t>
        </is>
      </c>
      <c r="C94" s="31" t="inlineStr">
        <is>
          <t>EERAG23E0192660</t>
        </is>
      </c>
      <c r="D94" s="30" t="n">
        <v>1</v>
      </c>
      <c r="F94" s="25" t="n"/>
      <c r="G94" s="29" t="n"/>
      <c r="H94" s="29" t="n"/>
    </row>
    <row r="95" ht="18.95" customHeight="1" s="49">
      <c r="A95" s="31" t="inlineStr">
        <is>
          <t>F011</t>
        </is>
      </c>
      <c r="B95" s="31" t="inlineStr">
        <is>
          <t>FACE</t>
        </is>
      </c>
      <c r="C95" s="31" t="inlineStr">
        <is>
          <t>EEOWG24E0299165</t>
        </is>
      </c>
      <c r="D95" s="30" t="n">
        <v>1</v>
      </c>
      <c r="F95" s="25" t="n"/>
      <c r="G95" s="29" t="n"/>
      <c r="H95" s="29" t="n"/>
    </row>
    <row r="96" ht="18.95" customHeight="1" s="49">
      <c r="A96" s="31" t="inlineStr">
        <is>
          <t>F012</t>
        </is>
      </c>
      <c r="B96" s="31" t="inlineStr">
        <is>
          <t>FACE</t>
        </is>
      </c>
      <c r="C96" s="31" t="inlineStr">
        <is>
          <t>EEOWG24E0159160</t>
        </is>
      </c>
      <c r="D96" s="30" t="n">
        <v>2</v>
      </c>
      <c r="E96" s="36" t="n"/>
      <c r="F96" s="25" t="n"/>
      <c r="G96" s="29" t="n"/>
      <c r="H96" s="29" t="n"/>
    </row>
    <row r="97" ht="18.95" customHeight="1" s="49">
      <c r="A97" s="31" t="inlineStr">
        <is>
          <t>F012</t>
        </is>
      </c>
      <c r="B97" s="31" t="inlineStr">
        <is>
          <t>FACE</t>
        </is>
      </c>
      <c r="C97" s="31" t="inlineStr">
        <is>
          <t>EEWHG24E5639160</t>
        </is>
      </c>
      <c r="D97" s="30" t="n">
        <v>2</v>
      </c>
      <c r="F97" s="25" t="n"/>
      <c r="G97" s="29" t="n"/>
      <c r="H97" s="29" t="n"/>
    </row>
    <row r="98" ht="18.95" customHeight="1" s="49">
      <c r="A98" s="31" t="inlineStr">
        <is>
          <t>F012</t>
        </is>
      </c>
      <c r="B98" s="31" t="inlineStr">
        <is>
          <t>FACE</t>
        </is>
      </c>
      <c r="C98" s="31" t="inlineStr">
        <is>
          <t>EEYWG24E0251165</t>
        </is>
      </c>
      <c r="D98" s="30" t="n">
        <v>2</v>
      </c>
      <c r="F98" s="25" t="n"/>
      <c r="G98" s="29" t="n"/>
      <c r="H98" s="29" t="n"/>
    </row>
    <row r="99" ht="18.95" customHeight="1" s="49">
      <c r="A99" s="31" t="inlineStr">
        <is>
          <t>F012</t>
        </is>
      </c>
      <c r="B99" s="31" t="inlineStr">
        <is>
          <t>FACE</t>
        </is>
      </c>
      <c r="C99" s="31" t="inlineStr">
        <is>
          <t>EETJG24E0256026</t>
        </is>
      </c>
      <c r="D99" s="30" t="n">
        <v>2</v>
      </c>
      <c r="F99" s="25" t="n"/>
      <c r="G99" s="29" t="n"/>
      <c r="H99" s="29" t="n"/>
    </row>
    <row r="100" ht="18.95" customHeight="1" s="49">
      <c r="A100" s="31" t="inlineStr">
        <is>
          <t>F012</t>
        </is>
      </c>
      <c r="B100" s="31" t="inlineStr">
        <is>
          <t>FACE</t>
        </is>
      </c>
      <c r="C100" s="31" t="inlineStr">
        <is>
          <t>EEYAG24B0192665</t>
        </is>
      </c>
      <c r="D100" s="30" t="n">
        <v>1</v>
      </c>
      <c r="F100" s="25" t="n"/>
      <c r="G100" s="29" t="n"/>
      <c r="H100" s="29" t="n"/>
    </row>
    <row r="101" ht="18.95" customHeight="1" s="49">
      <c r="A101" s="31" t="inlineStr">
        <is>
          <t>F012</t>
        </is>
      </c>
      <c r="B101" s="31" t="inlineStr">
        <is>
          <t>FACE</t>
        </is>
      </c>
      <c r="C101" s="31" t="inlineStr">
        <is>
          <t>EEYAG24B0239160</t>
        </is>
      </c>
      <c r="D101" s="30" t="n">
        <v>1</v>
      </c>
      <c r="F101" s="25" t="n"/>
      <c r="G101" s="29" t="n"/>
      <c r="H101" s="29" t="n"/>
    </row>
    <row r="102" ht="18.95" customHeight="1" s="49">
      <c r="A102" s="31" t="inlineStr">
        <is>
          <t>F012</t>
        </is>
      </c>
      <c r="B102" s="31" t="inlineStr">
        <is>
          <t>FACE</t>
        </is>
      </c>
      <c r="C102" s="31" t="inlineStr">
        <is>
          <t>EEOWG26B0351160</t>
        </is>
      </c>
      <c r="D102" s="30" t="n">
        <v>1</v>
      </c>
      <c r="F102" s="25" t="n"/>
      <c r="G102" s="29" t="n"/>
      <c r="H102" s="29" t="n"/>
    </row>
    <row r="103" ht="18.95" customHeight="1" s="49">
      <c r="A103" s="31" t="inlineStr">
        <is>
          <t>F012</t>
        </is>
      </c>
      <c r="B103" s="31" t="inlineStr">
        <is>
          <t>FACE</t>
        </is>
      </c>
      <c r="C103" s="31" t="inlineStr">
        <is>
          <t>EETJG23E0755028</t>
        </is>
      </c>
      <c r="D103" s="30" t="n">
        <v>1</v>
      </c>
      <c r="F103" s="25" t="n"/>
      <c r="G103" s="29" t="n"/>
      <c r="H103" s="29" t="n"/>
    </row>
    <row r="104" ht="18.95" customHeight="1" s="49">
      <c r="A104" s="31" t="inlineStr">
        <is>
          <t>F012</t>
        </is>
      </c>
      <c r="B104" s="31" t="inlineStr">
        <is>
          <t>FACE</t>
        </is>
      </c>
      <c r="C104" s="31" t="inlineStr">
        <is>
          <t>EECKG25D0339170</t>
        </is>
      </c>
      <c r="D104" s="30" t="n">
        <v>2</v>
      </c>
      <c r="F104" s="25" t="n"/>
      <c r="G104" s="29" t="n"/>
      <c r="H104" s="29" t="n"/>
    </row>
    <row r="105" ht="18.95" customHeight="1" s="49">
      <c r="A105" s="31" t="inlineStr">
        <is>
          <t>F013</t>
        </is>
      </c>
      <c r="B105" s="31" t="inlineStr">
        <is>
          <t>FACE</t>
        </is>
      </c>
      <c r="C105" s="31" t="inlineStr">
        <is>
          <t>EEVKG25B0662765</t>
        </is>
      </c>
      <c r="D105" s="30" t="n">
        <v>1</v>
      </c>
      <c r="E105" s="36" t="n"/>
      <c r="F105" s="25" t="n"/>
      <c r="G105" s="29" t="n"/>
      <c r="H105" s="29" t="n"/>
    </row>
    <row r="106" ht="18.95" customHeight="1" s="49">
      <c r="A106" s="31" t="inlineStr">
        <is>
          <t>F013</t>
        </is>
      </c>
      <c r="B106" s="31" t="inlineStr">
        <is>
          <t>FACE</t>
        </is>
      </c>
      <c r="C106" s="31" t="inlineStr">
        <is>
          <t>EERAGF4EE436165</t>
        </is>
      </c>
      <c r="D106" s="30" t="n">
        <v>1</v>
      </c>
      <c r="F106" s="25" t="n"/>
      <c r="G106" s="29" t="n"/>
      <c r="H106" s="29" t="n"/>
    </row>
    <row r="107" ht="18.95" customHeight="1" s="49">
      <c r="A107" s="31" t="inlineStr">
        <is>
          <t>F013</t>
        </is>
      </c>
      <c r="B107" s="31" t="inlineStr">
        <is>
          <t>FACE</t>
        </is>
      </c>
      <c r="C107" s="31" t="inlineStr">
        <is>
          <t>EERAG24E0485160</t>
        </is>
      </c>
      <c r="D107" s="30" t="n">
        <v>2</v>
      </c>
      <c r="F107" s="25" t="n"/>
      <c r="G107" s="29" t="n"/>
      <c r="H107" s="29" t="n"/>
    </row>
    <row r="108" ht="18.95" customHeight="1" s="49">
      <c r="A108" s="31" t="inlineStr">
        <is>
          <t>F013</t>
        </is>
      </c>
      <c r="B108" s="31" t="inlineStr">
        <is>
          <t>FACE</t>
        </is>
      </c>
      <c r="C108" s="31" t="inlineStr">
        <is>
          <t>EEVKG23B0364170</t>
        </is>
      </c>
      <c r="D108" s="30" t="n">
        <v>2</v>
      </c>
      <c r="F108" s="25" t="n"/>
      <c r="G108" s="29" t="n"/>
      <c r="H108" s="29" t="n"/>
    </row>
    <row r="109" ht="18.95" customHeight="1" s="49">
      <c r="A109" s="31" t="inlineStr">
        <is>
          <t>F013</t>
        </is>
      </c>
      <c r="B109" s="31" t="inlineStr">
        <is>
          <t>FACE</t>
        </is>
      </c>
      <c r="C109" s="31" t="inlineStr">
        <is>
          <t>EEOWG24B0237165</t>
        </is>
      </c>
      <c r="D109" s="30" t="n">
        <v>2</v>
      </c>
      <c r="F109" s="25" t="n"/>
      <c r="G109" s="29" t="n"/>
      <c r="H109" s="29" t="n"/>
    </row>
    <row r="110" ht="18.95" customHeight="1" s="49">
      <c r="A110" s="31" t="inlineStr">
        <is>
          <t>F013</t>
        </is>
      </c>
      <c r="B110" s="31" t="inlineStr">
        <is>
          <t>FACE</t>
        </is>
      </c>
      <c r="C110" s="31" t="inlineStr">
        <is>
          <t>EEVKG25B0439160</t>
        </is>
      </c>
      <c r="D110" s="30" t="n">
        <v>1</v>
      </c>
      <c r="F110" s="25" t="n"/>
      <c r="G110" s="29" t="n"/>
      <c r="H110" s="29" t="n"/>
    </row>
    <row r="111" ht="18.95" customHeight="1" s="49">
      <c r="A111" s="31" t="inlineStr">
        <is>
          <t>F013</t>
        </is>
      </c>
      <c r="B111" s="31" t="inlineStr">
        <is>
          <t>FACE</t>
        </is>
      </c>
      <c r="C111" s="31" t="inlineStr">
        <is>
          <t>EERAG24E0436160</t>
        </is>
      </c>
      <c r="D111" s="30" t="n">
        <v>1</v>
      </c>
      <c r="F111" s="25" t="n"/>
      <c r="G111" s="29" t="n"/>
      <c r="H111" s="29" t="n"/>
    </row>
    <row r="112" ht="18.95" customHeight="1" s="49">
      <c r="A112" s="31" t="inlineStr">
        <is>
          <t>F013</t>
        </is>
      </c>
      <c r="B112" s="31" t="inlineStr">
        <is>
          <t>FACE</t>
        </is>
      </c>
      <c r="C112" s="31" t="inlineStr">
        <is>
          <t>EETJG23E0439029</t>
        </is>
      </c>
      <c r="D112" s="30" t="n">
        <v>1</v>
      </c>
      <c r="F112" s="25" t="n"/>
      <c r="G112" s="29" t="n"/>
      <c r="H112" s="29" t="n"/>
    </row>
    <row r="113" ht="18.95" customHeight="1" s="49">
      <c r="A113" s="31" t="inlineStr">
        <is>
          <t>F013</t>
        </is>
      </c>
      <c r="B113" s="31" t="inlineStr">
        <is>
          <t>FACE</t>
        </is>
      </c>
      <c r="C113" s="31" t="inlineStr">
        <is>
          <t>EEJKG24B0136165</t>
        </is>
      </c>
      <c r="D113" s="30" t="n">
        <v>2</v>
      </c>
      <c r="F113" s="25" t="n"/>
      <c r="G113" s="29" t="n"/>
      <c r="H113" s="29" t="n"/>
    </row>
    <row r="114" ht="18.95" customHeight="1" s="49">
      <c r="A114" s="31" t="inlineStr">
        <is>
          <t>F013</t>
        </is>
      </c>
      <c r="B114" s="31" t="inlineStr">
        <is>
          <t>FACE</t>
        </is>
      </c>
      <c r="C114" s="31" t="inlineStr">
        <is>
          <t>EERAG24E0485165</t>
        </is>
      </c>
      <c r="D114" s="30" t="n">
        <v>1</v>
      </c>
      <c r="F114" s="25" t="n"/>
      <c r="G114" s="29" t="n"/>
      <c r="H114" s="29" t="n"/>
    </row>
    <row r="115" ht="18.95" customHeight="1" s="49">
      <c r="A115" s="31" t="inlineStr">
        <is>
          <t>F013</t>
        </is>
      </c>
      <c r="B115" s="31" t="inlineStr">
        <is>
          <t>FACE</t>
        </is>
      </c>
      <c r="C115" s="31" t="inlineStr">
        <is>
          <t>EERAG24E0439160</t>
        </is>
      </c>
      <c r="D115" s="30" t="n">
        <v>1</v>
      </c>
      <c r="F115" s="25" t="n"/>
      <c r="G115" s="29" t="n"/>
      <c r="H115" s="29" t="n"/>
    </row>
    <row r="116" ht="18.95" customHeight="1" s="49">
      <c r="A116" s="31" t="inlineStr">
        <is>
          <t>F014</t>
        </is>
      </c>
      <c r="B116" s="31" t="inlineStr">
        <is>
          <t>FACE</t>
        </is>
      </c>
      <c r="C116" s="31" t="inlineStr">
        <is>
          <t>EETCG24E0641155</t>
        </is>
      </c>
      <c r="D116" s="30" t="n">
        <v>1</v>
      </c>
      <c r="E116" s="36" t="n"/>
      <c r="F116" s="25" t="n"/>
      <c r="G116" s="29" t="n"/>
      <c r="H116" s="29" t="n"/>
    </row>
    <row r="117" ht="18.95" customHeight="1" s="49">
      <c r="A117" s="31" t="inlineStr">
        <is>
          <t>F014</t>
        </is>
      </c>
      <c r="B117" s="31" t="inlineStr">
        <is>
          <t>FACE</t>
        </is>
      </c>
      <c r="C117" s="31" t="inlineStr">
        <is>
          <t>EERNG25B0188165</t>
        </is>
      </c>
      <c r="D117" s="30" t="n">
        <v>2</v>
      </c>
      <c r="F117" s="25" t="n"/>
      <c r="G117" s="29" t="n"/>
      <c r="H117" s="29" t="n"/>
    </row>
    <row r="118" ht="18.95" customHeight="1" s="49">
      <c r="A118" s="31" t="inlineStr">
        <is>
          <t>F014</t>
        </is>
      </c>
      <c r="B118" s="31" t="inlineStr">
        <is>
          <t>FACE</t>
        </is>
      </c>
      <c r="C118" s="31" t="inlineStr">
        <is>
          <t>EETHG24E0349165</t>
        </is>
      </c>
      <c r="D118" s="30" t="n">
        <v>2</v>
      </c>
      <c r="F118" s="25" t="n"/>
      <c r="G118" s="29" t="n"/>
      <c r="H118" s="29" t="n"/>
    </row>
    <row r="119" ht="18.95" customHeight="1" s="49">
      <c r="A119" s="31" t="inlineStr">
        <is>
          <t>F014</t>
        </is>
      </c>
      <c r="B119" s="31" t="inlineStr">
        <is>
          <t>FACE</t>
        </is>
      </c>
      <c r="C119" s="31" t="inlineStr">
        <is>
          <t>EEKWG24B0888160</t>
        </is>
      </c>
      <c r="D119" s="30" t="n">
        <v>2</v>
      </c>
      <c r="F119" s="25" t="n"/>
      <c r="G119" s="29" t="n"/>
      <c r="H119" s="29" t="n"/>
    </row>
    <row r="120" ht="18.95" customHeight="1" s="49">
      <c r="A120" s="31" t="inlineStr">
        <is>
          <t>F014</t>
        </is>
      </c>
      <c r="B120" s="31" t="inlineStr">
        <is>
          <t>FACE</t>
        </is>
      </c>
      <c r="C120" s="31" t="inlineStr">
        <is>
          <t>EEJAG24B0339170</t>
        </is>
      </c>
      <c r="D120" s="30" t="n">
        <v>1</v>
      </c>
      <c r="F120" s="25" t="n"/>
      <c r="G120" s="29" t="n"/>
      <c r="H120" s="29" t="n"/>
    </row>
    <row r="121" ht="18.95" customHeight="1" s="49">
      <c r="A121" s="31" t="inlineStr">
        <is>
          <t>F014</t>
        </is>
      </c>
      <c r="B121" s="31" t="inlineStr">
        <is>
          <t>FACE</t>
        </is>
      </c>
      <c r="C121" s="31" t="inlineStr">
        <is>
          <t>EERSG23E0140160</t>
        </is>
      </c>
      <c r="D121" s="30" t="n">
        <v>1</v>
      </c>
      <c r="F121" s="25" t="n"/>
      <c r="G121" s="29" t="n"/>
      <c r="H121" s="29" t="n"/>
    </row>
    <row r="122" ht="18.95" customHeight="1" s="49">
      <c r="A122" s="31" t="inlineStr">
        <is>
          <t>F014</t>
        </is>
      </c>
      <c r="B122" s="31" t="inlineStr">
        <is>
          <t>FACE</t>
        </is>
      </c>
      <c r="C122" s="31" t="inlineStr">
        <is>
          <t>EEWJG23B0156170</t>
        </is>
      </c>
      <c r="D122" s="30" t="n">
        <v>1</v>
      </c>
      <c r="F122" s="25" t="n"/>
      <c r="G122" s="29" t="n"/>
      <c r="H122" s="29" t="n"/>
    </row>
    <row r="123" ht="18.95" customHeight="1" s="49">
      <c r="A123" s="31" t="inlineStr">
        <is>
          <t>F014</t>
        </is>
      </c>
      <c r="B123" s="31" t="inlineStr">
        <is>
          <t>FACE</t>
        </is>
      </c>
      <c r="C123" s="31" t="inlineStr">
        <is>
          <t>EEWJG23B0157165</t>
        </is>
      </c>
      <c r="D123" s="30" t="n">
        <v>1</v>
      </c>
      <c r="F123" s="25" t="n"/>
      <c r="G123" s="29" t="n"/>
      <c r="H123" s="29" t="n"/>
    </row>
    <row r="124" ht="18.95" customHeight="1" s="49">
      <c r="A124" s="31" t="inlineStr">
        <is>
          <t>F014</t>
        </is>
      </c>
      <c r="B124" s="31" t="inlineStr">
        <is>
          <t>FACE</t>
        </is>
      </c>
      <c r="C124" s="31" t="inlineStr">
        <is>
          <t>EEKWG24E0388165</t>
        </is>
      </c>
      <c r="D124" s="30" t="n">
        <v>2</v>
      </c>
      <c r="F124" s="25" t="n"/>
      <c r="G124" s="29" t="n"/>
      <c r="H124" s="29" t="n"/>
    </row>
    <row r="125" ht="18.95" customHeight="1" s="49">
      <c r="A125" s="31" t="inlineStr">
        <is>
          <t>F014</t>
        </is>
      </c>
      <c r="B125" s="31" t="inlineStr">
        <is>
          <t>FACE</t>
        </is>
      </c>
      <c r="C125" s="31" t="inlineStr">
        <is>
          <t>EEWJG23B0157160</t>
        </is>
      </c>
      <c r="D125" s="30" t="n">
        <v>1</v>
      </c>
      <c r="F125" s="25" t="n"/>
      <c r="G125" s="29" t="n"/>
      <c r="H125" s="29" t="n"/>
    </row>
    <row r="126" ht="18.95" customHeight="1" s="49">
      <c r="A126" s="31" t="inlineStr">
        <is>
          <t>F015</t>
        </is>
      </c>
      <c r="B126" s="31" t="inlineStr">
        <is>
          <t>FACE</t>
        </is>
      </c>
      <c r="C126" s="31" t="inlineStr">
        <is>
          <t>EEWHG24E0239165</t>
        </is>
      </c>
      <c r="D126" s="30" t="n">
        <v>1</v>
      </c>
      <c r="E126" s="36" t="n"/>
      <c r="F126" s="25" t="n"/>
      <c r="G126" s="29" t="n"/>
      <c r="H126" s="29" t="n"/>
    </row>
    <row r="127" ht="18.95" customHeight="1" s="49">
      <c r="A127" s="31" t="inlineStr">
        <is>
          <t>F015</t>
        </is>
      </c>
      <c r="B127" s="31" t="inlineStr">
        <is>
          <t>FACE</t>
        </is>
      </c>
      <c r="C127" s="31" t="inlineStr">
        <is>
          <t>EERSG25B0188165</t>
        </is>
      </c>
      <c r="D127" s="30" t="n">
        <v>2</v>
      </c>
      <c r="F127" s="25" t="n"/>
      <c r="G127" s="29" t="n"/>
      <c r="H127" s="29" t="n"/>
    </row>
    <row r="128" ht="18.95" customHeight="1" s="49">
      <c r="A128" s="31" t="inlineStr">
        <is>
          <t>F015</t>
        </is>
      </c>
      <c r="B128" s="31" t="inlineStr">
        <is>
          <t>FACE</t>
        </is>
      </c>
      <c r="C128" s="31" t="inlineStr">
        <is>
          <t>EETHG24E0235160</t>
        </is>
      </c>
      <c r="D128" s="30" t="n">
        <v>2</v>
      </c>
      <c r="F128" s="25" t="n"/>
      <c r="G128" s="29" t="n"/>
      <c r="H128" s="29" t="n"/>
    </row>
    <row r="129" ht="18.95" customHeight="1" s="49">
      <c r="A129" s="31" t="inlineStr">
        <is>
          <t>F015</t>
        </is>
      </c>
      <c r="B129" s="31" t="inlineStr">
        <is>
          <t>FACE</t>
        </is>
      </c>
      <c r="C129" s="31" t="inlineStr">
        <is>
          <t>EEVKG23E0139165</t>
        </is>
      </c>
      <c r="D129" s="30" t="n">
        <v>2</v>
      </c>
      <c r="F129" s="25" t="n"/>
      <c r="G129" s="29" t="n"/>
      <c r="H129" s="29" t="n"/>
    </row>
    <row r="130" ht="18.95" customHeight="1" s="49">
      <c r="A130" s="31" t="inlineStr">
        <is>
          <t>F015</t>
        </is>
      </c>
      <c r="B130" s="31" t="inlineStr">
        <is>
          <t>FACE</t>
        </is>
      </c>
      <c r="C130" s="31" t="inlineStr">
        <is>
          <t>EEOWG24E0135165</t>
        </is>
      </c>
      <c r="D130" s="30" t="n">
        <v>2</v>
      </c>
      <c r="F130" s="25" t="n"/>
      <c r="G130" s="29" t="n"/>
      <c r="H130" s="29" t="n"/>
    </row>
    <row r="131" ht="18.95" customHeight="1" s="49">
      <c r="A131" s="31" t="inlineStr">
        <is>
          <t>F015</t>
        </is>
      </c>
      <c r="B131" s="31" t="inlineStr">
        <is>
          <t>FACE</t>
        </is>
      </c>
      <c r="C131" s="31" t="inlineStr">
        <is>
          <t>EETAG24E0235165</t>
        </is>
      </c>
      <c r="D131" s="30" t="n">
        <v>2</v>
      </c>
      <c r="F131" s="25" t="n"/>
      <c r="G131" s="29" t="n"/>
      <c r="H131" s="29" t="n"/>
    </row>
    <row r="132" ht="18.95" customHeight="1" s="49">
      <c r="A132" s="31" t="inlineStr">
        <is>
          <t>F015</t>
        </is>
      </c>
      <c r="B132" s="31" t="inlineStr">
        <is>
          <t>FACE</t>
        </is>
      </c>
      <c r="C132" s="31" t="inlineStr">
        <is>
          <t>EEKWG24B0975160</t>
        </is>
      </c>
      <c r="D132" s="30" t="n">
        <v>1</v>
      </c>
      <c r="F132" s="25" t="n"/>
      <c r="G132" s="29" t="n"/>
      <c r="H132" s="29" t="n"/>
    </row>
    <row r="133" ht="18.95" customHeight="1" s="49">
      <c r="A133" s="31" t="inlineStr">
        <is>
          <t>F015</t>
        </is>
      </c>
      <c r="B133" s="31" t="inlineStr">
        <is>
          <t>FACE</t>
        </is>
      </c>
      <c r="C133" s="31" t="inlineStr">
        <is>
          <t>EEYWG24E0170160</t>
        </is>
      </c>
      <c r="D133" s="30" t="n">
        <v>1</v>
      </c>
      <c r="F133" s="25" t="n"/>
      <c r="G133" s="29" t="n"/>
      <c r="H133" s="29" t="n"/>
    </row>
    <row r="134" ht="18.95" customHeight="1" s="49">
      <c r="A134" s="31" t="inlineStr">
        <is>
          <t>F016</t>
        </is>
      </c>
      <c r="B134" s="31" t="inlineStr">
        <is>
          <t>FACE</t>
        </is>
      </c>
      <c r="C134" s="31" t="inlineStr">
        <is>
          <t>EEAKF49M0437FRE</t>
        </is>
      </c>
      <c r="D134" s="30" t="n">
        <v>1</v>
      </c>
      <c r="E134" s="36" t="n"/>
      <c r="F134" s="25" t="n"/>
      <c r="G134" s="29" t="n"/>
      <c r="H134" s="29" t="n"/>
    </row>
    <row r="135" ht="18.95" customHeight="1" s="49">
      <c r="A135" s="31" t="inlineStr">
        <is>
          <t>F016</t>
        </is>
      </c>
      <c r="B135" s="31" t="inlineStr">
        <is>
          <t>FACE</t>
        </is>
      </c>
      <c r="C135" s="31" t="inlineStr">
        <is>
          <t>EETJG23E0439026</t>
        </is>
      </c>
      <c r="D135" s="30" t="n">
        <v>1</v>
      </c>
      <c r="F135" s="25" t="n"/>
      <c r="G135" s="29" t="n"/>
      <c r="H135" s="29" t="n"/>
    </row>
    <row r="136" ht="18.95" customHeight="1" s="49">
      <c r="A136" s="31" t="inlineStr">
        <is>
          <t>F016</t>
        </is>
      </c>
      <c r="B136" s="31" t="inlineStr">
        <is>
          <t>FACE</t>
        </is>
      </c>
      <c r="C136" s="31" t="inlineStr">
        <is>
          <t>EECKG23E0231165</t>
        </is>
      </c>
      <c r="D136" s="30" t="n">
        <v>1</v>
      </c>
      <c r="F136" s="25" t="n"/>
      <c r="G136" s="29" t="n"/>
      <c r="H136" s="29" t="n"/>
    </row>
    <row r="137" ht="18.95" customHeight="1" s="49">
      <c r="A137" s="31" t="inlineStr">
        <is>
          <t>F016</t>
        </is>
      </c>
      <c r="B137" s="31" t="inlineStr">
        <is>
          <t>FACE</t>
        </is>
      </c>
      <c r="C137" s="31" t="inlineStr">
        <is>
          <t>EERAG23E0239165</t>
        </is>
      </c>
      <c r="D137" s="30" t="n">
        <v>1</v>
      </c>
      <c r="F137" s="25" t="n"/>
      <c r="G137" s="29" t="n"/>
      <c r="H137" s="29" t="n"/>
    </row>
    <row r="138" ht="18.95" customHeight="1" s="49">
      <c r="A138" s="31" t="inlineStr">
        <is>
          <t>F016</t>
        </is>
      </c>
      <c r="B138" s="31" t="inlineStr">
        <is>
          <t>FACE</t>
        </is>
      </c>
      <c r="C138" s="31" t="inlineStr">
        <is>
          <t>EETCG24E0135165</t>
        </is>
      </c>
      <c r="D138" s="30" t="n">
        <v>1</v>
      </c>
      <c r="F138" s="25" t="n"/>
      <c r="G138" s="29" t="n"/>
      <c r="H138" s="29" t="n"/>
    </row>
    <row r="139" ht="18.95" customHeight="1" s="49">
      <c r="A139" s="31" t="inlineStr">
        <is>
          <t>F016</t>
        </is>
      </c>
      <c r="B139" s="31" t="inlineStr">
        <is>
          <t>FACE</t>
        </is>
      </c>
      <c r="C139" s="31" t="inlineStr">
        <is>
          <t>EEKWG24E0130160</t>
        </is>
      </c>
      <c r="D139" s="30" t="n">
        <v>1</v>
      </c>
      <c r="F139" s="25" t="n"/>
      <c r="G139" s="29" t="n"/>
      <c r="H139" s="29" t="n"/>
    </row>
    <row r="140" ht="18.95" customHeight="1" s="49">
      <c r="A140" s="31" t="inlineStr">
        <is>
          <t>F016</t>
        </is>
      </c>
      <c r="B140" s="31" t="inlineStr">
        <is>
          <t>FACE</t>
        </is>
      </c>
      <c r="C140" s="31" t="inlineStr">
        <is>
          <t>EETAG24E0239170</t>
        </is>
      </c>
      <c r="D140" s="30" t="n">
        <v>1</v>
      </c>
      <c r="F140" s="25" t="n"/>
      <c r="G140" s="29" t="n"/>
      <c r="H140" s="29" t="n"/>
    </row>
    <row r="141" ht="18.95" customHeight="1" s="49">
      <c r="A141" s="31" t="inlineStr">
        <is>
          <t>F016</t>
        </is>
      </c>
      <c r="B141" s="31" t="inlineStr">
        <is>
          <t>FACE</t>
        </is>
      </c>
      <c r="C141" s="31" t="inlineStr">
        <is>
          <t>EEYWG25E0139165</t>
        </is>
      </c>
      <c r="D141" s="30" t="n">
        <v>1</v>
      </c>
      <c r="F141" s="25" t="n"/>
      <c r="G141" s="29" t="n"/>
      <c r="H141" s="29" t="n"/>
    </row>
    <row r="142" ht="18.95" customHeight="1" s="49">
      <c r="A142" s="31" t="inlineStr">
        <is>
          <t>F016</t>
        </is>
      </c>
      <c r="B142" s="31" t="inlineStr">
        <is>
          <t>FACE</t>
        </is>
      </c>
      <c r="C142" s="31" t="inlineStr">
        <is>
          <t>EEKWG24E0288160</t>
        </is>
      </c>
      <c r="D142" s="30" t="n">
        <v>1</v>
      </c>
      <c r="F142" s="25" t="n"/>
      <c r="G142" s="29" t="n"/>
      <c r="H142" s="29" t="n"/>
    </row>
    <row r="143" ht="18.95" customHeight="1" s="49">
      <c r="A143" s="32" t="inlineStr">
        <is>
          <t>T001</t>
        </is>
      </c>
      <c r="B143" s="32" t="inlineStr">
        <is>
          <t>TABLE</t>
        </is>
      </c>
      <c r="C143" s="32" t="inlineStr">
        <is>
          <t>EEAKF49M0256FRE</t>
        </is>
      </c>
      <c r="D143" s="30" t="n">
        <v>1</v>
      </c>
      <c r="E143" s="36" t="n"/>
      <c r="F143" s="25" t="n"/>
      <c r="G143" s="29" t="n"/>
      <c r="H143" s="29" t="n"/>
    </row>
    <row r="144" ht="18.95" customHeight="1" s="49">
      <c r="A144" s="32" t="inlineStr">
        <is>
          <t>T001</t>
        </is>
      </c>
      <c r="B144" s="32" t="inlineStr">
        <is>
          <t>TABLE</t>
        </is>
      </c>
      <c r="C144" s="32" t="inlineStr">
        <is>
          <t>EEYWG25E0159160</t>
        </is>
      </c>
      <c r="D144" s="30" t="n">
        <v>1</v>
      </c>
      <c r="F144" s="25" t="n"/>
      <c r="G144" s="29" t="n"/>
      <c r="H144" s="29" t="n"/>
    </row>
    <row r="145" ht="18.95" customHeight="1" s="49">
      <c r="A145" s="32" t="inlineStr">
        <is>
          <t>T001</t>
        </is>
      </c>
      <c r="B145" s="32" t="inlineStr">
        <is>
          <t>TABLE</t>
        </is>
      </c>
      <c r="C145" s="32" t="inlineStr">
        <is>
          <t>EEYWG25E0150160</t>
        </is>
      </c>
      <c r="D145" s="30" t="n">
        <v>1</v>
      </c>
      <c r="F145" s="25" t="n"/>
      <c r="G145" s="29" t="n"/>
      <c r="H145" s="29" t="n"/>
    </row>
    <row r="146" ht="18.95" customHeight="1" s="49">
      <c r="A146" s="32" t="inlineStr">
        <is>
          <t>T001</t>
        </is>
      </c>
      <c r="B146" s="32" t="inlineStr">
        <is>
          <t>TABLE</t>
        </is>
      </c>
      <c r="C146" s="32" t="inlineStr">
        <is>
          <t>EEYWG25E0251160</t>
        </is>
      </c>
      <c r="D146" s="30" t="n">
        <v>1</v>
      </c>
      <c r="F146" s="25" t="n"/>
      <c r="G146" s="29" t="n"/>
      <c r="H146" s="29" t="n"/>
    </row>
    <row r="147" ht="18.95" customHeight="1" s="49">
      <c r="A147" s="32" t="inlineStr">
        <is>
          <t>T001</t>
        </is>
      </c>
      <c r="B147" s="32" t="inlineStr">
        <is>
          <t>TABLE</t>
        </is>
      </c>
      <c r="C147" s="32" t="inlineStr">
        <is>
          <t>EEYWG25E0125160</t>
        </is>
      </c>
      <c r="D147" s="30" t="n">
        <v>1</v>
      </c>
      <c r="F147" s="25" t="n"/>
      <c r="G147" s="29" t="n"/>
      <c r="H147" s="29" t="n"/>
    </row>
    <row r="148" ht="18.95" customHeight="1" s="49">
      <c r="A148" s="32" t="inlineStr">
        <is>
          <t>T001</t>
        </is>
      </c>
      <c r="B148" s="32" t="inlineStr">
        <is>
          <t>TABLE</t>
        </is>
      </c>
      <c r="C148" s="32" t="inlineStr">
        <is>
          <t>EEYWG25E0139160</t>
        </is>
      </c>
      <c r="D148" s="30" t="n">
        <v>1</v>
      </c>
      <c r="F148" s="25" t="n"/>
      <c r="G148" s="29" t="n"/>
      <c r="H148" s="29" t="n"/>
    </row>
    <row r="149" ht="18.95" customHeight="1" s="49">
      <c r="A149" s="32" t="inlineStr">
        <is>
          <t>T001</t>
        </is>
      </c>
      <c r="B149" s="32" t="inlineStr">
        <is>
          <t>TABLE</t>
        </is>
      </c>
      <c r="C149" s="32" t="inlineStr">
        <is>
          <t>EEYWG24E0150165</t>
        </is>
      </c>
      <c r="D149" s="30" t="n">
        <v>1</v>
      </c>
      <c r="F149" s="25" t="n"/>
      <c r="G149" s="29" t="n"/>
      <c r="H149" s="29" t="n"/>
    </row>
    <row r="150" ht="18.95" customHeight="1" s="49">
      <c r="A150" s="32" t="inlineStr">
        <is>
          <t>T001</t>
        </is>
      </c>
      <c r="B150" s="32" t="inlineStr">
        <is>
          <t>TABLE</t>
        </is>
      </c>
      <c r="C150" s="32" t="inlineStr">
        <is>
          <t>EEYWG24E0170170</t>
        </is>
      </c>
      <c r="D150" s="30" t="n">
        <v>1</v>
      </c>
      <c r="F150" s="25" t="n"/>
      <c r="G150" s="29" t="n"/>
      <c r="H150" s="29" t="n"/>
    </row>
    <row r="151" ht="18.95" customHeight="1" s="49">
      <c r="A151" s="32" t="inlineStr">
        <is>
          <t>T001</t>
        </is>
      </c>
      <c r="B151" s="32" t="inlineStr">
        <is>
          <t>TABLE</t>
        </is>
      </c>
      <c r="C151" s="32" t="inlineStr">
        <is>
          <t>EEYWG24E0130160</t>
        </is>
      </c>
      <c r="D151" s="30" t="n">
        <v>1</v>
      </c>
      <c r="F151" s="25" t="n"/>
      <c r="G151" s="29" t="n"/>
      <c r="H151" s="29" t="n"/>
    </row>
    <row r="152" ht="18.95" customHeight="1" s="49">
      <c r="A152" s="32" t="inlineStr">
        <is>
          <t>T001</t>
        </is>
      </c>
      <c r="B152" s="32" t="inlineStr">
        <is>
          <t>TABLE</t>
        </is>
      </c>
      <c r="C152" s="32" t="inlineStr">
        <is>
          <t>EEVKG25E0139165</t>
        </is>
      </c>
      <c r="D152" s="30" t="n">
        <v>1</v>
      </c>
      <c r="F152" s="25" t="n"/>
      <c r="G152" s="29" t="n"/>
      <c r="H152" s="29" t="n"/>
    </row>
    <row r="153" ht="18.95" customHeight="1" s="49">
      <c r="A153" s="32" t="inlineStr">
        <is>
          <t>T001</t>
        </is>
      </c>
      <c r="B153" s="32" t="inlineStr">
        <is>
          <t>TABLE</t>
        </is>
      </c>
      <c r="C153" s="32" t="inlineStr">
        <is>
          <t>EEVKG25E0130160</t>
        </is>
      </c>
      <c r="D153" s="30" t="n">
        <v>1</v>
      </c>
      <c r="F153" s="25" t="n"/>
      <c r="G153" s="29" t="n"/>
      <c r="H153" s="29" t="n"/>
    </row>
    <row r="154" ht="18.95" customHeight="1" s="49">
      <c r="A154" s="32" t="inlineStr">
        <is>
          <t>T001</t>
        </is>
      </c>
      <c r="B154" s="32" t="inlineStr">
        <is>
          <t>TABLE</t>
        </is>
      </c>
      <c r="C154" s="32" t="inlineStr">
        <is>
          <t>EEVKG25E0118160</t>
        </is>
      </c>
      <c r="D154" s="30" t="n">
        <v>1</v>
      </c>
      <c r="F154" s="25" t="n"/>
      <c r="G154" s="29" t="n"/>
      <c r="H154" s="29" t="n"/>
    </row>
    <row r="155" ht="18.95" customHeight="1" s="49">
      <c r="A155" s="32" t="inlineStr">
        <is>
          <t>T001</t>
        </is>
      </c>
      <c r="B155" s="32" t="inlineStr">
        <is>
          <t>TABLE</t>
        </is>
      </c>
      <c r="C155" s="32" t="inlineStr">
        <is>
          <t>EETHG25E0435165</t>
        </is>
      </c>
      <c r="D155" s="30" t="n">
        <v>1</v>
      </c>
      <c r="F155" s="25" t="n"/>
      <c r="G155" s="29" t="n"/>
      <c r="H155" s="29" t="n"/>
    </row>
    <row r="156" ht="18.95" customHeight="1" s="49">
      <c r="A156" s="32" t="inlineStr">
        <is>
          <t>T001</t>
        </is>
      </c>
      <c r="B156" s="32" t="inlineStr">
        <is>
          <t>TABLE</t>
        </is>
      </c>
      <c r="C156" s="32" t="inlineStr">
        <is>
          <t>EETHG25E0459165</t>
        </is>
      </c>
      <c r="D156" s="30" t="n">
        <v>1</v>
      </c>
      <c r="F156" s="25" t="n"/>
      <c r="G156" s="29" t="n"/>
      <c r="H156" s="29" t="n"/>
    </row>
    <row r="157" ht="18.95" customHeight="1" s="49">
      <c r="A157" s="32" t="inlineStr">
        <is>
          <t>T002</t>
        </is>
      </c>
      <c r="B157" s="32" t="inlineStr">
        <is>
          <t>TABLE</t>
        </is>
      </c>
      <c r="C157" s="32" t="inlineStr">
        <is>
          <t>EEABF49M0185FRE</t>
        </is>
      </c>
      <c r="D157" s="30" t="n">
        <v>1</v>
      </c>
      <c r="E157" s="36" t="n"/>
      <c r="F157" s="25" t="n"/>
      <c r="G157" s="29" t="n"/>
      <c r="H157" s="29" t="n"/>
    </row>
    <row r="158" ht="18.95" customHeight="1" s="49">
      <c r="A158" s="32" t="inlineStr">
        <is>
          <t>T002</t>
        </is>
      </c>
      <c r="B158" s="32" t="inlineStr">
        <is>
          <t>TABLE</t>
        </is>
      </c>
      <c r="C158" s="32" t="inlineStr">
        <is>
          <t>EETJG24E0139027</t>
        </is>
      </c>
      <c r="D158" s="30" t="n">
        <v>3</v>
      </c>
      <c r="F158" s="25" t="n"/>
      <c r="G158" s="29" t="n"/>
      <c r="H158" s="29" t="n"/>
    </row>
    <row r="159" ht="18.95" customHeight="1" s="49">
      <c r="A159" s="32" t="inlineStr">
        <is>
          <t>T002</t>
        </is>
      </c>
      <c r="B159" s="32" t="inlineStr">
        <is>
          <t>TABLE</t>
        </is>
      </c>
      <c r="C159" s="32" t="inlineStr">
        <is>
          <t>EETJG24E0155027</t>
        </is>
      </c>
      <c r="D159" s="30" t="n">
        <v>3</v>
      </c>
      <c r="F159" s="25" t="n"/>
      <c r="G159" s="29" t="n"/>
      <c r="H159" s="29" t="n"/>
    </row>
    <row r="160" ht="18.95" customHeight="1" s="49">
      <c r="A160" s="32" t="inlineStr">
        <is>
          <t>T002</t>
        </is>
      </c>
      <c r="B160" s="32" t="inlineStr">
        <is>
          <t>TABLE</t>
        </is>
      </c>
      <c r="C160" s="32" t="inlineStr">
        <is>
          <t>EETJG24E0157029</t>
        </is>
      </c>
      <c r="D160" s="30" t="n">
        <v>2</v>
      </c>
      <c r="F160" s="25" t="n"/>
      <c r="G160" s="29" t="n"/>
      <c r="H160" s="29" t="n"/>
    </row>
    <row r="161" ht="18.95" customHeight="1" s="49">
      <c r="A161" s="32" t="inlineStr">
        <is>
          <t>T002</t>
        </is>
      </c>
      <c r="B161" s="32" t="inlineStr">
        <is>
          <t>TABLE</t>
        </is>
      </c>
      <c r="C161" s="32" t="inlineStr">
        <is>
          <t>EERAG24E0118165</t>
        </is>
      </c>
      <c r="D161" s="30" t="n">
        <v>2</v>
      </c>
      <c r="F161" s="25" t="n"/>
      <c r="G161" s="29" t="n"/>
      <c r="H161" s="29" t="n"/>
    </row>
    <row r="162" ht="18.95" customHeight="1" s="49">
      <c r="A162" s="32" t="inlineStr">
        <is>
          <t>T002</t>
        </is>
      </c>
      <c r="B162" s="32" t="inlineStr">
        <is>
          <t>TABLE</t>
        </is>
      </c>
      <c r="C162" s="32" t="inlineStr">
        <is>
          <t>EERAG24E0151165</t>
        </is>
      </c>
      <c r="D162" s="30" t="n">
        <v>2</v>
      </c>
      <c r="F162" s="25" t="n"/>
      <c r="G162" s="29" t="n"/>
      <c r="H162" s="29" t="n"/>
    </row>
    <row r="163" ht="18.95" customHeight="1" s="49">
      <c r="A163" s="32" t="inlineStr">
        <is>
          <t>T002</t>
        </is>
      </c>
      <c r="B163" s="32" t="inlineStr">
        <is>
          <t>TABLE</t>
        </is>
      </c>
      <c r="C163" s="32" t="inlineStr">
        <is>
          <t>EERAG24E0139170</t>
        </is>
      </c>
      <c r="D163" s="30" t="n">
        <v>2</v>
      </c>
      <c r="F163" s="25" t="n"/>
      <c r="G163" s="29" t="n"/>
      <c r="H163" s="29" t="n"/>
    </row>
    <row r="164" ht="18.95" customHeight="1" s="49">
      <c r="A164" s="32" t="inlineStr">
        <is>
          <t>T002</t>
        </is>
      </c>
      <c r="B164" s="32" t="inlineStr">
        <is>
          <t>TABLE</t>
        </is>
      </c>
      <c r="C164" s="32" t="inlineStr">
        <is>
          <t>EEASG24Q1S39FRE</t>
        </is>
      </c>
      <c r="D164" s="30" t="n">
        <v>1</v>
      </c>
      <c r="F164" s="25" t="n"/>
      <c r="G164" s="29" t="n"/>
      <c r="H164" s="29" t="n"/>
    </row>
    <row r="165" ht="18.95" customHeight="1" s="49">
      <c r="A165" s="32" t="inlineStr">
        <is>
          <t>T002</t>
        </is>
      </c>
      <c r="B165" s="32" t="inlineStr">
        <is>
          <t>TABLE</t>
        </is>
      </c>
      <c r="C165" s="32" t="inlineStr">
        <is>
          <t>EEYPG24E0156160</t>
        </is>
      </c>
      <c r="D165" s="30" t="n">
        <v>1</v>
      </c>
      <c r="F165" s="25" t="n"/>
      <c r="G165" s="29" t="n"/>
      <c r="H165" s="29" t="n"/>
    </row>
    <row r="166" ht="18.95" customHeight="1" s="49">
      <c r="A166" s="32" t="inlineStr">
        <is>
          <t>T002</t>
        </is>
      </c>
      <c r="B166" s="32" t="inlineStr">
        <is>
          <t>TABLE</t>
        </is>
      </c>
      <c r="C166" s="32" t="inlineStr">
        <is>
          <t>EEACG23E0150FRE</t>
        </is>
      </c>
      <c r="D166" s="30" t="n">
        <v>1</v>
      </c>
      <c r="F166" s="25" t="n"/>
      <c r="G166" s="29" t="n"/>
      <c r="H166" s="29" t="n"/>
    </row>
    <row r="167" ht="18.95" customHeight="1" s="49">
      <c r="A167" s="32" t="inlineStr">
        <is>
          <t>T002</t>
        </is>
      </c>
      <c r="B167" s="32" t="inlineStr">
        <is>
          <t>TABLE</t>
        </is>
      </c>
      <c r="C167" s="32" t="inlineStr">
        <is>
          <t>EEACF49B5135FRE</t>
        </is>
      </c>
      <c r="D167" s="30" t="n">
        <v>1</v>
      </c>
      <c r="F167" s="25" t="n"/>
      <c r="G167" s="29" t="n"/>
      <c r="H167" s="29" t="n"/>
    </row>
    <row r="168" ht="18.95" customHeight="1" s="49">
      <c r="A168" s="32" t="inlineStr">
        <is>
          <t>T002</t>
        </is>
      </c>
      <c r="B168" s="32" t="inlineStr">
        <is>
          <t>TABLE</t>
        </is>
      </c>
      <c r="C168" s="32" t="inlineStr">
        <is>
          <t>EEACG23E0188FRE</t>
        </is>
      </c>
      <c r="D168" s="30" t="n">
        <v>1</v>
      </c>
      <c r="F168" s="25" t="n"/>
      <c r="G168" s="29" t="n"/>
      <c r="H168" s="29" t="n"/>
    </row>
    <row r="169" ht="18.95" customHeight="1" s="49">
      <c r="A169" s="32" t="inlineStr">
        <is>
          <t>T002</t>
        </is>
      </c>
      <c r="B169" s="32" t="inlineStr">
        <is>
          <t>TABLE</t>
        </is>
      </c>
      <c r="C169" s="32" t="inlineStr">
        <is>
          <t>EEACG23E0136FRE</t>
        </is>
      </c>
      <c r="D169" s="30" t="n">
        <v>1</v>
      </c>
      <c r="F169" s="25" t="n"/>
      <c r="G169" s="29" t="n"/>
      <c r="H169" s="29" t="n"/>
    </row>
    <row r="170" ht="18.95" customHeight="1" s="49">
      <c r="A170" s="32" t="inlineStr">
        <is>
          <t>T002</t>
        </is>
      </c>
      <c r="B170" s="32" t="inlineStr">
        <is>
          <t>TABLE</t>
        </is>
      </c>
      <c r="C170" s="32" t="inlineStr">
        <is>
          <t>EETJG24E0655028</t>
        </is>
      </c>
      <c r="D170" s="30" t="n">
        <v>2</v>
      </c>
      <c r="F170" s="25" t="n"/>
      <c r="G170" s="29" t="n"/>
      <c r="H170" s="29" t="n"/>
    </row>
    <row r="171" ht="18.95" customHeight="1" s="49">
      <c r="A171" s="32" t="inlineStr">
        <is>
          <t>T002</t>
        </is>
      </c>
      <c r="B171" s="32" t="inlineStr">
        <is>
          <t>TABLE</t>
        </is>
      </c>
      <c r="C171" s="32" t="inlineStr">
        <is>
          <t>EETJG24E0639026</t>
        </is>
      </c>
      <c r="D171" s="30" t="n">
        <v>2</v>
      </c>
      <c r="F171" s="25" t="n"/>
      <c r="G171" s="29" t="n"/>
      <c r="H171" s="29" t="n"/>
    </row>
    <row r="172" ht="18.95" customHeight="1" s="49">
      <c r="A172" s="32" t="inlineStr">
        <is>
          <t>T002</t>
        </is>
      </c>
      <c r="B172" s="32" t="inlineStr">
        <is>
          <t>TABLE</t>
        </is>
      </c>
      <c r="C172" s="32" t="inlineStr">
        <is>
          <t>EECKG23E0227160</t>
        </is>
      </c>
      <c r="D172" s="30" t="n">
        <v>1</v>
      </c>
      <c r="F172" s="25" t="n"/>
      <c r="G172" s="29" t="n"/>
      <c r="H172" s="29" t="n"/>
    </row>
    <row r="173" ht="18.95" customHeight="1" s="49">
      <c r="A173" s="32" t="inlineStr">
        <is>
          <t>T002</t>
        </is>
      </c>
      <c r="B173" s="32" t="inlineStr">
        <is>
          <t>TABLE</t>
        </is>
      </c>
      <c r="C173" s="32" t="inlineStr">
        <is>
          <t>EECKG23E0250165</t>
        </is>
      </c>
      <c r="D173" s="30" t="n">
        <v>1</v>
      </c>
      <c r="F173" s="25" t="n"/>
      <c r="G173" s="29" t="n"/>
      <c r="H173" s="29" t="n"/>
    </row>
    <row r="174" ht="18.95" customHeight="1" s="49">
      <c r="A174" s="32" t="inlineStr">
        <is>
          <t>T002</t>
        </is>
      </c>
      <c r="B174" s="32" t="inlineStr">
        <is>
          <t>TABLE</t>
        </is>
      </c>
      <c r="C174" s="32" t="inlineStr">
        <is>
          <t>EECKG23E0239160</t>
        </is>
      </c>
      <c r="D174" s="30" t="n">
        <v>1</v>
      </c>
      <c r="F174" s="25" t="n"/>
      <c r="G174" s="29" t="n"/>
      <c r="H174" s="29" t="n"/>
    </row>
    <row r="175" ht="18.95" customHeight="1" s="49">
      <c r="A175" s="32" t="inlineStr">
        <is>
          <t>T003</t>
        </is>
      </c>
      <c r="B175" s="32" t="inlineStr">
        <is>
          <t>TABLE</t>
        </is>
      </c>
      <c r="C175" s="32" t="inlineStr">
        <is>
          <t>EEAKF49M0256FRE</t>
        </is>
      </c>
      <c r="D175" s="30" t="n">
        <v>1</v>
      </c>
      <c r="E175" s="36" t="n"/>
      <c r="F175" s="25" t="n"/>
      <c r="G175" s="29" t="n"/>
      <c r="H175" s="29" t="n"/>
    </row>
    <row r="176" ht="18.95" customHeight="1" s="49">
      <c r="A176" s="32" t="inlineStr">
        <is>
          <t>T003</t>
        </is>
      </c>
      <c r="B176" s="32" t="inlineStr">
        <is>
          <t>TABLE</t>
        </is>
      </c>
      <c r="C176" s="32" t="inlineStr">
        <is>
          <t>EEACG23E0188FRE</t>
        </is>
      </c>
      <c r="D176" s="30" t="n">
        <v>1</v>
      </c>
      <c r="F176" s="25" t="n"/>
      <c r="G176" s="29" t="n"/>
      <c r="H176" s="29" t="n"/>
    </row>
    <row r="177" ht="18.95" customHeight="1" s="49">
      <c r="A177" s="32" t="inlineStr">
        <is>
          <t>T003</t>
        </is>
      </c>
      <c r="B177" s="32" t="inlineStr">
        <is>
          <t>TABLE</t>
        </is>
      </c>
      <c r="C177" s="32" t="inlineStr">
        <is>
          <t>EEACG23E0150FRE</t>
        </is>
      </c>
      <c r="D177" s="30" t="n">
        <v>1</v>
      </c>
      <c r="F177" s="25" t="n"/>
      <c r="G177" s="29" t="n"/>
      <c r="H177" s="29" t="n"/>
    </row>
    <row r="178" ht="18.95" customHeight="1" s="49">
      <c r="A178" s="32" t="inlineStr">
        <is>
          <t>T003</t>
        </is>
      </c>
      <c r="B178" s="32" t="inlineStr">
        <is>
          <t>TABLE</t>
        </is>
      </c>
      <c r="C178" s="32" t="inlineStr">
        <is>
          <t>EEACG23E0136FRE</t>
        </is>
      </c>
      <c r="D178" s="30" t="n">
        <v>1</v>
      </c>
      <c r="F178" s="25" t="n"/>
      <c r="G178" s="29" t="n"/>
      <c r="H178" s="29" t="n"/>
    </row>
    <row r="179" ht="18.95" customHeight="1" s="49">
      <c r="A179" s="32" t="inlineStr">
        <is>
          <t>T003</t>
        </is>
      </c>
      <c r="B179" s="32" t="inlineStr">
        <is>
          <t>TABLE</t>
        </is>
      </c>
      <c r="C179" s="32" t="inlineStr">
        <is>
          <t>EEKWG24E0215170</t>
        </is>
      </c>
      <c r="D179" s="30" t="n">
        <v>1</v>
      </c>
      <c r="F179" s="25" t="n"/>
      <c r="G179" s="29" t="n"/>
      <c r="H179" s="29" t="n"/>
    </row>
    <row r="180" ht="18.95" customHeight="1" s="49">
      <c r="A180" s="32" t="inlineStr">
        <is>
          <t>T003</t>
        </is>
      </c>
      <c r="B180" s="32" t="inlineStr">
        <is>
          <t>TABLE</t>
        </is>
      </c>
      <c r="C180" s="32" t="inlineStr">
        <is>
          <t>EEKWG24E0288165</t>
        </is>
      </c>
      <c r="D180" s="30" t="n">
        <v>1</v>
      </c>
      <c r="F180" s="25" t="n"/>
      <c r="G180" s="29" t="n"/>
      <c r="H180" s="29" t="n"/>
    </row>
    <row r="181" ht="18.95" customHeight="1" s="49">
      <c r="A181" s="32" t="inlineStr">
        <is>
          <t>T003</t>
        </is>
      </c>
      <c r="B181" s="32" t="inlineStr">
        <is>
          <t>TABLE</t>
        </is>
      </c>
      <c r="C181" s="32" t="inlineStr">
        <is>
          <t>EEKWG24E0239175</t>
        </is>
      </c>
      <c r="D181" s="30" t="n">
        <v>1</v>
      </c>
      <c r="F181" s="25" t="n"/>
      <c r="G181" s="29" t="n"/>
      <c r="H181" s="29" t="n"/>
    </row>
    <row r="182" ht="18.95" customHeight="1" s="49">
      <c r="A182" s="32" t="inlineStr">
        <is>
          <t>T003</t>
        </is>
      </c>
      <c r="B182" s="32" t="inlineStr">
        <is>
          <t>TABLE</t>
        </is>
      </c>
      <c r="C182" s="32" t="inlineStr">
        <is>
          <t>EEKWG24E0251165</t>
        </is>
      </c>
      <c r="D182" s="30" t="n">
        <v>1</v>
      </c>
      <c r="F182" s="25" t="n"/>
      <c r="G182" s="29" t="n"/>
      <c r="H182" s="29" t="n"/>
    </row>
    <row r="183" ht="18.95" customHeight="1" s="49">
      <c r="A183" s="32" t="inlineStr">
        <is>
          <t>T003</t>
        </is>
      </c>
      <c r="B183" s="32" t="inlineStr">
        <is>
          <t>TABLE</t>
        </is>
      </c>
      <c r="C183" s="32" t="inlineStr">
        <is>
          <t>EEYWG25E0150160</t>
        </is>
      </c>
      <c r="D183" s="30" t="n">
        <v>1</v>
      </c>
      <c r="F183" s="25" t="n"/>
      <c r="G183" s="29" t="n"/>
      <c r="H183" s="29" t="n"/>
    </row>
    <row r="184" ht="18.95" customHeight="1" s="49">
      <c r="A184" s="32" t="inlineStr">
        <is>
          <t>T003</t>
        </is>
      </c>
      <c r="B184" s="32" t="inlineStr">
        <is>
          <t>TABLE</t>
        </is>
      </c>
      <c r="C184" s="32" t="inlineStr">
        <is>
          <t>EEYWG24E0139165</t>
        </is>
      </c>
      <c r="D184" s="30" t="n">
        <v>1</v>
      </c>
      <c r="F184" s="25" t="n"/>
      <c r="G184" s="29" t="n"/>
      <c r="H184" s="29" t="n"/>
    </row>
    <row r="185" ht="18.95" customHeight="1" s="49">
      <c r="A185" s="32" t="inlineStr">
        <is>
          <t>T003</t>
        </is>
      </c>
      <c r="B185" s="32" t="inlineStr">
        <is>
          <t>TABLE</t>
        </is>
      </c>
      <c r="C185" s="32" t="inlineStr">
        <is>
          <t>EEKWG24E0359160</t>
        </is>
      </c>
      <c r="D185" s="30" t="n">
        <v>1</v>
      </c>
      <c r="F185" s="25" t="n"/>
      <c r="G185" s="29" t="n"/>
      <c r="H185" s="29" t="n"/>
    </row>
    <row r="186" ht="18.95" customHeight="1" s="49">
      <c r="A186" s="32" t="inlineStr">
        <is>
          <t>T003</t>
        </is>
      </c>
      <c r="B186" s="32" t="inlineStr">
        <is>
          <t>TABLE</t>
        </is>
      </c>
      <c r="C186" s="32" t="inlineStr">
        <is>
          <t>EEKWG24E0388160</t>
        </is>
      </c>
      <c r="D186" s="30" t="n">
        <v>1</v>
      </c>
      <c r="F186" s="25" t="n"/>
      <c r="G186" s="29" t="n"/>
      <c r="H186" s="29" t="n"/>
    </row>
    <row r="187" ht="18.95" customHeight="1" s="49">
      <c r="A187" s="32" t="inlineStr">
        <is>
          <t>T003</t>
        </is>
      </c>
      <c r="B187" s="32" t="inlineStr">
        <is>
          <t>TABLE</t>
        </is>
      </c>
      <c r="C187" s="32" t="inlineStr">
        <is>
          <t>EETJG24E0155028</t>
        </is>
      </c>
      <c r="D187" s="30" t="n">
        <v>1</v>
      </c>
      <c r="F187" s="25" t="n"/>
      <c r="G187" s="29" t="n"/>
      <c r="H187" s="29" t="n"/>
    </row>
    <row r="188" ht="18.95" customHeight="1" s="49">
      <c r="A188" s="33" t="inlineStr">
        <is>
          <t>H001</t>
        </is>
      </c>
      <c r="B188" s="33" t="inlineStr">
        <is>
          <t>HANGER</t>
        </is>
      </c>
      <c r="C188" s="33" t="inlineStr">
        <is>
          <t>EEOWG26B0199165</t>
        </is>
      </c>
      <c r="D188" s="30" t="n">
        <v>1</v>
      </c>
      <c r="F188" s="25" t="n"/>
      <c r="G188" s="29" t="n"/>
      <c r="H188" s="29" t="n"/>
    </row>
    <row r="189" ht="18.95" customHeight="1" s="49">
      <c r="A189" s="33" t="inlineStr">
        <is>
          <t>H001</t>
        </is>
      </c>
      <c r="B189" s="33" t="inlineStr">
        <is>
          <t>HANGER</t>
        </is>
      </c>
      <c r="C189" s="33" t="inlineStr">
        <is>
          <t>EEYWG24E0130170</t>
        </is>
      </c>
      <c r="D189" s="30" t="n">
        <v>1</v>
      </c>
      <c r="F189" s="25" t="n"/>
      <c r="G189" s="29" t="n"/>
      <c r="H189" s="29" t="n"/>
    </row>
    <row r="190" ht="18.95" customHeight="1" s="49">
      <c r="A190" s="33" t="inlineStr">
        <is>
          <t>H001</t>
        </is>
      </c>
      <c r="B190" s="33" t="inlineStr">
        <is>
          <t>HANGER</t>
        </is>
      </c>
      <c r="C190" s="33" t="inlineStr">
        <is>
          <t>EEYWG24E0130160</t>
        </is>
      </c>
      <c r="D190" s="30" t="n">
        <v>1</v>
      </c>
      <c r="F190" s="25" t="n"/>
      <c r="G190" s="29" t="n"/>
      <c r="H190" s="29" t="n"/>
    </row>
    <row r="191" ht="18.95" customHeight="1" s="49">
      <c r="A191" s="33" t="inlineStr">
        <is>
          <t>H001</t>
        </is>
      </c>
      <c r="B191" s="33" t="inlineStr">
        <is>
          <t>HANGER</t>
        </is>
      </c>
      <c r="C191" s="33" t="inlineStr">
        <is>
          <t>EEYCG26E0199165</t>
        </is>
      </c>
      <c r="D191" s="30" t="n">
        <v>1</v>
      </c>
      <c r="F191" s="25" t="n"/>
      <c r="G191" s="29" t="n"/>
      <c r="H191" s="29" t="n"/>
    </row>
    <row r="192" ht="18.95" customHeight="1" s="49">
      <c r="A192" s="33" t="inlineStr">
        <is>
          <t>H001</t>
        </is>
      </c>
      <c r="B192" s="33" t="inlineStr">
        <is>
          <t>HANGER</t>
        </is>
      </c>
      <c r="C192" s="33" t="inlineStr">
        <is>
          <t>EEVWG24E0139160</t>
        </is>
      </c>
      <c r="D192" s="30" t="n">
        <v>1</v>
      </c>
      <c r="F192" s="25" t="n"/>
      <c r="G192" s="29" t="n"/>
      <c r="H192" s="29" t="n"/>
    </row>
    <row r="193" ht="18.95" customHeight="1" s="49">
      <c r="A193" s="33" t="inlineStr">
        <is>
          <t>H001</t>
        </is>
      </c>
      <c r="B193" s="33" t="inlineStr">
        <is>
          <t>HANGER</t>
        </is>
      </c>
      <c r="C193" s="33" t="inlineStr">
        <is>
          <t>EEVWG24E0139165</t>
        </is>
      </c>
      <c r="D193" s="30" t="n">
        <v>1</v>
      </c>
      <c r="F193" s="25" t="n"/>
      <c r="G193" s="29" t="n"/>
      <c r="H193" s="29" t="n"/>
    </row>
    <row r="194" ht="18.95" customHeight="1" s="49">
      <c r="A194" s="33" t="inlineStr">
        <is>
          <t>H001</t>
        </is>
      </c>
      <c r="B194" s="33" t="inlineStr">
        <is>
          <t>HANGER</t>
        </is>
      </c>
      <c r="C194" s="33" t="inlineStr">
        <is>
          <t>EEVKG25E0139160</t>
        </is>
      </c>
      <c r="D194" s="30" t="n">
        <v>1</v>
      </c>
      <c r="F194" s="25" t="n"/>
      <c r="G194" s="29" t="n"/>
      <c r="H194" s="29" t="n"/>
    </row>
    <row r="195" ht="18.95" customHeight="1" s="49">
      <c r="A195" s="33" t="inlineStr">
        <is>
          <t>H001</t>
        </is>
      </c>
      <c r="B195" s="33" t="inlineStr">
        <is>
          <t>HANGER</t>
        </is>
      </c>
      <c r="C195" s="33" t="inlineStr">
        <is>
          <t>EEWHG25E0139160</t>
        </is>
      </c>
      <c r="D195" s="30" t="n">
        <v>1</v>
      </c>
      <c r="F195" s="25" t="n"/>
      <c r="G195" s="29" t="n"/>
      <c r="H195" s="29" t="n"/>
    </row>
    <row r="196" ht="18.95" customHeight="1" s="49">
      <c r="A196" s="33" t="inlineStr">
        <is>
          <t>H001</t>
        </is>
      </c>
      <c r="B196" s="33" t="inlineStr">
        <is>
          <t>HANGER</t>
        </is>
      </c>
      <c r="C196" s="33" t="inlineStr">
        <is>
          <t>EEVKG25E0139160</t>
        </is>
      </c>
      <c r="D196" s="30" t="n">
        <v>1</v>
      </c>
      <c r="F196" s="25" t="n"/>
      <c r="G196" s="29" t="n"/>
      <c r="H196" s="29" t="n"/>
    </row>
    <row r="197" ht="18.95" customHeight="1" s="49">
      <c r="A197" s="33" t="inlineStr">
        <is>
          <t>H001</t>
        </is>
      </c>
      <c r="B197" s="33" t="inlineStr">
        <is>
          <t>HANGER</t>
        </is>
      </c>
      <c r="C197" s="33" t="inlineStr">
        <is>
          <t>EEWHG25E0139165</t>
        </is>
      </c>
      <c r="D197" s="30" t="n">
        <v>1</v>
      </c>
      <c r="F197" s="25" t="n"/>
      <c r="G197" s="29" t="n"/>
      <c r="H197" s="29" t="n"/>
    </row>
    <row r="198" ht="18.95" customHeight="1" s="49">
      <c r="A198" s="33" t="inlineStr">
        <is>
          <t>H001</t>
        </is>
      </c>
      <c r="B198" s="33" t="inlineStr">
        <is>
          <t>HANGER</t>
        </is>
      </c>
      <c r="C198" s="33" t="inlineStr">
        <is>
          <t>EEYCG24E0250165</t>
        </is>
      </c>
      <c r="D198" s="30" t="n">
        <v>1</v>
      </c>
      <c r="F198" s="25" t="n"/>
      <c r="G198" s="29" t="n"/>
      <c r="H198" s="29" t="n"/>
    </row>
    <row r="199" ht="18.95" customHeight="1" s="49">
      <c r="A199" s="33" t="inlineStr">
        <is>
          <t>H001</t>
        </is>
      </c>
      <c r="B199" s="33" t="inlineStr">
        <is>
          <t>HANGER</t>
        </is>
      </c>
      <c r="C199" s="33" t="inlineStr">
        <is>
          <t>EEWHG25B0839165</t>
        </is>
      </c>
      <c r="D199" s="30" t="n">
        <v>1</v>
      </c>
      <c r="F199" s="25" t="n"/>
      <c r="G199" s="29" t="n"/>
      <c r="H199" s="29" t="n"/>
    </row>
    <row r="200" ht="18.95" customHeight="1" s="49">
      <c r="A200" s="33" t="inlineStr">
        <is>
          <t>H001</t>
        </is>
      </c>
      <c r="B200" s="33" t="inlineStr">
        <is>
          <t>HANGER</t>
        </is>
      </c>
      <c r="C200" s="33" t="inlineStr">
        <is>
          <t>EEWHG25B0839160</t>
        </is>
      </c>
      <c r="D200" s="30" t="n">
        <v>1</v>
      </c>
      <c r="F200" s="25" t="n"/>
      <c r="G200" s="29" t="n"/>
      <c r="H200" s="29" t="n"/>
    </row>
    <row r="201" ht="18.95" customHeight="1" s="49">
      <c r="A201" s="33" t="inlineStr">
        <is>
          <t>H001</t>
        </is>
      </c>
      <c r="B201" s="33" t="inlineStr">
        <is>
          <t>HANGER</t>
        </is>
      </c>
      <c r="C201" s="33" t="inlineStr">
        <is>
          <t>EEOWG24E0259165</t>
        </is>
      </c>
      <c r="D201" s="30" t="n">
        <v>1</v>
      </c>
      <c r="F201" s="25" t="n"/>
      <c r="G201" s="29" t="n"/>
      <c r="H201" s="29" t="n"/>
    </row>
    <row r="202" ht="18.95" customHeight="1" s="49">
      <c r="A202" s="33" t="inlineStr">
        <is>
          <t>H001</t>
        </is>
      </c>
      <c r="B202" s="33" t="inlineStr">
        <is>
          <t>HANGER</t>
        </is>
      </c>
      <c r="C202" s="33" t="inlineStr">
        <is>
          <t>EEOWG24E0259160</t>
        </is>
      </c>
      <c r="D202" s="30" t="n">
        <v>1</v>
      </c>
      <c r="F202" s="25" t="n"/>
      <c r="G202" s="29" t="n"/>
      <c r="H202" s="29" t="n"/>
    </row>
    <row r="203" ht="18.95" customHeight="1" s="49">
      <c r="A203" s="33" t="inlineStr">
        <is>
          <t>H001</t>
        </is>
      </c>
      <c r="B203" s="33" t="inlineStr">
        <is>
          <t>HANGER</t>
        </is>
      </c>
      <c r="C203" s="33" t="inlineStr">
        <is>
          <t>EEJAG24B0239160</t>
        </is>
      </c>
      <c r="D203" s="30" t="n">
        <v>1</v>
      </c>
      <c r="F203" s="25" t="n"/>
      <c r="G203" s="29" t="n"/>
      <c r="H203" s="29" t="n"/>
    </row>
    <row r="204" ht="18.95" customHeight="1" s="49">
      <c r="A204" s="33" t="inlineStr">
        <is>
          <t>H001</t>
        </is>
      </c>
      <c r="B204" s="33" t="inlineStr">
        <is>
          <t>HANGER</t>
        </is>
      </c>
      <c r="C204" s="33" t="inlineStr">
        <is>
          <t>EEJAG24B0239165</t>
        </is>
      </c>
      <c r="D204" s="30" t="n">
        <v>1</v>
      </c>
      <c r="F204" s="25" t="n"/>
      <c r="G204" s="29" t="n"/>
      <c r="H204" s="29" t="n"/>
    </row>
    <row r="205" ht="18.95" customHeight="1" s="49">
      <c r="A205" s="33" t="inlineStr">
        <is>
          <t>H001</t>
        </is>
      </c>
      <c r="B205" s="33" t="inlineStr">
        <is>
          <t>HANGER</t>
        </is>
      </c>
      <c r="C205" s="33" t="inlineStr">
        <is>
          <t>EEWHG24E0259160</t>
        </is>
      </c>
      <c r="D205" s="30" t="n">
        <v>1</v>
      </c>
      <c r="F205" s="25" t="n"/>
      <c r="G205" s="29" t="n"/>
      <c r="H205" s="29" t="n"/>
    </row>
    <row r="206" ht="18.95" customHeight="1" s="49">
      <c r="A206" s="33" t="inlineStr">
        <is>
          <t>H001</t>
        </is>
      </c>
      <c r="B206" s="33" t="inlineStr">
        <is>
          <t>HANGER</t>
        </is>
      </c>
      <c r="C206" s="33" t="inlineStr">
        <is>
          <t>EEWHG24E0259165</t>
        </is>
      </c>
      <c r="D206" s="30" t="n">
        <v>1</v>
      </c>
      <c r="F206" s="25" t="n"/>
      <c r="G206" s="29" t="n"/>
      <c r="H206" s="29" t="n"/>
    </row>
    <row r="207" ht="18.95" customHeight="1" s="49">
      <c r="A207" s="33" t="inlineStr">
        <is>
          <t>H001</t>
        </is>
      </c>
      <c r="B207" s="33" t="inlineStr">
        <is>
          <t>HANGER</t>
        </is>
      </c>
      <c r="C207" s="33" t="inlineStr">
        <is>
          <t>EEHWG25B0139165</t>
        </is>
      </c>
      <c r="D207" s="30" t="n">
        <v>1</v>
      </c>
      <c r="F207" s="25" t="n"/>
      <c r="G207" s="29" t="n"/>
      <c r="H207" s="29" t="n"/>
    </row>
    <row r="208" ht="18.95" customHeight="1" s="49">
      <c r="A208" s="33" t="inlineStr">
        <is>
          <t>H001</t>
        </is>
      </c>
      <c r="B208" s="33" t="inlineStr">
        <is>
          <t>HANGER</t>
        </is>
      </c>
      <c r="C208" s="33" t="inlineStr">
        <is>
          <t>EEHWG25B0139170</t>
        </is>
      </c>
      <c r="D208" s="30" t="n">
        <v>1</v>
      </c>
      <c r="F208" s="25" t="n"/>
      <c r="G208" s="29" t="n"/>
      <c r="H208" s="29" t="n"/>
    </row>
    <row r="209" ht="18.95" customHeight="1" s="49">
      <c r="A209" s="33" t="inlineStr">
        <is>
          <t>H001</t>
        </is>
      </c>
      <c r="B209" s="33" t="inlineStr">
        <is>
          <t>HANGER</t>
        </is>
      </c>
      <c r="C209" s="33" t="inlineStr">
        <is>
          <t>EERNG23E0139160</t>
        </is>
      </c>
      <c r="D209" s="30" t="n">
        <v>1</v>
      </c>
      <c r="F209" s="25" t="n"/>
      <c r="G209" s="29" t="n"/>
      <c r="H209" s="29" t="n"/>
    </row>
    <row r="210" ht="18.95" customHeight="1" s="49">
      <c r="A210" s="33" t="inlineStr">
        <is>
          <t>H001</t>
        </is>
      </c>
      <c r="B210" s="33" t="inlineStr">
        <is>
          <t>HANGER</t>
        </is>
      </c>
      <c r="C210" s="33" t="inlineStr">
        <is>
          <t>EEWHG25E0339165</t>
        </is>
      </c>
      <c r="D210" s="30" t="n">
        <v>1</v>
      </c>
      <c r="F210" s="25" t="n"/>
      <c r="G210" s="29" t="n"/>
      <c r="H210" s="29" t="n"/>
    </row>
    <row r="211" ht="18.95" customHeight="1" s="49">
      <c r="A211" s="33" t="inlineStr">
        <is>
          <t>H001</t>
        </is>
      </c>
      <c r="B211" s="33" t="inlineStr">
        <is>
          <t>HANGER</t>
        </is>
      </c>
      <c r="C211" s="33" t="inlineStr">
        <is>
          <t>EECKG23E0250170</t>
        </is>
      </c>
      <c r="D211" s="30" t="n">
        <v>1</v>
      </c>
      <c r="F211" s="25" t="n"/>
      <c r="G211" s="29" t="n"/>
      <c r="H211" s="29" t="n"/>
    </row>
    <row r="212" ht="18.95" customHeight="1" s="49">
      <c r="A212" s="33" t="inlineStr">
        <is>
          <t>H002</t>
        </is>
      </c>
      <c r="B212" s="33" t="inlineStr">
        <is>
          <t>HANGER</t>
        </is>
      </c>
      <c r="C212" s="33" t="inlineStr">
        <is>
          <t>EEYWG23E0139160</t>
        </is>
      </c>
      <c r="D212" s="30" t="n">
        <v>1</v>
      </c>
      <c r="E212" s="36" t="n"/>
      <c r="F212" s="25" t="n"/>
      <c r="G212" s="29" t="n"/>
      <c r="H212" s="29" t="n"/>
    </row>
    <row r="213" ht="18.95" customHeight="1" s="49">
      <c r="A213" s="33" t="inlineStr">
        <is>
          <t>H002</t>
        </is>
      </c>
      <c r="B213" s="33" t="inlineStr">
        <is>
          <t>HANGER</t>
        </is>
      </c>
      <c r="C213" s="33" t="inlineStr">
        <is>
          <t>EEYWG23E0136170</t>
        </is>
      </c>
      <c r="D213" s="30" t="n">
        <v>1</v>
      </c>
      <c r="F213" s="25" t="n"/>
      <c r="G213" s="29" t="n"/>
      <c r="H213" s="29" t="n"/>
    </row>
    <row r="214" ht="18.95" customHeight="1" s="49">
      <c r="A214" s="33" t="inlineStr">
        <is>
          <t>H002</t>
        </is>
      </c>
      <c r="B214" s="33" t="inlineStr">
        <is>
          <t>HANGER</t>
        </is>
      </c>
      <c r="C214" s="33" t="inlineStr">
        <is>
          <t>EEYWG23E0188160</t>
        </is>
      </c>
      <c r="D214" s="30" t="n">
        <v>1</v>
      </c>
      <c r="F214" s="25" t="n"/>
      <c r="G214" s="29" t="n"/>
      <c r="H214" s="29" t="n"/>
    </row>
    <row r="215" ht="18.95" customHeight="1" s="49">
      <c r="A215" s="33" t="inlineStr">
        <is>
          <t>H002</t>
        </is>
      </c>
      <c r="B215" s="33" t="inlineStr">
        <is>
          <t>HANGER</t>
        </is>
      </c>
      <c r="C215" s="33" t="inlineStr">
        <is>
          <t>EEYWG23E0151165</t>
        </is>
      </c>
      <c r="D215" s="30" t="n">
        <v>1</v>
      </c>
      <c r="F215" s="25" t="n"/>
      <c r="G215" s="29" t="n"/>
      <c r="H215" s="29" t="n"/>
    </row>
    <row r="216" ht="18.95" customHeight="1" s="49">
      <c r="A216" s="33" t="inlineStr">
        <is>
          <t>H002</t>
        </is>
      </c>
      <c r="B216" s="33" t="inlineStr">
        <is>
          <t>HANGER</t>
        </is>
      </c>
      <c r="C216" s="33" t="inlineStr">
        <is>
          <t>EEYSG23E0126170</t>
        </is>
      </c>
      <c r="D216" s="30" t="n">
        <v>1</v>
      </c>
      <c r="F216" s="25" t="n"/>
      <c r="G216" s="29" t="n"/>
      <c r="H216" s="29" t="n"/>
    </row>
    <row r="217" ht="18.95" customHeight="1" s="49">
      <c r="A217" s="33" t="inlineStr">
        <is>
          <t>H002</t>
        </is>
      </c>
      <c r="B217" s="33" t="inlineStr">
        <is>
          <t>HANGER</t>
        </is>
      </c>
      <c r="C217" s="33" t="inlineStr">
        <is>
          <t>EEYSG23E0188160</t>
        </is>
      </c>
      <c r="D217" s="30" t="n">
        <v>1</v>
      </c>
      <c r="F217" s="25" t="n"/>
      <c r="G217" s="29" t="n"/>
      <c r="H217" s="29" t="n"/>
    </row>
    <row r="218" ht="18.95" customHeight="1" s="49">
      <c r="A218" s="33" t="inlineStr">
        <is>
          <t>H002</t>
        </is>
      </c>
      <c r="B218" s="33" t="inlineStr">
        <is>
          <t>HANGER</t>
        </is>
      </c>
      <c r="C218" s="33" t="inlineStr">
        <is>
          <t>EEYSG23E0151170</t>
        </is>
      </c>
      <c r="D218" s="30" t="n">
        <v>1</v>
      </c>
      <c r="F218" s="25" t="n"/>
      <c r="G218" s="29" t="n"/>
      <c r="H218" s="29" t="n"/>
    </row>
    <row r="219" ht="18.95" customHeight="1" s="49">
      <c r="A219" s="33" t="inlineStr">
        <is>
          <t>H002</t>
        </is>
      </c>
      <c r="B219" s="33" t="inlineStr">
        <is>
          <t>HANGER</t>
        </is>
      </c>
      <c r="C219" s="33" t="inlineStr">
        <is>
          <t>EETJG24E0157027</t>
        </is>
      </c>
      <c r="D219" s="30" t="n">
        <v>1</v>
      </c>
      <c r="F219" s="25" t="n"/>
      <c r="G219" s="29" t="n"/>
      <c r="H219" s="29" t="n"/>
    </row>
    <row r="220" ht="18.95" customHeight="1" s="49">
      <c r="A220" s="33" t="inlineStr">
        <is>
          <t>H002</t>
        </is>
      </c>
      <c r="B220" s="33" t="inlineStr">
        <is>
          <t>HANGER</t>
        </is>
      </c>
      <c r="C220" s="33" t="inlineStr">
        <is>
          <t>EETJG24E0156810</t>
        </is>
      </c>
      <c r="D220" s="30" t="n">
        <v>1</v>
      </c>
      <c r="F220" s="25" t="n"/>
      <c r="G220" s="29" t="n"/>
      <c r="H220" s="29" t="n"/>
    </row>
    <row r="221" ht="18.95" customHeight="1" s="49">
      <c r="A221" s="33" t="inlineStr">
        <is>
          <t>H002</t>
        </is>
      </c>
      <c r="B221" s="33" t="inlineStr">
        <is>
          <t>HANGER</t>
        </is>
      </c>
      <c r="C221" s="33" t="inlineStr">
        <is>
          <t>EETJG24E0139026</t>
        </is>
      </c>
      <c r="D221" s="30" t="n">
        <v>1</v>
      </c>
      <c r="F221" s="25" t="n"/>
      <c r="G221" s="29" t="n"/>
      <c r="H221" s="29" t="n"/>
    </row>
    <row r="222" ht="18.95" customHeight="1" s="49">
      <c r="A222" s="33" t="inlineStr">
        <is>
          <t>H002</t>
        </is>
      </c>
      <c r="B222" s="33" t="inlineStr">
        <is>
          <t>HANGER</t>
        </is>
      </c>
      <c r="C222" s="33" t="inlineStr">
        <is>
          <t>EECKG23E0227160</t>
        </is>
      </c>
      <c r="D222" s="30" t="n">
        <v>1</v>
      </c>
      <c r="F222" s="25" t="n"/>
      <c r="G222" s="29" t="n"/>
      <c r="H222" s="29" t="n"/>
    </row>
    <row r="223" ht="18.95" customHeight="1" s="49">
      <c r="A223" s="33" t="inlineStr">
        <is>
          <t>H002</t>
        </is>
      </c>
      <c r="B223" s="33" t="inlineStr">
        <is>
          <t>HANGER</t>
        </is>
      </c>
      <c r="C223" s="33" t="inlineStr">
        <is>
          <t>EECKG23E0239160</t>
        </is>
      </c>
      <c r="D223" s="30" t="n">
        <v>1</v>
      </c>
      <c r="F223" s="25" t="n"/>
      <c r="G223" s="29" t="n"/>
      <c r="H223" s="29" t="n"/>
    </row>
    <row r="224" ht="18.95" customHeight="1" s="49">
      <c r="A224" s="33" t="inlineStr">
        <is>
          <t>H002</t>
        </is>
      </c>
      <c r="B224" s="33" t="inlineStr">
        <is>
          <t>HANGER</t>
        </is>
      </c>
      <c r="C224" s="33" t="inlineStr">
        <is>
          <t>EECKG23E0250165</t>
        </is>
      </c>
      <c r="D224" s="30" t="n">
        <v>1</v>
      </c>
      <c r="F224" s="25" t="n"/>
      <c r="G224" s="29" t="n"/>
      <c r="H224" s="29" t="n"/>
    </row>
    <row r="225" ht="18.95" customHeight="1" s="49">
      <c r="A225" s="33" t="inlineStr">
        <is>
          <t>H002</t>
        </is>
      </c>
      <c r="B225" s="33" t="inlineStr">
        <is>
          <t>HANGER</t>
        </is>
      </c>
      <c r="C225" s="33" t="inlineStr">
        <is>
          <t>EETJG24E0655026</t>
        </is>
      </c>
      <c r="D225" s="30" t="n">
        <v>1</v>
      </c>
      <c r="F225" s="25" t="n"/>
      <c r="G225" s="29" t="n"/>
      <c r="H225" s="29" t="n"/>
    </row>
    <row r="226" ht="18.95" customHeight="1" s="49">
      <c r="A226" s="33" t="inlineStr">
        <is>
          <t>H002</t>
        </is>
      </c>
      <c r="B226" s="33" t="inlineStr">
        <is>
          <t>HANGER</t>
        </is>
      </c>
      <c r="C226" s="33" t="inlineStr">
        <is>
          <t>EECKG23E0231160</t>
        </is>
      </c>
      <c r="D226" s="30" t="n">
        <v>1</v>
      </c>
      <c r="F226" s="25" t="n"/>
      <c r="G226" s="29" t="n"/>
      <c r="H226" s="29" t="n"/>
    </row>
    <row r="227" ht="18.95" customHeight="1" s="49">
      <c r="A227" s="33" t="inlineStr">
        <is>
          <t>H003</t>
        </is>
      </c>
      <c r="B227" s="33" t="inlineStr">
        <is>
          <t>HANGER</t>
        </is>
      </c>
      <c r="C227" s="33" t="inlineStr">
        <is>
          <t>EEWHG23E0139165</t>
        </is>
      </c>
      <c r="D227" s="30" t="n">
        <v>1</v>
      </c>
      <c r="F227" s="25" t="n"/>
      <c r="G227" s="29" t="n"/>
      <c r="H227" s="29" t="n"/>
    </row>
    <row r="228" ht="18.95" customHeight="1" s="49">
      <c r="A228" s="33" t="inlineStr">
        <is>
          <t>H003</t>
        </is>
      </c>
      <c r="B228" s="33" t="inlineStr">
        <is>
          <t>HANGER</t>
        </is>
      </c>
      <c r="C228" s="33" t="inlineStr">
        <is>
          <t>EEWHG24E0515160</t>
        </is>
      </c>
      <c r="D228" s="30" t="n">
        <v>1</v>
      </c>
      <c r="F228" s="25" t="n"/>
      <c r="G228" s="29" t="n"/>
      <c r="H228" s="29" t="n"/>
    </row>
    <row r="229" ht="18.95" customHeight="1" s="49">
      <c r="A229" s="33" t="inlineStr">
        <is>
          <t>H003</t>
        </is>
      </c>
      <c r="B229" s="33" t="inlineStr">
        <is>
          <t>HANGER</t>
        </is>
      </c>
      <c r="C229" s="33" t="inlineStr">
        <is>
          <t>EEKWG24B0959160</t>
        </is>
      </c>
      <c r="D229" s="30" t="n">
        <v>1</v>
      </c>
      <c r="F229" s="25" t="n"/>
      <c r="G229" s="29" t="n"/>
      <c r="H229" s="29" t="n"/>
    </row>
    <row r="230" ht="18.95" customHeight="1" s="49">
      <c r="A230" s="33" t="inlineStr">
        <is>
          <t>H003</t>
        </is>
      </c>
      <c r="B230" s="33" t="inlineStr">
        <is>
          <t>HANGER</t>
        </is>
      </c>
      <c r="C230" s="33" t="inlineStr">
        <is>
          <t>EEKWG24B0002670</t>
        </is>
      </c>
      <c r="D230" s="30" t="n">
        <v>1</v>
      </c>
      <c r="F230" s="25" t="n"/>
      <c r="G230" s="29" t="n"/>
      <c r="H230" s="29" t="n"/>
    </row>
    <row r="231" ht="18.95" customHeight="1" s="49">
      <c r="A231" s="33" t="inlineStr">
        <is>
          <t>H003</t>
        </is>
      </c>
      <c r="B231" s="33" t="inlineStr">
        <is>
          <t>HANGER</t>
        </is>
      </c>
      <c r="C231" s="33" t="inlineStr">
        <is>
          <t>EEYWG25E0350165</t>
        </is>
      </c>
      <c r="D231" s="30" t="n">
        <v>1</v>
      </c>
      <c r="F231" s="25" t="n"/>
      <c r="G231" s="29" t="n"/>
      <c r="H231" s="29" t="n"/>
    </row>
    <row r="232" ht="18.95" customHeight="1" s="49">
      <c r="A232" s="33" t="inlineStr">
        <is>
          <t>H003</t>
        </is>
      </c>
      <c r="B232" s="33" t="inlineStr">
        <is>
          <t>HANGER</t>
        </is>
      </c>
      <c r="C232" s="33" t="inlineStr">
        <is>
          <t>EEOJG23B0156165</t>
        </is>
      </c>
      <c r="D232" s="30" t="n">
        <v>1</v>
      </c>
      <c r="F232" s="25" t="n"/>
      <c r="G232" s="29" t="n"/>
      <c r="H232" s="29" t="n"/>
    </row>
    <row r="233" ht="18.95" customHeight="1" s="49">
      <c r="A233" s="33" t="inlineStr">
        <is>
          <t>H003</t>
        </is>
      </c>
      <c r="B233" s="33" t="inlineStr">
        <is>
          <t>HANGER</t>
        </is>
      </c>
      <c r="C233" s="33" t="inlineStr">
        <is>
          <t>EEHWG24E0239160</t>
        </is>
      </c>
      <c r="D233" s="30" t="n">
        <v>1</v>
      </c>
      <c r="F233" s="25" t="n"/>
      <c r="G233" s="29" t="n"/>
      <c r="H233" s="29" t="n"/>
    </row>
    <row r="234" ht="18.95" customHeight="1" s="49">
      <c r="A234" s="33" t="inlineStr">
        <is>
          <t>H003</t>
        </is>
      </c>
      <c r="B234" s="33" t="inlineStr">
        <is>
          <t>HANGER</t>
        </is>
      </c>
      <c r="C234" s="33" t="inlineStr">
        <is>
          <t>EEHWG24E0239170</t>
        </is>
      </c>
      <c r="D234" s="30" t="n">
        <v>1</v>
      </c>
      <c r="F234" s="25" t="n"/>
      <c r="G234" s="29" t="n"/>
      <c r="H234" s="29" t="n"/>
    </row>
    <row r="235" ht="18.95" customHeight="1" s="49">
      <c r="A235" s="33" t="inlineStr">
        <is>
          <t>H003</t>
        </is>
      </c>
      <c r="B235" s="33" t="inlineStr">
        <is>
          <t>HANGER</t>
        </is>
      </c>
      <c r="C235" s="33" t="inlineStr">
        <is>
          <t>EEOWG25E0239160</t>
        </is>
      </c>
      <c r="D235" s="30" t="n">
        <v>1</v>
      </c>
      <c r="F235" s="25" t="n"/>
      <c r="G235" s="29" t="n"/>
      <c r="H235" s="29" t="n"/>
    </row>
    <row r="236" ht="18.95" customHeight="1" s="49">
      <c r="A236" s="33" t="inlineStr">
        <is>
          <t>H003</t>
        </is>
      </c>
      <c r="B236" s="33" t="inlineStr">
        <is>
          <t>HANGER</t>
        </is>
      </c>
      <c r="C236" s="33" t="inlineStr">
        <is>
          <t>EEOWG25E0192665</t>
        </is>
      </c>
      <c r="D236" s="30" t="n">
        <v>1</v>
      </c>
      <c r="F236" s="25" t="n"/>
      <c r="G236" s="29" t="n"/>
      <c r="H236" s="29" t="n"/>
    </row>
    <row r="237" ht="18.95" customHeight="1" s="49">
      <c r="A237" s="33" t="inlineStr">
        <is>
          <t>H003</t>
        </is>
      </c>
      <c r="B237" s="33" t="inlineStr">
        <is>
          <t>HANGER</t>
        </is>
      </c>
      <c r="C237" s="33" t="inlineStr">
        <is>
          <t>EERAG24E0151170</t>
        </is>
      </c>
      <c r="D237" s="30" t="n">
        <v>1</v>
      </c>
      <c r="F237" s="25" t="n"/>
      <c r="G237" s="29" t="n"/>
      <c r="H237" s="29" t="n"/>
    </row>
    <row r="238" ht="18.95" customHeight="1" s="49">
      <c r="A238" s="33" t="inlineStr">
        <is>
          <t>H003</t>
        </is>
      </c>
      <c r="B238" s="33" t="inlineStr">
        <is>
          <t>HANGER</t>
        </is>
      </c>
      <c r="C238" s="33" t="inlineStr">
        <is>
          <t>EERAG24E0151165</t>
        </is>
      </c>
      <c r="D238" s="30" t="n">
        <v>1</v>
      </c>
      <c r="F238" s="25" t="n"/>
      <c r="G238" s="29" t="n"/>
      <c r="H238" s="29" t="n"/>
    </row>
    <row r="239" ht="18.95" customHeight="1" s="49">
      <c r="A239" s="33" t="inlineStr">
        <is>
          <t>H003</t>
        </is>
      </c>
      <c r="B239" s="33" t="inlineStr">
        <is>
          <t>HANGER</t>
        </is>
      </c>
      <c r="C239" s="33" t="inlineStr">
        <is>
          <t>EEWHG23E0139165</t>
        </is>
      </c>
      <c r="D239" s="30" t="n">
        <v>1</v>
      </c>
      <c r="F239" s="25" t="n"/>
      <c r="G239" s="29" t="n"/>
      <c r="H239" s="29" t="n"/>
    </row>
    <row r="240" ht="18.95" customHeight="1" s="49">
      <c r="A240" s="33" t="inlineStr">
        <is>
          <t>H003</t>
        </is>
      </c>
      <c r="B240" s="33" t="inlineStr">
        <is>
          <t>HANGER</t>
        </is>
      </c>
      <c r="C240" s="33" t="inlineStr">
        <is>
          <t>EERSG23E0151165</t>
        </is>
      </c>
      <c r="D240" s="30" t="n">
        <v>1</v>
      </c>
      <c r="F240" s="25" t="n"/>
      <c r="G240" s="29" t="n"/>
      <c r="H240" s="29" t="n"/>
    </row>
    <row r="241" ht="18.95" customHeight="1" s="49">
      <c r="A241" s="33" t="inlineStr">
        <is>
          <t>H003</t>
        </is>
      </c>
      <c r="B241" s="33" t="inlineStr">
        <is>
          <t>HANGER</t>
        </is>
      </c>
      <c r="C241" s="33" t="inlineStr">
        <is>
          <t>EERSG23E0151170</t>
        </is>
      </c>
      <c r="D241" s="30" t="n">
        <v>1</v>
      </c>
      <c r="F241" s="25" t="n"/>
      <c r="G241" s="29" t="n"/>
      <c r="H241" s="29" t="n"/>
    </row>
    <row r="242" ht="18.95" customHeight="1" s="49">
      <c r="A242" s="33" t="inlineStr">
        <is>
          <t>H003</t>
        </is>
      </c>
      <c r="B242" s="33" t="inlineStr">
        <is>
          <t>HANGER</t>
        </is>
      </c>
      <c r="C242" s="33" t="inlineStr">
        <is>
          <t>EEYWG26B0139160</t>
        </is>
      </c>
      <c r="D242" s="30" t="n">
        <v>1</v>
      </c>
      <c r="F242" s="25" t="n"/>
      <c r="G242" s="29" t="n"/>
      <c r="H242" s="29" t="n"/>
    </row>
    <row r="243" ht="18.95" customHeight="1" s="49">
      <c r="A243" s="33" t="inlineStr">
        <is>
          <t>H003</t>
        </is>
      </c>
      <c r="B243" s="33" t="inlineStr">
        <is>
          <t>HANGER</t>
        </is>
      </c>
      <c r="C243" s="33" t="inlineStr">
        <is>
          <t>EEYWG26B0139170</t>
        </is>
      </c>
      <c r="D243" s="30" t="n">
        <v>1</v>
      </c>
      <c r="F243" s="25" t="n"/>
      <c r="G243" s="29" t="n"/>
      <c r="H243" s="29" t="n"/>
    </row>
    <row r="244" ht="18.95" customHeight="1" s="49">
      <c r="A244" s="33" t="inlineStr">
        <is>
          <t>H003</t>
        </is>
      </c>
      <c r="B244" s="33" t="inlineStr">
        <is>
          <t>HANGER</t>
        </is>
      </c>
      <c r="C244" s="33" t="inlineStr">
        <is>
          <t>EERAG25E0264165</t>
        </is>
      </c>
      <c r="D244" s="30" t="n">
        <v>1</v>
      </c>
      <c r="F244" s="25" t="n"/>
      <c r="G244" s="29" t="n"/>
      <c r="H244" s="29" t="n"/>
    </row>
    <row r="245" ht="18.95" customHeight="1" s="49">
      <c r="A245" s="33" t="inlineStr">
        <is>
          <t>H003</t>
        </is>
      </c>
      <c r="B245" s="33" t="inlineStr">
        <is>
          <t>HANGER</t>
        </is>
      </c>
      <c r="C245" s="33" t="inlineStr">
        <is>
          <t>EERAGF5EE264160</t>
        </is>
      </c>
      <c r="D245" s="30" t="n">
        <v>1</v>
      </c>
      <c r="F245" s="25" t="n"/>
      <c r="G245" s="29" t="n"/>
      <c r="H245" s="29" t="n"/>
    </row>
    <row r="246" ht="18.95" customHeight="1" s="49">
      <c r="A246" s="33" t="inlineStr">
        <is>
          <t>H003</t>
        </is>
      </c>
      <c r="B246" s="33" t="inlineStr">
        <is>
          <t>HANGER</t>
        </is>
      </c>
      <c r="C246" s="33" t="inlineStr">
        <is>
          <t>EETJG25B0355026</t>
        </is>
      </c>
      <c r="D246" s="30" t="n">
        <v>1</v>
      </c>
      <c r="F246" s="25" t="n"/>
      <c r="G246" s="29" t="n"/>
      <c r="H246" s="29" t="n"/>
    </row>
    <row r="247" ht="18.95" customHeight="1" s="49">
      <c r="A247" s="33" t="inlineStr">
        <is>
          <t>H003</t>
        </is>
      </c>
      <c r="B247" s="33" t="inlineStr">
        <is>
          <t>HANGER</t>
        </is>
      </c>
      <c r="C247" s="33" t="inlineStr">
        <is>
          <t>EEOJG24B0356160</t>
        </is>
      </c>
      <c r="D247" s="30" t="n">
        <v>1</v>
      </c>
      <c r="F247" s="25" t="n"/>
      <c r="G247" s="29" t="n"/>
      <c r="H247" s="29" t="n"/>
    </row>
    <row r="248" ht="18.95" customHeight="1" s="49">
      <c r="A248" s="33" t="inlineStr">
        <is>
          <t>H003</t>
        </is>
      </c>
      <c r="B248" s="33" t="inlineStr">
        <is>
          <t>HANGER</t>
        </is>
      </c>
      <c r="C248" s="33" t="inlineStr">
        <is>
          <t>EEOJG24B0356165</t>
        </is>
      </c>
      <c r="D248" s="30" t="n">
        <v>1</v>
      </c>
      <c r="F248" s="25" t="n"/>
      <c r="G248" s="29" t="n"/>
      <c r="H248" s="29" t="n"/>
    </row>
    <row r="249" ht="18.95" customHeight="1" s="49">
      <c r="A249" s="33" t="inlineStr">
        <is>
          <t>H003</t>
        </is>
      </c>
      <c r="B249" s="33" t="inlineStr">
        <is>
          <t>HANGER</t>
        </is>
      </c>
      <c r="C249" s="33" t="inlineStr">
        <is>
          <t>EERAG25E0339160</t>
        </is>
      </c>
      <c r="D249" s="30" t="n">
        <v>1</v>
      </c>
      <c r="F249" s="25" t="n"/>
      <c r="G249" s="29" t="n"/>
      <c r="H249" s="29" t="n"/>
    </row>
    <row r="250" ht="18.95" customHeight="1" s="49">
      <c r="A250" s="33" t="inlineStr">
        <is>
          <t>H003</t>
        </is>
      </c>
      <c r="B250" s="33" t="inlineStr">
        <is>
          <t>HANGER</t>
        </is>
      </c>
      <c r="C250" s="33" t="inlineStr">
        <is>
          <t>EERAG25E0339160</t>
        </is>
      </c>
      <c r="D250" s="30" t="n">
        <v>1</v>
      </c>
      <c r="F250" s="25" t="n"/>
      <c r="G250" s="29" t="n"/>
      <c r="H250" s="29" t="n"/>
    </row>
    <row r="251" ht="18.95" customHeight="1" s="49">
      <c r="A251" s="33" t="inlineStr">
        <is>
          <t>H003</t>
        </is>
      </c>
      <c r="B251" s="33" t="inlineStr">
        <is>
          <t>HANGER</t>
        </is>
      </c>
      <c r="C251" s="33" t="inlineStr">
        <is>
          <t>EEVJG23D0156160</t>
        </is>
      </c>
      <c r="D251" s="30" t="n">
        <v>1</v>
      </c>
      <c r="F251" s="25" t="n"/>
      <c r="G251" s="29" t="n"/>
      <c r="H251" s="29" t="n"/>
    </row>
    <row r="252" ht="18.95" customHeight="1" s="49">
      <c r="A252" s="33" t="inlineStr">
        <is>
          <t>H003</t>
        </is>
      </c>
      <c r="B252" s="33" t="inlineStr">
        <is>
          <t>HANGER</t>
        </is>
      </c>
      <c r="C252" s="33" t="inlineStr">
        <is>
          <t>EEVJG23D0156170</t>
        </is>
      </c>
      <c r="D252" s="30" t="n">
        <v>1</v>
      </c>
      <c r="F252" s="25" t="n"/>
      <c r="G252" s="29" t="n"/>
      <c r="H252" s="29" t="n"/>
    </row>
    <row r="253" ht="18.95" customHeight="1" s="49">
      <c r="A253" s="33" t="inlineStr">
        <is>
          <t>H003</t>
        </is>
      </c>
      <c r="B253" s="33" t="inlineStr">
        <is>
          <t>HANGER</t>
        </is>
      </c>
      <c r="C253" s="33" t="inlineStr">
        <is>
          <t>EEOWG23B0139165</t>
        </is>
      </c>
      <c r="D253" s="30" t="n">
        <v>1</v>
      </c>
      <c r="F253" s="25" t="n"/>
      <c r="G253" s="29" t="n"/>
      <c r="H253" s="29" t="n"/>
    </row>
    <row r="254" ht="18.95" customHeight="1" s="49">
      <c r="A254" s="33" t="inlineStr">
        <is>
          <t>H003</t>
        </is>
      </c>
      <c r="B254" s="33" t="inlineStr">
        <is>
          <t>HANGER</t>
        </is>
      </c>
      <c r="C254" s="33" t="inlineStr">
        <is>
          <t>EEOWG23B0139165</t>
        </is>
      </c>
      <c r="D254" s="30" t="n">
        <v>1</v>
      </c>
      <c r="F254" s="25" t="n"/>
      <c r="G254" s="29" t="n"/>
      <c r="H254" s="29" t="n"/>
    </row>
    <row r="255" ht="18.95" customHeight="1" s="49">
      <c r="A255" s="33" t="inlineStr">
        <is>
          <t>H003</t>
        </is>
      </c>
      <c r="B255" s="33" t="inlineStr">
        <is>
          <t>HANGER</t>
        </is>
      </c>
      <c r="C255" s="33" t="inlineStr">
        <is>
          <t>EEKWG25E0151165</t>
        </is>
      </c>
      <c r="D255" s="30" t="n">
        <v>1</v>
      </c>
      <c r="F255" s="25" t="n"/>
      <c r="G255" s="29" t="n"/>
      <c r="H255" s="29" t="n"/>
    </row>
    <row r="256" ht="18.95" customHeight="1" s="49">
      <c r="A256" s="33" t="inlineStr">
        <is>
          <t>H003</t>
        </is>
      </c>
      <c r="B256" s="33" t="inlineStr">
        <is>
          <t>HANGER</t>
        </is>
      </c>
      <c r="C256" s="33" t="inlineStr">
        <is>
          <t>EEKWG25E0151160</t>
        </is>
      </c>
      <c r="D256" s="30" t="n">
        <v>1</v>
      </c>
      <c r="F256" s="25" t="n"/>
      <c r="G256" s="29" t="n"/>
      <c r="H256" s="29" t="n"/>
    </row>
    <row r="257" ht="18.95" customHeight="1" s="49">
      <c r="A257" s="33" t="inlineStr">
        <is>
          <t>H003</t>
        </is>
      </c>
      <c r="B257" s="33" t="inlineStr">
        <is>
          <t>HANGER</t>
        </is>
      </c>
      <c r="C257" s="33" t="inlineStr">
        <is>
          <t>EEOJG24E0139165</t>
        </is>
      </c>
      <c r="D257" s="30" t="n">
        <v>1</v>
      </c>
      <c r="F257" s="25" t="n"/>
      <c r="G257" s="29" t="n"/>
      <c r="H257" s="29" t="n"/>
    </row>
    <row r="258" ht="18.95" customHeight="1" s="49">
      <c r="A258" s="33" t="inlineStr">
        <is>
          <t>H003</t>
        </is>
      </c>
      <c r="B258" s="33" t="inlineStr">
        <is>
          <t>HANGER</t>
        </is>
      </c>
      <c r="C258" s="33" t="inlineStr">
        <is>
          <t>EETJG24E0556026</t>
        </is>
      </c>
      <c r="D258" s="30" t="n">
        <v>1</v>
      </c>
      <c r="F258" s="25" t="n"/>
      <c r="G258" s="29" t="n"/>
      <c r="H258" s="29" t="n"/>
    </row>
    <row r="259" ht="18.95" customHeight="1" s="49">
      <c r="A259" s="33" t="inlineStr">
        <is>
          <t>H003</t>
        </is>
      </c>
      <c r="B259" s="33" t="inlineStr">
        <is>
          <t>HANGER</t>
        </is>
      </c>
      <c r="C259" s="33" t="inlineStr">
        <is>
          <t>EEVKG24E0139170</t>
        </is>
      </c>
      <c r="D259" s="30" t="n">
        <v>1</v>
      </c>
      <c r="F259" s="25" t="n"/>
      <c r="G259" s="29" t="n"/>
      <c r="H259" s="29" t="n"/>
    </row>
    <row r="260" ht="18.95" customHeight="1" s="49">
      <c r="A260" s="33" t="inlineStr">
        <is>
          <t>H003</t>
        </is>
      </c>
      <c r="B260" s="33" t="inlineStr">
        <is>
          <t>HANGER</t>
        </is>
      </c>
      <c r="C260" s="33" t="inlineStr">
        <is>
          <t>EEVKG24E0118170</t>
        </is>
      </c>
      <c r="D260" s="30" t="n">
        <v>1</v>
      </c>
      <c r="F260" s="25" t="n"/>
      <c r="G260" s="29" t="n"/>
      <c r="H260" s="29" t="n"/>
    </row>
    <row r="261" ht="18.95" customHeight="1" s="49">
      <c r="A261" s="33" t="inlineStr">
        <is>
          <t>H003</t>
        </is>
      </c>
      <c r="B261" s="33" t="inlineStr">
        <is>
          <t>HANGER</t>
        </is>
      </c>
      <c r="C261" s="33" t="inlineStr">
        <is>
          <t>EEWHG24E0559160</t>
        </is>
      </c>
      <c r="D261" s="30" t="n">
        <v>1</v>
      </c>
      <c r="F261" s="25" t="n"/>
      <c r="G261" s="29" t="n"/>
      <c r="H261" s="29" t="n"/>
    </row>
    <row r="262" ht="18.95" customHeight="1" s="49">
      <c r="A262" s="33" t="inlineStr">
        <is>
          <t>H003</t>
        </is>
      </c>
      <c r="B262" s="33" t="inlineStr">
        <is>
          <t>HANGER</t>
        </is>
      </c>
      <c r="C262" s="33" t="inlineStr">
        <is>
          <t>EEVKG24E0118165</t>
        </is>
      </c>
      <c r="D262" s="30" t="n">
        <v>1</v>
      </c>
      <c r="F262" s="25" t="n"/>
      <c r="G262" s="29" t="n"/>
      <c r="H262" s="29" t="n"/>
    </row>
    <row r="263" ht="18.95" customHeight="1" s="49">
      <c r="A263" s="33" t="inlineStr">
        <is>
          <t>H004</t>
        </is>
      </c>
      <c r="B263" s="33" t="inlineStr">
        <is>
          <t>HANGER</t>
        </is>
      </c>
      <c r="C263" s="33" t="inlineStr">
        <is>
          <t>EEWHG24E0135160</t>
        </is>
      </c>
      <c r="D263" s="30" t="n">
        <v>1</v>
      </c>
      <c r="F263" s="25" t="n"/>
      <c r="G263" s="29" t="n"/>
      <c r="H263" s="29" t="n"/>
    </row>
    <row r="264" ht="18.95" customHeight="1" s="49">
      <c r="A264" s="33" t="inlineStr">
        <is>
          <t>H004</t>
        </is>
      </c>
      <c r="B264" s="33" t="inlineStr">
        <is>
          <t>HANGER</t>
        </is>
      </c>
      <c r="C264" s="33" t="inlineStr">
        <is>
          <t>EERAG25E0318165</t>
        </is>
      </c>
      <c r="D264" s="30" t="n">
        <v>1</v>
      </c>
      <c r="F264" s="25" t="n"/>
      <c r="G264" s="29" t="n"/>
      <c r="H264" s="29" t="n"/>
    </row>
    <row r="265" ht="18.95" customHeight="1" s="49">
      <c r="A265" s="33" t="inlineStr">
        <is>
          <t>H004</t>
        </is>
      </c>
      <c r="B265" s="33" t="inlineStr">
        <is>
          <t>HANGER</t>
        </is>
      </c>
      <c r="C265" s="33" t="inlineStr">
        <is>
          <t>EERAG25E0318160</t>
        </is>
      </c>
      <c r="D265" s="30" t="n">
        <v>1</v>
      </c>
      <c r="F265" s="25" t="n"/>
      <c r="G265" s="29" t="n"/>
      <c r="H265" s="29" t="n"/>
    </row>
    <row r="266" ht="18.95" customHeight="1" s="49">
      <c r="A266" s="33" t="inlineStr">
        <is>
          <t>H004</t>
        </is>
      </c>
      <c r="B266" s="33" t="inlineStr">
        <is>
          <t>HANGER</t>
        </is>
      </c>
      <c r="C266" s="33" t="inlineStr">
        <is>
          <t>EEWHG24E0135165</t>
        </is>
      </c>
      <c r="D266" s="30" t="n">
        <v>1</v>
      </c>
      <c r="F266" s="25" t="n"/>
      <c r="G266" s="29" t="n"/>
      <c r="H266" s="29" t="n"/>
    </row>
    <row r="267" ht="18.95" customHeight="1" s="49">
      <c r="A267" s="33" t="inlineStr">
        <is>
          <t>H004</t>
        </is>
      </c>
      <c r="B267" s="33" t="inlineStr">
        <is>
          <t>HANGER</t>
        </is>
      </c>
      <c r="C267" s="33" t="inlineStr">
        <is>
          <t>EEOWG25E0119165</t>
        </is>
      </c>
      <c r="D267" s="30" t="n">
        <v>1</v>
      </c>
      <c r="F267" s="25" t="n"/>
      <c r="G267" s="29" t="n"/>
      <c r="H267" s="29" t="n"/>
    </row>
    <row r="268" ht="18.95" customHeight="1" s="49">
      <c r="A268" s="33" t="inlineStr">
        <is>
          <t>H004</t>
        </is>
      </c>
      <c r="B268" s="33" t="inlineStr">
        <is>
          <t>HANGER</t>
        </is>
      </c>
      <c r="C268" s="33" t="inlineStr">
        <is>
          <t>EEHWG24E0219165</t>
        </is>
      </c>
      <c r="D268" s="30" t="n">
        <v>1</v>
      </c>
      <c r="F268" s="25" t="n"/>
      <c r="G268" s="29" t="n"/>
      <c r="H268" s="29" t="n"/>
    </row>
    <row r="269" ht="18.95" customHeight="1" s="49">
      <c r="A269" s="33" t="inlineStr">
        <is>
          <t>H004</t>
        </is>
      </c>
      <c r="B269" s="33" t="inlineStr">
        <is>
          <t>HANGER</t>
        </is>
      </c>
      <c r="C269" s="33" t="inlineStr">
        <is>
          <t>EEHWG24E0219165</t>
        </is>
      </c>
      <c r="D269" s="30" t="n">
        <v>1</v>
      </c>
      <c r="F269" s="25" t="n"/>
      <c r="G269" s="29" t="n"/>
      <c r="H269" s="29" t="n"/>
    </row>
    <row r="270" ht="18.95" customHeight="1" s="49">
      <c r="A270" s="33" t="inlineStr">
        <is>
          <t>H004</t>
        </is>
      </c>
      <c r="B270" s="33" t="inlineStr">
        <is>
          <t>HANGER</t>
        </is>
      </c>
      <c r="C270" s="33" t="inlineStr">
        <is>
          <t>EEOMG25B0119165</t>
        </is>
      </c>
      <c r="D270" s="30" t="n">
        <v>1</v>
      </c>
      <c r="F270" s="25" t="n"/>
      <c r="G270" s="29" t="n"/>
      <c r="H270" s="29" t="n"/>
    </row>
    <row r="271" ht="18.95" customHeight="1" s="49">
      <c r="A271" s="33" t="inlineStr">
        <is>
          <t>H004</t>
        </is>
      </c>
      <c r="B271" s="33" t="inlineStr">
        <is>
          <t>HANGER</t>
        </is>
      </c>
      <c r="C271" s="33" t="inlineStr">
        <is>
          <t>EEOMG25B0119160</t>
        </is>
      </c>
      <c r="D271" s="30" t="n">
        <v>1</v>
      </c>
      <c r="F271" s="25" t="n"/>
      <c r="G271" s="29" t="n"/>
      <c r="H271" s="29" t="n"/>
    </row>
    <row r="272" ht="18.95" customHeight="1" s="49">
      <c r="A272" s="33" t="inlineStr">
        <is>
          <t>H004</t>
        </is>
      </c>
      <c r="B272" s="33" t="inlineStr">
        <is>
          <t>HANGER</t>
        </is>
      </c>
      <c r="C272" s="33" t="inlineStr">
        <is>
          <t>EEWHG25E5259160</t>
        </is>
      </c>
      <c r="D272" s="30" t="n">
        <v>1</v>
      </c>
      <c r="F272" s="25" t="n"/>
      <c r="G272" s="29" t="n"/>
      <c r="H272" s="29" t="n"/>
    </row>
    <row r="273" ht="18.95" customHeight="1" s="49">
      <c r="A273" s="33" t="inlineStr">
        <is>
          <t>H004</t>
        </is>
      </c>
      <c r="B273" s="33" t="inlineStr">
        <is>
          <t>HANGER</t>
        </is>
      </c>
      <c r="C273" s="33" t="inlineStr">
        <is>
          <t>EEWHG25E5259165</t>
        </is>
      </c>
      <c r="D273" s="30" t="n">
        <v>1</v>
      </c>
      <c r="F273" s="25" t="n"/>
      <c r="G273" s="29" t="n"/>
      <c r="H273" s="29" t="n"/>
    </row>
    <row r="274" ht="18.95" customHeight="1" s="49">
      <c r="A274" s="33" t="inlineStr">
        <is>
          <t>H004</t>
        </is>
      </c>
      <c r="B274" s="33" t="inlineStr">
        <is>
          <t>HANGER</t>
        </is>
      </c>
      <c r="C274" s="33" t="inlineStr">
        <is>
          <t>EERSG25B0119160</t>
        </is>
      </c>
      <c r="D274" s="30" t="n">
        <v>1</v>
      </c>
      <c r="F274" s="25" t="n"/>
      <c r="G274" s="29" t="n"/>
      <c r="H274" s="29" t="n"/>
    </row>
    <row r="275" ht="18.95" customHeight="1" s="49">
      <c r="A275" s="33" t="inlineStr">
        <is>
          <t>H004</t>
        </is>
      </c>
      <c r="B275" s="33" t="inlineStr">
        <is>
          <t>HANGER</t>
        </is>
      </c>
      <c r="C275" s="33" t="inlineStr">
        <is>
          <t>EERSG25B0119165</t>
        </is>
      </c>
      <c r="D275" s="30" t="n">
        <v>1</v>
      </c>
      <c r="F275" s="25" t="n"/>
      <c r="G275" s="29" t="n"/>
      <c r="H275" s="29" t="n"/>
    </row>
    <row r="276" ht="18.95" customHeight="1" s="49">
      <c r="A276" s="33" t="inlineStr">
        <is>
          <t>H004</t>
        </is>
      </c>
      <c r="B276" s="33" t="inlineStr">
        <is>
          <t>HANGER</t>
        </is>
      </c>
      <c r="C276" s="33" t="inlineStr">
        <is>
          <t>EERAG25E0259160</t>
        </is>
      </c>
      <c r="D276" s="30" t="n">
        <v>1</v>
      </c>
      <c r="F276" s="25" t="n"/>
      <c r="G276" s="29" t="n"/>
      <c r="H276" s="29" t="n"/>
    </row>
    <row r="277" ht="18.95" customHeight="1" s="49">
      <c r="A277" s="33" t="inlineStr">
        <is>
          <t>H004</t>
        </is>
      </c>
      <c r="B277" s="33" t="inlineStr">
        <is>
          <t>HANGER</t>
        </is>
      </c>
      <c r="C277" s="33" t="inlineStr">
        <is>
          <t>EERAG25E0259165</t>
        </is>
      </c>
      <c r="D277" s="30" t="n">
        <v>1</v>
      </c>
      <c r="F277" s="25" t="n"/>
      <c r="G277" s="29" t="n"/>
      <c r="H277" s="29" t="n"/>
    </row>
    <row r="278" ht="18.95" customHeight="1" s="49">
      <c r="A278" s="33" t="inlineStr">
        <is>
          <t>H004</t>
        </is>
      </c>
      <c r="B278" s="33" t="inlineStr">
        <is>
          <t>HANGER</t>
        </is>
      </c>
      <c r="C278" s="33" t="inlineStr">
        <is>
          <t>EETHG25E0159165</t>
        </is>
      </c>
      <c r="D278" s="30" t="n">
        <v>1</v>
      </c>
      <c r="F278" s="25" t="n"/>
      <c r="G278" s="29" t="n"/>
      <c r="H278" s="29" t="n"/>
    </row>
    <row r="279" ht="18.95" customHeight="1" s="49">
      <c r="A279" s="33" t="inlineStr">
        <is>
          <t>H004</t>
        </is>
      </c>
      <c r="B279" s="33" t="inlineStr">
        <is>
          <t>HANGER</t>
        </is>
      </c>
      <c r="C279" s="33" t="inlineStr">
        <is>
          <t>EETHG25E0159160</t>
        </is>
      </c>
      <c r="D279" s="30" t="n">
        <v>1</v>
      </c>
      <c r="F279" s="25" t="n"/>
      <c r="G279" s="29" t="n"/>
      <c r="H279" s="29" t="n"/>
    </row>
    <row r="280" ht="18.95" customHeight="1" s="49">
      <c r="A280" s="33" t="inlineStr">
        <is>
          <t>H004</t>
        </is>
      </c>
      <c r="B280" s="33" t="inlineStr">
        <is>
          <t>HANGER</t>
        </is>
      </c>
      <c r="C280" s="33" t="inlineStr">
        <is>
          <t>EERAG25E0117165</t>
        </is>
      </c>
      <c r="D280" s="30" t="n">
        <v>1</v>
      </c>
      <c r="F280" s="25" t="n"/>
      <c r="G280" s="29" t="n"/>
      <c r="H280" s="29" t="n"/>
    </row>
    <row r="281" ht="18.95" customHeight="1" s="49">
      <c r="A281" s="33" t="inlineStr">
        <is>
          <t>H004</t>
        </is>
      </c>
      <c r="B281" s="33" t="inlineStr">
        <is>
          <t>HANGER</t>
        </is>
      </c>
      <c r="C281" s="33" t="inlineStr">
        <is>
          <t>EERAG25E0151165</t>
        </is>
      </c>
      <c r="D281" s="30" t="n">
        <v>1</v>
      </c>
      <c r="F281" s="25" t="n"/>
      <c r="G281" s="29" t="n"/>
      <c r="H281" s="29" t="n"/>
    </row>
    <row r="282" ht="18.95" customHeight="1" s="49">
      <c r="A282" s="33" t="inlineStr">
        <is>
          <t>H004</t>
        </is>
      </c>
      <c r="B282" s="33" t="inlineStr">
        <is>
          <t>HANGER</t>
        </is>
      </c>
      <c r="C282" s="33" t="inlineStr">
        <is>
          <t>EERAG25B0151160</t>
        </is>
      </c>
      <c r="D282" s="30" t="n">
        <v>1</v>
      </c>
      <c r="F282" s="25" t="n"/>
      <c r="G282" s="29" t="n"/>
      <c r="H282" s="29" t="n"/>
    </row>
    <row r="283" ht="18.95" customHeight="1" s="49">
      <c r="A283" s="33" t="inlineStr">
        <is>
          <t>H004</t>
        </is>
      </c>
      <c r="B283" s="33" t="inlineStr">
        <is>
          <t>HANGER</t>
        </is>
      </c>
      <c r="C283" s="33" t="inlineStr">
        <is>
          <t>EERAG25E0117160</t>
        </is>
      </c>
      <c r="D283" s="30" t="n">
        <v>1</v>
      </c>
      <c r="F283" s="25" t="n"/>
      <c r="G283" s="29" t="n"/>
      <c r="H283" s="29" t="n"/>
    </row>
    <row r="284" ht="18.95" customHeight="1" s="49">
      <c r="A284" s="33" t="inlineStr">
        <is>
          <t>H004</t>
        </is>
      </c>
      <c r="B284" s="33" t="inlineStr">
        <is>
          <t>HANGER</t>
        </is>
      </c>
      <c r="C284" s="33" t="inlineStr">
        <is>
          <t>EEWHG25E0351165</t>
        </is>
      </c>
      <c r="D284" s="30" t="n">
        <v>1</v>
      </c>
      <c r="F284" s="25" t="n"/>
      <c r="G284" s="29" t="n"/>
      <c r="H284" s="29" t="n"/>
    </row>
    <row r="285" ht="18.95" customHeight="1" s="49">
      <c r="A285" s="33" t="inlineStr">
        <is>
          <t>H004</t>
        </is>
      </c>
      <c r="B285" s="33" t="inlineStr">
        <is>
          <t>HANGER</t>
        </is>
      </c>
      <c r="C285" s="33" t="inlineStr">
        <is>
          <t>EEWHG25E0351155</t>
        </is>
      </c>
      <c r="D285" s="30" t="n">
        <v>1</v>
      </c>
      <c r="F285" s="25" t="n"/>
      <c r="G285" s="29" t="n"/>
      <c r="H285" s="29" t="n"/>
    </row>
    <row r="286" ht="18.95" customHeight="1" s="49">
      <c r="A286" s="33" t="inlineStr">
        <is>
          <t>H004</t>
        </is>
      </c>
      <c r="B286" s="33" t="inlineStr">
        <is>
          <t>HANGER</t>
        </is>
      </c>
      <c r="C286" s="33" t="inlineStr">
        <is>
          <t>EEOWG25E0259160</t>
        </is>
      </c>
      <c r="D286" s="30" t="n">
        <v>1</v>
      </c>
      <c r="F286" s="25" t="n"/>
      <c r="G286" s="29" t="n"/>
      <c r="H286" s="29" t="n"/>
    </row>
    <row r="287" ht="18.95" customHeight="1" s="49">
      <c r="A287" s="33" t="inlineStr">
        <is>
          <t>H004</t>
        </is>
      </c>
      <c r="B287" s="33" t="inlineStr">
        <is>
          <t>HANGER</t>
        </is>
      </c>
      <c r="C287" s="33" t="inlineStr">
        <is>
          <t>EEOWG25E0259165</t>
        </is>
      </c>
      <c r="D287" s="30" t="n">
        <v>1</v>
      </c>
      <c r="F287" s="25" t="n"/>
      <c r="G287" s="29" t="n"/>
      <c r="H287" s="29" t="n"/>
    </row>
    <row r="288" ht="18.95" customHeight="1" s="49">
      <c r="A288" s="33" t="inlineStr">
        <is>
          <t>H004</t>
        </is>
      </c>
      <c r="B288" s="33" t="inlineStr">
        <is>
          <t>HANGER</t>
        </is>
      </c>
      <c r="C288" s="33" t="inlineStr">
        <is>
          <t>EEYAG25B0151160</t>
        </is>
      </c>
      <c r="D288" s="30" t="n">
        <v>1</v>
      </c>
      <c r="F288" s="25" t="n"/>
      <c r="G288" s="29" t="n"/>
      <c r="H288" s="29" t="n"/>
    </row>
    <row r="289" ht="18.95" customHeight="1" s="49">
      <c r="A289" s="33" t="inlineStr">
        <is>
          <t>H004</t>
        </is>
      </c>
      <c r="B289" s="33" t="inlineStr">
        <is>
          <t>HANGER</t>
        </is>
      </c>
      <c r="C289" s="33" t="inlineStr">
        <is>
          <t>EEYAG25B0151165</t>
        </is>
      </c>
      <c r="D289" s="30" t="n">
        <v>1</v>
      </c>
      <c r="F289" s="25" t="n"/>
      <c r="G289" s="29" t="n"/>
      <c r="H289" s="29" t="n"/>
    </row>
    <row r="290" ht="18.95" customHeight="1" s="49">
      <c r="A290" s="33" t="inlineStr">
        <is>
          <t>H004</t>
        </is>
      </c>
      <c r="B290" s="33" t="inlineStr">
        <is>
          <t>HANGER</t>
        </is>
      </c>
      <c r="C290" s="33" t="inlineStr">
        <is>
          <t>EETHG25E0164160</t>
        </is>
      </c>
      <c r="D290" s="30" t="n">
        <v>1</v>
      </c>
      <c r="F290" s="25" t="n"/>
      <c r="G290" s="29" t="n"/>
      <c r="H290" s="29" t="n"/>
    </row>
    <row r="291" ht="18.95" customHeight="1" s="49">
      <c r="A291" s="33" t="inlineStr">
        <is>
          <t>H004</t>
        </is>
      </c>
      <c r="B291" s="33" t="inlineStr">
        <is>
          <t>HANGER</t>
        </is>
      </c>
      <c r="C291" s="33" t="inlineStr">
        <is>
          <t>EETHG25E0164165</t>
        </is>
      </c>
      <c r="D291" s="30" t="n">
        <v>1</v>
      </c>
      <c r="F291" s="25" t="n"/>
      <c r="G291" s="29" t="n"/>
      <c r="H291" s="29" t="n"/>
    </row>
    <row r="292" ht="18.95" customHeight="1" s="49">
      <c r="A292" s="33" t="inlineStr">
        <is>
          <t>H004</t>
        </is>
      </c>
      <c r="B292" s="33" t="inlineStr">
        <is>
          <t>HANGER</t>
        </is>
      </c>
      <c r="C292" s="33" t="inlineStr">
        <is>
          <t>EEYWG25E0350160</t>
        </is>
      </c>
      <c r="D292" s="30" t="n">
        <v>1</v>
      </c>
      <c r="F292" s="25" t="n"/>
      <c r="G292" s="29" t="n"/>
      <c r="H292" s="29" t="n"/>
    </row>
    <row r="293" ht="18.95" customHeight="1" s="49">
      <c r="A293" s="33" t="inlineStr">
        <is>
          <t>H004</t>
        </is>
      </c>
      <c r="B293" s="33" t="inlineStr">
        <is>
          <t>HANGER</t>
        </is>
      </c>
      <c r="C293" s="33" t="inlineStr">
        <is>
          <t>EEYWG25E0350160</t>
        </is>
      </c>
      <c r="D293" s="30" t="n">
        <v>1</v>
      </c>
      <c r="F293" s="25" t="n"/>
      <c r="G293" s="29" t="n"/>
      <c r="H293" s="29" t="n"/>
    </row>
    <row r="294" ht="18.95" customHeight="1" s="49">
      <c r="A294" s="33" t="inlineStr">
        <is>
          <t>H005</t>
        </is>
      </c>
      <c r="B294" s="33" t="inlineStr">
        <is>
          <t>HANGER</t>
        </is>
      </c>
      <c r="C294" s="33" t="inlineStr">
        <is>
          <t>EETJG24E0455028</t>
        </is>
      </c>
      <c r="D294" s="30" t="n">
        <v>1</v>
      </c>
      <c r="E294" s="36" t="n"/>
      <c r="F294" s="25" t="n"/>
      <c r="G294" s="29" t="n"/>
      <c r="H294" s="29" t="n"/>
    </row>
    <row r="295" ht="18.95" customHeight="1" s="49">
      <c r="A295" s="33" t="inlineStr">
        <is>
          <t>H005</t>
        </is>
      </c>
      <c r="B295" s="33" t="inlineStr">
        <is>
          <t>HANGER</t>
        </is>
      </c>
      <c r="C295" s="33" t="inlineStr">
        <is>
          <t>EEYWG23E0151160</t>
        </is>
      </c>
      <c r="D295" s="30" t="n">
        <v>1</v>
      </c>
      <c r="F295" s="25" t="n"/>
      <c r="G295" s="29" t="n"/>
      <c r="H295" s="29" t="n"/>
    </row>
    <row r="296" ht="18.95" customHeight="1" s="49">
      <c r="A296" s="33" t="inlineStr">
        <is>
          <t>H005</t>
        </is>
      </c>
      <c r="B296" s="33" t="inlineStr">
        <is>
          <t>HANGER</t>
        </is>
      </c>
      <c r="C296" s="33" t="inlineStr">
        <is>
          <t>EERAG24E0239160</t>
        </is>
      </c>
      <c r="D296" s="30" t="n">
        <v>1</v>
      </c>
      <c r="F296" s="25" t="n"/>
      <c r="G296" s="29" t="n"/>
      <c r="H296" s="29" t="n"/>
    </row>
    <row r="297" ht="18.95" customHeight="1" s="49">
      <c r="A297" s="33" t="inlineStr">
        <is>
          <t>H005</t>
        </is>
      </c>
      <c r="B297" s="33" t="inlineStr">
        <is>
          <t>HANGER</t>
        </is>
      </c>
      <c r="C297" s="33" t="inlineStr">
        <is>
          <t>EEWHG24E0515170</t>
        </is>
      </c>
      <c r="D297" s="30" t="n">
        <v>1</v>
      </c>
      <c r="F297" s="25" t="n"/>
      <c r="G297" s="29" t="n"/>
      <c r="H297" s="29" t="n"/>
    </row>
    <row r="298" ht="18.95" customHeight="1" s="49">
      <c r="A298" s="33" t="inlineStr">
        <is>
          <t>H005</t>
        </is>
      </c>
      <c r="B298" s="33" t="inlineStr">
        <is>
          <t>HANGER</t>
        </is>
      </c>
      <c r="C298" s="33" t="inlineStr">
        <is>
          <t>EETAG24B0336165</t>
        </is>
      </c>
      <c r="D298" s="30" t="n">
        <v>1</v>
      </c>
      <c r="F298" s="25" t="n"/>
      <c r="G298" s="29" t="n"/>
      <c r="H298" s="29" t="n"/>
    </row>
    <row r="299" ht="18.95" customHeight="1" s="49">
      <c r="A299" s="33" t="inlineStr">
        <is>
          <t>H005</t>
        </is>
      </c>
      <c r="B299" s="33" t="inlineStr">
        <is>
          <t>HANGER</t>
        </is>
      </c>
      <c r="C299" s="33" t="inlineStr">
        <is>
          <t>EERSG23E0159165</t>
        </is>
      </c>
      <c r="D299" s="30" t="n">
        <v>1</v>
      </c>
      <c r="F299" s="25" t="n"/>
      <c r="G299" s="29" t="n"/>
      <c r="H299" s="29" t="n"/>
    </row>
    <row r="300" ht="18.95" customHeight="1" s="49">
      <c r="A300" s="33" t="inlineStr">
        <is>
          <t>H005</t>
        </is>
      </c>
      <c r="B300" s="33" t="inlineStr">
        <is>
          <t>HANGER</t>
        </is>
      </c>
      <c r="C300" s="33" t="inlineStr">
        <is>
          <t>EERSG23E0159160</t>
        </is>
      </c>
      <c r="D300" s="30" t="n">
        <v>1</v>
      </c>
      <c r="F300" s="25" t="n"/>
      <c r="G300" s="29" t="n"/>
      <c r="H300" s="29" t="n"/>
    </row>
    <row r="301" ht="18.95" customHeight="1" s="49">
      <c r="A301" s="33" t="inlineStr">
        <is>
          <t>H005</t>
        </is>
      </c>
      <c r="B301" s="33" t="inlineStr">
        <is>
          <t>HANGER</t>
        </is>
      </c>
      <c r="C301" s="33" t="inlineStr">
        <is>
          <t>EETMG25B5164160</t>
        </is>
      </c>
      <c r="D301" s="30" t="n">
        <v>1</v>
      </c>
      <c r="F301" s="25" t="n"/>
      <c r="G301" s="29" t="n"/>
      <c r="H301" s="29" t="n"/>
    </row>
    <row r="302" ht="18.95" customHeight="1" s="49">
      <c r="A302" s="33" t="inlineStr">
        <is>
          <t>H005</t>
        </is>
      </c>
      <c r="B302" s="33" t="inlineStr">
        <is>
          <t>HANGER</t>
        </is>
      </c>
      <c r="C302" s="33" t="inlineStr">
        <is>
          <t>EETMD25B5084165</t>
        </is>
      </c>
      <c r="D302" s="30" t="n">
        <v>1</v>
      </c>
      <c r="F302" s="25" t="n"/>
      <c r="G302" s="29" t="n"/>
      <c r="H302" s="29" t="n"/>
    </row>
    <row r="303" ht="18.95" customHeight="1" s="49">
      <c r="A303" s="33" t="inlineStr">
        <is>
          <t>H005</t>
        </is>
      </c>
      <c r="B303" s="33" t="inlineStr">
        <is>
          <t>HANGER</t>
        </is>
      </c>
      <c r="C303" s="33" t="inlineStr">
        <is>
          <t>EERAG24B0618160</t>
        </is>
      </c>
      <c r="D303" s="30" t="n">
        <v>1</v>
      </c>
      <c r="F303" s="25" t="n"/>
      <c r="G303" s="29" t="n"/>
      <c r="H303" s="29" t="n"/>
    </row>
    <row r="304" ht="18.95" customHeight="1" s="49">
      <c r="A304" s="33" t="inlineStr">
        <is>
          <t>H005</t>
        </is>
      </c>
      <c r="B304" s="33" t="inlineStr">
        <is>
          <t>HANGER</t>
        </is>
      </c>
      <c r="C304" s="33" t="inlineStr">
        <is>
          <t>EERAG24B0618165</t>
        </is>
      </c>
      <c r="D304" s="30" t="n">
        <v>1</v>
      </c>
      <c r="F304" s="25" t="n"/>
      <c r="G304" s="29" t="n"/>
      <c r="H304" s="29" t="n"/>
    </row>
    <row r="305" ht="18.95" customHeight="1" s="49">
      <c r="A305" s="33" t="inlineStr">
        <is>
          <t>H005</t>
        </is>
      </c>
      <c r="B305" s="33" t="inlineStr">
        <is>
          <t>HANGER</t>
        </is>
      </c>
      <c r="C305" s="33" t="inlineStr">
        <is>
          <t>EERAG24B0659160</t>
        </is>
      </c>
      <c r="D305" s="30" t="n">
        <v>1</v>
      </c>
      <c r="F305" s="25" t="n"/>
      <c r="G305" s="29" t="n"/>
      <c r="H305" s="29" t="n"/>
    </row>
    <row r="306" ht="18.95" customHeight="1" s="49">
      <c r="A306" s="33" t="inlineStr">
        <is>
          <t>H005</t>
        </is>
      </c>
      <c r="B306" s="33" t="inlineStr">
        <is>
          <t>HANGER</t>
        </is>
      </c>
      <c r="C306" s="33" t="inlineStr">
        <is>
          <t>EERAG24B0659165</t>
        </is>
      </c>
      <c r="D306" s="30" t="n">
        <v>1</v>
      </c>
      <c r="F306" s="25" t="n"/>
      <c r="G306" s="29" t="n"/>
      <c r="H306" s="29" t="n"/>
    </row>
    <row r="307" ht="18.95" customHeight="1" s="49">
      <c r="A307" s="33" t="inlineStr">
        <is>
          <t>H005</t>
        </is>
      </c>
      <c r="B307" s="33" t="inlineStr">
        <is>
          <t>HANGER</t>
        </is>
      </c>
      <c r="C307" s="33" t="inlineStr">
        <is>
          <t>EETMG25B5117160</t>
        </is>
      </c>
      <c r="D307" s="30" t="n">
        <v>1</v>
      </c>
      <c r="F307" s="25" t="n"/>
      <c r="G307" s="29" t="n"/>
      <c r="H307" s="29" t="n"/>
    </row>
    <row r="308" ht="18.95" customHeight="1" s="49">
      <c r="A308" s="33" t="inlineStr">
        <is>
          <t>H005</t>
        </is>
      </c>
      <c r="B308" s="33" t="inlineStr">
        <is>
          <t>HANGER</t>
        </is>
      </c>
      <c r="C308" s="33" t="inlineStr">
        <is>
          <t>EETMG25B5117165</t>
        </is>
      </c>
      <c r="D308" s="30" t="n">
        <v>1</v>
      </c>
      <c r="F308" s="25" t="n"/>
      <c r="G308" s="29" t="n"/>
      <c r="H308" s="29" t="n"/>
    </row>
    <row r="309" ht="18.95" customHeight="1" s="49">
      <c r="A309" s="33" t="inlineStr">
        <is>
          <t>H005</t>
        </is>
      </c>
      <c r="B309" s="33" t="inlineStr">
        <is>
          <t>HANGER</t>
        </is>
      </c>
      <c r="C309" s="33" t="inlineStr">
        <is>
          <t>EEKWG25E0139165</t>
        </is>
      </c>
      <c r="D309" s="30" t="n">
        <v>1</v>
      </c>
      <c r="F309" s="25" t="n"/>
      <c r="G309" s="29" t="n"/>
      <c r="H309" s="29" t="n"/>
    </row>
    <row r="310" ht="18.95" customHeight="1" s="49">
      <c r="A310" s="33" t="inlineStr">
        <is>
          <t>H005</t>
        </is>
      </c>
      <c r="B310" s="33" t="inlineStr">
        <is>
          <t>HANGER</t>
        </is>
      </c>
      <c r="C310" s="33" t="inlineStr">
        <is>
          <t>EEKWG25E0139160</t>
        </is>
      </c>
      <c r="D310" s="30" t="n">
        <v>1</v>
      </c>
      <c r="F310" s="25" t="n"/>
      <c r="G310" s="29" t="n"/>
      <c r="H310" s="29" t="n"/>
    </row>
    <row r="311" ht="18.95" customHeight="1" s="49">
      <c r="A311" s="33" t="inlineStr">
        <is>
          <t>H005</t>
        </is>
      </c>
      <c r="B311" s="33" t="inlineStr">
        <is>
          <t>HANGER</t>
        </is>
      </c>
      <c r="C311" s="33" t="inlineStr">
        <is>
          <t>EERAG24B0518165</t>
        </is>
      </c>
      <c r="D311" s="30" t="n">
        <v>1</v>
      </c>
      <c r="F311" s="25" t="n"/>
      <c r="G311" s="29" t="n"/>
      <c r="H311" s="29" t="n"/>
    </row>
    <row r="312" ht="18.95" customHeight="1" s="49">
      <c r="A312" s="33" t="inlineStr">
        <is>
          <t>H005</t>
        </is>
      </c>
      <c r="B312" s="33" t="inlineStr">
        <is>
          <t>HANGER</t>
        </is>
      </c>
      <c r="C312" s="33" t="inlineStr">
        <is>
          <t>EERAG24B0518170</t>
        </is>
      </c>
      <c r="D312" s="30" t="n">
        <v>1</v>
      </c>
      <c r="F312" s="25" t="n"/>
      <c r="G312" s="29" t="n"/>
      <c r="H312" s="29" t="n"/>
    </row>
    <row r="313" ht="18.95" customHeight="1" s="49">
      <c r="A313" s="33" t="inlineStr">
        <is>
          <t>H005</t>
        </is>
      </c>
      <c r="B313" s="33" t="inlineStr">
        <is>
          <t>HANGER</t>
        </is>
      </c>
      <c r="C313" s="33" t="inlineStr">
        <is>
          <t>EELAG23B0192660</t>
        </is>
      </c>
      <c r="D313" s="30" t="n">
        <v>1</v>
      </c>
      <c r="F313" s="25" t="n"/>
      <c r="G313" s="29" t="n"/>
      <c r="H313" s="29" t="n"/>
    </row>
    <row r="314" ht="18.95" customHeight="1" s="49">
      <c r="A314" s="33" t="inlineStr">
        <is>
          <t>H005</t>
        </is>
      </c>
      <c r="B314" s="33" t="inlineStr">
        <is>
          <t>HANGER</t>
        </is>
      </c>
      <c r="C314" s="33" t="inlineStr">
        <is>
          <t>EERAG23E0239165</t>
        </is>
      </c>
      <c r="D314" s="30" t="n">
        <v>1</v>
      </c>
      <c r="F314" s="25" t="n"/>
      <c r="G314" s="29" t="n"/>
      <c r="H314" s="29" t="n"/>
    </row>
    <row r="315" ht="18.95" customHeight="1" s="49">
      <c r="A315" s="33" t="inlineStr">
        <is>
          <t>H005</t>
        </is>
      </c>
      <c r="B315" s="33" t="inlineStr">
        <is>
          <t>HANGER</t>
        </is>
      </c>
      <c r="C315" s="33" t="inlineStr">
        <is>
          <t>EERAG23E0239165</t>
        </is>
      </c>
      <c r="D315" s="30" t="n">
        <v>1</v>
      </c>
      <c r="F315" s="25" t="n"/>
      <c r="G315" s="29" t="n"/>
      <c r="H315" s="29" t="n"/>
    </row>
    <row r="316" ht="18.95" customHeight="1" s="49">
      <c r="A316" s="33" t="inlineStr">
        <is>
          <t>H005</t>
        </is>
      </c>
      <c r="B316" s="33" t="inlineStr">
        <is>
          <t>HANGER</t>
        </is>
      </c>
      <c r="C316" s="33" t="inlineStr">
        <is>
          <t>EERNG24B0159160</t>
        </is>
      </c>
      <c r="D316" s="30" t="n">
        <v>1</v>
      </c>
      <c r="F316" s="25" t="n"/>
      <c r="G316" s="29" t="n"/>
      <c r="H316" s="29" t="n"/>
    </row>
    <row r="317" ht="18.95" customHeight="1" s="49">
      <c r="A317" s="33" t="inlineStr">
        <is>
          <t>H005</t>
        </is>
      </c>
      <c r="B317" s="33" t="inlineStr">
        <is>
          <t>HANGER</t>
        </is>
      </c>
      <c r="C317" s="33" t="inlineStr">
        <is>
          <t>EERNG24B0118160</t>
        </is>
      </c>
      <c r="D317" s="30" t="n">
        <v>1</v>
      </c>
      <c r="F317" s="25" t="n"/>
      <c r="G317" s="29" t="n"/>
      <c r="H317" s="29" t="n"/>
    </row>
    <row r="318" ht="18.95" customHeight="1" s="49">
      <c r="A318" s="33" t="inlineStr">
        <is>
          <t>H005</t>
        </is>
      </c>
      <c r="B318" s="33" t="inlineStr">
        <is>
          <t>HANGER</t>
        </is>
      </c>
      <c r="C318" s="33" t="inlineStr">
        <is>
          <t>EERNG24B0159165</t>
        </is>
      </c>
      <c r="D318" s="30" t="n">
        <v>1</v>
      </c>
      <c r="F318" s="25" t="n"/>
      <c r="G318" s="29" t="n"/>
      <c r="H318" s="29" t="n"/>
    </row>
    <row r="319" ht="18.95" customHeight="1" s="49">
      <c r="A319" s="33" t="inlineStr">
        <is>
          <t>H005</t>
        </is>
      </c>
      <c r="B319" s="33" t="inlineStr">
        <is>
          <t>HANGER</t>
        </is>
      </c>
      <c r="C319" s="33" t="inlineStr">
        <is>
          <t>EERNG24B0118165</t>
        </is>
      </c>
      <c r="D319" s="30" t="n">
        <v>1</v>
      </c>
      <c r="F319" s="25" t="n"/>
      <c r="G319" s="29" t="n"/>
      <c r="H319" s="29" t="n"/>
    </row>
    <row r="320" ht="18.95" customHeight="1" s="49">
      <c r="A320" s="33" t="inlineStr">
        <is>
          <t>H005</t>
        </is>
      </c>
      <c r="B320" s="33" t="inlineStr">
        <is>
          <t>HANGER</t>
        </is>
      </c>
      <c r="C320" s="33" t="inlineStr">
        <is>
          <t>EETAG24E0459165</t>
        </is>
      </c>
      <c r="D320" s="30" t="n">
        <v>1</v>
      </c>
      <c r="F320" s="25" t="n"/>
      <c r="G320" s="29" t="n"/>
      <c r="H320" s="29" t="n"/>
    </row>
    <row r="321" ht="18.95" customHeight="1" s="49">
      <c r="A321" s="33" t="inlineStr">
        <is>
          <t>H005</t>
        </is>
      </c>
      <c r="B321" s="33" t="inlineStr">
        <is>
          <t>HANGER</t>
        </is>
      </c>
      <c r="C321" s="33" t="inlineStr">
        <is>
          <t>EETAG24E0459160</t>
        </is>
      </c>
      <c r="D321" s="30" t="n">
        <v>1</v>
      </c>
      <c r="F321" s="25" t="n"/>
      <c r="G321" s="29" t="n"/>
      <c r="H321" s="29" t="n"/>
    </row>
    <row r="322" ht="18.95" customHeight="1" s="49">
      <c r="A322" s="33" t="inlineStr">
        <is>
          <t>H005</t>
        </is>
      </c>
      <c r="B322" s="33" t="inlineStr">
        <is>
          <t>HANGER</t>
        </is>
      </c>
      <c r="C322" s="33" t="inlineStr">
        <is>
          <t>EERAG24E0215165</t>
        </is>
      </c>
      <c r="D322" s="30" t="n">
        <v>1</v>
      </c>
      <c r="F322" s="25" t="n"/>
      <c r="G322" s="29" t="n"/>
      <c r="H322" s="29" t="n"/>
    </row>
    <row r="323" ht="18.95" customHeight="1" s="49">
      <c r="A323" s="33" t="inlineStr">
        <is>
          <t>H005</t>
        </is>
      </c>
      <c r="B323" s="33" t="inlineStr">
        <is>
          <t>HANGER</t>
        </is>
      </c>
      <c r="C323" s="33" t="inlineStr">
        <is>
          <t>EERAG24E0215160</t>
        </is>
      </c>
      <c r="D323" s="30" t="n">
        <v>1</v>
      </c>
      <c r="F323" s="25" t="n"/>
      <c r="G323" s="29" t="n"/>
      <c r="H323" s="29" t="n"/>
    </row>
    <row r="324" ht="18.95" customHeight="1" s="49">
      <c r="A324" s="33" t="inlineStr">
        <is>
          <t>H005</t>
        </is>
      </c>
      <c r="B324" s="33" t="inlineStr">
        <is>
          <t>HANGER</t>
        </is>
      </c>
      <c r="C324" s="33" t="inlineStr">
        <is>
          <t>EETAG24E0415160</t>
        </is>
      </c>
      <c r="D324" s="30" t="n">
        <v>1</v>
      </c>
      <c r="F324" s="25" t="n"/>
      <c r="G324" s="29" t="n"/>
      <c r="H324" s="29" t="n"/>
    </row>
    <row r="325" ht="18.95" customHeight="1" s="49">
      <c r="A325" s="33" t="inlineStr">
        <is>
          <t>H005</t>
        </is>
      </c>
      <c r="B325" s="33" t="inlineStr">
        <is>
          <t>HANGER</t>
        </is>
      </c>
      <c r="C325" s="33" t="inlineStr">
        <is>
          <t>EETAG24E0415165</t>
        </is>
      </c>
      <c r="D325" s="30" t="n">
        <v>1</v>
      </c>
      <c r="F325" s="25" t="n"/>
      <c r="G325" s="29" t="n"/>
      <c r="H325" s="29" t="n"/>
    </row>
    <row r="326" ht="18.95" customHeight="1" s="49">
      <c r="A326" s="33" t="inlineStr">
        <is>
          <t>H005</t>
        </is>
      </c>
      <c r="B326" s="33" t="inlineStr">
        <is>
          <t>HANGER</t>
        </is>
      </c>
      <c r="C326" s="33" t="inlineStr">
        <is>
          <t>EERAG24E0251160</t>
        </is>
      </c>
      <c r="D326" s="30" t="n">
        <v>1</v>
      </c>
      <c r="F326" s="25" t="n"/>
      <c r="G326" s="29" t="n"/>
      <c r="H326" s="29" t="n"/>
    </row>
    <row r="327" ht="18.95" customHeight="1" s="49">
      <c r="A327" s="33" t="inlineStr">
        <is>
          <t>H005</t>
        </is>
      </c>
      <c r="B327" s="33" t="inlineStr">
        <is>
          <t>HANGER</t>
        </is>
      </c>
      <c r="C327" s="33" t="inlineStr">
        <is>
          <t>EERAG24E0251165</t>
        </is>
      </c>
      <c r="D327" s="30" t="n">
        <v>1</v>
      </c>
      <c r="F327" s="25" t="n"/>
      <c r="G327" s="29" t="n"/>
      <c r="H327" s="29" t="n"/>
    </row>
    <row r="328" ht="18.95" customHeight="1" s="49">
      <c r="A328" s="33" t="inlineStr">
        <is>
          <t>H005</t>
        </is>
      </c>
      <c r="B328" s="33" t="inlineStr">
        <is>
          <t>HANGER</t>
        </is>
      </c>
      <c r="C328" s="33" t="inlineStr">
        <is>
          <t>EERAG24E0239165</t>
        </is>
      </c>
      <c r="D328" s="30" t="n">
        <v>1</v>
      </c>
      <c r="F328" s="25" t="n"/>
      <c r="G328" s="29" t="n"/>
      <c r="H328" s="29" t="n"/>
    </row>
    <row r="329" ht="18.95" customHeight="1" s="49">
      <c r="A329" s="33" t="inlineStr">
        <is>
          <t>H005</t>
        </is>
      </c>
      <c r="B329" s="33" t="inlineStr">
        <is>
          <t>HANGER</t>
        </is>
      </c>
      <c r="C329" s="33" t="inlineStr">
        <is>
          <t>EEVKG25E0118160</t>
        </is>
      </c>
      <c r="D329" s="30" t="n">
        <v>1</v>
      </c>
      <c r="F329" s="25" t="n"/>
      <c r="G329" s="29" t="n"/>
      <c r="H329" s="29" t="n"/>
    </row>
    <row r="330" ht="18.95" customHeight="1" s="49">
      <c r="A330" s="33" t="inlineStr">
        <is>
          <t>H005</t>
        </is>
      </c>
      <c r="B330" s="33" t="inlineStr">
        <is>
          <t>HANGER</t>
        </is>
      </c>
      <c r="C330" s="33" t="inlineStr">
        <is>
          <t>EEWHG24E0239160</t>
        </is>
      </c>
      <c r="D330" s="30" t="n">
        <v>1</v>
      </c>
      <c r="F330" s="25" t="n"/>
      <c r="G330" s="29" t="n"/>
      <c r="H330" s="29" t="n"/>
    </row>
    <row r="331" ht="18.95" customHeight="1" s="49">
      <c r="A331" s="33" t="inlineStr">
        <is>
          <t>H005</t>
        </is>
      </c>
      <c r="B331" s="33" t="inlineStr">
        <is>
          <t>HANGER</t>
        </is>
      </c>
      <c r="C331" s="33" t="inlineStr">
        <is>
          <t>EEVKG25E0118165</t>
        </is>
      </c>
      <c r="D331" s="30" t="n">
        <v>1</v>
      </c>
      <c r="F331" s="25" t="n"/>
      <c r="G331" s="29" t="n"/>
      <c r="H331" s="29" t="n"/>
    </row>
    <row r="332" ht="18.95" customHeight="1" s="49">
      <c r="A332" s="33" t="inlineStr">
        <is>
          <t>H005</t>
        </is>
      </c>
      <c r="B332" s="33" t="inlineStr">
        <is>
          <t>HANGER</t>
        </is>
      </c>
      <c r="C332" s="33" t="inlineStr">
        <is>
          <t>EERNG23E0139165</t>
        </is>
      </c>
      <c r="D332" s="30" t="n">
        <v>1</v>
      </c>
      <c r="F332" s="25" t="n"/>
      <c r="G332" s="29" t="n"/>
      <c r="H332" s="29" t="n"/>
    </row>
    <row r="333" ht="18.95" customHeight="1" s="49">
      <c r="A333" s="33" t="inlineStr">
        <is>
          <t>H006</t>
        </is>
      </c>
      <c r="B333" s="33" t="inlineStr">
        <is>
          <t>HANGER</t>
        </is>
      </c>
      <c r="C333" s="33" t="inlineStr">
        <is>
          <t>EELAG23B0239165</t>
        </is>
      </c>
      <c r="D333" s="30" t="n">
        <v>1</v>
      </c>
      <c r="F333" s="25" t="n"/>
      <c r="G333" s="29" t="n"/>
      <c r="H333" s="29" t="n"/>
    </row>
    <row r="334" ht="18.95" customHeight="1" s="49">
      <c r="A334" s="33" t="inlineStr">
        <is>
          <t>H006</t>
        </is>
      </c>
      <c r="B334" s="33" t="inlineStr">
        <is>
          <t>HANGER</t>
        </is>
      </c>
      <c r="C334" s="33" t="inlineStr">
        <is>
          <t>EETCG24E0135160</t>
        </is>
      </c>
      <c r="D334" s="30" t="n">
        <v>1</v>
      </c>
      <c r="F334" s="25" t="n"/>
      <c r="G334" s="29" t="n"/>
      <c r="H334" s="29" t="n"/>
    </row>
    <row r="335" ht="18.95" customHeight="1" s="49">
      <c r="A335" s="33" t="inlineStr">
        <is>
          <t>H006</t>
        </is>
      </c>
      <c r="B335" s="33" t="inlineStr">
        <is>
          <t>HANGER</t>
        </is>
      </c>
      <c r="C335" s="33" t="inlineStr">
        <is>
          <t>EEKWG24E0118170</t>
        </is>
      </c>
      <c r="D335" s="30" t="n">
        <v>1</v>
      </c>
      <c r="F335" s="25" t="n"/>
      <c r="G335" s="29" t="n"/>
      <c r="H335" s="29" t="n"/>
    </row>
    <row r="336" ht="18.95" customHeight="1" s="49">
      <c r="A336" s="33" t="inlineStr">
        <is>
          <t>H006</t>
        </is>
      </c>
      <c r="B336" s="33" t="inlineStr">
        <is>
          <t>HANGER</t>
        </is>
      </c>
      <c r="C336" s="33" t="inlineStr">
        <is>
          <t>EEKWG24E0118160</t>
        </is>
      </c>
      <c r="D336" s="30" t="n">
        <v>1</v>
      </c>
      <c r="F336" s="25" t="n"/>
      <c r="G336" s="29" t="n"/>
      <c r="H336" s="29" t="n"/>
    </row>
    <row r="337" ht="18.95" customHeight="1" s="49">
      <c r="A337" s="33" t="inlineStr">
        <is>
          <t>H006</t>
        </is>
      </c>
      <c r="B337" s="33" t="inlineStr">
        <is>
          <t>HANGER</t>
        </is>
      </c>
      <c r="C337" s="33" t="inlineStr">
        <is>
          <t>EEKWG24E0359160</t>
        </is>
      </c>
      <c r="D337" s="30" t="n">
        <v>1</v>
      </c>
      <c r="F337" s="25" t="n"/>
      <c r="G337" s="29" t="n"/>
      <c r="H337" s="29" t="n"/>
    </row>
    <row r="338" ht="18.95" customHeight="1" s="49">
      <c r="A338" s="33" t="inlineStr">
        <is>
          <t>H006</t>
        </is>
      </c>
      <c r="B338" s="33" t="inlineStr">
        <is>
          <t>HANGER</t>
        </is>
      </c>
      <c r="C338" s="33" t="inlineStr">
        <is>
          <t>EEKWG24E0359165</t>
        </is>
      </c>
      <c r="D338" s="30" t="n">
        <v>1</v>
      </c>
      <c r="F338" s="25" t="n"/>
      <c r="G338" s="29" t="n"/>
      <c r="H338" s="29" t="n"/>
    </row>
    <row r="339" ht="18.95" customHeight="1" s="49">
      <c r="A339" s="33" t="inlineStr">
        <is>
          <t>H006</t>
        </is>
      </c>
      <c r="B339" s="33" t="inlineStr">
        <is>
          <t>HANGER</t>
        </is>
      </c>
      <c r="C339" s="33" t="inlineStr">
        <is>
          <t>EETCG24E0159160</t>
        </is>
      </c>
      <c r="D339" s="30" t="n">
        <v>1</v>
      </c>
      <c r="F339" s="25" t="n"/>
      <c r="G339" s="29" t="n"/>
      <c r="H339" s="29" t="n"/>
    </row>
    <row r="340" ht="18.95" customHeight="1" s="49">
      <c r="A340" s="33" t="inlineStr">
        <is>
          <t>H006</t>
        </is>
      </c>
      <c r="B340" s="33" t="inlineStr">
        <is>
          <t>HANGER</t>
        </is>
      </c>
      <c r="C340" s="33" t="inlineStr">
        <is>
          <t>EETCG24E0159160</t>
        </is>
      </c>
      <c r="D340" s="30" t="n">
        <v>1</v>
      </c>
      <c r="F340" s="25" t="n"/>
      <c r="G340" s="29" t="n"/>
      <c r="H340" s="29" t="n"/>
    </row>
    <row r="341" ht="18.95" customHeight="1" s="49">
      <c r="A341" s="33" t="inlineStr">
        <is>
          <t>H006</t>
        </is>
      </c>
      <c r="B341" s="33" t="inlineStr">
        <is>
          <t>HANGER</t>
        </is>
      </c>
      <c r="C341" s="33" t="inlineStr">
        <is>
          <t>EEKWG24E0318160</t>
        </is>
      </c>
      <c r="D341" s="30" t="n">
        <v>1</v>
      </c>
      <c r="F341" s="25" t="n"/>
      <c r="G341" s="29" t="n"/>
      <c r="H341" s="29" t="n"/>
    </row>
    <row r="342" ht="18.95" customHeight="1" s="49">
      <c r="A342" s="33" t="inlineStr">
        <is>
          <t>H006</t>
        </is>
      </c>
      <c r="B342" s="33" t="inlineStr">
        <is>
          <t>HANGER</t>
        </is>
      </c>
      <c r="C342" s="33" t="inlineStr">
        <is>
          <t>EEKWG24E0318165</t>
        </is>
      </c>
      <c r="D342" s="30" t="n">
        <v>1</v>
      </c>
      <c r="F342" s="25" t="n"/>
      <c r="G342" s="29" t="n"/>
      <c r="H342" s="29" t="n"/>
    </row>
    <row r="343" ht="18.95" customHeight="1" s="49">
      <c r="A343" s="33" t="inlineStr">
        <is>
          <t>H006</t>
        </is>
      </c>
      <c r="B343" s="33" t="inlineStr">
        <is>
          <t>HANGER</t>
        </is>
      </c>
      <c r="C343" s="33" t="inlineStr">
        <is>
          <t>EEYWG24E0339170</t>
        </is>
      </c>
      <c r="D343" s="30" t="n">
        <v>1</v>
      </c>
      <c r="F343" s="25" t="n"/>
      <c r="G343" s="29" t="n"/>
      <c r="H343" s="29" t="n"/>
    </row>
    <row r="344" ht="18.95" customHeight="1" s="49">
      <c r="A344" s="33" t="inlineStr">
        <is>
          <t>H006</t>
        </is>
      </c>
      <c r="B344" s="33" t="inlineStr">
        <is>
          <t>HANGER</t>
        </is>
      </c>
      <c r="C344" s="33" t="inlineStr">
        <is>
          <t>EEYWG24E0339160</t>
        </is>
      </c>
      <c r="D344" s="30" t="n">
        <v>1</v>
      </c>
      <c r="F344" s="25" t="n"/>
      <c r="G344" s="29" t="n"/>
      <c r="H344" s="29" t="n"/>
    </row>
    <row r="345" ht="18.95" customHeight="1" s="49">
      <c r="A345" s="33" t="inlineStr">
        <is>
          <t>H006</t>
        </is>
      </c>
      <c r="B345" s="33" t="inlineStr">
        <is>
          <t>HANGER</t>
        </is>
      </c>
      <c r="C345" s="33" t="inlineStr">
        <is>
          <t>EEYWG24E0350160</t>
        </is>
      </c>
      <c r="D345" s="30" t="n">
        <v>1</v>
      </c>
      <c r="F345" s="25" t="n"/>
      <c r="G345" s="29" t="n"/>
      <c r="H345" s="29" t="n"/>
    </row>
    <row r="346" ht="18.95" customHeight="1" s="49">
      <c r="A346" s="33" t="inlineStr">
        <is>
          <t>H006</t>
        </is>
      </c>
      <c r="B346" s="33" t="inlineStr">
        <is>
          <t>HANGER</t>
        </is>
      </c>
      <c r="C346" s="33" t="inlineStr">
        <is>
          <t>EEYWG24E0350165</t>
        </is>
      </c>
      <c r="D346" s="30" t="n">
        <v>1</v>
      </c>
      <c r="F346" s="25" t="n"/>
      <c r="G346" s="29" t="n"/>
      <c r="H346" s="29" t="n"/>
    </row>
    <row r="347" ht="18.95" customHeight="1" s="49">
      <c r="A347" s="33" t="inlineStr">
        <is>
          <t>H006</t>
        </is>
      </c>
      <c r="B347" s="33" t="inlineStr">
        <is>
          <t>HANGER</t>
        </is>
      </c>
      <c r="C347" s="33" t="inlineStr">
        <is>
          <t>EETJG24E0557026</t>
        </is>
      </c>
      <c r="D347" s="30" t="n">
        <v>1</v>
      </c>
      <c r="F347" s="25" t="n"/>
      <c r="G347" s="29" t="n"/>
      <c r="H347" s="29" t="n"/>
    </row>
    <row r="348" ht="18.95" customHeight="1" s="49">
      <c r="A348" s="33" t="inlineStr">
        <is>
          <t>H006</t>
        </is>
      </c>
      <c r="B348" s="33" t="inlineStr">
        <is>
          <t>HANGER</t>
        </is>
      </c>
      <c r="C348" s="33" t="inlineStr">
        <is>
          <t>EETJG24E0557027</t>
        </is>
      </c>
      <c r="D348" s="30" t="n">
        <v>1</v>
      </c>
      <c r="F348" s="25" t="n"/>
      <c r="G348" s="29" t="n"/>
      <c r="H348" s="29" t="n"/>
    </row>
    <row r="349" ht="18.95" customHeight="1" s="49">
      <c r="A349" s="33" t="inlineStr">
        <is>
          <t>H006</t>
        </is>
      </c>
      <c r="B349" s="33" t="inlineStr">
        <is>
          <t>HANGER</t>
        </is>
      </c>
      <c r="C349" s="33" t="inlineStr">
        <is>
          <t>EEKWG25E0215170</t>
        </is>
      </c>
      <c r="D349" s="30" t="n">
        <v>1</v>
      </c>
      <c r="F349" s="25" t="n"/>
      <c r="G349" s="29" t="n"/>
      <c r="H349" s="29" t="n"/>
    </row>
    <row r="350" ht="18.95" customHeight="1" s="49">
      <c r="A350" s="33" t="inlineStr">
        <is>
          <t>H006</t>
        </is>
      </c>
      <c r="B350" s="33" t="inlineStr">
        <is>
          <t>HANGER</t>
        </is>
      </c>
      <c r="C350" s="33" t="inlineStr">
        <is>
          <t>EEKWG25E0215165</t>
        </is>
      </c>
      <c r="D350" s="30" t="n">
        <v>1</v>
      </c>
      <c r="F350" s="25" t="n"/>
      <c r="G350" s="29" t="n"/>
      <c r="H350" s="29" t="n"/>
    </row>
    <row r="351" ht="18.95" customHeight="1" s="49">
      <c r="A351" s="33" t="inlineStr">
        <is>
          <t>H006</t>
        </is>
      </c>
      <c r="B351" s="33" t="inlineStr">
        <is>
          <t>HANGER</t>
        </is>
      </c>
      <c r="C351" s="33" t="inlineStr">
        <is>
          <t>EETJG24E0536027</t>
        </is>
      </c>
      <c r="D351" s="30" t="n">
        <v>1</v>
      </c>
      <c r="F351" s="25" t="n"/>
      <c r="G351" s="29" t="n"/>
      <c r="H351" s="29" t="n"/>
    </row>
    <row r="352" ht="18.95" customHeight="1" s="49">
      <c r="A352" s="33" t="inlineStr">
        <is>
          <t>H006</t>
        </is>
      </c>
      <c r="B352" s="33" t="inlineStr">
        <is>
          <t>HANGER</t>
        </is>
      </c>
      <c r="C352" s="33" t="inlineStr">
        <is>
          <t>EETJG24E0536026</t>
        </is>
      </c>
      <c r="D352" s="30" t="n">
        <v>1</v>
      </c>
      <c r="F352" s="25" t="n"/>
      <c r="G352" s="29" t="n"/>
      <c r="H352" s="29" t="n"/>
    </row>
    <row r="353" ht="18.95" customHeight="1" s="49">
      <c r="A353" s="33" t="inlineStr">
        <is>
          <t>H006</t>
        </is>
      </c>
      <c r="B353" s="33" t="inlineStr">
        <is>
          <t>HANGER</t>
        </is>
      </c>
      <c r="C353" s="33" t="inlineStr">
        <is>
          <t>EEKWG25E0259170</t>
        </is>
      </c>
      <c r="D353" s="30" t="n">
        <v>1</v>
      </c>
      <c r="F353" s="25" t="n"/>
      <c r="G353" s="29" t="n"/>
      <c r="H353" s="29" t="n"/>
    </row>
    <row r="354" ht="18.95" customHeight="1" s="49">
      <c r="A354" s="33" t="inlineStr">
        <is>
          <t>H006</t>
        </is>
      </c>
      <c r="B354" s="33" t="inlineStr">
        <is>
          <t>HANGER</t>
        </is>
      </c>
      <c r="C354" s="33" t="inlineStr">
        <is>
          <t>EEKWG25E0259165</t>
        </is>
      </c>
      <c r="D354" s="30" t="n">
        <v>1</v>
      </c>
      <c r="F354" s="25" t="n"/>
      <c r="G354" s="29" t="n"/>
      <c r="H354" s="29" t="n"/>
    </row>
    <row r="355" ht="18.95" customHeight="1" s="49">
      <c r="A355" s="33" t="inlineStr">
        <is>
          <t>H006</t>
        </is>
      </c>
      <c r="B355" s="33" t="inlineStr">
        <is>
          <t>HANGER</t>
        </is>
      </c>
      <c r="C355" s="33" t="inlineStr">
        <is>
          <t>EEWHG24E0459165</t>
        </is>
      </c>
      <c r="D355" s="30" t="n">
        <v>1</v>
      </c>
      <c r="F355" s="25" t="n"/>
      <c r="G355" s="29" t="n"/>
      <c r="H355" s="29" t="n"/>
    </row>
    <row r="356" ht="18.95" customHeight="1" s="49">
      <c r="A356" s="33" t="inlineStr">
        <is>
          <t>H006</t>
        </is>
      </c>
      <c r="B356" s="33" t="inlineStr">
        <is>
          <t>HANGER</t>
        </is>
      </c>
      <c r="C356" s="33" t="inlineStr">
        <is>
          <t>EEKWG24B0559170</t>
        </is>
      </c>
      <c r="D356" s="30" t="n">
        <v>1</v>
      </c>
      <c r="F356" s="25" t="n"/>
      <c r="G356" s="29" t="n"/>
      <c r="H356" s="29" t="n"/>
    </row>
    <row r="357" ht="18.95" customHeight="1" s="49">
      <c r="A357" s="33" t="inlineStr">
        <is>
          <t>H006</t>
        </is>
      </c>
      <c r="B357" s="33" t="inlineStr">
        <is>
          <t>HANGER</t>
        </is>
      </c>
      <c r="C357" s="33" t="inlineStr">
        <is>
          <t>EEKWG24B0559165</t>
        </is>
      </c>
      <c r="D357" s="30" t="n">
        <v>1</v>
      </c>
      <c r="F357" s="25" t="n"/>
      <c r="G357" s="29" t="n"/>
      <c r="H357" s="29" t="n"/>
    </row>
    <row r="358" ht="18.95" customHeight="1" s="49">
      <c r="A358" s="33" t="inlineStr">
        <is>
          <t>H006</t>
        </is>
      </c>
      <c r="B358" s="33" t="inlineStr">
        <is>
          <t>HANGER</t>
        </is>
      </c>
      <c r="C358" s="33" t="inlineStr">
        <is>
          <t>EEWHG24E5659165</t>
        </is>
      </c>
      <c r="D358" s="30" t="n">
        <v>1</v>
      </c>
      <c r="F358" s="25" t="n"/>
      <c r="G358" s="29" t="n"/>
      <c r="H358" s="29" t="n"/>
    </row>
    <row r="359" ht="18.95" customHeight="1" s="49">
      <c r="A359" s="33" t="inlineStr">
        <is>
          <t>H006</t>
        </is>
      </c>
      <c r="B359" s="33" t="inlineStr">
        <is>
          <t>HANGER</t>
        </is>
      </c>
      <c r="C359" s="33" t="inlineStr">
        <is>
          <t>EEWHG24E5659160</t>
        </is>
      </c>
      <c r="D359" s="30" t="n">
        <v>1</v>
      </c>
      <c r="F359" s="25" t="n"/>
      <c r="G359" s="29" t="n"/>
      <c r="H359" s="29" t="n"/>
    </row>
    <row r="360" ht="18.95" customHeight="1" s="49">
      <c r="A360" s="33" t="inlineStr">
        <is>
          <t>H006</t>
        </is>
      </c>
      <c r="B360" s="33" t="inlineStr">
        <is>
          <t>HANGER</t>
        </is>
      </c>
      <c r="C360" s="33" t="inlineStr">
        <is>
          <t>EEKWG24E0139165</t>
        </is>
      </c>
      <c r="D360" s="30" t="n">
        <v>1</v>
      </c>
      <c r="F360" s="25" t="n"/>
      <c r="G360" s="29" t="n"/>
      <c r="H360" s="29" t="n"/>
    </row>
    <row r="361" ht="18.95" customHeight="1" s="49">
      <c r="A361" s="33" t="inlineStr">
        <is>
          <t>H006</t>
        </is>
      </c>
      <c r="B361" s="33" t="inlineStr">
        <is>
          <t>HANGER</t>
        </is>
      </c>
      <c r="C361" s="33" t="inlineStr">
        <is>
          <t>EELAG23B0239165</t>
        </is>
      </c>
      <c r="D361" s="30" t="n">
        <v>1</v>
      </c>
      <c r="F361" s="25" t="n"/>
      <c r="G361" s="29" t="n"/>
      <c r="H361" s="29" t="n"/>
    </row>
    <row r="362" ht="18.95" customHeight="1" s="49">
      <c r="A362" s="33" t="inlineStr">
        <is>
          <t>H006</t>
        </is>
      </c>
      <c r="B362" s="33" t="inlineStr">
        <is>
          <t>HANGER</t>
        </is>
      </c>
      <c r="C362" s="33" t="inlineStr">
        <is>
          <t>EETHG25E0135165</t>
        </is>
      </c>
      <c r="D362" s="30" t="n">
        <v>1</v>
      </c>
      <c r="F362" s="25" t="n"/>
      <c r="G362" s="29" t="n"/>
      <c r="H362" s="29" t="n"/>
    </row>
    <row r="363" ht="18.95" customHeight="1" s="49">
      <c r="A363" s="33" t="inlineStr">
        <is>
          <t>H006</t>
        </is>
      </c>
      <c r="B363" s="33" t="inlineStr">
        <is>
          <t>HANGER</t>
        </is>
      </c>
      <c r="C363" s="33" t="inlineStr">
        <is>
          <t>EEKWG24E0130165</t>
        </is>
      </c>
      <c r="D363" s="30" t="n">
        <v>1</v>
      </c>
      <c r="F363" s="25" t="n"/>
      <c r="G363" s="29" t="n"/>
      <c r="H363" s="29" t="n"/>
    </row>
    <row r="364" ht="18.95" customHeight="1" s="49">
      <c r="A364" s="33" t="inlineStr">
        <is>
          <t>H007</t>
        </is>
      </c>
      <c r="B364" s="33" t="inlineStr">
        <is>
          <t>HANGER</t>
        </is>
      </c>
      <c r="C364" s="33" t="inlineStr">
        <is>
          <t>EEKWG24B5188160</t>
        </is>
      </c>
      <c r="D364" s="30" t="n">
        <v>1</v>
      </c>
      <c r="F364" s="25" t="n"/>
      <c r="G364" s="29" t="n"/>
      <c r="H364" s="29" t="n"/>
    </row>
    <row r="365" ht="18.95" customHeight="1" s="49">
      <c r="A365" s="33" t="inlineStr">
        <is>
          <t>H007</t>
        </is>
      </c>
      <c r="B365" s="33" t="inlineStr">
        <is>
          <t>HANGER</t>
        </is>
      </c>
      <c r="C365" s="33" t="inlineStr">
        <is>
          <t>EEWHG24E0415165</t>
        </is>
      </c>
      <c r="D365" s="30" t="n">
        <v>1</v>
      </c>
      <c r="F365" s="25" t="n"/>
      <c r="G365" s="29" t="n"/>
      <c r="H365" s="29" t="n"/>
    </row>
    <row r="366" ht="18.95" customHeight="1" s="49">
      <c r="A366" s="33" t="inlineStr">
        <is>
          <t>H007</t>
        </is>
      </c>
      <c r="B366" s="33" t="inlineStr">
        <is>
          <t>HANGER</t>
        </is>
      </c>
      <c r="C366" s="33" t="inlineStr">
        <is>
          <t>EEKWG24B5188165</t>
        </is>
      </c>
      <c r="D366" s="30" t="n">
        <v>1</v>
      </c>
      <c r="F366" s="25" t="n"/>
      <c r="G366" s="29" t="n"/>
      <c r="H366" s="29" t="n"/>
    </row>
    <row r="367" ht="18.95" customHeight="1" s="49">
      <c r="A367" s="33" t="inlineStr">
        <is>
          <t>H007</t>
        </is>
      </c>
      <c r="B367" s="33" t="inlineStr">
        <is>
          <t>HANGER</t>
        </is>
      </c>
      <c r="C367" s="33" t="inlineStr">
        <is>
          <t>EEKWG24B5139160</t>
        </is>
      </c>
      <c r="D367" s="30" t="n">
        <v>1</v>
      </c>
      <c r="F367" s="25" t="n"/>
      <c r="G367" s="29" t="n"/>
      <c r="H367" s="29" t="n"/>
    </row>
    <row r="368" ht="18.95" customHeight="1" s="49">
      <c r="A368" s="33" t="inlineStr">
        <is>
          <t>H007</t>
        </is>
      </c>
      <c r="B368" s="33" t="inlineStr">
        <is>
          <t>HANGER</t>
        </is>
      </c>
      <c r="C368" s="33" t="inlineStr">
        <is>
          <t>EEKWG24B5139165</t>
        </is>
      </c>
      <c r="D368" s="30" t="n">
        <v>1</v>
      </c>
      <c r="F368" s="25" t="n"/>
      <c r="G368" s="29" t="n"/>
      <c r="H368" s="29" t="n"/>
    </row>
    <row r="369" ht="18.95" customHeight="1" s="49">
      <c r="A369" s="33" t="inlineStr">
        <is>
          <t>H007</t>
        </is>
      </c>
      <c r="B369" s="33" t="inlineStr">
        <is>
          <t>HANGER</t>
        </is>
      </c>
      <c r="C369" s="33" t="inlineStr">
        <is>
          <t>EEWHG24E0415160</t>
        </is>
      </c>
      <c r="D369" s="30" t="n">
        <v>1</v>
      </c>
      <c r="F369" s="25" t="n"/>
      <c r="G369" s="29" t="n"/>
      <c r="H369" s="29" t="n"/>
    </row>
    <row r="370" ht="18.95" customHeight="1" s="49">
      <c r="A370" s="33" t="inlineStr">
        <is>
          <t>H007</t>
        </is>
      </c>
      <c r="B370" s="33" t="inlineStr">
        <is>
          <t>HANGER</t>
        </is>
      </c>
      <c r="C370" s="33" t="inlineStr">
        <is>
          <t>EEKWG24B5131170</t>
        </is>
      </c>
      <c r="D370" s="30" t="n">
        <v>1</v>
      </c>
      <c r="F370" s="25" t="n"/>
      <c r="G370" s="29" t="n"/>
      <c r="H370" s="29" t="n"/>
    </row>
    <row r="371" ht="18.95" customHeight="1" s="49">
      <c r="A371" s="33" t="inlineStr">
        <is>
          <t>H007</t>
        </is>
      </c>
      <c r="B371" s="33" t="inlineStr">
        <is>
          <t>HANGER</t>
        </is>
      </c>
      <c r="C371" s="33" t="inlineStr">
        <is>
          <t>EEKWG24B5131165</t>
        </is>
      </c>
      <c r="D371" s="30" t="n">
        <v>1</v>
      </c>
      <c r="F371" s="25" t="n"/>
      <c r="G371" s="29" t="n"/>
      <c r="H371" s="29" t="n"/>
    </row>
    <row r="372" ht="18.95" customHeight="1" s="49">
      <c r="A372" s="33" t="inlineStr">
        <is>
          <t>H007</t>
        </is>
      </c>
      <c r="B372" s="33" t="inlineStr">
        <is>
          <t>HANGER</t>
        </is>
      </c>
      <c r="C372" s="33" t="inlineStr">
        <is>
          <t>EEKWG25E0152460</t>
        </is>
      </c>
      <c r="D372" s="30" t="n">
        <v>1</v>
      </c>
      <c r="F372" s="25" t="n"/>
      <c r="G372" s="29" t="n"/>
      <c r="H372" s="29" t="n"/>
    </row>
    <row r="373" ht="18.95" customHeight="1" s="49">
      <c r="A373" s="33" t="inlineStr">
        <is>
          <t>H007</t>
        </is>
      </c>
      <c r="B373" s="33" t="inlineStr">
        <is>
          <t>HANGER</t>
        </is>
      </c>
      <c r="C373" s="33" t="inlineStr">
        <is>
          <t>EEKWG25E0159165</t>
        </is>
      </c>
      <c r="D373" s="30" t="n">
        <v>1</v>
      </c>
      <c r="F373" s="25" t="n"/>
      <c r="G373" s="29" t="n"/>
      <c r="H373" s="29" t="n"/>
    </row>
    <row r="374" ht="18.95" customHeight="1" s="49">
      <c r="A374" s="33" t="inlineStr">
        <is>
          <t>H007</t>
        </is>
      </c>
      <c r="B374" s="33" t="inlineStr">
        <is>
          <t>HANGER</t>
        </is>
      </c>
      <c r="C374" s="33" t="inlineStr">
        <is>
          <t>EEYAG26B0359165</t>
        </is>
      </c>
      <c r="D374" s="30" t="n">
        <v>1</v>
      </c>
      <c r="F374" s="25" t="n"/>
      <c r="G374" s="29" t="n"/>
      <c r="H374" s="29" t="n"/>
    </row>
    <row r="375" ht="18.95" customHeight="1" s="49">
      <c r="A375" s="33" t="inlineStr">
        <is>
          <t>H007</t>
        </is>
      </c>
      <c r="B375" s="33" t="inlineStr">
        <is>
          <t>HANGER</t>
        </is>
      </c>
      <c r="C375" s="33" t="inlineStr">
        <is>
          <t>EEYAG26B0359160</t>
        </is>
      </c>
      <c r="D375" s="30" t="n">
        <v>1</v>
      </c>
      <c r="F375" s="25" t="n"/>
      <c r="G375" s="29" t="n"/>
      <c r="H375" s="29" t="n"/>
    </row>
    <row r="376" ht="18.95" customHeight="1" s="49">
      <c r="A376" s="33" t="inlineStr">
        <is>
          <t>H007</t>
        </is>
      </c>
      <c r="B376" s="33" t="inlineStr">
        <is>
          <t>HANGER</t>
        </is>
      </c>
      <c r="C376" s="33" t="inlineStr">
        <is>
          <t>EERAG23E0226165</t>
        </is>
      </c>
      <c r="D376" s="30" t="n">
        <v>1</v>
      </c>
      <c r="F376" s="25" t="n"/>
      <c r="G376" s="29" t="n"/>
      <c r="H376" s="29" t="n"/>
    </row>
    <row r="377" ht="18.95" customHeight="1" s="49">
      <c r="A377" s="33" t="inlineStr">
        <is>
          <t>H007</t>
        </is>
      </c>
      <c r="B377" s="33" t="inlineStr">
        <is>
          <t>HANGER</t>
        </is>
      </c>
      <c r="C377" s="33" t="inlineStr">
        <is>
          <t>EERAG23E0226160</t>
        </is>
      </c>
      <c r="D377" s="30" t="n">
        <v>1</v>
      </c>
      <c r="F377" s="25" t="n"/>
      <c r="G377" s="29" t="n"/>
      <c r="H377" s="29" t="n"/>
    </row>
    <row r="378" ht="18.95" customHeight="1" s="49">
      <c r="A378" s="33" t="inlineStr">
        <is>
          <t>H007</t>
        </is>
      </c>
      <c r="B378" s="33" t="inlineStr">
        <is>
          <t>HANGER</t>
        </is>
      </c>
      <c r="C378" s="33" t="inlineStr">
        <is>
          <t>EETJG23E0256027</t>
        </is>
      </c>
      <c r="D378" s="30" t="n">
        <v>1</v>
      </c>
      <c r="F378" s="25" t="n"/>
      <c r="G378" s="29" t="n"/>
      <c r="H378" s="29" t="n"/>
    </row>
    <row r="379" ht="18.95" customHeight="1" s="49">
      <c r="A379" s="33" t="inlineStr">
        <is>
          <t>H007</t>
        </is>
      </c>
      <c r="B379" s="33" t="inlineStr">
        <is>
          <t>HANGER</t>
        </is>
      </c>
      <c r="C379" s="33" t="inlineStr">
        <is>
          <t>EETJG23E0256026</t>
        </is>
      </c>
      <c r="D379" s="30" t="n">
        <v>1</v>
      </c>
      <c r="F379" s="25" t="n"/>
      <c r="G379" s="29" t="n"/>
      <c r="H379" s="29" t="n"/>
    </row>
    <row r="380" ht="18.95" customHeight="1" s="49">
      <c r="A380" s="33" t="inlineStr">
        <is>
          <t>H007</t>
        </is>
      </c>
      <c r="B380" s="33" t="inlineStr">
        <is>
          <t>HANGER</t>
        </is>
      </c>
      <c r="C380" s="33" t="inlineStr">
        <is>
          <t>EEKWG24B5239165</t>
        </is>
      </c>
      <c r="D380" s="30" t="n">
        <v>1</v>
      </c>
      <c r="F380" s="25" t="n"/>
      <c r="G380" s="29" t="n"/>
      <c r="H380" s="29" t="n"/>
    </row>
    <row r="381" ht="18.95" customHeight="1" s="49">
      <c r="A381" s="33" t="inlineStr">
        <is>
          <t>H007</t>
        </is>
      </c>
      <c r="B381" s="33" t="inlineStr">
        <is>
          <t>HANGER</t>
        </is>
      </c>
      <c r="C381" s="33" t="inlineStr">
        <is>
          <t>EEKWG24B5239160</t>
        </is>
      </c>
      <c r="D381" s="30" t="n">
        <v>1</v>
      </c>
      <c r="F381" s="25" t="n"/>
      <c r="G381" s="29" t="n"/>
      <c r="H381" s="29" t="n"/>
    </row>
    <row r="382" ht="18.95" customHeight="1" s="49">
      <c r="A382" s="33" t="inlineStr">
        <is>
          <t>H007</t>
        </is>
      </c>
      <c r="B382" s="33" t="inlineStr">
        <is>
          <t>HANGER</t>
        </is>
      </c>
      <c r="C382" s="33" t="inlineStr">
        <is>
          <t>EEKWG24B5216165</t>
        </is>
      </c>
      <c r="D382" s="30" t="n">
        <v>1</v>
      </c>
      <c r="F382" s="25" t="n"/>
      <c r="G382" s="29" t="n"/>
      <c r="H382" s="29" t="n"/>
    </row>
    <row r="383" ht="18.95" customHeight="1" s="49">
      <c r="A383" s="33" t="inlineStr">
        <is>
          <t>H007</t>
        </is>
      </c>
      <c r="B383" s="33" t="inlineStr">
        <is>
          <t>HANGER</t>
        </is>
      </c>
      <c r="C383" s="33" t="inlineStr">
        <is>
          <t>EEKWG24B5216160</t>
        </is>
      </c>
      <c r="D383" s="30" t="n">
        <v>1</v>
      </c>
      <c r="F383" s="25" t="n"/>
      <c r="G383" s="29" t="n"/>
      <c r="H383" s="29" t="n"/>
    </row>
    <row r="384" ht="18.95" customHeight="1" s="49">
      <c r="A384" s="33" t="inlineStr">
        <is>
          <t>H007</t>
        </is>
      </c>
      <c r="B384" s="33" t="inlineStr">
        <is>
          <t>HANGER</t>
        </is>
      </c>
      <c r="C384" s="33" t="inlineStr">
        <is>
          <t>EEWHG24E0335165</t>
        </is>
      </c>
      <c r="D384" s="30" t="n">
        <v>1</v>
      </c>
      <c r="F384" s="25" t="n"/>
      <c r="G384" s="29" t="n"/>
      <c r="H384" s="29" t="n"/>
    </row>
    <row r="385" ht="18.95" customHeight="1" s="49">
      <c r="A385" s="33" t="inlineStr">
        <is>
          <t>H007</t>
        </is>
      </c>
      <c r="B385" s="33" t="inlineStr">
        <is>
          <t>HANGER</t>
        </is>
      </c>
      <c r="C385" s="33" t="inlineStr">
        <is>
          <t>EECKG23E0151160</t>
        </is>
      </c>
      <c r="D385" s="30" t="n">
        <v>1</v>
      </c>
      <c r="F385" s="25" t="n"/>
      <c r="G385" s="29" t="n"/>
      <c r="H385" s="29" t="n"/>
    </row>
    <row r="386" ht="18.95" customHeight="1" s="49">
      <c r="A386" s="33" t="inlineStr">
        <is>
          <t>H007</t>
        </is>
      </c>
      <c r="B386" s="33" t="inlineStr">
        <is>
          <t>HANGER</t>
        </is>
      </c>
      <c r="C386" s="33" t="inlineStr">
        <is>
          <t>EEWHG24E0359160</t>
        </is>
      </c>
      <c r="D386" s="30" t="n">
        <v>1</v>
      </c>
      <c r="F386" s="25" t="n"/>
      <c r="G386" s="29" t="n"/>
      <c r="H386" s="29" t="n"/>
    </row>
    <row r="387" ht="18.95" customHeight="1" s="49">
      <c r="A387" s="33" t="inlineStr">
        <is>
          <t>H007</t>
        </is>
      </c>
      <c r="B387" s="33" t="inlineStr">
        <is>
          <t>HANGER</t>
        </is>
      </c>
      <c r="C387" s="33" t="inlineStr">
        <is>
          <t>EEWHG24E0359165</t>
        </is>
      </c>
      <c r="D387" s="30" t="n">
        <v>1</v>
      </c>
      <c r="F387" s="25" t="n"/>
      <c r="G387" s="29" t="n"/>
      <c r="H387" s="29" t="n"/>
    </row>
    <row r="388" ht="18.95" customHeight="1" s="49">
      <c r="A388" s="33" t="inlineStr">
        <is>
          <t>H007</t>
        </is>
      </c>
      <c r="B388" s="33" t="inlineStr">
        <is>
          <t>HANGER</t>
        </is>
      </c>
      <c r="C388" s="33" t="inlineStr">
        <is>
          <t>EECKG23E0159160</t>
        </is>
      </c>
      <c r="D388" s="30" t="n">
        <v>1</v>
      </c>
      <c r="F388" s="25" t="n"/>
      <c r="G388" s="29" t="n"/>
      <c r="H388" s="29" t="n"/>
    </row>
    <row r="389" ht="18.95" customHeight="1" s="49">
      <c r="A389" s="33" t="inlineStr">
        <is>
          <t>H007</t>
        </is>
      </c>
      <c r="B389" s="33" t="inlineStr">
        <is>
          <t>HANGER</t>
        </is>
      </c>
      <c r="C389" s="33" t="inlineStr">
        <is>
          <t>EEKWG23E0159160</t>
        </is>
      </c>
      <c r="D389" s="30" t="n">
        <v>1</v>
      </c>
      <c r="F389" s="25" t="n"/>
      <c r="G389" s="29" t="n"/>
      <c r="H389" s="29" t="n"/>
    </row>
    <row r="390" ht="18.95" customHeight="1" s="49">
      <c r="A390" s="33" t="inlineStr">
        <is>
          <t>H008</t>
        </is>
      </c>
      <c r="B390" s="33" t="inlineStr">
        <is>
          <t>HANGER</t>
        </is>
      </c>
      <c r="C390" s="33" t="inlineStr">
        <is>
          <t>EETHG25E0435160</t>
        </is>
      </c>
      <c r="D390" s="30" t="n">
        <v>1</v>
      </c>
      <c r="E390" s="36" t="n"/>
      <c r="F390" s="25" t="n"/>
      <c r="G390" s="29" t="n"/>
      <c r="H390" s="29" t="n"/>
    </row>
    <row r="391" ht="18.95" customHeight="1" s="49">
      <c r="A391" s="33" t="inlineStr">
        <is>
          <t>H008</t>
        </is>
      </c>
      <c r="B391" s="33" t="inlineStr">
        <is>
          <t>HANGER</t>
        </is>
      </c>
      <c r="C391" s="33" t="inlineStr">
        <is>
          <t>EERAG23E0218160</t>
        </is>
      </c>
      <c r="D391" s="30" t="n">
        <v>1</v>
      </c>
      <c r="F391" s="25" t="n"/>
      <c r="G391" s="29" t="n"/>
      <c r="H391" s="29" t="n"/>
    </row>
    <row r="392" ht="18.95" customHeight="1" s="49">
      <c r="A392" s="33" t="inlineStr">
        <is>
          <t>H008</t>
        </is>
      </c>
      <c r="B392" s="33" t="inlineStr">
        <is>
          <t>HANGER</t>
        </is>
      </c>
      <c r="C392" s="33" t="inlineStr">
        <is>
          <t>EERAG23E0218165</t>
        </is>
      </c>
      <c r="D392" s="30" t="n">
        <v>1</v>
      </c>
      <c r="F392" s="25" t="n"/>
      <c r="G392" s="29" t="n"/>
      <c r="H392" s="29" t="n"/>
    </row>
    <row r="393" ht="18.95" customHeight="1" s="49">
      <c r="A393" s="33" t="inlineStr">
        <is>
          <t>H008</t>
        </is>
      </c>
      <c r="B393" s="33" t="inlineStr">
        <is>
          <t>HANGER</t>
        </is>
      </c>
      <c r="C393" s="33" t="inlineStr">
        <is>
          <t>EERAG23E0117160</t>
        </is>
      </c>
      <c r="D393" s="30" t="n">
        <v>1</v>
      </c>
      <c r="F393" s="25" t="n"/>
      <c r="G393" s="29" t="n"/>
      <c r="H393" s="29" t="n"/>
    </row>
    <row r="394" ht="18.95" customHeight="1" s="49">
      <c r="A394" s="33" t="inlineStr">
        <is>
          <t>H008</t>
        </is>
      </c>
      <c r="B394" s="33" t="inlineStr">
        <is>
          <t>HANGER</t>
        </is>
      </c>
      <c r="C394" s="33" t="inlineStr">
        <is>
          <t>EERAG23E0117165</t>
        </is>
      </c>
      <c r="D394" s="30" t="n">
        <v>1</v>
      </c>
      <c r="F394" s="25" t="n"/>
      <c r="G394" s="29" t="n"/>
      <c r="H394" s="29" t="n"/>
    </row>
    <row r="395" ht="18.95" customHeight="1" s="49">
      <c r="A395" s="33" t="inlineStr">
        <is>
          <t>H008</t>
        </is>
      </c>
      <c r="B395" s="33" t="inlineStr">
        <is>
          <t>HANGER</t>
        </is>
      </c>
      <c r="C395" s="33" t="inlineStr">
        <is>
          <t>EERAG23E0151170</t>
        </is>
      </c>
      <c r="D395" s="30" t="n">
        <v>1</v>
      </c>
      <c r="F395" s="25" t="n"/>
      <c r="G395" s="29" t="n"/>
      <c r="H395" s="29" t="n"/>
    </row>
    <row r="396" ht="18.95" customHeight="1" s="49">
      <c r="A396" s="33" t="inlineStr">
        <is>
          <t>H008</t>
        </is>
      </c>
      <c r="B396" s="33" t="inlineStr">
        <is>
          <t>HANGER</t>
        </is>
      </c>
      <c r="C396" s="33" t="inlineStr">
        <is>
          <t>EERAG23E0151160</t>
        </is>
      </c>
      <c r="D396" s="30" t="n">
        <v>1</v>
      </c>
      <c r="F396" s="25" t="n"/>
      <c r="G396" s="29" t="n"/>
      <c r="H396" s="29" t="n"/>
    </row>
    <row r="397" ht="18.95" customHeight="1" s="49">
      <c r="A397" s="33" t="inlineStr">
        <is>
          <t>H008</t>
        </is>
      </c>
      <c r="B397" s="33" t="inlineStr">
        <is>
          <t>HANGER</t>
        </is>
      </c>
      <c r="C397" s="33" t="inlineStr">
        <is>
          <t>EERAG23E0126160</t>
        </is>
      </c>
      <c r="D397" s="30" t="n">
        <v>1</v>
      </c>
      <c r="F397" s="25" t="n"/>
      <c r="G397" s="29" t="n"/>
      <c r="H397" s="29" t="n"/>
    </row>
    <row r="398" ht="18.95" customHeight="1" s="49">
      <c r="A398" s="33" t="inlineStr">
        <is>
          <t>H008</t>
        </is>
      </c>
      <c r="B398" s="33" t="inlineStr">
        <is>
          <t>HANGER</t>
        </is>
      </c>
      <c r="C398" s="33" t="inlineStr">
        <is>
          <t>EERAG23E0126170</t>
        </is>
      </c>
      <c r="D398" s="30" t="n">
        <v>1</v>
      </c>
      <c r="F398" s="25" t="n"/>
      <c r="G398" s="29" t="n"/>
      <c r="H398" s="29" t="n"/>
    </row>
    <row r="399" ht="18.95" customHeight="1" s="49">
      <c r="A399" s="33" t="inlineStr">
        <is>
          <t>H008</t>
        </is>
      </c>
      <c r="B399" s="33" t="inlineStr">
        <is>
          <t>HANGER</t>
        </is>
      </c>
      <c r="C399" s="33" t="inlineStr">
        <is>
          <t>EERAG23E0139160</t>
        </is>
      </c>
      <c r="D399" s="30" t="n">
        <v>1</v>
      </c>
      <c r="F399" s="25" t="n"/>
      <c r="G399" s="29" t="n"/>
      <c r="H399" s="29" t="n"/>
    </row>
    <row r="400" ht="18.95" customHeight="1" s="49">
      <c r="A400" s="33" t="inlineStr">
        <is>
          <t>H008</t>
        </is>
      </c>
      <c r="B400" s="33" t="inlineStr">
        <is>
          <t>HANGER</t>
        </is>
      </c>
      <c r="C400" s="33" t="inlineStr">
        <is>
          <t>EERAG23E0139165</t>
        </is>
      </c>
      <c r="D400" s="30" t="n">
        <v>1</v>
      </c>
      <c r="F400" s="25" t="n"/>
      <c r="G400" s="29" t="n"/>
      <c r="H400" s="29" t="n"/>
    </row>
    <row r="401" ht="18.95" customHeight="1" s="49">
      <c r="A401" s="33" t="inlineStr">
        <is>
          <t>H008</t>
        </is>
      </c>
      <c r="B401" s="33" t="inlineStr">
        <is>
          <t>HANGER</t>
        </is>
      </c>
      <c r="C401" s="33" t="inlineStr">
        <is>
          <t>EETJG23E0657029</t>
        </is>
      </c>
      <c r="D401" s="30" t="n">
        <v>1</v>
      </c>
      <c r="F401" s="25" t="n"/>
      <c r="G401" s="29" t="n"/>
      <c r="H401" s="29" t="n"/>
    </row>
    <row r="402" ht="18.95" customHeight="1" s="49">
      <c r="A402" s="33" t="inlineStr">
        <is>
          <t>H008</t>
        </is>
      </c>
      <c r="B402" s="33" t="inlineStr">
        <is>
          <t>HANGER</t>
        </is>
      </c>
      <c r="C402" s="33" t="inlineStr">
        <is>
          <t>EETJG23E0657025</t>
        </is>
      </c>
      <c r="D402" s="30" t="n">
        <v>1</v>
      </c>
      <c r="F402" s="25" t="n"/>
      <c r="G402" s="29" t="n"/>
      <c r="H402" s="29" t="n"/>
    </row>
    <row r="403" ht="18.95" customHeight="1" s="49">
      <c r="A403" s="33" t="inlineStr">
        <is>
          <t>H008</t>
        </is>
      </c>
      <c r="B403" s="33" t="inlineStr">
        <is>
          <t>HANGER</t>
        </is>
      </c>
      <c r="C403" s="33" t="inlineStr">
        <is>
          <t>EERAG26B0217160</t>
        </is>
      </c>
      <c r="D403" s="30" t="n">
        <v>1</v>
      </c>
      <c r="F403" s="25" t="n"/>
      <c r="G403" s="29" t="n"/>
      <c r="H403" s="29" t="n"/>
    </row>
    <row r="404" ht="18.95" customHeight="1" s="49">
      <c r="A404" s="33" t="inlineStr">
        <is>
          <t>H008</t>
        </is>
      </c>
      <c r="B404" s="33" t="inlineStr">
        <is>
          <t>HANGER</t>
        </is>
      </c>
      <c r="C404" s="33" t="inlineStr">
        <is>
          <t>EERAG26B0217165</t>
        </is>
      </c>
      <c r="D404" s="30" t="n">
        <v>1</v>
      </c>
      <c r="F404" s="25" t="n"/>
      <c r="G404" s="29" t="n"/>
      <c r="H404" s="29" t="n"/>
    </row>
    <row r="405" ht="18.95" customHeight="1" s="49">
      <c r="A405" s="33" t="inlineStr">
        <is>
          <t>H008</t>
        </is>
      </c>
      <c r="B405" s="33" t="inlineStr">
        <is>
          <t>HANGER</t>
        </is>
      </c>
      <c r="C405" s="33" t="inlineStr">
        <is>
          <t>EERAG26B0264160</t>
        </is>
      </c>
      <c r="D405" s="30" t="n">
        <v>1</v>
      </c>
      <c r="F405" s="25" t="n"/>
      <c r="G405" s="29" t="n"/>
      <c r="H405" s="29" t="n"/>
    </row>
    <row r="406" ht="18.95" customHeight="1" s="49">
      <c r="A406" s="33" t="inlineStr">
        <is>
          <t>H008</t>
        </is>
      </c>
      <c r="B406" s="33" t="inlineStr">
        <is>
          <t>HANGER</t>
        </is>
      </c>
      <c r="C406" s="33" t="inlineStr">
        <is>
          <t>EERAG26B0264165</t>
        </is>
      </c>
      <c r="D406" s="30" t="n">
        <v>1</v>
      </c>
      <c r="F406" s="25" t="n"/>
      <c r="G406" s="29" t="n"/>
      <c r="H406" s="29" t="n"/>
    </row>
    <row r="407" ht="18.95" customHeight="1" s="49">
      <c r="A407" s="33" t="inlineStr">
        <is>
          <t>H008</t>
        </is>
      </c>
      <c r="B407" s="33" t="inlineStr">
        <is>
          <t>HANGER</t>
        </is>
      </c>
      <c r="C407" s="33" t="inlineStr">
        <is>
          <t>EETJG23E0755026</t>
        </is>
      </c>
      <c r="D407" s="30" t="n">
        <v>1</v>
      </c>
      <c r="F407" s="25" t="n"/>
      <c r="G407" s="29" t="n"/>
      <c r="H407" s="29" t="n"/>
    </row>
    <row r="408" ht="18.95" customHeight="1" s="49">
      <c r="A408" s="33" t="inlineStr">
        <is>
          <t>H008</t>
        </is>
      </c>
      <c r="B408" s="33" t="inlineStr">
        <is>
          <t>HANGER</t>
        </is>
      </c>
      <c r="C408" s="33" t="inlineStr">
        <is>
          <t>EERAG23B0439165</t>
        </is>
      </c>
      <c r="D408" s="30" t="n">
        <v>1</v>
      </c>
      <c r="F408" s="25" t="n"/>
      <c r="G408" s="29" t="n"/>
      <c r="H408" s="29" t="n"/>
    </row>
    <row r="409" ht="18.95" customHeight="1" s="49">
      <c r="A409" s="33" t="inlineStr">
        <is>
          <t>H008</t>
        </is>
      </c>
      <c r="B409" s="33" t="inlineStr">
        <is>
          <t>HANGER</t>
        </is>
      </c>
      <c r="C409" s="33" t="inlineStr">
        <is>
          <t>EERAG23E0131165</t>
        </is>
      </c>
      <c r="D409" s="30" t="n">
        <v>1</v>
      </c>
      <c r="F409" s="25" t="n"/>
      <c r="G409" s="29" t="n"/>
      <c r="H409" s="29" t="n"/>
    </row>
    <row r="410" ht="18.95" customHeight="1" s="49">
      <c r="A410" s="33" t="inlineStr">
        <is>
          <t>H008</t>
        </is>
      </c>
      <c r="B410" s="33" t="inlineStr">
        <is>
          <t>HANGER</t>
        </is>
      </c>
      <c r="C410" s="33" t="inlineStr">
        <is>
          <t>EERNG24E5139160</t>
        </is>
      </c>
      <c r="D410" s="30" t="n">
        <v>1</v>
      </c>
      <c r="F410" s="25" t="n"/>
      <c r="G410" s="29" t="n"/>
      <c r="H410" s="29" t="n"/>
    </row>
    <row r="411" ht="18.95" customHeight="1" s="49">
      <c r="A411" s="33" t="inlineStr">
        <is>
          <t>H008</t>
        </is>
      </c>
      <c r="B411" s="33" t="inlineStr">
        <is>
          <t>HANGER</t>
        </is>
      </c>
      <c r="C411" s="33" t="inlineStr">
        <is>
          <t>EERAG25E0339170</t>
        </is>
      </c>
      <c r="D411" s="30" t="n">
        <v>1</v>
      </c>
      <c r="F411" s="25" t="n"/>
      <c r="G411" s="29" t="n"/>
      <c r="H411" s="29" t="n"/>
    </row>
    <row r="412" ht="18.95" customHeight="1" s="49">
      <c r="A412" s="33" t="inlineStr">
        <is>
          <t>H008</t>
        </is>
      </c>
      <c r="B412" s="33" t="inlineStr">
        <is>
          <t>HANGER</t>
        </is>
      </c>
      <c r="C412" s="33" t="inlineStr">
        <is>
          <t>EEWHG23E0335160</t>
        </is>
      </c>
      <c r="D412" s="30" t="n">
        <v>1</v>
      </c>
      <c r="F412" s="25" t="n"/>
      <c r="G412" s="29" t="n"/>
      <c r="H412" s="29" t="n"/>
    </row>
    <row r="413" ht="18.95" customHeight="1" s="49">
      <c r="A413" s="33" t="inlineStr">
        <is>
          <t>H008</t>
        </is>
      </c>
      <c r="B413" s="33" t="inlineStr">
        <is>
          <t>HANGER</t>
        </is>
      </c>
      <c r="C413" s="33" t="inlineStr">
        <is>
          <t>EEYWG24E0130165</t>
        </is>
      </c>
      <c r="D413" s="30" t="n">
        <v>1</v>
      </c>
      <c r="F413" s="25" t="n"/>
      <c r="G413" s="29" t="n"/>
      <c r="H413" s="29" t="n"/>
    </row>
    <row r="414" ht="18.95" customHeight="1" s="49">
      <c r="A414" s="33" t="inlineStr">
        <is>
          <t>H008</t>
        </is>
      </c>
      <c r="B414" s="33" t="inlineStr">
        <is>
          <t>HANGER</t>
        </is>
      </c>
      <c r="C414" s="33" t="inlineStr">
        <is>
          <t>EERAG25E0339165</t>
        </is>
      </c>
      <c r="D414" s="30" t="n">
        <v>1</v>
      </c>
      <c r="F414" s="25" t="n"/>
      <c r="G414" s="29" t="n"/>
      <c r="H414" s="29" t="n"/>
    </row>
    <row r="415" ht="18.95" customHeight="1" s="49">
      <c r="A415" s="33" t="inlineStr">
        <is>
          <t>H009</t>
        </is>
      </c>
      <c r="B415" s="33" t="inlineStr">
        <is>
          <t>HANGER</t>
        </is>
      </c>
      <c r="C415" s="33" t="inlineStr">
        <is>
          <t>EEOWG25B1231165</t>
        </is>
      </c>
      <c r="D415" s="30" t="n">
        <v>1</v>
      </c>
      <c r="F415" s="25" t="n"/>
      <c r="G415" s="29" t="n"/>
      <c r="H415" s="29" t="n"/>
    </row>
    <row r="416" ht="18.95" customHeight="1" s="49">
      <c r="A416" s="33" t="inlineStr">
        <is>
          <t>H009</t>
        </is>
      </c>
      <c r="B416" s="33" t="inlineStr">
        <is>
          <t>HANGER</t>
        </is>
      </c>
      <c r="C416" s="33" t="inlineStr">
        <is>
          <t>EEOWG25B1139160</t>
        </is>
      </c>
      <c r="D416" s="30" t="n">
        <v>1</v>
      </c>
      <c r="F416" s="25" t="n"/>
      <c r="G416" s="29" t="n"/>
      <c r="H416" s="29" t="n"/>
    </row>
    <row r="417" ht="18.95" customHeight="1" s="49">
      <c r="A417" s="33" t="inlineStr">
        <is>
          <t>H009</t>
        </is>
      </c>
      <c r="B417" s="33" t="inlineStr">
        <is>
          <t>HANGER</t>
        </is>
      </c>
      <c r="C417" s="33" t="inlineStr">
        <is>
          <t>EEOWG25B1118160</t>
        </is>
      </c>
      <c r="D417" s="30" t="n">
        <v>1</v>
      </c>
      <c r="F417" s="25" t="n"/>
      <c r="G417" s="29" t="n"/>
      <c r="H417" s="29" t="n"/>
    </row>
    <row r="418" ht="18.95" customHeight="1" s="49">
      <c r="A418" s="33" t="inlineStr">
        <is>
          <t>H009</t>
        </is>
      </c>
      <c r="B418" s="33" t="inlineStr">
        <is>
          <t>HANGER</t>
        </is>
      </c>
      <c r="C418" s="33" t="inlineStr">
        <is>
          <t>EEOWG25Q9179165</t>
        </is>
      </c>
      <c r="D418" s="30" t="n">
        <v>1</v>
      </c>
      <c r="F418" s="25" t="n"/>
      <c r="G418" s="29" t="n"/>
      <c r="H418" s="29" t="n"/>
    </row>
    <row r="419" ht="18.95" customHeight="1" s="49">
      <c r="A419" s="33" t="inlineStr">
        <is>
          <t>H009</t>
        </is>
      </c>
      <c r="B419" s="33" t="inlineStr">
        <is>
          <t>HANGER</t>
        </is>
      </c>
      <c r="C419" s="33" t="inlineStr">
        <is>
          <t>EEOWG25Q9119160</t>
        </is>
      </c>
      <c r="D419" s="30" t="n">
        <v>1</v>
      </c>
      <c r="F419" s="25" t="n"/>
      <c r="G419" s="29" t="n"/>
      <c r="H419" s="29" t="n"/>
    </row>
    <row r="420" ht="18.95" customHeight="1" s="49">
      <c r="A420" s="33" t="inlineStr">
        <is>
          <t>H009</t>
        </is>
      </c>
      <c r="B420" s="33" t="inlineStr">
        <is>
          <t>HANGER</t>
        </is>
      </c>
      <c r="C420" s="33" t="inlineStr">
        <is>
          <t>EEOWG25B1351165</t>
        </is>
      </c>
      <c r="D420" s="30" t="n">
        <v>1</v>
      </c>
      <c r="F420" s="25" t="n"/>
      <c r="G420" s="29" t="n"/>
      <c r="H420" s="29" t="n"/>
    </row>
    <row r="421" ht="18.95" customHeight="1" s="49">
      <c r="A421" s="33" t="inlineStr">
        <is>
          <t>H009</t>
        </is>
      </c>
      <c r="B421" s="33" t="inlineStr">
        <is>
          <t>HANGER</t>
        </is>
      </c>
      <c r="C421" s="33" t="inlineStr">
        <is>
          <t>EETJG24E0416026</t>
        </is>
      </c>
      <c r="D421" s="30" t="n">
        <v>1</v>
      </c>
      <c r="F421" s="25" t="n"/>
      <c r="G421" s="29" t="n"/>
      <c r="H421" s="29" t="n"/>
    </row>
    <row r="422" ht="18.95" customHeight="1" s="49">
      <c r="A422" s="33" t="inlineStr">
        <is>
          <t>H009</t>
        </is>
      </c>
      <c r="B422" s="33" t="inlineStr">
        <is>
          <t>HANGER</t>
        </is>
      </c>
      <c r="C422" s="33" t="inlineStr">
        <is>
          <t>EETJF23E0555160</t>
        </is>
      </c>
      <c r="D422" s="30" t="n">
        <v>1</v>
      </c>
      <c r="F422" s="25" t="n"/>
      <c r="G422" s="29" t="n"/>
      <c r="H422" s="29" t="n"/>
    </row>
    <row r="423" ht="18.95" customHeight="1" s="49">
      <c r="A423" s="33" t="inlineStr">
        <is>
          <t>H009</t>
        </is>
      </c>
      <c r="B423" s="33" t="inlineStr">
        <is>
          <t>HANGER</t>
        </is>
      </c>
      <c r="C423" s="33" t="inlineStr">
        <is>
          <t>EEYWG23E0188165</t>
        </is>
      </c>
      <c r="D423" s="30" t="n">
        <v>1</v>
      </c>
      <c r="F423" s="25" t="n"/>
      <c r="G423" s="29" t="n"/>
      <c r="H423" s="29" t="n"/>
    </row>
    <row r="424" ht="18.95" customHeight="1" s="49">
      <c r="A424" s="33" t="inlineStr">
        <is>
          <t>H009</t>
        </is>
      </c>
      <c r="B424" s="33" t="inlineStr">
        <is>
          <t>HANGER</t>
        </is>
      </c>
      <c r="C424" s="33" t="inlineStr">
        <is>
          <t>EEYWG23E0242160</t>
        </is>
      </c>
      <c r="D424" s="30" t="n">
        <v>1</v>
      </c>
      <c r="F424" s="25" t="n"/>
      <c r="G424" s="29" t="n"/>
      <c r="H424" s="29" t="n"/>
    </row>
    <row r="425" ht="18.95" customHeight="1" s="49">
      <c r="A425" s="33" t="inlineStr">
        <is>
          <t>H009</t>
        </is>
      </c>
      <c r="B425" s="33" t="inlineStr">
        <is>
          <t>HANGER</t>
        </is>
      </c>
      <c r="C425" s="33" t="inlineStr">
        <is>
          <t>EEYWG23E0239160</t>
        </is>
      </c>
      <c r="D425" s="30" t="n">
        <v>1</v>
      </c>
      <c r="F425" s="25" t="n"/>
      <c r="G425" s="29" t="n"/>
      <c r="H425" s="29" t="n"/>
    </row>
    <row r="426" ht="18.95" customHeight="1" s="49">
      <c r="A426" s="33" t="inlineStr">
        <is>
          <t>H009</t>
        </is>
      </c>
      <c r="B426" s="33" t="inlineStr">
        <is>
          <t>HANGER</t>
        </is>
      </c>
      <c r="C426" s="33" t="inlineStr">
        <is>
          <t>EEYWG24E0150165</t>
        </is>
      </c>
      <c r="D426" s="30" t="n">
        <v>1</v>
      </c>
      <c r="F426" s="25" t="n"/>
      <c r="G426" s="29" t="n"/>
      <c r="H426" s="29" t="n"/>
    </row>
    <row r="427" ht="18.95" customHeight="1" s="49">
      <c r="A427" s="33" t="inlineStr">
        <is>
          <t>H009</t>
        </is>
      </c>
      <c r="B427" s="33" t="inlineStr">
        <is>
          <t>HANGER</t>
        </is>
      </c>
      <c r="C427" s="33" t="inlineStr">
        <is>
          <t>EEYWG24E0139170</t>
        </is>
      </c>
      <c r="D427" s="30" t="n">
        <v>1</v>
      </c>
      <c r="F427" s="25" t="n"/>
      <c r="G427" s="29" t="n"/>
      <c r="H427" s="29" t="n"/>
    </row>
    <row r="428" ht="18.95" customHeight="1" s="49">
      <c r="A428" s="33" t="inlineStr">
        <is>
          <t>H009</t>
        </is>
      </c>
      <c r="B428" s="33" t="inlineStr">
        <is>
          <t>HANGER</t>
        </is>
      </c>
      <c r="C428" s="33" t="inlineStr">
        <is>
          <t>EETJG23E0655026</t>
        </is>
      </c>
      <c r="D428" s="30" t="n">
        <v>1</v>
      </c>
      <c r="F428" s="25" t="n"/>
      <c r="G428" s="29" t="n"/>
      <c r="H428" s="29" t="n"/>
    </row>
    <row r="429" ht="18.95" customHeight="1" s="49">
      <c r="A429" s="33" t="inlineStr">
        <is>
          <t>H009</t>
        </is>
      </c>
      <c r="B429" s="33" t="inlineStr">
        <is>
          <t>HANGER</t>
        </is>
      </c>
      <c r="C429" s="33" t="inlineStr">
        <is>
          <t>EERNG23E0199160</t>
        </is>
      </c>
      <c r="D429" s="30" t="n">
        <v>1</v>
      </c>
      <c r="F429" s="25" t="n"/>
      <c r="G429" s="29" t="n"/>
      <c r="H429" s="29" t="n"/>
    </row>
    <row r="430" ht="18.95" customHeight="1" s="49">
      <c r="A430" s="33" t="inlineStr">
        <is>
          <t>H009</t>
        </is>
      </c>
      <c r="B430" s="33" t="inlineStr">
        <is>
          <t>HANGER</t>
        </is>
      </c>
      <c r="C430" s="33" t="inlineStr">
        <is>
          <t>EEWHF49E0159165</t>
        </is>
      </c>
      <c r="D430" s="30" t="n">
        <v>1</v>
      </c>
      <c r="F430" s="25" t="n"/>
      <c r="G430" s="29" t="n"/>
      <c r="H430" s="29" t="n"/>
    </row>
    <row r="431" ht="18.95" customHeight="1" s="49">
      <c r="A431" s="33" t="inlineStr">
        <is>
          <t>H009</t>
        </is>
      </c>
      <c r="B431" s="33" t="inlineStr">
        <is>
          <t>HANGER</t>
        </is>
      </c>
      <c r="C431" s="33" t="inlineStr">
        <is>
          <t>EERNG24E5115160</t>
        </is>
      </c>
      <c r="D431" s="30" t="n">
        <v>1</v>
      </c>
      <c r="F431" s="25" t="n"/>
      <c r="G431" s="29" t="n"/>
      <c r="H431" s="29" t="n"/>
    </row>
    <row r="432" ht="18.95" customHeight="1" s="49">
      <c r="A432" s="33" t="inlineStr">
        <is>
          <t>H009</t>
        </is>
      </c>
      <c r="B432" s="33" t="inlineStr">
        <is>
          <t>HANGER</t>
        </is>
      </c>
      <c r="C432" s="33" t="inlineStr">
        <is>
          <t>EETHG12E0315165</t>
        </is>
      </c>
      <c r="D432" s="30" t="n">
        <v>1</v>
      </c>
      <c r="F432" s="25" t="n"/>
      <c r="G432" s="29" t="n"/>
      <c r="H432" s="29" t="n"/>
    </row>
    <row r="433" ht="18.95" customHeight="1" s="49">
      <c r="A433" s="33" t="inlineStr">
        <is>
          <t>H009</t>
        </is>
      </c>
      <c r="B433" s="33" t="inlineStr">
        <is>
          <t>HANGER</t>
        </is>
      </c>
      <c r="C433" s="33" t="inlineStr">
        <is>
          <t>EEYWG24E0170165</t>
        </is>
      </c>
      <c r="D433" s="30" t="n">
        <v>1</v>
      </c>
      <c r="F433" s="25" t="n"/>
      <c r="G433" s="29" t="n"/>
      <c r="H433" s="29" t="n"/>
    </row>
    <row r="434" ht="18.95" customHeight="1" s="49">
      <c r="A434" s="33" t="inlineStr">
        <is>
          <t>H009</t>
        </is>
      </c>
      <c r="B434" s="33" t="inlineStr">
        <is>
          <t>HANGER</t>
        </is>
      </c>
      <c r="C434" s="33" t="inlineStr">
        <is>
          <t>EERNG24E5139160</t>
        </is>
      </c>
      <c r="D434" s="30" t="n">
        <v>1</v>
      </c>
      <c r="F434" s="25" t="n"/>
      <c r="G434" s="29" t="n"/>
      <c r="H434" s="29" t="n"/>
    </row>
    <row r="435" ht="18.95" customHeight="1" s="49">
      <c r="A435" s="34" t="inlineStr">
        <is>
          <t>M001</t>
        </is>
      </c>
      <c r="B435" s="34" t="inlineStr">
        <is>
          <t>MQ</t>
        </is>
      </c>
      <c r="C435" s="34" t="inlineStr">
        <is>
          <t>EETJG24E0655028</t>
        </is>
      </c>
      <c r="D435" s="30" t="n">
        <v>1</v>
      </c>
      <c r="E435" s="36" t="n"/>
      <c r="F435" s="25" t="n"/>
      <c r="G435" s="29" t="n"/>
    </row>
    <row r="436" ht="18.95" customHeight="1" s="49">
      <c r="A436" s="34" t="inlineStr">
        <is>
          <t>M001</t>
        </is>
      </c>
      <c r="B436" s="34" t="inlineStr">
        <is>
          <t>MQ</t>
        </is>
      </c>
      <c r="C436" s="34" t="inlineStr">
        <is>
          <t>EETJG24E0655026</t>
        </is>
      </c>
      <c r="D436" s="30" t="n">
        <v>1</v>
      </c>
      <c r="F436" s="25" t="n"/>
      <c r="G436" s="29" t="n"/>
    </row>
    <row r="437" ht="18.95" customHeight="1" s="49">
      <c r="A437" s="34" t="inlineStr">
        <is>
          <t>M001</t>
        </is>
      </c>
      <c r="B437" s="34" t="inlineStr">
        <is>
          <t>MQ</t>
        </is>
      </c>
      <c r="C437" s="34" t="inlineStr">
        <is>
          <t>EEYWG23E0126165</t>
        </is>
      </c>
      <c r="D437" s="30" t="n">
        <v>1</v>
      </c>
      <c r="F437" s="25" t="n"/>
      <c r="G437" s="29" t="n"/>
    </row>
    <row r="438" ht="18.95" customHeight="1" s="49">
      <c r="A438" s="34" t="inlineStr">
        <is>
          <t>M001</t>
        </is>
      </c>
      <c r="B438" s="34" t="inlineStr">
        <is>
          <t>MQ</t>
        </is>
      </c>
      <c r="C438" s="34" t="inlineStr">
        <is>
          <t>EEYWG25E0330165</t>
        </is>
      </c>
      <c r="D438" s="30" t="n">
        <v>1</v>
      </c>
      <c r="F438" s="25" t="n"/>
      <c r="G438" s="29" t="n"/>
    </row>
    <row r="439" ht="18.95" customHeight="1" s="49">
      <c r="A439" s="34" t="inlineStr">
        <is>
          <t>M001</t>
        </is>
      </c>
      <c r="B439" s="34" t="inlineStr">
        <is>
          <t>MQ</t>
        </is>
      </c>
      <c r="C439" s="34" t="inlineStr">
        <is>
          <t>EEACG23E0159FRE</t>
        </is>
      </c>
      <c r="D439" s="30" t="n">
        <v>1</v>
      </c>
      <c r="F439" s="25" t="n"/>
      <c r="G439" s="29" t="n"/>
    </row>
    <row r="440" ht="18.95" customHeight="1" s="49">
      <c r="A440" s="34" t="inlineStr">
        <is>
          <t>M002</t>
        </is>
      </c>
      <c r="B440" s="34" t="inlineStr">
        <is>
          <t>MQ</t>
        </is>
      </c>
      <c r="C440" s="34" t="inlineStr">
        <is>
          <t>EEOWG26B0199160</t>
        </is>
      </c>
      <c r="D440" s="30" t="n">
        <v>1</v>
      </c>
      <c r="F440" s="25" t="n"/>
      <c r="G440" s="29" t="n"/>
    </row>
    <row r="441" ht="18.95" customHeight="1" s="49">
      <c r="A441" s="34" t="inlineStr">
        <is>
          <t>M002</t>
        </is>
      </c>
      <c r="B441" s="34" t="inlineStr">
        <is>
          <t>MQ</t>
        </is>
      </c>
      <c r="C441" s="34" t="inlineStr">
        <is>
          <t>EEYCG26E0199160</t>
        </is>
      </c>
      <c r="D441" s="30" t="n">
        <v>1</v>
      </c>
      <c r="F441" s="25" t="n"/>
      <c r="G441" s="29" t="n"/>
    </row>
    <row r="442" ht="18.95" customHeight="1" s="49">
      <c r="A442" s="34" t="inlineStr">
        <is>
          <t>M003</t>
        </is>
      </c>
      <c r="B442" s="34" t="inlineStr">
        <is>
          <t>MQ</t>
        </is>
      </c>
      <c r="C442" s="34" t="inlineStr">
        <is>
          <t>EEAKF49M0337FRE</t>
        </is>
      </c>
      <c r="D442" s="30" t="n">
        <v>1</v>
      </c>
      <c r="F442" s="25" t="n"/>
      <c r="G442" s="29" t="n"/>
    </row>
    <row r="443" ht="18.95" customHeight="1" s="49">
      <c r="A443" s="34" t="inlineStr">
        <is>
          <t>M003</t>
        </is>
      </c>
      <c r="B443" s="34" t="inlineStr">
        <is>
          <t>MQ</t>
        </is>
      </c>
      <c r="C443" s="34" t="inlineStr">
        <is>
          <t>EEASG23D0159FRE</t>
        </is>
      </c>
      <c r="D443" s="30" t="n">
        <v>1</v>
      </c>
      <c r="F443" s="25" t="n"/>
      <c r="G443" s="29" t="n"/>
    </row>
    <row r="444" ht="18.95" customHeight="1" s="49">
      <c r="A444" s="34" t="inlineStr">
        <is>
          <t>M003</t>
        </is>
      </c>
      <c r="B444" s="34" t="inlineStr">
        <is>
          <t>MQ</t>
        </is>
      </c>
      <c r="C444" s="34" t="inlineStr">
        <is>
          <t>EETAG24E0239165</t>
        </is>
      </c>
      <c r="D444" s="30" t="n">
        <v>1</v>
      </c>
      <c r="F444" s="25" t="n"/>
      <c r="G444" s="29" t="n"/>
    </row>
    <row r="445" ht="18.95" customHeight="1" s="49">
      <c r="A445" s="34" t="inlineStr">
        <is>
          <t>M003</t>
        </is>
      </c>
      <c r="B445" s="34" t="inlineStr">
        <is>
          <t>MQ</t>
        </is>
      </c>
      <c r="C445" s="34" t="inlineStr">
        <is>
          <t>EEYWG24E0139165</t>
        </is>
      </c>
      <c r="D445" s="30" t="n">
        <v>1</v>
      </c>
      <c r="F445" s="25" t="n"/>
      <c r="G445" s="29" t="n"/>
    </row>
    <row r="446" ht="18.95" customHeight="1" s="49">
      <c r="A446" s="34" t="inlineStr">
        <is>
          <t>M004</t>
        </is>
      </c>
      <c r="B446" s="34" t="inlineStr">
        <is>
          <t>MQ</t>
        </is>
      </c>
      <c r="C446" s="34" t="inlineStr">
        <is>
          <t>EEAKF49M0337FRE</t>
        </is>
      </c>
      <c r="D446" s="30" t="n">
        <v>1</v>
      </c>
      <c r="F446" s="25" t="n"/>
      <c r="G446" s="29" t="n"/>
    </row>
    <row r="447" ht="18.95" customHeight="1" s="49">
      <c r="A447" s="34" t="inlineStr">
        <is>
          <t>M004</t>
        </is>
      </c>
      <c r="B447" s="34" t="inlineStr">
        <is>
          <t>MQ</t>
        </is>
      </c>
      <c r="C447" s="34" t="inlineStr">
        <is>
          <t>EETJG24E0155025</t>
        </is>
      </c>
      <c r="D447" s="30" t="n">
        <v>1</v>
      </c>
      <c r="F447" s="25" t="n"/>
      <c r="G447" s="29" t="n"/>
    </row>
    <row r="448" ht="18.95" customHeight="1" s="49">
      <c r="A448" s="34" t="inlineStr">
        <is>
          <t>M004</t>
        </is>
      </c>
      <c r="B448" s="34" t="inlineStr">
        <is>
          <t>MQ</t>
        </is>
      </c>
      <c r="C448" s="34" t="inlineStr">
        <is>
          <t>EEVKG25E0130170</t>
        </is>
      </c>
      <c r="D448" s="30" t="n">
        <v>1</v>
      </c>
      <c r="F448" s="25" t="n"/>
      <c r="G448" s="29" t="n"/>
    </row>
    <row r="449" ht="18.95" customHeight="1" s="49">
      <c r="A449" s="34" t="inlineStr">
        <is>
          <t>M005</t>
        </is>
      </c>
      <c r="B449" s="34" t="inlineStr">
        <is>
          <t>MQ</t>
        </is>
      </c>
      <c r="C449" s="34" t="inlineStr">
        <is>
          <t>EEAKF25N5139FRE</t>
        </is>
      </c>
      <c r="D449" s="30" t="n">
        <v>1</v>
      </c>
      <c r="F449" s="25" t="n"/>
      <c r="G449" s="29" t="n"/>
    </row>
    <row r="450" ht="18.95" customHeight="1" s="49">
      <c r="A450" s="34" t="inlineStr">
        <is>
          <t>M005</t>
        </is>
      </c>
      <c r="B450" s="34" t="inlineStr">
        <is>
          <t>MQ</t>
        </is>
      </c>
      <c r="C450" s="34" t="inlineStr">
        <is>
          <t>EEWHG24E0139170</t>
        </is>
      </c>
      <c r="D450" s="30" t="n">
        <v>1</v>
      </c>
      <c r="F450" s="25" t="n"/>
      <c r="G450" s="29" t="n"/>
    </row>
    <row r="451" ht="18.95" customHeight="1" s="49">
      <c r="A451" s="34" t="inlineStr">
        <is>
          <t>M005</t>
        </is>
      </c>
      <c r="B451" s="34" t="inlineStr">
        <is>
          <t>MQ</t>
        </is>
      </c>
      <c r="C451" s="34" t="inlineStr">
        <is>
          <t>EEYPGF4EE101160</t>
        </is>
      </c>
      <c r="D451" s="30" t="n">
        <v>1</v>
      </c>
      <c r="F451" s="25" t="n"/>
      <c r="G451" s="29" t="n"/>
    </row>
    <row r="452" ht="18.95" customHeight="1" s="49">
      <c r="A452" s="34" t="inlineStr">
        <is>
          <t>M006</t>
        </is>
      </c>
      <c r="B452" s="34" t="inlineStr">
        <is>
          <t>MQ</t>
        </is>
      </c>
      <c r="C452" s="34" t="inlineStr">
        <is>
          <t>EEAKG25E0185FRE</t>
        </is>
      </c>
      <c r="D452" s="30" t="n">
        <v>1</v>
      </c>
      <c r="F452" s="25" t="n"/>
      <c r="G452" s="29" t="n"/>
    </row>
    <row r="453" ht="18.95" customHeight="1" s="49">
      <c r="A453" s="34" t="inlineStr">
        <is>
          <t>M006</t>
        </is>
      </c>
      <c r="B453" s="34" t="inlineStr">
        <is>
          <t>MQ</t>
        </is>
      </c>
      <c r="C453" s="34" t="inlineStr">
        <is>
          <t>EEWHG24E0239160</t>
        </is>
      </c>
      <c r="D453" s="30" t="n">
        <v>1</v>
      </c>
      <c r="F453" s="25" t="n"/>
      <c r="G453" s="29" t="n"/>
    </row>
    <row r="454" ht="18.95" customHeight="1" s="49">
      <c r="A454" s="34" t="inlineStr">
        <is>
          <t>M006</t>
        </is>
      </c>
      <c r="B454" s="34" t="inlineStr">
        <is>
          <t>MQ</t>
        </is>
      </c>
      <c r="C454" s="34" t="inlineStr">
        <is>
          <t>EEYWG25E0139160</t>
        </is>
      </c>
      <c r="D454" s="30" t="n">
        <v>1</v>
      </c>
      <c r="F454" s="25" t="n"/>
      <c r="G454" s="29" t="n"/>
    </row>
    <row r="455" ht="18.95" customHeight="1" s="49">
      <c r="A455" s="34" t="inlineStr">
        <is>
          <t>M006</t>
        </is>
      </c>
      <c r="B455" s="34" t="inlineStr">
        <is>
          <t>MQ</t>
        </is>
      </c>
      <c r="C455" s="34" t="inlineStr">
        <is>
          <t>EEVKG25E0139160</t>
        </is>
      </c>
      <c r="D455" s="30" t="n">
        <v>1</v>
      </c>
      <c r="F455" s="25" t="n"/>
      <c r="G455" s="29" t="n"/>
    </row>
    <row r="456" ht="18.95" customHeight="1" s="49">
      <c r="A456" s="34" t="inlineStr">
        <is>
          <t>M007</t>
        </is>
      </c>
      <c r="B456" s="34" t="inlineStr">
        <is>
          <t>MQ</t>
        </is>
      </c>
      <c r="C456" s="34" t="inlineStr">
        <is>
          <t>EEOWG24E0236165</t>
        </is>
      </c>
      <c r="D456" s="30" t="n">
        <v>1</v>
      </c>
      <c r="F456" s="25" t="n"/>
      <c r="G456" s="29" t="n"/>
    </row>
    <row r="457" ht="18.95" customHeight="1" s="49">
      <c r="A457" s="34" t="inlineStr">
        <is>
          <t>M008</t>
        </is>
      </c>
      <c r="B457" s="34" t="inlineStr">
        <is>
          <t>MQ</t>
        </is>
      </c>
      <c r="C457" s="34" t="inlineStr">
        <is>
          <t>EEYWG24E0170165</t>
        </is>
      </c>
      <c r="D457" s="30" t="n">
        <v>1</v>
      </c>
      <c r="F457" s="25" t="n"/>
      <c r="G457" s="29" t="n"/>
    </row>
    <row r="458" ht="18.95" customHeight="1" s="49">
      <c r="A458" s="34" t="inlineStr">
        <is>
          <t>M008</t>
        </is>
      </c>
      <c r="B458" s="34" t="inlineStr">
        <is>
          <t>MQ</t>
        </is>
      </c>
      <c r="C458" s="34" t="inlineStr">
        <is>
          <t>EERAG24E0439160</t>
        </is>
      </c>
      <c r="D458" s="30" t="n">
        <v>1</v>
      </c>
      <c r="F458" s="25" t="n"/>
      <c r="G458" s="29" t="n"/>
    </row>
    <row r="459" ht="18.95" customHeight="1" s="49">
      <c r="A459" s="34" t="inlineStr">
        <is>
          <t>M008</t>
        </is>
      </c>
      <c r="B459" s="34" t="inlineStr">
        <is>
          <t>MQ</t>
        </is>
      </c>
      <c r="C459" s="34" t="inlineStr">
        <is>
          <t>EETCG24E0641155</t>
        </is>
      </c>
      <c r="D459" s="30" t="n">
        <v>1</v>
      </c>
      <c r="F459" s="25" t="n"/>
      <c r="G459" s="29" t="n"/>
    </row>
    <row r="460" ht="18.95" customHeight="1" s="49">
      <c r="A460" s="26" t="n"/>
      <c r="B460" s="27" t="n"/>
      <c r="C460" s="28" t="n"/>
      <c r="D460" s="27" t="n"/>
      <c r="E460" s="27" t="n"/>
      <c r="F460" s="29" t="n"/>
    </row>
    <row r="461" ht="18.95" customHeight="1" s="49">
      <c r="A461" s="26" t="n"/>
      <c r="B461" s="27" t="n"/>
      <c r="C461" s="28" t="n"/>
      <c r="D461" s="27" t="n"/>
    </row>
    <row r="462" ht="18.95" customHeight="1" s="49">
      <c r="A462" s="26" t="n"/>
      <c r="B462" s="27" t="n"/>
      <c r="C462" s="28" t="n"/>
      <c r="D462" s="27" t="n"/>
    </row>
    <row r="463" ht="18.95" customHeight="1" s="49">
      <c r="A463" s="26" t="n"/>
      <c r="B463" s="27" t="n"/>
      <c r="C463" s="28" t="n"/>
      <c r="D463" s="27" t="n"/>
    </row>
    <row r="464" ht="18.95" customHeight="1" s="49">
      <c r="A464" s="26" t="n"/>
      <c r="B464" s="27" t="n"/>
      <c r="C464" s="28" t="n"/>
      <c r="D464" s="27" t="n"/>
    </row>
    <row r="465" ht="18.95" customHeight="1" s="49">
      <c r="A465" s="26" t="n"/>
      <c r="B465" s="27" t="n"/>
      <c r="C465" s="28" t="n"/>
      <c r="D465" s="27" t="n"/>
    </row>
    <row r="466" ht="18.95" customHeight="1" s="49">
      <c r="A466" s="26" t="n"/>
      <c r="B466" s="27" t="n"/>
      <c r="C466" s="28" t="n"/>
      <c r="D466" s="27" t="n"/>
    </row>
    <row r="467" ht="18.95" customHeight="1" s="49">
      <c r="A467" s="26" t="n"/>
      <c r="B467" s="27" t="n"/>
      <c r="C467" s="28" t="n"/>
      <c r="D467" s="27" t="n"/>
    </row>
    <row r="468" ht="18.95" customHeight="1" s="49">
      <c r="A468" s="26" t="n"/>
      <c r="B468" s="27" t="n"/>
      <c r="C468" s="28" t="n"/>
      <c r="D468" s="27" t="n"/>
    </row>
    <row r="469" ht="18.95" customHeight="1" s="49">
      <c r="A469" s="26" t="n"/>
      <c r="B469" s="27" t="n"/>
      <c r="C469" s="28" t="n"/>
      <c r="D469" s="27" t="n"/>
    </row>
    <row r="470" ht="18.95" customHeight="1" s="49">
      <c r="A470" s="26" t="n"/>
      <c r="B470" s="27" t="n"/>
      <c r="C470" s="28" t="n"/>
      <c r="D470" s="27" t="n"/>
    </row>
    <row r="471" ht="18.95" customHeight="1" s="49">
      <c r="A471" s="26" t="n"/>
      <c r="B471" s="27" t="n"/>
      <c r="C471" s="28" t="n"/>
      <c r="D471" s="27" t="n"/>
    </row>
    <row r="472" ht="18.95" customHeight="1" s="49">
      <c r="A472" s="26" t="n"/>
      <c r="B472" s="27" t="n"/>
      <c r="C472" s="28" t="n"/>
      <c r="D472" s="27" t="n"/>
    </row>
    <row r="473" ht="18.95" customHeight="1" s="49">
      <c r="A473" s="26" t="n"/>
      <c r="B473" s="27" t="n"/>
      <c r="C473" s="28" t="n"/>
      <c r="D473" s="27" t="n"/>
    </row>
    <row r="474" ht="18.95" customHeight="1" s="49">
      <c r="A474" s="26" t="n"/>
      <c r="B474" s="27" t="n"/>
      <c r="C474" s="28" t="n"/>
      <c r="D474" s="27" t="n"/>
    </row>
    <row r="475" ht="18.95" customHeight="1" s="49">
      <c r="A475" s="26" t="n"/>
      <c r="B475" s="27" t="n"/>
      <c r="C475" s="28" t="n"/>
      <c r="D475" s="27" t="n"/>
    </row>
    <row r="476" ht="18.95" customHeight="1" s="49">
      <c r="A476" s="26" t="n"/>
      <c r="B476" s="27" t="n"/>
      <c r="C476" s="28" t="n"/>
      <c r="D476" s="27" t="n"/>
    </row>
    <row r="477" ht="18.95" customHeight="1" s="49">
      <c r="A477" s="26" t="n"/>
      <c r="B477" s="27" t="n"/>
      <c r="C477" s="28" t="n"/>
      <c r="D477" s="27" t="n"/>
    </row>
    <row r="478" ht="18.95" customHeight="1" s="49">
      <c r="A478" s="26" t="n"/>
      <c r="B478" s="27" t="n"/>
      <c r="C478" s="28" t="n"/>
      <c r="D478" s="27" t="n"/>
    </row>
    <row r="479" ht="18.95" customHeight="1" s="49">
      <c r="A479" s="26" t="n"/>
      <c r="B479" s="27" t="n"/>
      <c r="C479" s="28" t="n"/>
      <c r="D479" s="27" t="n"/>
    </row>
    <row r="480" ht="18.95" customHeight="1" s="49">
      <c r="A480" s="26" t="n"/>
      <c r="B480" s="27" t="n"/>
      <c r="C480" s="28" t="n"/>
      <c r="D480" s="27" t="n"/>
    </row>
    <row r="481" ht="18.95" customHeight="1" s="49">
      <c r="A481" s="26" t="n"/>
      <c r="B481" s="27" t="n"/>
      <c r="C481" s="28" t="n"/>
      <c r="D481" s="27" t="n"/>
    </row>
    <row r="482" ht="18.95" customHeight="1" s="49">
      <c r="A482" s="26" t="n"/>
      <c r="B482" s="27" t="n"/>
      <c r="C482" s="28" t="n"/>
      <c r="D482" s="27" t="n"/>
    </row>
    <row r="483" ht="18.95" customHeight="1" s="49">
      <c r="A483" s="26" t="n"/>
      <c r="B483" s="27" t="n"/>
      <c r="C483" s="28" t="n"/>
      <c r="D483" s="27" t="n"/>
    </row>
    <row r="484" ht="18.95" customHeight="1" s="49">
      <c r="A484" s="26" t="n"/>
      <c r="B484" s="27" t="n"/>
      <c r="C484" s="28" t="n"/>
      <c r="D484" s="27" t="n"/>
    </row>
    <row r="485" ht="18.95" customHeight="1" s="49">
      <c r="A485" s="26" t="n"/>
      <c r="B485" s="27" t="n"/>
      <c r="C485" s="28" t="n"/>
      <c r="D485" s="27" t="n"/>
    </row>
    <row r="486" ht="18.95" customHeight="1" s="49">
      <c r="A486" s="26" t="n"/>
      <c r="B486" s="27" t="n"/>
      <c r="C486" s="28" t="n"/>
      <c r="D486" s="27" t="n"/>
    </row>
    <row r="487" ht="18.95" customHeight="1" s="49">
      <c r="A487" s="26" t="n"/>
      <c r="B487" s="27" t="n"/>
      <c r="C487" s="28" t="n"/>
      <c r="D487" s="27" t="n"/>
    </row>
    <row r="488" ht="18.95" customHeight="1" s="49">
      <c r="A488" s="26" t="n"/>
      <c r="B488" s="27" t="n"/>
      <c r="C488" s="28" t="n"/>
      <c r="D488" s="27" t="n"/>
    </row>
    <row r="489" ht="18.95" customHeight="1" s="49">
      <c r="A489" s="26" t="n"/>
      <c r="B489" s="27" t="n"/>
      <c r="C489" s="28" t="n"/>
      <c r="D489" s="27" t="n"/>
    </row>
    <row r="490" ht="18.95" customHeight="1" s="49">
      <c r="A490" s="26" t="n"/>
      <c r="B490" s="27" t="n"/>
      <c r="C490" s="28" t="n"/>
      <c r="D490" s="27" t="n"/>
    </row>
    <row r="491" ht="18.95" customHeight="1" s="49">
      <c r="A491" s="26" t="n"/>
      <c r="B491" s="27" t="n"/>
      <c r="C491" s="28" t="n"/>
      <c r="D491" s="27" t="n"/>
    </row>
    <row r="492" ht="18.95" customHeight="1" s="49">
      <c r="A492" s="26" t="n"/>
      <c r="B492" s="27" t="n"/>
      <c r="C492" s="28" t="n"/>
      <c r="D492" s="27" t="n"/>
    </row>
    <row r="493" ht="18.95" customHeight="1" s="49">
      <c r="A493" s="26" t="n"/>
      <c r="B493" s="27" t="n"/>
      <c r="C493" s="28" t="n"/>
      <c r="D493" s="27" t="n"/>
    </row>
    <row r="494" ht="18.95" customHeight="1" s="49">
      <c r="A494" s="26" t="n"/>
      <c r="B494" s="27" t="n"/>
      <c r="C494" s="28" t="n"/>
      <c r="D494" s="27" t="n"/>
    </row>
    <row r="495" ht="18.95" customHeight="1" s="49">
      <c r="A495" s="26" t="n"/>
      <c r="B495" s="27" t="n"/>
      <c r="C495" s="28" t="n"/>
      <c r="D495" s="27" t="n"/>
    </row>
    <row r="496" ht="18.95" customHeight="1" s="49">
      <c r="A496" s="26" t="n"/>
      <c r="B496" s="27" t="n"/>
      <c r="C496" s="28" t="n"/>
      <c r="D496" s="27" t="n"/>
    </row>
    <row r="497" ht="18.95" customHeight="1" s="49">
      <c r="A497" s="26" t="n"/>
      <c r="B497" s="27" t="n"/>
      <c r="C497" s="28" t="n"/>
      <c r="D497" s="27" t="n"/>
    </row>
    <row r="498" ht="18.95" customHeight="1" s="49">
      <c r="A498" s="26" t="n"/>
      <c r="B498" s="27" t="n"/>
      <c r="C498" s="28" t="n"/>
      <c r="D498" s="27" t="n"/>
    </row>
    <row r="499" ht="18.95" customHeight="1" s="49">
      <c r="A499" s="26" t="n"/>
      <c r="B499" s="27" t="n"/>
      <c r="C499" s="28" t="n"/>
      <c r="D499" s="27" t="n"/>
    </row>
    <row r="500" ht="18.95" customHeight="1" s="49">
      <c r="A500" s="26" t="n"/>
      <c r="B500" s="27" t="n"/>
      <c r="C500" s="28" t="n"/>
      <c r="D500" s="27" t="n"/>
    </row>
    <row r="501" ht="18.95" customHeight="1" s="49">
      <c r="A501" s="26" t="n"/>
      <c r="B501" s="27" t="n"/>
      <c r="C501" s="28" t="n"/>
      <c r="D501" s="27" t="n"/>
    </row>
    <row r="502" ht="18.95" customHeight="1" s="49">
      <c r="A502" s="26" t="n"/>
      <c r="B502" s="27" t="n"/>
      <c r="C502" s="28" t="n"/>
      <c r="D502" s="27" t="n"/>
    </row>
    <row r="503" ht="18.95" customHeight="1" s="49">
      <c r="A503" s="26" t="n"/>
      <c r="B503" s="27" t="n"/>
      <c r="C503" s="28" t="n"/>
      <c r="D503" s="27" t="n"/>
    </row>
    <row r="504" ht="18.95" customHeight="1" s="49">
      <c r="A504" s="26" t="n"/>
      <c r="B504" s="27" t="n"/>
      <c r="C504" s="28" t="n"/>
      <c r="D504" s="27" t="n"/>
    </row>
    <row r="505" ht="18.95" customHeight="1" s="49">
      <c r="A505" s="26" t="n"/>
      <c r="B505" s="27" t="n"/>
      <c r="C505" s="28" t="n"/>
      <c r="D505" s="27" t="n"/>
    </row>
    <row r="506" ht="18.95" customHeight="1" s="49">
      <c r="A506" s="26" t="n"/>
      <c r="B506" s="27" t="n"/>
      <c r="C506" s="28" t="n"/>
      <c r="D506" s="27" t="n"/>
    </row>
    <row r="507" ht="18.95" customHeight="1" s="49">
      <c r="A507" s="26" t="n"/>
      <c r="B507" s="27" t="n"/>
      <c r="C507" s="28" t="n"/>
      <c r="D507" s="27" t="n"/>
    </row>
    <row r="508" ht="18.95" customHeight="1" s="49">
      <c r="A508" s="26" t="n"/>
      <c r="B508" s="27" t="n"/>
      <c r="C508" s="28" t="n"/>
      <c r="D508" s="27" t="n"/>
    </row>
    <row r="509" ht="18.95" customHeight="1" s="49">
      <c r="A509" s="26" t="n"/>
      <c r="B509" s="27" t="n"/>
      <c r="C509" s="28" t="n"/>
      <c r="D509" s="27" t="n"/>
    </row>
    <row r="510" ht="18.95" customHeight="1" s="49">
      <c r="A510" s="26" t="n"/>
      <c r="B510" s="27" t="n"/>
      <c r="C510" s="28" t="n"/>
      <c r="D510" s="27" t="n"/>
    </row>
    <row r="511" ht="18.95" customHeight="1" s="49">
      <c r="A511" s="26" t="n"/>
      <c r="B511" s="27" t="n"/>
      <c r="C511" s="28" t="n"/>
      <c r="D511" s="27" t="n"/>
    </row>
    <row r="512" ht="18.95" customHeight="1" s="49">
      <c r="A512" s="26" t="n"/>
      <c r="B512" s="27" t="n"/>
      <c r="C512" s="28" t="n"/>
      <c r="D512" s="27" t="n"/>
    </row>
    <row r="513" ht="18.95" customHeight="1" s="49">
      <c r="A513" s="26" t="n"/>
      <c r="B513" s="27" t="n"/>
      <c r="C513" s="28" t="n"/>
      <c r="D513" s="27" t="n"/>
    </row>
    <row r="514" ht="18.95" customHeight="1" s="49">
      <c r="A514" s="26" t="n"/>
      <c r="B514" s="27" t="n"/>
      <c r="C514" s="28" t="n"/>
      <c r="D514" s="27" t="n"/>
    </row>
    <row r="515" ht="18.95" customHeight="1" s="49">
      <c r="A515" s="26" t="n"/>
      <c r="B515" s="27" t="n"/>
      <c r="C515" s="28" t="n"/>
      <c r="D515" s="27" t="n"/>
    </row>
    <row r="516" ht="18.95" customHeight="1" s="49">
      <c r="A516" s="26" t="n"/>
      <c r="B516" s="27" t="n"/>
      <c r="C516" s="28" t="n"/>
      <c r="D516" s="27" t="n"/>
    </row>
  </sheetData>
  <mergeCells count="2">
    <mergeCell ref="A1:D1"/>
    <mergeCell ref="A2:B2"/>
  </mergeCells>
  <dataValidations count="1">
    <dataValidation sqref="B4:B716" showDropDown="0" showInputMessage="0" showErrorMessage="1" allowBlank="1" errorTitle="입력오류" error="FACE/TABLE/HANGER/MQ 중 선택" type="list">
      <formula1>"FACE,TABLE,HANGER,MQ"</formula1>
    </dataValidation>
  </dataValidations>
  <pageMargins left="0.75" right="0.75" top="1" bottom="1" header="0.5" footer="0.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8"/>
  <sheetViews>
    <sheetView showGridLines="0" workbookViewId="0">
      <pane ySplit="3" topLeftCell="A25" activePane="bottomLeft" state="frozen"/>
      <selection pane="bottomLeft" activeCell="O7" sqref="O7"/>
    </sheetView>
  </sheetViews>
  <sheetFormatPr baseColWidth="8" defaultRowHeight="16.5"/>
  <cols>
    <col width="6" customWidth="1" style="49" min="1" max="1"/>
    <col width="8" customWidth="1" style="49" min="2" max="2"/>
    <col width="10" customWidth="1" style="49" min="3" max="3"/>
    <col width="8" customWidth="1" style="49" min="4" max="4"/>
    <col width="16" customWidth="1" style="49" min="5" max="5"/>
    <col width="8" customWidth="1" style="49" min="6" max="6"/>
    <col width="12" customWidth="1" style="49" min="7" max="7"/>
    <col width="14" customWidth="1" style="49" min="8" max="8"/>
    <col width="10" customWidth="1" style="49" min="9" max="10"/>
    <col width="12" customWidth="1" style="49" min="11" max="12"/>
  </cols>
  <sheetData>
    <row r="1" ht="42" customHeight="1" s="49">
      <c r="A1" s="52" t="inlineStr">
        <is>
          <t>💰  판매 실적  |  회사 양식 그대로 복붙 또는 직접 입력</t>
        </is>
      </c>
    </row>
    <row r="2" ht="15" customHeight="1" s="49">
      <c r="A2" s="51" t="inlineStr">
        <is>
          <t xml:space="preserve">  ★ 款号(스타일번호) 가 진열 데이터의 바코드 앞 10자리와 자동 매칭됩니다</t>
        </is>
      </c>
    </row>
    <row r="3" ht="32.1" customHeight="1" s="49">
      <c r="A3" s="8" t="inlineStr">
        <is>
          <t>品类</t>
        </is>
      </c>
      <c r="B3" s="8" t="inlineStr">
        <is>
          <t>支社</t>
        </is>
      </c>
      <c r="C3" s="8" t="inlineStr">
        <is>
          <t>区域</t>
        </is>
      </c>
      <c r="D3" s="8" t="inlineStr">
        <is>
          <t>卖场
코드</t>
        </is>
      </c>
      <c r="E3" s="8" t="inlineStr">
        <is>
          <t>매장명</t>
        </is>
      </c>
      <c r="F3" s="8" t="inlineStr">
        <is>
          <t>卖场
유형</t>
        </is>
      </c>
      <c r="G3" s="8" t="inlineStr">
        <is>
          <t>매장유형</t>
        </is>
      </c>
      <c r="H3" s="8" t="inlineStr">
        <is>
          <t>款号
(스타일번호)</t>
        </is>
      </c>
      <c r="I3" s="8" t="inlineStr">
        <is>
          <t>预定
단가</t>
        </is>
      </c>
      <c r="J3" s="8" t="inlineStr">
        <is>
          <t>决定
단가</t>
        </is>
      </c>
      <c r="K3" s="45" t="inlineStr">
        <is>
          <t>销售数量
★판매수량</t>
        </is>
      </c>
      <c r="L3" s="45" t="inlineStr">
        <is>
          <t>销售额
★매출(CNY)</t>
        </is>
      </c>
    </row>
    <row r="4" ht="18.95" customHeight="1" s="49">
      <c r="A4" s="9" t="inlineStr">
        <is>
          <t>AB</t>
        </is>
      </c>
      <c r="B4" s="9" t="inlineStr">
        <is>
          <t>B331</t>
        </is>
      </c>
      <c r="C4" s="10" t="inlineStr">
        <is>
          <t>上海区域</t>
        </is>
      </c>
      <c r="D4" s="10" t="inlineStr">
        <is>
          <t>CMCF</t>
        </is>
      </c>
      <c r="E4" s="10" t="inlineStr">
        <is>
          <t>EE 上海七宝万科广场</t>
        </is>
      </c>
      <c r="F4" s="9" t="inlineStr">
        <is>
          <t>02</t>
        </is>
      </c>
      <c r="G4" s="10" t="inlineStr">
        <is>
          <t>购物中心</t>
        </is>
      </c>
      <c r="H4" s="11" t="inlineStr">
        <is>
          <t>EEABG23B01</t>
        </is>
      </c>
      <c r="I4" s="9" t="n">
        <v>499</v>
      </c>
      <c r="J4" s="43" t="n">
        <v>499</v>
      </c>
      <c r="K4" s="46">
        <f>VLOOKUP(H4,'七宝0412-0511'!H:M,6,0)</f>
        <v/>
      </c>
      <c r="L4" s="46">
        <f>VLOOKUP(H4,'七宝0412-0511'!H:O,8,0)</f>
        <v/>
      </c>
    </row>
    <row r="5" ht="18.95" customHeight="1" s="49">
      <c r="A5" s="12" t="inlineStr">
        <is>
          <t>AB</t>
        </is>
      </c>
      <c r="B5" s="12" t="inlineStr">
        <is>
          <t>B331</t>
        </is>
      </c>
      <c r="C5" s="13" t="inlineStr">
        <is>
          <t>上海区域</t>
        </is>
      </c>
      <c r="D5" s="13" t="inlineStr">
        <is>
          <t>CMCF</t>
        </is>
      </c>
      <c r="E5" s="13" t="inlineStr">
        <is>
          <t>EE 上海七宝万科广场</t>
        </is>
      </c>
      <c r="F5" s="12" t="inlineStr">
        <is>
          <t>02</t>
        </is>
      </c>
      <c r="G5" s="13" t="inlineStr">
        <is>
          <t>购物中心</t>
        </is>
      </c>
      <c r="H5" s="14" t="inlineStr">
        <is>
          <t>EEABG23B51</t>
        </is>
      </c>
      <c r="I5" s="12" t="n">
        <v>199</v>
      </c>
      <c r="J5" s="44" t="n">
        <v>199</v>
      </c>
      <c r="K5" s="46">
        <f>VLOOKUP(H5,'七宝0412-0511'!H:M,6,0)</f>
        <v/>
      </c>
      <c r="L5" s="46">
        <f>VLOOKUP(H5,'七宝0412-0511'!H:O,8,0)</f>
        <v/>
      </c>
    </row>
    <row r="6" ht="18.95" customHeight="1" s="49">
      <c r="A6" s="9" t="inlineStr">
        <is>
          <t>AC</t>
        </is>
      </c>
      <c r="B6" s="9" t="inlineStr">
        <is>
          <t>B331</t>
        </is>
      </c>
      <c r="C6" s="10" t="inlineStr">
        <is>
          <t>上海区域</t>
        </is>
      </c>
      <c r="D6" s="10" t="inlineStr">
        <is>
          <t>CMCF</t>
        </is>
      </c>
      <c r="E6" s="10" t="inlineStr">
        <is>
          <t>EE 上海七宝万科广场</t>
        </is>
      </c>
      <c r="F6" s="9" t="inlineStr">
        <is>
          <t>02</t>
        </is>
      </c>
      <c r="G6" s="10" t="inlineStr">
        <is>
          <t>购物中心</t>
        </is>
      </c>
      <c r="H6" s="11" t="inlineStr">
        <is>
          <t>EEACG23E01</t>
        </is>
      </c>
      <c r="I6" s="9" t="n">
        <v>299</v>
      </c>
      <c r="J6" s="43" t="n">
        <v>299</v>
      </c>
      <c r="K6" s="46">
        <f>VLOOKUP(H6,'七宝0412-0511'!H:M,6,0)</f>
        <v/>
      </c>
      <c r="L6" s="46">
        <f>VLOOKUP(H6,'七宝0412-0511'!H:O,8,0)</f>
        <v/>
      </c>
    </row>
    <row r="7" ht="18.95" customHeight="1" s="49">
      <c r="A7" s="12" t="inlineStr">
        <is>
          <t>AC</t>
        </is>
      </c>
      <c r="B7" s="12" t="inlineStr">
        <is>
          <t>B331</t>
        </is>
      </c>
      <c r="C7" s="13" t="inlineStr">
        <is>
          <t>上海区域</t>
        </is>
      </c>
      <c r="D7" s="13" t="inlineStr">
        <is>
          <t>CMCF</t>
        </is>
      </c>
      <c r="E7" s="13" t="inlineStr">
        <is>
          <t>EE 上海七宝万科广场</t>
        </is>
      </c>
      <c r="F7" s="12" t="inlineStr">
        <is>
          <t>02</t>
        </is>
      </c>
      <c r="G7" s="13" t="inlineStr">
        <is>
          <t>购物中心</t>
        </is>
      </c>
      <c r="H7" s="14" t="inlineStr">
        <is>
          <t>EEACG25D01</t>
        </is>
      </c>
      <c r="I7" s="12" t="n">
        <v>399</v>
      </c>
      <c r="J7" s="44" t="n">
        <v>399</v>
      </c>
      <c r="K7" s="46">
        <f>VLOOKUP(H7,'七宝0412-0511'!H:M,6,0)</f>
        <v/>
      </c>
      <c r="L7" s="46">
        <f>VLOOKUP(H7,'七宝0412-0511'!H:O,8,0)</f>
        <v/>
      </c>
    </row>
    <row r="8" ht="18.95" customHeight="1" s="49">
      <c r="A8" s="9" t="inlineStr">
        <is>
          <t>AK</t>
        </is>
      </c>
      <c r="B8" s="9" t="inlineStr">
        <is>
          <t>B331</t>
        </is>
      </c>
      <c r="C8" s="10" t="inlineStr">
        <is>
          <t>上海区域</t>
        </is>
      </c>
      <c r="D8" s="10" t="inlineStr">
        <is>
          <t>CMCF</t>
        </is>
      </c>
      <c r="E8" s="10" t="inlineStr">
        <is>
          <t>EE 上海七宝万科广场</t>
        </is>
      </c>
      <c r="F8" s="9" t="inlineStr">
        <is>
          <t>02</t>
        </is>
      </c>
      <c r="G8" s="10" t="inlineStr">
        <is>
          <t>购物中心</t>
        </is>
      </c>
      <c r="H8" s="11" t="inlineStr">
        <is>
          <t>EEAKG23B01</t>
        </is>
      </c>
      <c r="I8" s="9" t="n">
        <v>999</v>
      </c>
      <c r="J8" s="43" t="n">
        <v>999</v>
      </c>
      <c r="K8" s="46">
        <f>VLOOKUP(H8,'七宝0412-0511'!H:M,6,0)</f>
        <v/>
      </c>
      <c r="L8" s="46">
        <f>VLOOKUP(H8,'七宝0412-0511'!H:O,8,0)</f>
        <v/>
      </c>
    </row>
    <row r="9" ht="18.95" customHeight="1" s="49">
      <c r="A9" s="12" t="inlineStr">
        <is>
          <t>AK</t>
        </is>
      </c>
      <c r="B9" s="12" t="inlineStr">
        <is>
          <t>B331</t>
        </is>
      </c>
      <c r="C9" s="13" t="inlineStr">
        <is>
          <t>上海区域</t>
        </is>
      </c>
      <c r="D9" s="13" t="inlineStr">
        <is>
          <t>CMCF</t>
        </is>
      </c>
      <c r="E9" s="13" t="inlineStr">
        <is>
          <t>EE 上海七宝万科广场</t>
        </is>
      </c>
      <c r="F9" s="12" t="inlineStr">
        <is>
          <t>02</t>
        </is>
      </c>
      <c r="G9" s="13" t="inlineStr">
        <is>
          <t>购物中心</t>
        </is>
      </c>
      <c r="H9" s="14" t="inlineStr">
        <is>
          <t>EEAKG25B01</t>
        </is>
      </c>
      <c r="I9" s="12" t="n">
        <v>1299</v>
      </c>
      <c r="J9" s="44" t="n">
        <v>1299</v>
      </c>
      <c r="K9" s="46">
        <f>VLOOKUP(H9,'七宝0412-0511'!H:M,6,0)</f>
        <v/>
      </c>
      <c r="L9" s="46">
        <f>VLOOKUP(H9,'七宝0412-0511'!H:O,8,0)</f>
        <v/>
      </c>
    </row>
    <row r="10" ht="18.95" customHeight="1" s="49">
      <c r="A10" s="9" t="inlineStr">
        <is>
          <t>AK</t>
        </is>
      </c>
      <c r="B10" s="9" t="inlineStr">
        <is>
          <t>B331</t>
        </is>
      </c>
      <c r="C10" s="10" t="inlineStr">
        <is>
          <t>上海区域</t>
        </is>
      </c>
      <c r="D10" s="10" t="inlineStr">
        <is>
          <t>CMCF</t>
        </is>
      </c>
      <c r="E10" s="10" t="inlineStr">
        <is>
          <t>EE 上海七宝万科广场</t>
        </is>
      </c>
      <c r="F10" s="9" t="inlineStr">
        <is>
          <t>02</t>
        </is>
      </c>
      <c r="G10" s="10" t="inlineStr">
        <is>
          <t>购物中心</t>
        </is>
      </c>
      <c r="H10" s="11" t="inlineStr">
        <is>
          <t>EEAKG25E01</t>
        </is>
      </c>
      <c r="I10" s="9" t="n">
        <v>1599</v>
      </c>
      <c r="J10" s="43" t="n">
        <v>1599</v>
      </c>
      <c r="K10" s="46">
        <f>VLOOKUP(H10,'七宝0412-0511'!H:M,6,0)</f>
        <v/>
      </c>
      <c r="L10" s="46">
        <f>VLOOKUP(H10,'七宝0412-0511'!H:O,8,0)</f>
        <v/>
      </c>
    </row>
    <row r="11" ht="18.95" customHeight="1" s="49">
      <c r="A11" s="12" t="inlineStr">
        <is>
          <t>AS</t>
        </is>
      </c>
      <c r="B11" s="12" t="inlineStr">
        <is>
          <t>B331</t>
        </is>
      </c>
      <c r="C11" s="13" t="inlineStr">
        <is>
          <t>上海区域</t>
        </is>
      </c>
      <c r="D11" s="13" t="inlineStr">
        <is>
          <t>CMCF</t>
        </is>
      </c>
      <c r="E11" s="13" t="inlineStr">
        <is>
          <t>EE 上海七宝万科广场</t>
        </is>
      </c>
      <c r="F11" s="12" t="inlineStr">
        <is>
          <t>02</t>
        </is>
      </c>
      <c r="G11" s="13" t="inlineStr">
        <is>
          <t>购物中心</t>
        </is>
      </c>
      <c r="H11" s="14" t="inlineStr">
        <is>
          <t>EEASG23D01</t>
        </is>
      </c>
      <c r="I11" s="12" t="n">
        <v>399</v>
      </c>
      <c r="J11" s="44" t="n">
        <v>399</v>
      </c>
      <c r="K11" s="46">
        <f>VLOOKUP(H11,'七宝0412-0511'!H:M,6,0)</f>
        <v/>
      </c>
      <c r="L11" s="46">
        <f>VLOOKUP(H11,'七宝0412-0511'!H:O,8,0)</f>
        <v/>
      </c>
    </row>
    <row r="12" ht="18.95" customHeight="1" s="49">
      <c r="A12" s="9" t="inlineStr">
        <is>
          <t>AS</t>
        </is>
      </c>
      <c r="B12" s="9" t="inlineStr">
        <is>
          <t>B331</t>
        </is>
      </c>
      <c r="C12" s="10" t="inlineStr">
        <is>
          <t>上海区域</t>
        </is>
      </c>
      <c r="D12" s="10" t="inlineStr">
        <is>
          <t>CMCF</t>
        </is>
      </c>
      <c r="E12" s="10" t="inlineStr">
        <is>
          <t>EE 上海七宝万科广场</t>
        </is>
      </c>
      <c r="F12" s="9" t="inlineStr">
        <is>
          <t>02</t>
        </is>
      </c>
      <c r="G12" s="10" t="inlineStr">
        <is>
          <t>购物中心</t>
        </is>
      </c>
      <c r="H12" s="11" t="inlineStr">
        <is>
          <t>EEASG24Q1S</t>
        </is>
      </c>
      <c r="I12" s="9" t="n">
        <v>299</v>
      </c>
      <c r="J12" s="43" t="n">
        <v>299</v>
      </c>
      <c r="K12" s="46">
        <f>VLOOKUP(H12,'七宝0412-0511'!H:M,6,0)</f>
        <v/>
      </c>
      <c r="L12" s="46">
        <f>VLOOKUP(H12,'七宝0412-0511'!H:O,8,0)</f>
        <v/>
      </c>
    </row>
    <row r="13" ht="18.95" customHeight="1" s="49">
      <c r="A13" s="12" t="inlineStr">
        <is>
          <t>BW</t>
        </is>
      </c>
      <c r="B13" s="12" t="inlineStr">
        <is>
          <t>B331</t>
        </is>
      </c>
      <c r="C13" s="13" t="inlineStr">
        <is>
          <t>上海区域</t>
        </is>
      </c>
      <c r="D13" s="13" t="inlineStr">
        <is>
          <t>CMCF</t>
        </is>
      </c>
      <c r="E13" s="13" t="inlineStr">
        <is>
          <t>EE 上海七宝万科广场</t>
        </is>
      </c>
      <c r="F13" s="12" t="inlineStr">
        <is>
          <t>02</t>
        </is>
      </c>
      <c r="G13" s="13" t="inlineStr">
        <is>
          <t>购物中心</t>
        </is>
      </c>
      <c r="H13" s="14" t="inlineStr">
        <is>
          <t>EEBWG23B01</t>
        </is>
      </c>
      <c r="I13" s="12" t="n">
        <v>799</v>
      </c>
      <c r="J13" s="44" t="n">
        <v>799</v>
      </c>
      <c r="K13" s="46">
        <f>VLOOKUP(H13,'七宝0412-0511'!H:M,6,0)</f>
        <v/>
      </c>
      <c r="L13" s="46">
        <f>VLOOKUP(H13,'七宝0412-0511'!H:O,8,0)</f>
        <v/>
      </c>
    </row>
    <row r="14" ht="18.95" customHeight="1" s="49">
      <c r="A14" s="9" t="inlineStr">
        <is>
          <t>CK</t>
        </is>
      </c>
      <c r="B14" s="9" t="inlineStr">
        <is>
          <t>B331</t>
        </is>
      </c>
      <c r="C14" s="10" t="inlineStr">
        <is>
          <t>上海区域</t>
        </is>
      </c>
      <c r="D14" s="10" t="inlineStr">
        <is>
          <t>CMCF</t>
        </is>
      </c>
      <c r="E14" s="10" t="inlineStr">
        <is>
          <t>EE 上海七宝万科广场</t>
        </is>
      </c>
      <c r="F14" s="9" t="inlineStr">
        <is>
          <t>02</t>
        </is>
      </c>
      <c r="G14" s="10" t="inlineStr">
        <is>
          <t>购物中心</t>
        </is>
      </c>
      <c r="H14" s="11" t="inlineStr">
        <is>
          <t>EECKG23B03</t>
        </is>
      </c>
      <c r="I14" s="9" t="n">
        <v>799</v>
      </c>
      <c r="J14" s="43" t="n">
        <v>799</v>
      </c>
      <c r="K14" s="46">
        <f>VLOOKUP(H14,'七宝0412-0511'!H:M,6,0)</f>
        <v/>
      </c>
      <c r="L14" s="46">
        <f>VLOOKUP(H14,'七宝0412-0511'!H:O,8,0)</f>
        <v/>
      </c>
    </row>
    <row r="15" ht="18.95" customHeight="1" s="49">
      <c r="A15" s="12" t="inlineStr">
        <is>
          <t>CK</t>
        </is>
      </c>
      <c r="B15" s="12" t="inlineStr">
        <is>
          <t>B331</t>
        </is>
      </c>
      <c r="C15" s="13" t="inlineStr">
        <is>
          <t>上海区域</t>
        </is>
      </c>
      <c r="D15" s="13" t="inlineStr">
        <is>
          <t>CMCF</t>
        </is>
      </c>
      <c r="E15" s="13" t="inlineStr">
        <is>
          <t>EE 上海七宝万科广场</t>
        </is>
      </c>
      <c r="F15" s="12" t="inlineStr">
        <is>
          <t>02</t>
        </is>
      </c>
      <c r="G15" s="13" t="inlineStr">
        <is>
          <t>购物中心</t>
        </is>
      </c>
      <c r="H15" s="14" t="inlineStr">
        <is>
          <t>EECKG23B04</t>
        </is>
      </c>
      <c r="I15" s="12" t="n">
        <v>899</v>
      </c>
      <c r="J15" s="44" t="n">
        <v>899</v>
      </c>
      <c r="K15" s="46">
        <f>VLOOKUP(H15,'七宝0412-0511'!H:M,6,0)</f>
        <v/>
      </c>
      <c r="L15" s="46">
        <f>VLOOKUP(H15,'七宝0412-0511'!H:O,8,0)</f>
        <v/>
      </c>
    </row>
    <row r="16" ht="18.95" customHeight="1" s="49">
      <c r="A16" s="9" t="inlineStr">
        <is>
          <t>CK</t>
        </is>
      </c>
      <c r="B16" s="9" t="inlineStr">
        <is>
          <t>B331</t>
        </is>
      </c>
      <c r="C16" s="10" t="inlineStr">
        <is>
          <t>上海区域</t>
        </is>
      </c>
      <c r="D16" s="10" t="inlineStr">
        <is>
          <t>CMCF</t>
        </is>
      </c>
      <c r="E16" s="10" t="inlineStr">
        <is>
          <t>EE 上海七宝万科广场</t>
        </is>
      </c>
      <c r="F16" s="9" t="inlineStr">
        <is>
          <t>02</t>
        </is>
      </c>
      <c r="G16" s="10" t="inlineStr">
        <is>
          <t>购物中心</t>
        </is>
      </c>
      <c r="H16" s="11" t="inlineStr">
        <is>
          <t>EECKG23E01</t>
        </is>
      </c>
      <c r="I16" s="9" t="n">
        <v>699</v>
      </c>
      <c r="J16" s="43" t="n">
        <v>699</v>
      </c>
      <c r="K16" s="46">
        <f>VLOOKUP(H16,'七宝0412-0511'!H:M,6,0)</f>
        <v/>
      </c>
      <c r="L16" s="46">
        <f>VLOOKUP(H16,'七宝0412-0511'!H:O,8,0)</f>
        <v/>
      </c>
    </row>
    <row r="17" ht="18.95" customHeight="1" s="49">
      <c r="A17" s="12" t="inlineStr">
        <is>
          <t>CK</t>
        </is>
      </c>
      <c r="B17" s="12" t="inlineStr">
        <is>
          <t>B331</t>
        </is>
      </c>
      <c r="C17" s="13" t="inlineStr">
        <is>
          <t>上海区域</t>
        </is>
      </c>
      <c r="D17" s="13" t="inlineStr">
        <is>
          <t>CMCF</t>
        </is>
      </c>
      <c r="E17" s="13" t="inlineStr">
        <is>
          <t>EE 上海七宝万科广场</t>
        </is>
      </c>
      <c r="F17" s="12" t="inlineStr">
        <is>
          <t>02</t>
        </is>
      </c>
      <c r="G17" s="13" t="inlineStr">
        <is>
          <t>购物中心</t>
        </is>
      </c>
      <c r="H17" s="14" t="inlineStr">
        <is>
          <t>EECKG23E02</t>
        </is>
      </c>
      <c r="I17" s="12" t="n">
        <v>699</v>
      </c>
      <c r="J17" s="44" t="n">
        <v>699</v>
      </c>
      <c r="K17" s="46">
        <f>VLOOKUP(H17,'七宝0412-0511'!H:M,6,0)</f>
        <v/>
      </c>
      <c r="L17" s="46">
        <f>VLOOKUP(H17,'七宝0412-0511'!H:O,8,0)</f>
        <v/>
      </c>
    </row>
    <row r="18" ht="18.95" customHeight="1" s="49">
      <c r="A18" s="9" t="inlineStr">
        <is>
          <t>CK</t>
        </is>
      </c>
      <c r="B18" s="9" t="inlineStr">
        <is>
          <t>B331</t>
        </is>
      </c>
      <c r="C18" s="10" t="inlineStr">
        <is>
          <t>上海区域</t>
        </is>
      </c>
      <c r="D18" s="10" t="inlineStr">
        <is>
          <t>CMCF</t>
        </is>
      </c>
      <c r="E18" s="10" t="inlineStr">
        <is>
          <t>EE 上海七宝万科广场</t>
        </is>
      </c>
      <c r="F18" s="9" t="inlineStr">
        <is>
          <t>02</t>
        </is>
      </c>
      <c r="G18" s="10" t="inlineStr">
        <is>
          <t>购物中心</t>
        </is>
      </c>
      <c r="H18" s="11" t="inlineStr">
        <is>
          <t>EECKG23R31</t>
        </is>
      </c>
      <c r="I18" s="9" t="n">
        <v>999</v>
      </c>
      <c r="J18" s="43" t="n">
        <v>999</v>
      </c>
      <c r="K18" s="46">
        <f>VLOOKUP(H18,'七宝0412-0511'!H:M,6,0)</f>
        <v/>
      </c>
      <c r="L18" s="46">
        <f>VLOOKUP(H18,'七宝0412-0511'!H:O,8,0)</f>
        <v/>
      </c>
    </row>
    <row r="19" ht="18.95" customHeight="1" s="49">
      <c r="A19" s="12" t="inlineStr">
        <is>
          <t>CK</t>
        </is>
      </c>
      <c r="B19" s="12" t="inlineStr">
        <is>
          <t>B331</t>
        </is>
      </c>
      <c r="C19" s="13" t="inlineStr">
        <is>
          <t>上海区域</t>
        </is>
      </c>
      <c r="D19" s="13" t="inlineStr">
        <is>
          <t>CMCF</t>
        </is>
      </c>
      <c r="E19" s="13" t="inlineStr">
        <is>
          <t>EE 上海七宝万科广场</t>
        </is>
      </c>
      <c r="F19" s="12" t="inlineStr">
        <is>
          <t>02</t>
        </is>
      </c>
      <c r="G19" s="13" t="inlineStr">
        <is>
          <t>购物中心</t>
        </is>
      </c>
      <c r="H19" s="14" t="inlineStr">
        <is>
          <t>EECKG23R33</t>
        </is>
      </c>
      <c r="I19" s="12" t="n">
        <v>899</v>
      </c>
      <c r="J19" s="44" t="n">
        <v>899</v>
      </c>
      <c r="K19" s="46">
        <f>VLOOKUP(H19,'七宝0412-0511'!H:M,6,0)</f>
        <v/>
      </c>
      <c r="L19" s="46">
        <f>VLOOKUP(H19,'七宝0412-0511'!H:O,8,0)</f>
        <v/>
      </c>
    </row>
    <row r="20" ht="18.95" customHeight="1" s="49">
      <c r="A20" s="9" t="inlineStr">
        <is>
          <t>CK</t>
        </is>
      </c>
      <c r="B20" s="9" t="inlineStr">
        <is>
          <t>B331</t>
        </is>
      </c>
      <c r="C20" s="10" t="inlineStr">
        <is>
          <t>上海区域</t>
        </is>
      </c>
      <c r="D20" s="10" t="inlineStr">
        <is>
          <t>CMCF</t>
        </is>
      </c>
      <c r="E20" s="10" t="inlineStr">
        <is>
          <t>EE 上海七宝万科广场</t>
        </is>
      </c>
      <c r="F20" s="9" t="inlineStr">
        <is>
          <t>02</t>
        </is>
      </c>
      <c r="G20" s="10" t="inlineStr">
        <is>
          <t>购物中心</t>
        </is>
      </c>
      <c r="H20" s="11" t="inlineStr">
        <is>
          <t>EECKG24E02</t>
        </is>
      </c>
      <c r="I20" s="9" t="n">
        <v>699</v>
      </c>
      <c r="J20" s="43" t="n">
        <v>699</v>
      </c>
      <c r="K20" s="46">
        <f>VLOOKUP(H20,'七宝0412-0511'!H:M,6,0)</f>
        <v/>
      </c>
      <c r="L20" s="46">
        <f>VLOOKUP(H20,'七宝0412-0511'!H:O,8,0)</f>
        <v/>
      </c>
    </row>
    <row r="21" ht="18.95" customHeight="1" s="49">
      <c r="A21" s="12" t="inlineStr">
        <is>
          <t>CK</t>
        </is>
      </c>
      <c r="B21" s="12" t="inlineStr">
        <is>
          <t>B331</t>
        </is>
      </c>
      <c r="C21" s="13" t="inlineStr">
        <is>
          <t>上海区域</t>
        </is>
      </c>
      <c r="D21" s="13" t="inlineStr">
        <is>
          <t>CMCF</t>
        </is>
      </c>
      <c r="E21" s="13" t="inlineStr">
        <is>
          <t>EE 上海七宝万科广场</t>
        </is>
      </c>
      <c r="F21" s="12" t="inlineStr">
        <is>
          <t>02</t>
        </is>
      </c>
      <c r="G21" s="13" t="inlineStr">
        <is>
          <t>购物中心</t>
        </is>
      </c>
      <c r="H21" s="14" t="inlineStr">
        <is>
          <t>EECKG25B04</t>
        </is>
      </c>
      <c r="I21" s="12" t="n">
        <v>599</v>
      </c>
      <c r="J21" s="44" t="n">
        <v>599</v>
      </c>
      <c r="K21" s="46">
        <f>VLOOKUP(H21,'七宝0412-0511'!H:M,6,0)</f>
        <v/>
      </c>
      <c r="L21" s="46">
        <f>VLOOKUP(H21,'七宝0412-0511'!H:O,8,0)</f>
        <v/>
      </c>
    </row>
    <row r="22" ht="18.95" customHeight="1" s="49">
      <c r="A22" s="9" t="inlineStr">
        <is>
          <t>CK</t>
        </is>
      </c>
      <c r="B22" s="9" t="inlineStr">
        <is>
          <t>B331</t>
        </is>
      </c>
      <c r="C22" s="10" t="inlineStr">
        <is>
          <t>上海区域</t>
        </is>
      </c>
      <c r="D22" s="10" t="inlineStr">
        <is>
          <t>CMCF</t>
        </is>
      </c>
      <c r="E22" s="10" t="inlineStr">
        <is>
          <t>EE 上海七宝万科广场</t>
        </is>
      </c>
      <c r="F22" s="9" t="inlineStr">
        <is>
          <t>02</t>
        </is>
      </c>
      <c r="G22" s="10" t="inlineStr">
        <is>
          <t>购物中心</t>
        </is>
      </c>
      <c r="H22" s="11" t="inlineStr">
        <is>
          <t>EECKG25D03</t>
        </is>
      </c>
      <c r="I22" s="9" t="n">
        <v>899</v>
      </c>
      <c r="J22" s="43" t="n">
        <v>899</v>
      </c>
      <c r="K22" s="46">
        <f>VLOOKUP(H22,'七宝0412-0511'!H:M,6,0)</f>
        <v/>
      </c>
      <c r="L22" s="46">
        <f>VLOOKUP(H22,'七宝0412-0511'!H:O,8,0)</f>
        <v/>
      </c>
    </row>
    <row r="23" ht="18.95" customHeight="1" s="49">
      <c r="A23" s="12" t="inlineStr">
        <is>
          <t>HW</t>
        </is>
      </c>
      <c r="B23" s="12" t="inlineStr">
        <is>
          <t>B331</t>
        </is>
      </c>
      <c r="C23" s="13" t="inlineStr">
        <is>
          <t>上海区域</t>
        </is>
      </c>
      <c r="D23" s="13" t="inlineStr">
        <is>
          <t>CMCF</t>
        </is>
      </c>
      <c r="E23" s="13" t="inlineStr">
        <is>
          <t>EE 上海七宝万科广场</t>
        </is>
      </c>
      <c r="F23" s="12" t="inlineStr">
        <is>
          <t>02</t>
        </is>
      </c>
      <c r="G23" s="13" t="inlineStr">
        <is>
          <t>购物中心</t>
        </is>
      </c>
      <c r="H23" s="14" t="inlineStr">
        <is>
          <t>EEHWG24E02</t>
        </is>
      </c>
      <c r="I23" s="12" t="n">
        <v>599</v>
      </c>
      <c r="J23" s="44" t="n">
        <v>599</v>
      </c>
      <c r="K23" s="46">
        <f>VLOOKUP(H23,'七宝0412-0511'!H:M,6,0)</f>
        <v/>
      </c>
      <c r="L23" s="46">
        <f>VLOOKUP(H23,'七宝0412-0511'!H:O,8,0)</f>
        <v/>
      </c>
    </row>
    <row r="24" ht="18.95" customHeight="1" s="49">
      <c r="A24" s="9" t="inlineStr">
        <is>
          <t>HW</t>
        </is>
      </c>
      <c r="B24" s="9" t="inlineStr">
        <is>
          <t>B331</t>
        </is>
      </c>
      <c r="C24" s="10" t="inlineStr">
        <is>
          <t>上海区域</t>
        </is>
      </c>
      <c r="D24" s="10" t="inlineStr">
        <is>
          <t>CMCF</t>
        </is>
      </c>
      <c r="E24" s="10" t="inlineStr">
        <is>
          <t>EE 上海七宝万科广场</t>
        </is>
      </c>
      <c r="F24" s="9" t="inlineStr">
        <is>
          <t>02</t>
        </is>
      </c>
      <c r="G24" s="10" t="inlineStr">
        <is>
          <t>购物中心</t>
        </is>
      </c>
      <c r="H24" s="11" t="inlineStr">
        <is>
          <t>EEHWG25B01</t>
        </is>
      </c>
      <c r="I24" s="9" t="n">
        <v>499</v>
      </c>
      <c r="J24" s="43" t="n">
        <v>499</v>
      </c>
      <c r="K24" s="46">
        <f>VLOOKUP(H24,'七宝0412-0511'!H:M,6,0)</f>
        <v/>
      </c>
      <c r="L24" s="46">
        <f>VLOOKUP(H24,'七宝0412-0511'!H:O,8,0)</f>
        <v/>
      </c>
    </row>
    <row r="25" ht="18.95" customHeight="1" s="49">
      <c r="A25" s="12" t="inlineStr">
        <is>
          <t>JA</t>
        </is>
      </c>
      <c r="B25" s="12" t="inlineStr">
        <is>
          <t>B331</t>
        </is>
      </c>
      <c r="C25" s="13" t="inlineStr">
        <is>
          <t>上海区域</t>
        </is>
      </c>
      <c r="D25" s="13" t="inlineStr">
        <is>
          <t>CMCF</t>
        </is>
      </c>
      <c r="E25" s="13" t="inlineStr">
        <is>
          <t>EE 上海七宝万科广场</t>
        </is>
      </c>
      <c r="F25" s="12" t="inlineStr">
        <is>
          <t>02</t>
        </is>
      </c>
      <c r="G25" s="13" t="inlineStr">
        <is>
          <t>购物中心</t>
        </is>
      </c>
      <c r="H25" s="14" t="inlineStr">
        <is>
          <t>EEJAG23B03</t>
        </is>
      </c>
      <c r="I25" s="12" t="n">
        <v>1599</v>
      </c>
      <c r="J25" s="44" t="n">
        <v>1599</v>
      </c>
      <c r="K25" s="46">
        <f>VLOOKUP(H25,'七宝0412-0511'!H:M,6,0)</f>
        <v/>
      </c>
      <c r="L25" s="46">
        <f>VLOOKUP(H25,'七宝0412-0511'!H:O,8,0)</f>
        <v/>
      </c>
    </row>
    <row r="26" ht="18.95" customHeight="1" s="49">
      <c r="A26" s="9" t="inlineStr">
        <is>
          <t>JA</t>
        </is>
      </c>
      <c r="B26" s="9" t="inlineStr">
        <is>
          <t>B331</t>
        </is>
      </c>
      <c r="C26" s="10" t="inlineStr">
        <is>
          <t>上海区域</t>
        </is>
      </c>
      <c r="D26" s="10" t="inlineStr">
        <is>
          <t>CMCF</t>
        </is>
      </c>
      <c r="E26" s="10" t="inlineStr">
        <is>
          <t>EE 上海七宝万科广场</t>
        </is>
      </c>
      <c r="F26" s="9" t="inlineStr">
        <is>
          <t>02</t>
        </is>
      </c>
      <c r="G26" s="10" t="inlineStr">
        <is>
          <t>购物中心</t>
        </is>
      </c>
      <c r="H26" s="11" t="inlineStr">
        <is>
          <t>EEJAG23B04</t>
        </is>
      </c>
      <c r="I26" s="9" t="n">
        <v>1599</v>
      </c>
      <c r="J26" s="43" t="n">
        <v>1599</v>
      </c>
      <c r="K26" s="46">
        <f>VLOOKUP(H26,'七宝0412-0511'!H:M,6,0)</f>
        <v/>
      </c>
      <c r="L26" s="46">
        <f>VLOOKUP(H26,'七宝0412-0511'!H:O,8,0)</f>
        <v/>
      </c>
    </row>
    <row r="27" ht="18.95" customHeight="1" s="49">
      <c r="A27" s="12" t="inlineStr">
        <is>
          <t>JA</t>
        </is>
      </c>
      <c r="B27" s="12" t="inlineStr">
        <is>
          <t>B331</t>
        </is>
      </c>
      <c r="C27" s="13" t="inlineStr">
        <is>
          <t>上海区域</t>
        </is>
      </c>
      <c r="D27" s="13" t="inlineStr">
        <is>
          <t>CMCF</t>
        </is>
      </c>
      <c r="E27" s="13" t="inlineStr">
        <is>
          <t>EE 上海七宝万科广场</t>
        </is>
      </c>
      <c r="F27" s="12" t="inlineStr">
        <is>
          <t>02</t>
        </is>
      </c>
      <c r="G27" s="13" t="inlineStr">
        <is>
          <t>购物中心</t>
        </is>
      </c>
      <c r="H27" s="14" t="inlineStr">
        <is>
          <t>EEJAG23B51</t>
        </is>
      </c>
      <c r="I27" s="12" t="n">
        <v>1599</v>
      </c>
      <c r="J27" s="44" t="n">
        <v>1599</v>
      </c>
      <c r="K27" s="46">
        <f>VLOOKUP(H27,'七宝0412-0511'!H:M,6,0)</f>
        <v/>
      </c>
      <c r="L27" s="46">
        <f>VLOOKUP(H27,'七宝0412-0511'!H:O,8,0)</f>
        <v/>
      </c>
    </row>
    <row r="28" ht="18.95" customHeight="1" s="49">
      <c r="A28" s="9" t="inlineStr">
        <is>
          <t>JA</t>
        </is>
      </c>
      <c r="B28" s="9" t="inlineStr">
        <is>
          <t>B331</t>
        </is>
      </c>
      <c r="C28" s="10" t="inlineStr">
        <is>
          <t>上海区域</t>
        </is>
      </c>
      <c r="D28" s="10" t="inlineStr">
        <is>
          <t>CMCF</t>
        </is>
      </c>
      <c r="E28" s="10" t="inlineStr">
        <is>
          <t>EE 上海七宝万科广场</t>
        </is>
      </c>
      <c r="F28" s="9" t="inlineStr">
        <is>
          <t>02</t>
        </is>
      </c>
      <c r="G28" s="10" t="inlineStr">
        <is>
          <t>购物中心</t>
        </is>
      </c>
      <c r="H28" s="11" t="inlineStr">
        <is>
          <t>EEJAG23E01</t>
        </is>
      </c>
      <c r="I28" s="9" t="n">
        <v>1299</v>
      </c>
      <c r="J28" s="43" t="n">
        <v>1299</v>
      </c>
      <c r="K28" s="46">
        <f>VLOOKUP(H28,'七宝0412-0511'!H:M,6,0)</f>
        <v/>
      </c>
      <c r="L28" s="46">
        <f>VLOOKUP(H28,'七宝0412-0511'!H:O,8,0)</f>
        <v/>
      </c>
    </row>
    <row r="29" ht="18.95" customHeight="1" s="49">
      <c r="A29" s="12" t="inlineStr">
        <is>
          <t>JA</t>
        </is>
      </c>
      <c r="B29" s="12" t="inlineStr">
        <is>
          <t>B331</t>
        </is>
      </c>
      <c r="C29" s="13" t="inlineStr">
        <is>
          <t>上海区域</t>
        </is>
      </c>
      <c r="D29" s="13" t="inlineStr">
        <is>
          <t>CMCF</t>
        </is>
      </c>
      <c r="E29" s="13" t="inlineStr">
        <is>
          <t>EE 上海七宝万科广场</t>
        </is>
      </c>
      <c r="F29" s="12" t="inlineStr">
        <is>
          <t>02</t>
        </is>
      </c>
      <c r="G29" s="13" t="inlineStr">
        <is>
          <t>购物中心</t>
        </is>
      </c>
      <c r="H29" s="14" t="inlineStr">
        <is>
          <t>EEJAG23E02</t>
        </is>
      </c>
      <c r="I29" s="12" t="n">
        <v>1599</v>
      </c>
      <c r="J29" s="44" t="n">
        <v>1599</v>
      </c>
      <c r="K29" s="46">
        <f>VLOOKUP(H29,'七宝0412-0511'!H:M,6,0)</f>
        <v/>
      </c>
      <c r="L29" s="46">
        <f>VLOOKUP(H29,'七宝0412-0511'!H:O,8,0)</f>
        <v/>
      </c>
    </row>
    <row r="30" ht="18.95" customHeight="1" s="49">
      <c r="A30" s="9" t="inlineStr">
        <is>
          <t>JA</t>
        </is>
      </c>
      <c r="B30" s="9" t="inlineStr">
        <is>
          <t>B331</t>
        </is>
      </c>
      <c r="C30" s="10" t="inlineStr">
        <is>
          <t>上海区域</t>
        </is>
      </c>
      <c r="D30" s="10" t="inlineStr">
        <is>
          <t>CMCF</t>
        </is>
      </c>
      <c r="E30" s="10" t="inlineStr">
        <is>
          <t>EE 上海七宝万科广场</t>
        </is>
      </c>
      <c r="F30" s="9" t="inlineStr">
        <is>
          <t>02</t>
        </is>
      </c>
      <c r="G30" s="10" t="inlineStr">
        <is>
          <t>购物中心</t>
        </is>
      </c>
      <c r="H30" s="11" t="inlineStr">
        <is>
          <t>EEJAG23R01</t>
        </is>
      </c>
      <c r="I30" s="9" t="n">
        <v>1999</v>
      </c>
      <c r="J30" s="43" t="n">
        <v>1999</v>
      </c>
      <c r="K30" s="46">
        <f>VLOOKUP(H30,'七宝0412-0511'!H:M,6,0)</f>
        <v/>
      </c>
      <c r="L30" s="46">
        <f>VLOOKUP(H30,'七宝0412-0511'!H:O,8,0)</f>
        <v/>
      </c>
    </row>
    <row r="31" ht="18.95" customHeight="1" s="49">
      <c r="A31" s="12" t="inlineStr">
        <is>
          <t>JA</t>
        </is>
      </c>
      <c r="B31" s="12" t="inlineStr">
        <is>
          <t>B331</t>
        </is>
      </c>
      <c r="C31" s="13" t="inlineStr">
        <is>
          <t>上海区域</t>
        </is>
      </c>
      <c r="D31" s="13" t="inlineStr">
        <is>
          <t>CMCF</t>
        </is>
      </c>
      <c r="E31" s="13" t="inlineStr">
        <is>
          <t>EE 上海七宝万科广场</t>
        </is>
      </c>
      <c r="F31" s="12" t="inlineStr">
        <is>
          <t>02</t>
        </is>
      </c>
      <c r="G31" s="13" t="inlineStr">
        <is>
          <t>购物中心</t>
        </is>
      </c>
      <c r="H31" s="14" t="inlineStr">
        <is>
          <t>EEJAG24B01</t>
        </is>
      </c>
      <c r="I31" s="12" t="n">
        <v>1599</v>
      </c>
      <c r="J31" s="44" t="n">
        <v>1599</v>
      </c>
      <c r="K31" s="46">
        <f>VLOOKUP(H31,'七宝0412-0511'!H:M,6,0)</f>
        <v/>
      </c>
      <c r="L31" s="46">
        <f>VLOOKUP(H31,'七宝0412-0511'!H:O,8,0)</f>
        <v/>
      </c>
    </row>
    <row r="32" ht="18.95" customHeight="1" s="49">
      <c r="A32" s="9" t="inlineStr">
        <is>
          <t>JA</t>
        </is>
      </c>
      <c r="B32" s="9" t="inlineStr">
        <is>
          <t>B331</t>
        </is>
      </c>
      <c r="C32" s="10" t="inlineStr">
        <is>
          <t>上海区域</t>
        </is>
      </c>
      <c r="D32" s="10" t="inlineStr">
        <is>
          <t>CMCF</t>
        </is>
      </c>
      <c r="E32" s="10" t="inlineStr">
        <is>
          <t>EE 上海七宝万科广场</t>
        </is>
      </c>
      <c r="F32" s="9" t="inlineStr">
        <is>
          <t>02</t>
        </is>
      </c>
      <c r="G32" s="10" t="inlineStr">
        <is>
          <t>购物中心</t>
        </is>
      </c>
      <c r="H32" s="11" t="inlineStr">
        <is>
          <t>EEJAG24B02</t>
        </is>
      </c>
      <c r="I32" s="9" t="n">
        <v>1599</v>
      </c>
      <c r="J32" s="43" t="n">
        <v>1599</v>
      </c>
      <c r="K32" s="46">
        <f>VLOOKUP(H32,'七宝0412-0511'!H:M,6,0)</f>
        <v/>
      </c>
      <c r="L32" s="46">
        <f>VLOOKUP(H32,'七宝0412-0511'!H:O,8,0)</f>
        <v/>
      </c>
    </row>
    <row r="33" ht="18.95" customHeight="1" s="49">
      <c r="A33" s="12" t="inlineStr">
        <is>
          <t>JA</t>
        </is>
      </c>
      <c r="B33" s="12" t="inlineStr">
        <is>
          <t>B331</t>
        </is>
      </c>
      <c r="C33" s="13" t="inlineStr">
        <is>
          <t>上海区域</t>
        </is>
      </c>
      <c r="D33" s="13" t="inlineStr">
        <is>
          <t>CMCF</t>
        </is>
      </c>
      <c r="E33" s="13" t="inlineStr">
        <is>
          <t>EE 上海七宝万科广场</t>
        </is>
      </c>
      <c r="F33" s="12" t="inlineStr">
        <is>
          <t>02</t>
        </is>
      </c>
      <c r="G33" s="13" t="inlineStr">
        <is>
          <t>购物中心</t>
        </is>
      </c>
      <c r="H33" s="14" t="inlineStr">
        <is>
          <t>EEJAG24B03</t>
        </is>
      </c>
      <c r="I33" s="12" t="n">
        <v>1299</v>
      </c>
      <c r="J33" s="44" t="n">
        <v>1299</v>
      </c>
      <c r="K33" s="46">
        <f>VLOOKUP(H33,'七宝0412-0511'!H:M,6,0)</f>
        <v/>
      </c>
      <c r="L33" s="46">
        <f>VLOOKUP(H33,'七宝0412-0511'!H:O,8,0)</f>
        <v/>
      </c>
    </row>
    <row r="34" ht="18.95" customHeight="1" s="49">
      <c r="A34" s="9" t="inlineStr">
        <is>
          <t>JA</t>
        </is>
      </c>
      <c r="B34" s="9" t="inlineStr">
        <is>
          <t>B331</t>
        </is>
      </c>
      <c r="C34" s="10" t="inlineStr">
        <is>
          <t>上海区域</t>
        </is>
      </c>
      <c r="D34" s="10" t="inlineStr">
        <is>
          <t>CMCF</t>
        </is>
      </c>
      <c r="E34" s="10" t="inlineStr">
        <is>
          <t>EE 上海七宝万科广场</t>
        </is>
      </c>
      <c r="F34" s="9" t="inlineStr">
        <is>
          <t>02</t>
        </is>
      </c>
      <c r="G34" s="10" t="inlineStr">
        <is>
          <t>购物中心</t>
        </is>
      </c>
      <c r="H34" s="11" t="inlineStr">
        <is>
          <t>EEJAG24B04</t>
        </is>
      </c>
      <c r="I34" s="9" t="n">
        <v>1599</v>
      </c>
      <c r="J34" s="43" t="n">
        <v>1599</v>
      </c>
      <c r="K34" s="46">
        <f>VLOOKUP(H34,'七宝0412-0511'!H:M,6,0)</f>
        <v/>
      </c>
      <c r="L34" s="46">
        <f>VLOOKUP(H34,'七宝0412-0511'!H:O,8,0)</f>
        <v/>
      </c>
    </row>
    <row r="35" ht="18.95" customHeight="1" s="49">
      <c r="A35" s="12" t="inlineStr">
        <is>
          <t>JD</t>
        </is>
      </c>
      <c r="B35" s="12" t="inlineStr">
        <is>
          <t>B331</t>
        </is>
      </c>
      <c r="C35" s="13" t="inlineStr">
        <is>
          <t>上海区域</t>
        </is>
      </c>
      <c r="D35" s="13" t="inlineStr">
        <is>
          <t>CMCF</t>
        </is>
      </c>
      <c r="E35" s="13" t="inlineStr">
        <is>
          <t>EE 上海七宝万科广场</t>
        </is>
      </c>
      <c r="F35" s="12" t="inlineStr">
        <is>
          <t>02</t>
        </is>
      </c>
      <c r="G35" s="13" t="inlineStr">
        <is>
          <t>购物中心</t>
        </is>
      </c>
      <c r="H35" s="14" t="inlineStr">
        <is>
          <t>EEJDG23R31</t>
        </is>
      </c>
      <c r="I35" s="12" t="n">
        <v>1599</v>
      </c>
      <c r="J35" s="44" t="n">
        <v>1599</v>
      </c>
      <c r="K35" s="46">
        <f>VLOOKUP(H35,'七宝0412-0511'!H:M,6,0)</f>
        <v/>
      </c>
      <c r="L35" s="46">
        <f>VLOOKUP(H35,'七宝0412-0511'!H:O,8,0)</f>
        <v/>
      </c>
    </row>
    <row r="36" ht="18.95" customHeight="1" s="49">
      <c r="A36" s="9" t="inlineStr">
        <is>
          <t>JJ</t>
        </is>
      </c>
      <c r="B36" s="9" t="inlineStr">
        <is>
          <t>B331</t>
        </is>
      </c>
      <c r="C36" s="10" t="inlineStr">
        <is>
          <t>上海区域</t>
        </is>
      </c>
      <c r="D36" s="10" t="inlineStr">
        <is>
          <t>CMCF</t>
        </is>
      </c>
      <c r="E36" s="10" t="inlineStr">
        <is>
          <t>EE 上海七宝万科广场</t>
        </is>
      </c>
      <c r="F36" s="9" t="inlineStr">
        <is>
          <t>02</t>
        </is>
      </c>
      <c r="G36" s="10" t="inlineStr">
        <is>
          <t>购物中心</t>
        </is>
      </c>
      <c r="H36" s="11" t="inlineStr">
        <is>
          <t>EEJJG23B01</t>
        </is>
      </c>
      <c r="I36" s="9" t="n">
        <v>899</v>
      </c>
      <c r="J36" s="43" t="n">
        <v>899</v>
      </c>
      <c r="K36" s="46">
        <f>VLOOKUP(H36,'七宝0412-0511'!H:M,6,0)</f>
        <v/>
      </c>
      <c r="L36" s="46">
        <f>VLOOKUP(H36,'七宝0412-0511'!H:O,8,0)</f>
        <v/>
      </c>
    </row>
    <row r="37" ht="18.95" customHeight="1" s="49">
      <c r="A37" s="12" t="inlineStr">
        <is>
          <t>JJ</t>
        </is>
      </c>
      <c r="B37" s="12" t="inlineStr">
        <is>
          <t>B331</t>
        </is>
      </c>
      <c r="C37" s="13" t="inlineStr">
        <is>
          <t>上海区域</t>
        </is>
      </c>
      <c r="D37" s="13" t="inlineStr">
        <is>
          <t>CMCF</t>
        </is>
      </c>
      <c r="E37" s="13" t="inlineStr">
        <is>
          <t>EE 上海七宝万科广场</t>
        </is>
      </c>
      <c r="F37" s="12" t="inlineStr">
        <is>
          <t>02</t>
        </is>
      </c>
      <c r="G37" s="13" t="inlineStr">
        <is>
          <t>购物中心</t>
        </is>
      </c>
      <c r="H37" s="14" t="inlineStr">
        <is>
          <t>EEJJG23D03</t>
        </is>
      </c>
      <c r="I37" s="12" t="n">
        <v>1599</v>
      </c>
      <c r="J37" s="44" t="n">
        <v>1599</v>
      </c>
      <c r="K37" s="46">
        <f>VLOOKUP(H37,'七宝0412-0511'!H:M,6,0)</f>
        <v/>
      </c>
      <c r="L37" s="46">
        <f>VLOOKUP(H37,'七宝0412-0511'!H:O,8,0)</f>
        <v/>
      </c>
    </row>
    <row r="38" ht="18.95" customHeight="1" s="49">
      <c r="A38" s="9" t="inlineStr">
        <is>
          <t>JK</t>
        </is>
      </c>
      <c r="B38" s="9" t="inlineStr">
        <is>
          <t>B331</t>
        </is>
      </c>
      <c r="C38" s="10" t="inlineStr">
        <is>
          <t>上海区域</t>
        </is>
      </c>
      <c r="D38" s="10" t="inlineStr">
        <is>
          <t>CMCF</t>
        </is>
      </c>
      <c r="E38" s="10" t="inlineStr">
        <is>
          <t>EE 上海七宝万科广场</t>
        </is>
      </c>
      <c r="F38" s="9" t="inlineStr">
        <is>
          <t>02</t>
        </is>
      </c>
      <c r="G38" s="10" t="inlineStr">
        <is>
          <t>购物中心</t>
        </is>
      </c>
      <c r="H38" s="11" t="inlineStr">
        <is>
          <t>EEJKG24B01</t>
        </is>
      </c>
      <c r="I38" s="9" t="n">
        <v>1599</v>
      </c>
      <c r="J38" s="43" t="n">
        <v>1599</v>
      </c>
      <c r="K38" s="46">
        <f>VLOOKUP(H38,'七宝0412-0511'!H:M,6,0)</f>
        <v/>
      </c>
      <c r="L38" s="46">
        <f>VLOOKUP(H38,'七宝0412-0511'!H:O,8,0)</f>
        <v/>
      </c>
    </row>
    <row r="39" ht="18.95" customHeight="1" s="49">
      <c r="A39" s="12" t="inlineStr">
        <is>
          <t>JL</t>
        </is>
      </c>
      <c r="B39" s="12" t="inlineStr">
        <is>
          <t>B331</t>
        </is>
      </c>
      <c r="C39" s="13" t="inlineStr">
        <is>
          <t>上海区域</t>
        </is>
      </c>
      <c r="D39" s="13" t="inlineStr">
        <is>
          <t>CMCF</t>
        </is>
      </c>
      <c r="E39" s="13" t="inlineStr">
        <is>
          <t>EE 上海七宝万科广场</t>
        </is>
      </c>
      <c r="F39" s="12" t="inlineStr">
        <is>
          <t>02</t>
        </is>
      </c>
      <c r="G39" s="13" t="inlineStr">
        <is>
          <t>购物中心</t>
        </is>
      </c>
      <c r="H39" s="14" t="inlineStr">
        <is>
          <t>EEJLG23B51</t>
        </is>
      </c>
      <c r="I39" s="12" t="n">
        <v>1599</v>
      </c>
      <c r="J39" s="44" t="n">
        <v>1599</v>
      </c>
      <c r="K39" s="46">
        <f>VLOOKUP(H39,'七宝0412-0511'!H:M,6,0)</f>
        <v/>
      </c>
      <c r="L39" s="46">
        <f>VLOOKUP(H39,'七宝0412-0511'!H:O,8,0)</f>
        <v/>
      </c>
    </row>
    <row r="40" ht="18.95" customHeight="1" s="49">
      <c r="A40" s="9" t="inlineStr">
        <is>
          <t>JW</t>
        </is>
      </c>
      <c r="B40" s="9" t="inlineStr">
        <is>
          <t>B331</t>
        </is>
      </c>
      <c r="C40" s="10" t="inlineStr">
        <is>
          <t>上海区域</t>
        </is>
      </c>
      <c r="D40" s="10" t="inlineStr">
        <is>
          <t>CMCF</t>
        </is>
      </c>
      <c r="E40" s="10" t="inlineStr">
        <is>
          <t>EE 上海七宝万科广场</t>
        </is>
      </c>
      <c r="F40" s="9" t="inlineStr">
        <is>
          <t>02</t>
        </is>
      </c>
      <c r="G40" s="10" t="inlineStr">
        <is>
          <t>购物中心</t>
        </is>
      </c>
      <c r="H40" s="11" t="inlineStr">
        <is>
          <t>EEJWG23R31</t>
        </is>
      </c>
      <c r="I40" s="9" t="n">
        <v>3999</v>
      </c>
      <c r="J40" s="43" t="n">
        <v>3999</v>
      </c>
      <c r="K40" s="46">
        <f>VLOOKUP(H40,'七宝0412-0511'!H:M,6,0)</f>
        <v/>
      </c>
      <c r="L40" s="46">
        <f>VLOOKUP(H40,'七宝0412-0511'!H:O,8,0)</f>
        <v/>
      </c>
    </row>
    <row r="41" ht="18.95" customHeight="1" s="49">
      <c r="A41" s="12" t="inlineStr">
        <is>
          <t>KW</t>
        </is>
      </c>
      <c r="B41" s="12" t="inlineStr">
        <is>
          <t>B331</t>
        </is>
      </c>
      <c r="C41" s="13" t="inlineStr">
        <is>
          <t>上海区域</t>
        </is>
      </c>
      <c r="D41" s="13" t="inlineStr">
        <is>
          <t>CMCF</t>
        </is>
      </c>
      <c r="E41" s="13" t="inlineStr">
        <is>
          <t>EE 上海七宝万科广场</t>
        </is>
      </c>
      <c r="F41" s="12" t="inlineStr">
        <is>
          <t>02</t>
        </is>
      </c>
      <c r="G41" s="13" t="inlineStr">
        <is>
          <t>购物中心</t>
        </is>
      </c>
      <c r="H41" s="14" t="inlineStr">
        <is>
          <t>EEKWG23D02</t>
        </is>
      </c>
      <c r="I41" s="12" t="n">
        <v>699</v>
      </c>
      <c r="J41" s="44" t="n">
        <v>699</v>
      </c>
      <c r="K41" s="46">
        <f>VLOOKUP(H41,'七宝0412-0511'!H:M,6,0)</f>
        <v/>
      </c>
      <c r="L41" s="46">
        <f>VLOOKUP(H41,'七宝0412-0511'!H:O,8,0)</f>
        <v/>
      </c>
    </row>
    <row r="42" ht="18.95" customHeight="1" s="49">
      <c r="A42" s="9" t="inlineStr">
        <is>
          <t>KW</t>
        </is>
      </c>
      <c r="B42" s="9" t="inlineStr">
        <is>
          <t>B331</t>
        </is>
      </c>
      <c r="C42" s="10" t="inlineStr">
        <is>
          <t>上海区域</t>
        </is>
      </c>
      <c r="D42" s="10" t="inlineStr">
        <is>
          <t>CMCF</t>
        </is>
      </c>
      <c r="E42" s="10" t="inlineStr">
        <is>
          <t>EE 上海七宝万科广场</t>
        </is>
      </c>
      <c r="F42" s="9" t="inlineStr">
        <is>
          <t>02</t>
        </is>
      </c>
      <c r="G42" s="10" t="inlineStr">
        <is>
          <t>购物中心</t>
        </is>
      </c>
      <c r="H42" s="11" t="inlineStr">
        <is>
          <t>EEKWG23E01</t>
        </is>
      </c>
      <c r="I42" s="9" t="n">
        <v>499</v>
      </c>
      <c r="J42" s="43" t="n">
        <v>499</v>
      </c>
      <c r="K42" s="46">
        <f>VLOOKUP(H42,'七宝0412-0511'!H:M,6,0)</f>
        <v/>
      </c>
      <c r="L42" s="46">
        <f>VLOOKUP(H42,'七宝0412-0511'!H:O,8,0)</f>
        <v/>
      </c>
    </row>
    <row r="43" ht="18.95" customHeight="1" s="49">
      <c r="A43" s="12" t="inlineStr">
        <is>
          <t>KW</t>
        </is>
      </c>
      <c r="B43" s="12" t="inlineStr">
        <is>
          <t>B331</t>
        </is>
      </c>
      <c r="C43" s="13" t="inlineStr">
        <is>
          <t>上海区域</t>
        </is>
      </c>
      <c r="D43" s="13" t="inlineStr">
        <is>
          <t>CMCF</t>
        </is>
      </c>
      <c r="E43" s="13" t="inlineStr">
        <is>
          <t>EE 上海七宝万科广场</t>
        </is>
      </c>
      <c r="F43" s="12" t="inlineStr">
        <is>
          <t>02</t>
        </is>
      </c>
      <c r="G43" s="13" t="inlineStr">
        <is>
          <t>购物中心</t>
        </is>
      </c>
      <c r="H43" s="14" t="inlineStr">
        <is>
          <t>EEKWG23E2G</t>
        </is>
      </c>
      <c r="I43" s="12" t="n">
        <v>699</v>
      </c>
      <c r="J43" s="44" t="n">
        <v>699</v>
      </c>
      <c r="K43" s="46">
        <f>VLOOKUP(H43,'七宝0412-0511'!H:M,6,0)</f>
        <v/>
      </c>
      <c r="L43" s="46">
        <f>VLOOKUP(H43,'七宝0412-0511'!H:O,8,0)</f>
        <v/>
      </c>
    </row>
    <row r="44" ht="18.95" customHeight="1" s="49">
      <c r="A44" s="9" t="inlineStr">
        <is>
          <t>KW</t>
        </is>
      </c>
      <c r="B44" s="9" t="inlineStr">
        <is>
          <t>B331</t>
        </is>
      </c>
      <c r="C44" s="10" t="inlineStr">
        <is>
          <t>上海区域</t>
        </is>
      </c>
      <c r="D44" s="10" t="inlineStr">
        <is>
          <t>CMCF</t>
        </is>
      </c>
      <c r="E44" s="10" t="inlineStr">
        <is>
          <t>EE 上海七宝万科广场</t>
        </is>
      </c>
      <c r="F44" s="9" t="inlineStr">
        <is>
          <t>02</t>
        </is>
      </c>
      <c r="G44" s="10" t="inlineStr">
        <is>
          <t>购物中心</t>
        </is>
      </c>
      <c r="H44" s="11" t="inlineStr">
        <is>
          <t>EEKWG24B05</t>
        </is>
      </c>
      <c r="I44" s="9" t="n">
        <v>699</v>
      </c>
      <c r="J44" s="43" t="n">
        <v>699</v>
      </c>
      <c r="K44" s="46">
        <f>VLOOKUP(H44,'七宝0412-0511'!H:M,6,0)</f>
        <v/>
      </c>
      <c r="L44" s="46">
        <f>VLOOKUP(H44,'七宝0412-0511'!H:O,8,0)</f>
        <v/>
      </c>
    </row>
    <row r="45" ht="18.95" customHeight="1" s="49">
      <c r="A45" s="12" t="inlineStr">
        <is>
          <t>KW</t>
        </is>
      </c>
      <c r="B45" s="12" t="inlineStr">
        <is>
          <t>B331</t>
        </is>
      </c>
      <c r="C45" s="13" t="inlineStr">
        <is>
          <t>上海区域</t>
        </is>
      </c>
      <c r="D45" s="13" t="inlineStr">
        <is>
          <t>CMCF</t>
        </is>
      </c>
      <c r="E45" s="13" t="inlineStr">
        <is>
          <t>EE 上海七宝万科广场</t>
        </is>
      </c>
      <c r="F45" s="12" t="inlineStr">
        <is>
          <t>02</t>
        </is>
      </c>
      <c r="G45" s="13" t="inlineStr">
        <is>
          <t>购物中心</t>
        </is>
      </c>
      <c r="H45" s="14" t="inlineStr">
        <is>
          <t>EEKWG24B08</t>
        </is>
      </c>
      <c r="I45" s="12" t="n">
        <v>799</v>
      </c>
      <c r="J45" s="44" t="n">
        <v>799</v>
      </c>
      <c r="K45" s="46">
        <f>VLOOKUP(H45,'七宝0412-0511'!H:M,6,0)</f>
        <v/>
      </c>
      <c r="L45" s="46">
        <f>VLOOKUP(H45,'七宝0412-0511'!H:O,8,0)</f>
        <v/>
      </c>
    </row>
    <row r="46" ht="18.95" customHeight="1" s="49">
      <c r="A46" s="9" t="inlineStr">
        <is>
          <t>KW</t>
        </is>
      </c>
      <c r="B46" s="9" t="inlineStr">
        <is>
          <t>B331</t>
        </is>
      </c>
      <c r="C46" s="10" t="inlineStr">
        <is>
          <t>上海区域</t>
        </is>
      </c>
      <c r="D46" s="10" t="inlineStr">
        <is>
          <t>CMCF</t>
        </is>
      </c>
      <c r="E46" s="10" t="inlineStr">
        <is>
          <t>EE 上海七宝万科广场</t>
        </is>
      </c>
      <c r="F46" s="9" t="inlineStr">
        <is>
          <t>02</t>
        </is>
      </c>
      <c r="G46" s="10" t="inlineStr">
        <is>
          <t>购物中心</t>
        </is>
      </c>
      <c r="H46" s="11" t="inlineStr">
        <is>
          <t>EEKWG24B09</t>
        </is>
      </c>
      <c r="I46" s="9" t="n">
        <v>799</v>
      </c>
      <c r="J46" s="43" t="n">
        <v>799</v>
      </c>
      <c r="K46" s="46">
        <f>VLOOKUP(H46,'七宝0412-0511'!H:M,6,0)</f>
        <v/>
      </c>
      <c r="L46" s="46">
        <f>VLOOKUP(H46,'七宝0412-0511'!H:O,8,0)</f>
        <v/>
      </c>
    </row>
    <row r="47" ht="18.95" customHeight="1" s="49">
      <c r="A47" s="12" t="inlineStr">
        <is>
          <t>KW</t>
        </is>
      </c>
      <c r="B47" s="12" t="inlineStr">
        <is>
          <t>B331</t>
        </is>
      </c>
      <c r="C47" s="13" t="inlineStr">
        <is>
          <t>上海区域</t>
        </is>
      </c>
      <c r="D47" s="13" t="inlineStr">
        <is>
          <t>CMCF</t>
        </is>
      </c>
      <c r="E47" s="13" t="inlineStr">
        <is>
          <t>EE 上海七宝万科广场</t>
        </is>
      </c>
      <c r="F47" s="12" t="inlineStr">
        <is>
          <t>02</t>
        </is>
      </c>
      <c r="G47" s="13" t="inlineStr">
        <is>
          <t>购物中心</t>
        </is>
      </c>
      <c r="H47" s="14" t="inlineStr">
        <is>
          <t>EEKWG24B51</t>
        </is>
      </c>
      <c r="I47" s="12" t="n">
        <v>799</v>
      </c>
      <c r="J47" s="44" t="n">
        <v>799</v>
      </c>
      <c r="K47" s="46">
        <f>VLOOKUP(H47,'七宝0412-0511'!H:M,6,0)</f>
        <v/>
      </c>
      <c r="L47" s="46">
        <f>VLOOKUP(H47,'七宝0412-0511'!H:O,8,0)</f>
        <v/>
      </c>
    </row>
    <row r="48" ht="18.95" customHeight="1" s="49">
      <c r="A48" s="9" t="inlineStr">
        <is>
          <t>KW</t>
        </is>
      </c>
      <c r="B48" s="9" t="inlineStr">
        <is>
          <t>B331</t>
        </is>
      </c>
      <c r="C48" s="10" t="inlineStr">
        <is>
          <t>上海区域</t>
        </is>
      </c>
      <c r="D48" s="10" t="inlineStr">
        <is>
          <t>CMCF</t>
        </is>
      </c>
      <c r="E48" s="10" t="inlineStr">
        <is>
          <t>EE 上海七宝万科广场</t>
        </is>
      </c>
      <c r="F48" s="9" t="inlineStr">
        <is>
          <t>02</t>
        </is>
      </c>
      <c r="G48" s="10" t="inlineStr">
        <is>
          <t>购物中心</t>
        </is>
      </c>
      <c r="H48" s="11" t="inlineStr">
        <is>
          <t>EEKWG24B52</t>
        </is>
      </c>
      <c r="I48" s="9" t="n">
        <v>599</v>
      </c>
      <c r="J48" s="43" t="n">
        <v>599</v>
      </c>
      <c r="K48" s="46">
        <f>VLOOKUP(H48,'七宝0412-0511'!H:M,6,0)</f>
        <v/>
      </c>
      <c r="L48" s="46">
        <f>VLOOKUP(H48,'七宝0412-0511'!H:O,8,0)</f>
        <v/>
      </c>
    </row>
    <row r="49" ht="18.95" customHeight="1" s="49">
      <c r="A49" s="12" t="inlineStr">
        <is>
          <t>KW</t>
        </is>
      </c>
      <c r="B49" s="12" t="inlineStr">
        <is>
          <t>B331</t>
        </is>
      </c>
      <c r="C49" s="13" t="inlineStr">
        <is>
          <t>上海区域</t>
        </is>
      </c>
      <c r="D49" s="13" t="inlineStr">
        <is>
          <t>CMCF</t>
        </is>
      </c>
      <c r="E49" s="13" t="inlineStr">
        <is>
          <t>EE 上海七宝万科广场</t>
        </is>
      </c>
      <c r="F49" s="12" t="inlineStr">
        <is>
          <t>02</t>
        </is>
      </c>
      <c r="G49" s="13" t="inlineStr">
        <is>
          <t>购物中心</t>
        </is>
      </c>
      <c r="H49" s="14" t="inlineStr">
        <is>
          <t>EEKWG24E01</t>
        </is>
      </c>
      <c r="I49" s="12" t="n">
        <v>699</v>
      </c>
      <c r="J49" s="44" t="n">
        <v>699</v>
      </c>
      <c r="K49" s="46">
        <f>VLOOKUP(H49,'七宝0412-0511'!H:M,6,0)</f>
        <v/>
      </c>
      <c r="L49" s="46">
        <f>VLOOKUP(H49,'七宝0412-0511'!H:O,8,0)</f>
        <v/>
      </c>
    </row>
    <row r="50" ht="18.95" customHeight="1" s="49">
      <c r="A50" s="9" t="inlineStr">
        <is>
          <t>KW</t>
        </is>
      </c>
      <c r="B50" s="9" t="inlineStr">
        <is>
          <t>B331</t>
        </is>
      </c>
      <c r="C50" s="10" t="inlineStr">
        <is>
          <t>上海区域</t>
        </is>
      </c>
      <c r="D50" s="10" t="inlineStr">
        <is>
          <t>CMCF</t>
        </is>
      </c>
      <c r="E50" s="10" t="inlineStr">
        <is>
          <t>EE 上海七宝万科广场</t>
        </is>
      </c>
      <c r="F50" s="9" t="inlineStr">
        <is>
          <t>02</t>
        </is>
      </c>
      <c r="G50" s="10" t="inlineStr">
        <is>
          <t>购物中心</t>
        </is>
      </c>
      <c r="H50" s="11" t="inlineStr">
        <is>
          <t>EEKWG24E02</t>
        </is>
      </c>
      <c r="I50" s="9" t="n">
        <v>699</v>
      </c>
      <c r="J50" s="43" t="n">
        <v>699</v>
      </c>
      <c r="K50" s="46">
        <f>VLOOKUP(H50,'七宝0412-0511'!H:M,6,0)</f>
        <v/>
      </c>
      <c r="L50" s="46">
        <f>VLOOKUP(H50,'七宝0412-0511'!H:O,8,0)</f>
        <v/>
      </c>
    </row>
    <row r="51" ht="18.95" customHeight="1" s="49">
      <c r="A51" s="12" t="inlineStr">
        <is>
          <t>KW</t>
        </is>
      </c>
      <c r="B51" s="12" t="inlineStr">
        <is>
          <t>B331</t>
        </is>
      </c>
      <c r="C51" s="13" t="inlineStr">
        <is>
          <t>上海区域</t>
        </is>
      </c>
      <c r="D51" s="13" t="inlineStr">
        <is>
          <t>CMCF</t>
        </is>
      </c>
      <c r="E51" s="13" t="inlineStr">
        <is>
          <t>EE 上海七宝万科广场</t>
        </is>
      </c>
      <c r="F51" s="12" t="inlineStr">
        <is>
          <t>02</t>
        </is>
      </c>
      <c r="G51" s="13" t="inlineStr">
        <is>
          <t>购物中心</t>
        </is>
      </c>
      <c r="H51" s="14" t="inlineStr">
        <is>
          <t>EEKWG24E03</t>
        </is>
      </c>
      <c r="I51" s="12" t="n">
        <v>699</v>
      </c>
      <c r="J51" s="44" t="n">
        <v>699</v>
      </c>
      <c r="K51" s="46">
        <f>VLOOKUP(H51,'七宝0412-0511'!H:M,6,0)</f>
        <v/>
      </c>
      <c r="L51" s="46">
        <f>VLOOKUP(H51,'七宝0412-0511'!H:O,8,0)</f>
        <v/>
      </c>
    </row>
    <row r="52" ht="18.95" customHeight="1" s="49">
      <c r="A52" s="9" t="inlineStr">
        <is>
          <t>KW</t>
        </is>
      </c>
      <c r="B52" s="9" t="inlineStr">
        <is>
          <t>B331</t>
        </is>
      </c>
      <c r="C52" s="10" t="inlineStr">
        <is>
          <t>上海区域</t>
        </is>
      </c>
      <c r="D52" s="10" t="inlineStr">
        <is>
          <t>CMCF</t>
        </is>
      </c>
      <c r="E52" s="10" t="inlineStr">
        <is>
          <t>EE 上海七宝万科广场</t>
        </is>
      </c>
      <c r="F52" s="9" t="inlineStr">
        <is>
          <t>02</t>
        </is>
      </c>
      <c r="G52" s="10" t="inlineStr">
        <is>
          <t>购物中心</t>
        </is>
      </c>
      <c r="H52" s="11" t="inlineStr">
        <is>
          <t>EEKWG25E01</t>
        </is>
      </c>
      <c r="I52" s="9" t="n">
        <v>599</v>
      </c>
      <c r="J52" s="43" t="n">
        <v>599</v>
      </c>
      <c r="K52" s="46">
        <f>VLOOKUP(H52,'七宝0412-0511'!H:M,6,0)</f>
        <v/>
      </c>
      <c r="L52" s="46">
        <f>VLOOKUP(H52,'七宝0412-0511'!H:O,8,0)</f>
        <v/>
      </c>
    </row>
    <row r="53" ht="18.95" customHeight="1" s="49">
      <c r="A53" s="12" t="inlineStr">
        <is>
          <t>KW</t>
        </is>
      </c>
      <c r="B53" s="12" t="inlineStr">
        <is>
          <t>B331</t>
        </is>
      </c>
      <c r="C53" s="13" t="inlineStr">
        <is>
          <t>上海区域</t>
        </is>
      </c>
      <c r="D53" s="13" t="inlineStr">
        <is>
          <t>CMCF</t>
        </is>
      </c>
      <c r="E53" s="13" t="inlineStr">
        <is>
          <t>EE 上海七宝万科广场</t>
        </is>
      </c>
      <c r="F53" s="12" t="inlineStr">
        <is>
          <t>02</t>
        </is>
      </c>
      <c r="G53" s="13" t="inlineStr">
        <is>
          <t>购物中心</t>
        </is>
      </c>
      <c r="H53" s="14" t="inlineStr">
        <is>
          <t>EEKWG25E02</t>
        </is>
      </c>
      <c r="I53" s="12" t="n">
        <v>699</v>
      </c>
      <c r="J53" s="44" t="n">
        <v>699</v>
      </c>
      <c r="K53" s="46">
        <f>VLOOKUP(H53,'七宝0412-0511'!H:M,6,0)</f>
        <v/>
      </c>
      <c r="L53" s="46">
        <f>VLOOKUP(H53,'七宝0412-0511'!H:O,8,0)</f>
        <v/>
      </c>
    </row>
    <row r="54" ht="18.95" customHeight="1" s="49">
      <c r="A54" s="9" t="inlineStr">
        <is>
          <t>LA</t>
        </is>
      </c>
      <c r="B54" s="9" t="inlineStr">
        <is>
          <t>B331</t>
        </is>
      </c>
      <c r="C54" s="10" t="inlineStr">
        <is>
          <t>上海区域</t>
        </is>
      </c>
      <c r="D54" s="10" t="inlineStr">
        <is>
          <t>CMCF</t>
        </is>
      </c>
      <c r="E54" s="10" t="inlineStr">
        <is>
          <t>EE 上海七宝万科广场</t>
        </is>
      </c>
      <c r="F54" s="9" t="inlineStr">
        <is>
          <t>02</t>
        </is>
      </c>
      <c r="G54" s="10" t="inlineStr">
        <is>
          <t>购物中心</t>
        </is>
      </c>
      <c r="H54" s="11" t="inlineStr">
        <is>
          <t>EELAG23B02</t>
        </is>
      </c>
      <c r="I54" s="9" t="n">
        <v>599</v>
      </c>
      <c r="J54" s="43" t="n">
        <v>599</v>
      </c>
      <c r="K54" s="46">
        <f>VLOOKUP(H54,'七宝0412-0511'!H:M,6,0)</f>
        <v/>
      </c>
      <c r="L54" s="46">
        <f>VLOOKUP(H54,'七宝0412-0511'!H:O,8,0)</f>
        <v/>
      </c>
    </row>
    <row r="55" ht="18.95" customHeight="1" s="49">
      <c r="A55" s="12" t="inlineStr">
        <is>
          <t>LA</t>
        </is>
      </c>
      <c r="B55" s="12" t="inlineStr">
        <is>
          <t>B331</t>
        </is>
      </c>
      <c r="C55" s="13" t="inlineStr">
        <is>
          <t>上海区域</t>
        </is>
      </c>
      <c r="D55" s="13" t="inlineStr">
        <is>
          <t>CMCF</t>
        </is>
      </c>
      <c r="E55" s="13" t="inlineStr">
        <is>
          <t>EE 上海七宝万科广场</t>
        </is>
      </c>
      <c r="F55" s="12" t="inlineStr">
        <is>
          <t>02</t>
        </is>
      </c>
      <c r="G55" s="13" t="inlineStr">
        <is>
          <t>购物中心</t>
        </is>
      </c>
      <c r="H55" s="14" t="inlineStr">
        <is>
          <t>EELAG23E01</t>
        </is>
      </c>
      <c r="I55" s="12" t="n">
        <v>699</v>
      </c>
      <c r="J55" s="44" t="n">
        <v>699</v>
      </c>
      <c r="K55" s="46">
        <f>VLOOKUP(H55,'七宝0412-0511'!H:M,6,0)</f>
        <v/>
      </c>
      <c r="L55" s="46">
        <f>VLOOKUP(H55,'七宝0412-0511'!H:O,8,0)</f>
        <v/>
      </c>
    </row>
    <row r="56" ht="18.95" customHeight="1" s="49">
      <c r="A56" s="9" t="inlineStr">
        <is>
          <t>LA</t>
        </is>
      </c>
      <c r="B56" s="9" t="inlineStr">
        <is>
          <t>B331</t>
        </is>
      </c>
      <c r="C56" s="10" t="inlineStr">
        <is>
          <t>上海区域</t>
        </is>
      </c>
      <c r="D56" s="10" t="inlineStr">
        <is>
          <t>CMCF</t>
        </is>
      </c>
      <c r="E56" s="10" t="inlineStr">
        <is>
          <t>EE 上海七宝万科广场</t>
        </is>
      </c>
      <c r="F56" s="9" t="inlineStr">
        <is>
          <t>02</t>
        </is>
      </c>
      <c r="G56" s="10" t="inlineStr">
        <is>
          <t>购物中心</t>
        </is>
      </c>
      <c r="H56" s="11" t="inlineStr">
        <is>
          <t>EELAG23E03</t>
        </is>
      </c>
      <c r="I56" s="9" t="n">
        <v>599</v>
      </c>
      <c r="J56" s="43" t="n">
        <v>599</v>
      </c>
      <c r="K56" s="46">
        <f>VLOOKUP(H56,'七宝0412-0511'!H:M,6,0)</f>
        <v/>
      </c>
      <c r="L56" s="46">
        <f>VLOOKUP(H56,'七宝0412-0511'!H:O,8,0)</f>
        <v/>
      </c>
    </row>
    <row r="57" ht="18.95" customHeight="1" s="49">
      <c r="A57" s="12" t="inlineStr">
        <is>
          <t>OJ</t>
        </is>
      </c>
      <c r="B57" s="12" t="inlineStr">
        <is>
          <t>B331</t>
        </is>
      </c>
      <c r="C57" s="13" t="inlineStr">
        <is>
          <t>上海区域</t>
        </is>
      </c>
      <c r="D57" s="13" t="inlineStr">
        <is>
          <t>CMCF</t>
        </is>
      </c>
      <c r="E57" s="13" t="inlineStr">
        <is>
          <t>EE 上海七宝万科广场</t>
        </is>
      </c>
      <c r="F57" s="12" t="inlineStr">
        <is>
          <t>02</t>
        </is>
      </c>
      <c r="G57" s="13" t="inlineStr">
        <is>
          <t>购物中心</t>
        </is>
      </c>
      <c r="H57" s="14" t="inlineStr">
        <is>
          <t>EEOJG23B01</t>
        </is>
      </c>
      <c r="I57" s="12" t="n">
        <v>1299</v>
      </c>
      <c r="J57" s="44" t="n">
        <v>1299</v>
      </c>
      <c r="K57" s="46">
        <f>VLOOKUP(H57,'七宝0412-0511'!H:M,6,0)</f>
        <v/>
      </c>
      <c r="L57" s="46">
        <f>VLOOKUP(H57,'七宝0412-0511'!H:O,8,0)</f>
        <v/>
      </c>
    </row>
    <row r="58" ht="18.95" customHeight="1" s="49">
      <c r="A58" s="9" t="inlineStr">
        <is>
          <t>OJ</t>
        </is>
      </c>
      <c r="B58" s="9" t="inlineStr">
        <is>
          <t>B331</t>
        </is>
      </c>
      <c r="C58" s="10" t="inlineStr">
        <is>
          <t>上海区域</t>
        </is>
      </c>
      <c r="D58" s="10" t="inlineStr">
        <is>
          <t>CMCF</t>
        </is>
      </c>
      <c r="E58" s="10" t="inlineStr">
        <is>
          <t>EE 上海七宝万科广场</t>
        </is>
      </c>
      <c r="F58" s="9" t="inlineStr">
        <is>
          <t>02</t>
        </is>
      </c>
      <c r="G58" s="10" t="inlineStr">
        <is>
          <t>购物中心</t>
        </is>
      </c>
      <c r="H58" s="11" t="inlineStr">
        <is>
          <t>EEOJG24B03</t>
        </is>
      </c>
      <c r="I58" s="9" t="n">
        <v>999</v>
      </c>
      <c r="J58" s="43" t="n">
        <v>999</v>
      </c>
      <c r="K58" s="46">
        <f>VLOOKUP(H58,'七宝0412-0511'!H:M,6,0)</f>
        <v/>
      </c>
      <c r="L58" s="46">
        <f>VLOOKUP(H58,'七宝0412-0511'!H:O,8,0)</f>
        <v/>
      </c>
    </row>
    <row r="59" ht="18.95" customHeight="1" s="49">
      <c r="A59" s="12" t="inlineStr">
        <is>
          <t>OJ</t>
        </is>
      </c>
      <c r="B59" s="12" t="inlineStr">
        <is>
          <t>B331</t>
        </is>
      </c>
      <c r="C59" s="13" t="inlineStr">
        <is>
          <t>上海区域</t>
        </is>
      </c>
      <c r="D59" s="13" t="inlineStr">
        <is>
          <t>CMCF</t>
        </is>
      </c>
      <c r="E59" s="13" t="inlineStr">
        <is>
          <t>EE 上海七宝万科广场</t>
        </is>
      </c>
      <c r="F59" s="12" t="inlineStr">
        <is>
          <t>02</t>
        </is>
      </c>
      <c r="G59" s="13" t="inlineStr">
        <is>
          <t>购物中心</t>
        </is>
      </c>
      <c r="H59" s="14" t="inlineStr">
        <is>
          <t>EEOJG24E01</t>
        </is>
      </c>
      <c r="I59" s="12" t="n">
        <v>1599</v>
      </c>
      <c r="J59" s="44" t="n">
        <v>1599</v>
      </c>
      <c r="K59" s="46">
        <f>VLOOKUP(H59,'七宝0412-0511'!H:M,6,0)</f>
        <v/>
      </c>
      <c r="L59" s="46">
        <f>VLOOKUP(H59,'七宝0412-0511'!H:O,8,0)</f>
        <v/>
      </c>
    </row>
    <row r="60" ht="18.95" customHeight="1" s="49">
      <c r="A60" s="9" t="inlineStr">
        <is>
          <t>OM</t>
        </is>
      </c>
      <c r="B60" s="9" t="inlineStr">
        <is>
          <t>B331</t>
        </is>
      </c>
      <c r="C60" s="10" t="inlineStr">
        <is>
          <t>上海区域</t>
        </is>
      </c>
      <c r="D60" s="10" t="inlineStr">
        <is>
          <t>CMCF</t>
        </is>
      </c>
      <c r="E60" s="10" t="inlineStr">
        <is>
          <t>EE 上海七宝万科广场</t>
        </is>
      </c>
      <c r="F60" s="9" t="inlineStr">
        <is>
          <t>02</t>
        </is>
      </c>
      <c r="G60" s="10" t="inlineStr">
        <is>
          <t>购物中心</t>
        </is>
      </c>
      <c r="H60" s="11" t="inlineStr">
        <is>
          <t>EEOMG25B01</t>
        </is>
      </c>
      <c r="I60" s="9" t="n">
        <v>799</v>
      </c>
      <c r="J60" s="43" t="n">
        <v>799</v>
      </c>
      <c r="K60" s="46">
        <f>VLOOKUP(H60,'七宝0412-0511'!H:M,6,0)</f>
        <v/>
      </c>
      <c r="L60" s="46">
        <f>VLOOKUP(H60,'七宝0412-0511'!H:O,8,0)</f>
        <v/>
      </c>
    </row>
    <row r="61" ht="18.95" customHeight="1" s="49">
      <c r="A61" s="12" t="inlineStr">
        <is>
          <t>OM</t>
        </is>
      </c>
      <c r="B61" s="12" t="inlineStr">
        <is>
          <t>B331</t>
        </is>
      </c>
      <c r="C61" s="13" t="inlineStr">
        <is>
          <t>上海区域</t>
        </is>
      </c>
      <c r="D61" s="13" t="inlineStr">
        <is>
          <t>CMCF</t>
        </is>
      </c>
      <c r="E61" s="13" t="inlineStr">
        <is>
          <t>EE 上海七宝万科广场</t>
        </is>
      </c>
      <c r="F61" s="12" t="inlineStr">
        <is>
          <t>02</t>
        </is>
      </c>
      <c r="G61" s="13" t="inlineStr">
        <is>
          <t>购物中心</t>
        </is>
      </c>
      <c r="H61" s="14" t="inlineStr">
        <is>
          <t>EEOMG26B01</t>
        </is>
      </c>
      <c r="I61" s="12" t="n">
        <v>999</v>
      </c>
      <c r="J61" s="44" t="n">
        <v>999</v>
      </c>
      <c r="K61" s="46">
        <f>VLOOKUP(H61,'七宝0412-0511'!H:M,6,0)</f>
        <v/>
      </c>
      <c r="L61" s="46">
        <f>VLOOKUP(H61,'七宝0412-0511'!H:O,8,0)</f>
        <v/>
      </c>
    </row>
    <row r="62" ht="18.95" customHeight="1" s="49">
      <c r="A62" s="9" t="inlineStr">
        <is>
          <t>OW</t>
        </is>
      </c>
      <c r="B62" s="9" t="inlineStr">
        <is>
          <t>B331</t>
        </is>
      </c>
      <c r="C62" s="10" t="inlineStr">
        <is>
          <t>上海区域</t>
        </is>
      </c>
      <c r="D62" s="10" t="inlineStr">
        <is>
          <t>CMCF</t>
        </is>
      </c>
      <c r="E62" s="10" t="inlineStr">
        <is>
          <t>EE 上海七宝万科广场</t>
        </is>
      </c>
      <c r="F62" s="9" t="inlineStr">
        <is>
          <t>02</t>
        </is>
      </c>
      <c r="G62" s="10" t="inlineStr">
        <is>
          <t>购物中心</t>
        </is>
      </c>
      <c r="H62" s="11" t="inlineStr">
        <is>
          <t>EEOWG23B01</t>
        </is>
      </c>
      <c r="I62" s="9" t="n">
        <v>1599</v>
      </c>
      <c r="J62" s="43" t="n">
        <v>1599</v>
      </c>
      <c r="K62" s="46">
        <f>VLOOKUP(H62,'七宝0412-0511'!H:M,6,0)</f>
        <v/>
      </c>
      <c r="L62" s="46">
        <f>VLOOKUP(H62,'七宝0412-0511'!H:O,8,0)</f>
        <v/>
      </c>
    </row>
    <row r="63" ht="18.95" customHeight="1" s="49">
      <c r="A63" s="12" t="inlineStr">
        <is>
          <t>OW</t>
        </is>
      </c>
      <c r="B63" s="12" t="inlineStr">
        <is>
          <t>B331</t>
        </is>
      </c>
      <c r="C63" s="13" t="inlineStr">
        <is>
          <t>上海区域</t>
        </is>
      </c>
      <c r="D63" s="13" t="inlineStr">
        <is>
          <t>CMCF</t>
        </is>
      </c>
      <c r="E63" s="13" t="inlineStr">
        <is>
          <t>EE 上海七宝万科广场</t>
        </is>
      </c>
      <c r="F63" s="12" t="inlineStr">
        <is>
          <t>02</t>
        </is>
      </c>
      <c r="G63" s="13" t="inlineStr">
        <is>
          <t>购物中心</t>
        </is>
      </c>
      <c r="H63" s="14" t="inlineStr">
        <is>
          <t>EEOWG24B01</t>
        </is>
      </c>
      <c r="I63" s="12" t="n">
        <v>1299</v>
      </c>
      <c r="J63" s="44" t="n">
        <v>1299</v>
      </c>
      <c r="K63" s="46">
        <f>VLOOKUP(H63,'七宝0412-0511'!H:M,6,0)</f>
        <v/>
      </c>
      <c r="L63" s="46">
        <f>VLOOKUP(H63,'七宝0412-0511'!H:O,8,0)</f>
        <v/>
      </c>
    </row>
    <row r="64" ht="18.95" customHeight="1" s="49">
      <c r="A64" s="9" t="inlineStr">
        <is>
          <t>OW</t>
        </is>
      </c>
      <c r="B64" s="9" t="inlineStr">
        <is>
          <t>B331</t>
        </is>
      </c>
      <c r="C64" s="10" t="inlineStr">
        <is>
          <t>上海区域</t>
        </is>
      </c>
      <c r="D64" s="10" t="inlineStr">
        <is>
          <t>CMCF</t>
        </is>
      </c>
      <c r="E64" s="10" t="inlineStr">
        <is>
          <t>EE 上海七宝万科广场</t>
        </is>
      </c>
      <c r="F64" s="9" t="inlineStr">
        <is>
          <t>02</t>
        </is>
      </c>
      <c r="G64" s="10" t="inlineStr">
        <is>
          <t>购物中心</t>
        </is>
      </c>
      <c r="H64" s="11" t="inlineStr">
        <is>
          <t>EEOWG24B02</t>
        </is>
      </c>
      <c r="I64" s="9" t="n">
        <v>1299</v>
      </c>
      <c r="J64" s="43" t="n">
        <v>1299</v>
      </c>
      <c r="K64" s="46">
        <f>VLOOKUP(H64,'七宝0412-0511'!H:M,6,0)</f>
        <v/>
      </c>
      <c r="L64" s="46">
        <f>VLOOKUP(H64,'七宝0412-0511'!H:O,8,0)</f>
        <v/>
      </c>
    </row>
    <row r="65" ht="18.95" customHeight="1" s="49">
      <c r="A65" s="12" t="inlineStr">
        <is>
          <t>OW</t>
        </is>
      </c>
      <c r="B65" s="12" t="inlineStr">
        <is>
          <t>B331</t>
        </is>
      </c>
      <c r="C65" s="13" t="inlineStr">
        <is>
          <t>上海区域</t>
        </is>
      </c>
      <c r="D65" s="13" t="inlineStr">
        <is>
          <t>CMCF</t>
        </is>
      </c>
      <c r="E65" s="13" t="inlineStr">
        <is>
          <t>EE 上海七宝万科广场</t>
        </is>
      </c>
      <c r="F65" s="12" t="inlineStr">
        <is>
          <t>02</t>
        </is>
      </c>
      <c r="G65" s="13" t="inlineStr">
        <is>
          <t>购物中心</t>
        </is>
      </c>
      <c r="H65" s="14" t="inlineStr">
        <is>
          <t>EEOWG24E01</t>
        </is>
      </c>
      <c r="I65" s="12" t="n">
        <v>1299</v>
      </c>
      <c r="J65" s="44" t="n">
        <v>1299</v>
      </c>
      <c r="K65" s="46">
        <f>VLOOKUP(H65,'七宝0412-0511'!H:M,6,0)</f>
        <v/>
      </c>
      <c r="L65" s="46">
        <f>VLOOKUP(H65,'七宝0412-0511'!H:O,8,0)</f>
        <v/>
      </c>
    </row>
    <row r="66" ht="18.95" customHeight="1" s="49">
      <c r="A66" s="9" t="inlineStr">
        <is>
          <t>OW</t>
        </is>
      </c>
      <c r="B66" s="9" t="inlineStr">
        <is>
          <t>B331</t>
        </is>
      </c>
      <c r="C66" s="10" t="inlineStr">
        <is>
          <t>上海区域</t>
        </is>
      </c>
      <c r="D66" s="10" t="inlineStr">
        <is>
          <t>CMCF</t>
        </is>
      </c>
      <c r="E66" s="10" t="inlineStr">
        <is>
          <t>EE 上海七宝万科广场</t>
        </is>
      </c>
      <c r="F66" s="9" t="inlineStr">
        <is>
          <t>02</t>
        </is>
      </c>
      <c r="G66" s="10" t="inlineStr">
        <is>
          <t>购物中心</t>
        </is>
      </c>
      <c r="H66" s="11" t="inlineStr">
        <is>
          <t>EEOWG24E02</t>
        </is>
      </c>
      <c r="I66" s="9" t="n">
        <v>1299</v>
      </c>
      <c r="J66" s="43" t="n">
        <v>1299</v>
      </c>
      <c r="K66" s="46">
        <f>VLOOKUP(H66,'七宝0412-0511'!H:M,6,0)</f>
        <v/>
      </c>
      <c r="L66" s="46">
        <f>VLOOKUP(H66,'七宝0412-0511'!H:O,8,0)</f>
        <v/>
      </c>
    </row>
    <row r="67" ht="18.95" customHeight="1" s="49">
      <c r="A67" s="12" t="inlineStr">
        <is>
          <t>OW</t>
        </is>
      </c>
      <c r="B67" s="12" t="inlineStr">
        <is>
          <t>B331</t>
        </is>
      </c>
      <c r="C67" s="13" t="inlineStr">
        <is>
          <t>上海区域</t>
        </is>
      </c>
      <c r="D67" s="13" t="inlineStr">
        <is>
          <t>CMCF</t>
        </is>
      </c>
      <c r="E67" s="13" t="inlineStr">
        <is>
          <t>EE 上海七宝万科广场</t>
        </is>
      </c>
      <c r="F67" s="12" t="inlineStr">
        <is>
          <t>02</t>
        </is>
      </c>
      <c r="G67" s="13" t="inlineStr">
        <is>
          <t>购物中心</t>
        </is>
      </c>
      <c r="H67" s="14" t="inlineStr">
        <is>
          <t>EEOWG25B02</t>
        </is>
      </c>
      <c r="I67" s="12" t="n">
        <v>1299</v>
      </c>
      <c r="J67" s="44" t="n">
        <v>1299</v>
      </c>
      <c r="K67" s="46">
        <f>VLOOKUP(H67,'七宝0412-0511'!H:M,6,0)</f>
        <v/>
      </c>
      <c r="L67" s="46">
        <f>VLOOKUP(H67,'七宝0412-0511'!H:O,8,0)</f>
        <v/>
      </c>
    </row>
    <row r="68" ht="18.95" customHeight="1" s="49">
      <c r="A68" s="9" t="inlineStr">
        <is>
          <t>OW</t>
        </is>
      </c>
      <c r="B68" s="9" t="inlineStr">
        <is>
          <t>B331</t>
        </is>
      </c>
      <c r="C68" s="10" t="inlineStr">
        <is>
          <t>上海区域</t>
        </is>
      </c>
      <c r="D68" s="10" t="inlineStr">
        <is>
          <t>CMCF</t>
        </is>
      </c>
      <c r="E68" s="10" t="inlineStr">
        <is>
          <t>EE 上海七宝万科广场</t>
        </is>
      </c>
      <c r="F68" s="9" t="inlineStr">
        <is>
          <t>02</t>
        </is>
      </c>
      <c r="G68" s="10" t="inlineStr">
        <is>
          <t>购物中心</t>
        </is>
      </c>
      <c r="H68" s="11" t="inlineStr">
        <is>
          <t>EEOWG25B03</t>
        </is>
      </c>
      <c r="I68" s="9" t="n">
        <v>1299</v>
      </c>
      <c r="J68" s="43" t="n">
        <v>1299</v>
      </c>
      <c r="K68" s="46">
        <f>VLOOKUP(H68,'七宝0412-0511'!H:M,6,0)</f>
        <v/>
      </c>
      <c r="L68" s="46">
        <f>VLOOKUP(H68,'七宝0412-0511'!H:O,8,0)</f>
        <v/>
      </c>
    </row>
    <row r="69" ht="18.95" customHeight="1" s="49">
      <c r="A69" s="12" t="inlineStr">
        <is>
          <t>OW</t>
        </is>
      </c>
      <c r="B69" s="12" t="inlineStr">
        <is>
          <t>B331</t>
        </is>
      </c>
      <c r="C69" s="13" t="inlineStr">
        <is>
          <t>上海区域</t>
        </is>
      </c>
      <c r="D69" s="13" t="inlineStr">
        <is>
          <t>CMCF</t>
        </is>
      </c>
      <c r="E69" s="13" t="inlineStr">
        <is>
          <t>EE 上海七宝万科广场</t>
        </is>
      </c>
      <c r="F69" s="12" t="inlineStr">
        <is>
          <t>02</t>
        </is>
      </c>
      <c r="G69" s="13" t="inlineStr">
        <is>
          <t>购物中心</t>
        </is>
      </c>
      <c r="H69" s="14" t="inlineStr">
        <is>
          <t>EEOWG25B04</t>
        </is>
      </c>
      <c r="I69" s="12" t="n">
        <v>1299</v>
      </c>
      <c r="J69" s="44" t="n">
        <v>1299</v>
      </c>
      <c r="K69" s="46">
        <f>VLOOKUP(H69,'七宝0412-0511'!H:M,6,0)</f>
        <v/>
      </c>
      <c r="L69" s="46">
        <f>VLOOKUP(H69,'七宝0412-0511'!H:O,8,0)</f>
        <v/>
      </c>
    </row>
    <row r="70" ht="18.95" customHeight="1" s="49">
      <c r="A70" s="9" t="inlineStr">
        <is>
          <t>OW</t>
        </is>
      </c>
      <c r="B70" s="9" t="inlineStr">
        <is>
          <t>B331</t>
        </is>
      </c>
      <c r="C70" s="10" t="inlineStr">
        <is>
          <t>上海区域</t>
        </is>
      </c>
      <c r="D70" s="10" t="inlineStr">
        <is>
          <t>CMCF</t>
        </is>
      </c>
      <c r="E70" s="10" t="inlineStr">
        <is>
          <t>EE 上海七宝万科广场</t>
        </is>
      </c>
      <c r="F70" s="9" t="inlineStr">
        <is>
          <t>02</t>
        </is>
      </c>
      <c r="G70" s="10" t="inlineStr">
        <is>
          <t>购物中心</t>
        </is>
      </c>
      <c r="H70" s="11" t="inlineStr">
        <is>
          <t>EEOWG25B05</t>
        </is>
      </c>
      <c r="I70" s="9" t="n">
        <v>1599</v>
      </c>
      <c r="J70" s="43" t="n">
        <v>1599</v>
      </c>
      <c r="K70" s="46">
        <f>VLOOKUP(H70,'七宝0412-0511'!H:M,6,0)</f>
        <v/>
      </c>
      <c r="L70" s="46">
        <f>VLOOKUP(H70,'七宝0412-0511'!H:O,8,0)</f>
        <v/>
      </c>
    </row>
    <row r="71" ht="18.95" customHeight="1" s="49">
      <c r="A71" s="12" t="inlineStr">
        <is>
          <t>OW</t>
        </is>
      </c>
      <c r="B71" s="12" t="inlineStr">
        <is>
          <t>B331</t>
        </is>
      </c>
      <c r="C71" s="13" t="inlineStr">
        <is>
          <t>上海区域</t>
        </is>
      </c>
      <c r="D71" s="13" t="inlineStr">
        <is>
          <t>CMCF</t>
        </is>
      </c>
      <c r="E71" s="13" t="inlineStr">
        <is>
          <t>EE 上海七宝万科广场</t>
        </is>
      </c>
      <c r="F71" s="12" t="inlineStr">
        <is>
          <t>02</t>
        </is>
      </c>
      <c r="G71" s="13" t="inlineStr">
        <is>
          <t>购物中心</t>
        </is>
      </c>
      <c r="H71" s="14" t="inlineStr">
        <is>
          <t>EEOWG25B09</t>
        </is>
      </c>
      <c r="I71" s="12" t="n">
        <v>1299</v>
      </c>
      <c r="J71" s="44" t="n">
        <v>1299</v>
      </c>
      <c r="K71" s="46">
        <f>VLOOKUP(H71,'七宝0412-0511'!H:M,6,0)</f>
        <v/>
      </c>
      <c r="L71" s="46">
        <f>VLOOKUP(H71,'七宝0412-0511'!H:O,8,0)</f>
        <v/>
      </c>
    </row>
    <row r="72" ht="18.95" customHeight="1" s="49">
      <c r="A72" s="9" t="inlineStr">
        <is>
          <t>OW</t>
        </is>
      </c>
      <c r="B72" s="9" t="inlineStr">
        <is>
          <t>B331</t>
        </is>
      </c>
      <c r="C72" s="10" t="inlineStr">
        <is>
          <t>上海区域</t>
        </is>
      </c>
      <c r="D72" s="10" t="inlineStr">
        <is>
          <t>CMCF</t>
        </is>
      </c>
      <c r="E72" s="10" t="inlineStr">
        <is>
          <t>EE 上海七宝万科广场</t>
        </is>
      </c>
      <c r="F72" s="9" t="inlineStr">
        <is>
          <t>02</t>
        </is>
      </c>
      <c r="G72" s="10" t="inlineStr">
        <is>
          <t>购物中心</t>
        </is>
      </c>
      <c r="H72" s="11" t="inlineStr">
        <is>
          <t>EEOWG25B10</t>
        </is>
      </c>
      <c r="I72" s="9" t="n">
        <v>1299</v>
      </c>
      <c r="J72" s="43" t="n">
        <v>1299</v>
      </c>
      <c r="K72" s="46">
        <f>VLOOKUP(H72,'七宝0412-0511'!H:M,6,0)</f>
        <v/>
      </c>
      <c r="L72" s="46">
        <f>VLOOKUP(H72,'七宝0412-0511'!H:O,8,0)</f>
        <v/>
      </c>
    </row>
    <row r="73" ht="18.95" customHeight="1" s="49">
      <c r="A73" s="12" t="inlineStr">
        <is>
          <t>OW</t>
        </is>
      </c>
      <c r="B73" s="12" t="inlineStr">
        <is>
          <t>B331</t>
        </is>
      </c>
      <c r="C73" s="13" t="inlineStr">
        <is>
          <t>上海区域</t>
        </is>
      </c>
      <c r="D73" s="13" t="inlineStr">
        <is>
          <t>CMCF</t>
        </is>
      </c>
      <c r="E73" s="13" t="inlineStr">
        <is>
          <t>EE 上海七宝万科广场</t>
        </is>
      </c>
      <c r="F73" s="12" t="inlineStr">
        <is>
          <t>02</t>
        </is>
      </c>
      <c r="G73" s="13" t="inlineStr">
        <is>
          <t>购物中心</t>
        </is>
      </c>
      <c r="H73" s="14" t="inlineStr">
        <is>
          <t>EEOWG25B11</t>
        </is>
      </c>
      <c r="I73" s="12" t="n">
        <v>999</v>
      </c>
      <c r="J73" s="44" t="n">
        <v>999</v>
      </c>
      <c r="K73" s="46">
        <f>VLOOKUP(H73,'七宝0412-0511'!H:M,6,0)</f>
        <v/>
      </c>
      <c r="L73" s="46">
        <f>VLOOKUP(H73,'七宝0412-0511'!H:O,8,0)</f>
        <v/>
      </c>
    </row>
    <row r="74" ht="18.95" customHeight="1" s="49">
      <c r="A74" s="9" t="inlineStr">
        <is>
          <t>OW</t>
        </is>
      </c>
      <c r="B74" s="9" t="inlineStr">
        <is>
          <t>B331</t>
        </is>
      </c>
      <c r="C74" s="10" t="inlineStr">
        <is>
          <t>上海区域</t>
        </is>
      </c>
      <c r="D74" s="10" t="inlineStr">
        <is>
          <t>CMCF</t>
        </is>
      </c>
      <c r="E74" s="10" t="inlineStr">
        <is>
          <t>EE 上海七宝万科广场</t>
        </is>
      </c>
      <c r="F74" s="9" t="inlineStr">
        <is>
          <t>02</t>
        </is>
      </c>
      <c r="G74" s="10" t="inlineStr">
        <is>
          <t>购物中心</t>
        </is>
      </c>
      <c r="H74" s="11" t="inlineStr">
        <is>
          <t>EEOWG25B12</t>
        </is>
      </c>
      <c r="I74" s="9" t="n">
        <v>1299</v>
      </c>
      <c r="J74" s="43" t="n">
        <v>1299</v>
      </c>
      <c r="K74" s="46">
        <f>VLOOKUP(H74,'七宝0412-0511'!H:M,6,0)</f>
        <v/>
      </c>
      <c r="L74" s="46">
        <f>VLOOKUP(H74,'七宝0412-0511'!H:O,8,0)</f>
        <v/>
      </c>
    </row>
    <row r="75" ht="18.95" customHeight="1" s="49">
      <c r="A75" s="12" t="inlineStr">
        <is>
          <t>OW</t>
        </is>
      </c>
      <c r="B75" s="12" t="inlineStr">
        <is>
          <t>B331</t>
        </is>
      </c>
      <c r="C75" s="13" t="inlineStr">
        <is>
          <t>上海区域</t>
        </is>
      </c>
      <c r="D75" s="13" t="inlineStr">
        <is>
          <t>CMCF</t>
        </is>
      </c>
      <c r="E75" s="13" t="inlineStr">
        <is>
          <t>EE 上海七宝万科广场</t>
        </is>
      </c>
      <c r="F75" s="12" t="inlineStr">
        <is>
          <t>02</t>
        </is>
      </c>
      <c r="G75" s="13" t="inlineStr">
        <is>
          <t>购物中心</t>
        </is>
      </c>
      <c r="H75" s="14" t="inlineStr">
        <is>
          <t>EEOWG25B13</t>
        </is>
      </c>
      <c r="I75" s="12" t="n">
        <v>1299</v>
      </c>
      <c r="J75" s="44" t="n">
        <v>1299</v>
      </c>
      <c r="K75" s="46">
        <f>VLOOKUP(H75,'七宝0412-0511'!H:M,6,0)</f>
        <v/>
      </c>
      <c r="L75" s="46">
        <f>VLOOKUP(H75,'七宝0412-0511'!H:O,8,0)</f>
        <v/>
      </c>
    </row>
    <row r="76" ht="18.95" customHeight="1" s="49">
      <c r="A76" s="9" t="inlineStr">
        <is>
          <t>OW</t>
        </is>
      </c>
      <c r="B76" s="9" t="inlineStr">
        <is>
          <t>B331</t>
        </is>
      </c>
      <c r="C76" s="10" t="inlineStr">
        <is>
          <t>上海区域</t>
        </is>
      </c>
      <c r="D76" s="10" t="inlineStr">
        <is>
          <t>CMCF</t>
        </is>
      </c>
      <c r="E76" s="10" t="inlineStr">
        <is>
          <t>EE 上海七宝万科广场</t>
        </is>
      </c>
      <c r="F76" s="9" t="inlineStr">
        <is>
          <t>02</t>
        </is>
      </c>
      <c r="G76" s="10" t="inlineStr">
        <is>
          <t>购物中心</t>
        </is>
      </c>
      <c r="H76" s="11" t="inlineStr">
        <is>
          <t>EEOWG25E01</t>
        </is>
      </c>
      <c r="I76" s="9" t="n">
        <v>999</v>
      </c>
      <c r="J76" s="43" t="n">
        <v>999</v>
      </c>
      <c r="K76" s="46">
        <f>VLOOKUP(H76,'七宝0412-0511'!H:M,6,0)</f>
        <v/>
      </c>
      <c r="L76" s="46">
        <f>VLOOKUP(H76,'七宝0412-0511'!H:O,8,0)</f>
        <v/>
      </c>
    </row>
    <row r="77" ht="18.95" customHeight="1" s="49">
      <c r="A77" s="12" t="inlineStr">
        <is>
          <t>OW</t>
        </is>
      </c>
      <c r="B77" s="12" t="inlineStr">
        <is>
          <t>B331</t>
        </is>
      </c>
      <c r="C77" s="13" t="inlineStr">
        <is>
          <t>上海区域</t>
        </is>
      </c>
      <c r="D77" s="13" t="inlineStr">
        <is>
          <t>CMCF</t>
        </is>
      </c>
      <c r="E77" s="13" t="inlineStr">
        <is>
          <t>EE 上海七宝万科广场</t>
        </is>
      </c>
      <c r="F77" s="12" t="inlineStr">
        <is>
          <t>02</t>
        </is>
      </c>
      <c r="G77" s="13" t="inlineStr">
        <is>
          <t>购物中心</t>
        </is>
      </c>
      <c r="H77" s="14" t="inlineStr">
        <is>
          <t>EEOWG25E02</t>
        </is>
      </c>
      <c r="I77" s="12" t="n">
        <v>999</v>
      </c>
      <c r="J77" s="44" t="n">
        <v>999</v>
      </c>
      <c r="K77" s="46">
        <f>VLOOKUP(H77,'七宝0412-0511'!H:M,6,0)</f>
        <v/>
      </c>
      <c r="L77" s="46">
        <f>VLOOKUP(H77,'七宝0412-0511'!H:O,8,0)</f>
        <v/>
      </c>
    </row>
    <row r="78" ht="18.95" customHeight="1" s="49">
      <c r="A78" s="9" t="inlineStr">
        <is>
          <t>OW</t>
        </is>
      </c>
      <c r="B78" s="9" t="inlineStr">
        <is>
          <t>B331</t>
        </is>
      </c>
      <c r="C78" s="10" t="inlineStr">
        <is>
          <t>上海区域</t>
        </is>
      </c>
      <c r="D78" s="10" t="inlineStr">
        <is>
          <t>CMCF</t>
        </is>
      </c>
      <c r="E78" s="10" t="inlineStr">
        <is>
          <t>EE 上海七宝万科广场</t>
        </is>
      </c>
      <c r="F78" s="9" t="inlineStr">
        <is>
          <t>02</t>
        </is>
      </c>
      <c r="G78" s="10" t="inlineStr">
        <is>
          <t>购物中心</t>
        </is>
      </c>
      <c r="H78" s="11" t="inlineStr">
        <is>
          <t>EEOWG25Q91</t>
        </is>
      </c>
      <c r="I78" s="9" t="n">
        <v>1299</v>
      </c>
      <c r="J78" s="43" t="n">
        <v>1299</v>
      </c>
      <c r="K78" s="46">
        <f>VLOOKUP(H78,'七宝0412-0511'!H:M,6,0)</f>
        <v/>
      </c>
      <c r="L78" s="46">
        <f>VLOOKUP(H78,'七宝0412-0511'!H:O,8,0)</f>
        <v/>
      </c>
    </row>
    <row r="79" ht="18.95" customHeight="1" s="49">
      <c r="A79" s="12" t="inlineStr">
        <is>
          <t>OW</t>
        </is>
      </c>
      <c r="B79" s="12" t="inlineStr">
        <is>
          <t>B331</t>
        </is>
      </c>
      <c r="C79" s="13" t="inlineStr">
        <is>
          <t>上海区域</t>
        </is>
      </c>
      <c r="D79" s="13" t="inlineStr">
        <is>
          <t>CMCF</t>
        </is>
      </c>
      <c r="E79" s="13" t="inlineStr">
        <is>
          <t>EE 上海七宝万科广场</t>
        </is>
      </c>
      <c r="F79" s="12" t="inlineStr">
        <is>
          <t>02</t>
        </is>
      </c>
      <c r="G79" s="13" t="inlineStr">
        <is>
          <t>购物中心</t>
        </is>
      </c>
      <c r="H79" s="14" t="inlineStr">
        <is>
          <t>EEOWG26B01</t>
        </is>
      </c>
      <c r="I79" s="12" t="n">
        <v>1299</v>
      </c>
      <c r="J79" s="44" t="n">
        <v>1299</v>
      </c>
      <c r="K79" s="46">
        <f>VLOOKUP(H79,'七宝0412-0511'!H:M,6,0)</f>
        <v/>
      </c>
      <c r="L79" s="46">
        <f>VLOOKUP(H79,'七宝0412-0511'!H:O,8,0)</f>
        <v/>
      </c>
    </row>
    <row r="80" ht="18.95" customHeight="1" s="49">
      <c r="A80" s="9" t="inlineStr">
        <is>
          <t>OW</t>
        </is>
      </c>
      <c r="B80" s="9" t="inlineStr">
        <is>
          <t>B331</t>
        </is>
      </c>
      <c r="C80" s="10" t="inlineStr">
        <is>
          <t>上海区域</t>
        </is>
      </c>
      <c r="D80" s="10" t="inlineStr">
        <is>
          <t>CMCF</t>
        </is>
      </c>
      <c r="E80" s="10" t="inlineStr">
        <is>
          <t>EE 上海七宝万科广场</t>
        </is>
      </c>
      <c r="F80" s="9" t="inlineStr">
        <is>
          <t>02</t>
        </is>
      </c>
      <c r="G80" s="10" t="inlineStr">
        <is>
          <t>购物中心</t>
        </is>
      </c>
      <c r="H80" s="11" t="inlineStr">
        <is>
          <t>EEOWG26B03</t>
        </is>
      </c>
      <c r="I80" s="9" t="n">
        <v>1299</v>
      </c>
      <c r="J80" s="43" t="n">
        <v>1299</v>
      </c>
      <c r="K80" s="46">
        <f>VLOOKUP(H80,'七宝0412-0511'!H:M,6,0)</f>
        <v/>
      </c>
      <c r="L80" s="46">
        <f>VLOOKUP(H80,'七宝0412-0511'!H:O,8,0)</f>
        <v/>
      </c>
    </row>
    <row r="81" ht="18.95" customHeight="1" s="49">
      <c r="A81" s="12" t="inlineStr">
        <is>
          <t>RA</t>
        </is>
      </c>
      <c r="B81" s="12" t="inlineStr">
        <is>
          <t>B331</t>
        </is>
      </c>
      <c r="C81" s="13" t="inlineStr">
        <is>
          <t>上海区域</t>
        </is>
      </c>
      <c r="D81" s="13" t="inlineStr">
        <is>
          <t>CMCF</t>
        </is>
      </c>
      <c r="E81" s="13" t="inlineStr">
        <is>
          <t>EE 上海七宝万科广场</t>
        </is>
      </c>
      <c r="F81" s="12" t="inlineStr">
        <is>
          <t>02</t>
        </is>
      </c>
      <c r="G81" s="13" t="inlineStr">
        <is>
          <t>购物中心</t>
        </is>
      </c>
      <c r="H81" s="14" t="inlineStr">
        <is>
          <t>EERAG23B04</t>
        </is>
      </c>
      <c r="I81" s="12" t="n">
        <v>599</v>
      </c>
      <c r="J81" s="44" t="n">
        <v>599</v>
      </c>
      <c r="K81" s="46">
        <f>VLOOKUP(H81,'七宝0412-0511'!H:M,6,0)</f>
        <v/>
      </c>
      <c r="L81" s="46">
        <f>VLOOKUP(H81,'七宝0412-0511'!H:O,8,0)</f>
        <v/>
      </c>
    </row>
    <row r="82" ht="18.95" customHeight="1" s="49">
      <c r="A82" s="9" t="inlineStr">
        <is>
          <t>RA</t>
        </is>
      </c>
      <c r="B82" s="9" t="inlineStr">
        <is>
          <t>B331</t>
        </is>
      </c>
      <c r="C82" s="10" t="inlineStr">
        <is>
          <t>上海区域</t>
        </is>
      </c>
      <c r="D82" s="10" t="inlineStr">
        <is>
          <t>CMCF</t>
        </is>
      </c>
      <c r="E82" s="10" t="inlineStr">
        <is>
          <t>EE 上海七宝万科广场</t>
        </is>
      </c>
      <c r="F82" s="9" t="inlineStr">
        <is>
          <t>02</t>
        </is>
      </c>
      <c r="G82" s="10" t="inlineStr">
        <is>
          <t>购物中心</t>
        </is>
      </c>
      <c r="H82" s="11" t="inlineStr">
        <is>
          <t>EERAG23D03</t>
        </is>
      </c>
      <c r="I82" s="9" t="n">
        <v>599</v>
      </c>
      <c r="J82" s="43" t="n">
        <v>599</v>
      </c>
      <c r="K82" s="46">
        <f>VLOOKUP(H82,'七宝0412-0511'!H:M,6,0)</f>
        <v/>
      </c>
      <c r="L82" s="46">
        <f>VLOOKUP(H82,'七宝0412-0511'!H:O,8,0)</f>
        <v/>
      </c>
    </row>
    <row r="83" ht="18.95" customHeight="1" s="49">
      <c r="A83" s="12" t="inlineStr">
        <is>
          <t>RA</t>
        </is>
      </c>
      <c r="B83" s="12" t="inlineStr">
        <is>
          <t>B331</t>
        </is>
      </c>
      <c r="C83" s="13" t="inlineStr">
        <is>
          <t>上海区域</t>
        </is>
      </c>
      <c r="D83" s="13" t="inlineStr">
        <is>
          <t>CMCF</t>
        </is>
      </c>
      <c r="E83" s="13" t="inlineStr">
        <is>
          <t>EE 上海七宝万科广场</t>
        </is>
      </c>
      <c r="F83" s="12" t="inlineStr">
        <is>
          <t>02</t>
        </is>
      </c>
      <c r="G83" s="13" t="inlineStr">
        <is>
          <t>购物中心</t>
        </is>
      </c>
      <c r="H83" s="14" t="inlineStr">
        <is>
          <t>EERAG23E01</t>
        </is>
      </c>
      <c r="I83" s="12" t="n">
        <v>399</v>
      </c>
      <c r="J83" s="44" t="n">
        <v>399</v>
      </c>
      <c r="K83" s="46">
        <f>VLOOKUP(H83,'七宝0412-0511'!H:M,6,0)</f>
        <v/>
      </c>
      <c r="L83" s="46">
        <f>VLOOKUP(H83,'七宝0412-0511'!H:O,8,0)</f>
        <v/>
      </c>
    </row>
    <row r="84" ht="18.95" customHeight="1" s="49">
      <c r="A84" s="9" t="inlineStr">
        <is>
          <t>RA</t>
        </is>
      </c>
      <c r="B84" s="9" t="inlineStr">
        <is>
          <t>B331</t>
        </is>
      </c>
      <c r="C84" s="10" t="inlineStr">
        <is>
          <t>上海区域</t>
        </is>
      </c>
      <c r="D84" s="10" t="inlineStr">
        <is>
          <t>CMCF</t>
        </is>
      </c>
      <c r="E84" s="10" t="inlineStr">
        <is>
          <t>EE 上海七宝万科广场</t>
        </is>
      </c>
      <c r="F84" s="9" t="inlineStr">
        <is>
          <t>02</t>
        </is>
      </c>
      <c r="G84" s="10" t="inlineStr">
        <is>
          <t>购物中心</t>
        </is>
      </c>
      <c r="H84" s="11" t="inlineStr">
        <is>
          <t>EERAG23E02</t>
        </is>
      </c>
      <c r="I84" s="9" t="n">
        <v>399</v>
      </c>
      <c r="J84" s="43" t="n">
        <v>399</v>
      </c>
      <c r="K84" s="46">
        <f>VLOOKUP(H84,'七宝0412-0511'!H:M,6,0)</f>
        <v/>
      </c>
      <c r="L84" s="46">
        <f>VLOOKUP(H84,'七宝0412-0511'!H:O,8,0)</f>
        <v/>
      </c>
    </row>
    <row r="85" ht="18.95" customHeight="1" s="49">
      <c r="A85" s="12" t="inlineStr">
        <is>
          <t>RA</t>
        </is>
      </c>
      <c r="B85" s="12" t="inlineStr">
        <is>
          <t>B331</t>
        </is>
      </c>
      <c r="C85" s="13" t="inlineStr">
        <is>
          <t>上海区域</t>
        </is>
      </c>
      <c r="D85" s="13" t="inlineStr">
        <is>
          <t>CMCF</t>
        </is>
      </c>
      <c r="E85" s="13" t="inlineStr">
        <is>
          <t>EE 上海七宝万科广场</t>
        </is>
      </c>
      <c r="F85" s="12" t="inlineStr">
        <is>
          <t>02</t>
        </is>
      </c>
      <c r="G85" s="13" t="inlineStr">
        <is>
          <t>购物中心</t>
        </is>
      </c>
      <c r="H85" s="14" t="inlineStr">
        <is>
          <t>EERAG24B05</t>
        </is>
      </c>
      <c r="I85" s="12" t="n">
        <v>499</v>
      </c>
      <c r="J85" s="44" t="n">
        <v>499</v>
      </c>
      <c r="K85" s="46">
        <f>VLOOKUP(H85,'七宝0412-0511'!H:M,6,0)</f>
        <v/>
      </c>
      <c r="L85" s="46">
        <f>VLOOKUP(H85,'七宝0412-0511'!H:O,8,0)</f>
        <v/>
      </c>
    </row>
    <row r="86" ht="18.95" customHeight="1" s="49">
      <c r="A86" s="9" t="inlineStr">
        <is>
          <t>RA</t>
        </is>
      </c>
      <c r="B86" s="9" t="inlineStr">
        <is>
          <t>B331</t>
        </is>
      </c>
      <c r="C86" s="10" t="inlineStr">
        <is>
          <t>上海区域</t>
        </is>
      </c>
      <c r="D86" s="10" t="inlineStr">
        <is>
          <t>CMCF</t>
        </is>
      </c>
      <c r="E86" s="10" t="inlineStr">
        <is>
          <t>EE 上海七宝万科广场</t>
        </is>
      </c>
      <c r="F86" s="9" t="inlineStr">
        <is>
          <t>02</t>
        </is>
      </c>
      <c r="G86" s="10" t="inlineStr">
        <is>
          <t>购物中心</t>
        </is>
      </c>
      <c r="H86" s="11" t="inlineStr">
        <is>
          <t>EERAG24B06</t>
        </is>
      </c>
      <c r="I86" s="9" t="n">
        <v>499</v>
      </c>
      <c r="J86" s="43" t="n">
        <v>499</v>
      </c>
      <c r="K86" s="46">
        <f>VLOOKUP(H86,'七宝0412-0511'!H:M,6,0)</f>
        <v/>
      </c>
      <c r="L86" s="46">
        <f>VLOOKUP(H86,'七宝0412-0511'!H:O,8,0)</f>
        <v/>
      </c>
    </row>
    <row r="87" ht="18.95" customHeight="1" s="49">
      <c r="A87" s="12" t="inlineStr">
        <is>
          <t>RA</t>
        </is>
      </c>
      <c r="B87" s="12" t="inlineStr">
        <is>
          <t>B331</t>
        </is>
      </c>
      <c r="C87" s="13" t="inlineStr">
        <is>
          <t>上海区域</t>
        </is>
      </c>
      <c r="D87" s="13" t="inlineStr">
        <is>
          <t>CMCF</t>
        </is>
      </c>
      <c r="E87" s="13" t="inlineStr">
        <is>
          <t>EE 上海七宝万科广场</t>
        </is>
      </c>
      <c r="F87" s="12" t="inlineStr">
        <is>
          <t>02</t>
        </is>
      </c>
      <c r="G87" s="13" t="inlineStr">
        <is>
          <t>购物中心</t>
        </is>
      </c>
      <c r="H87" s="14" t="inlineStr">
        <is>
          <t>EERAG24E01</t>
        </is>
      </c>
      <c r="I87" s="12" t="n">
        <v>399</v>
      </c>
      <c r="J87" s="44" t="n">
        <v>399</v>
      </c>
      <c r="K87" s="46">
        <f>VLOOKUP(H87,'七宝0412-0511'!H:M,6,0)</f>
        <v/>
      </c>
      <c r="L87" s="46">
        <f>VLOOKUP(H87,'七宝0412-0511'!H:O,8,0)</f>
        <v/>
      </c>
    </row>
    <row r="88" ht="18.95" customHeight="1" s="49">
      <c r="A88" s="9" t="inlineStr">
        <is>
          <t>RA</t>
        </is>
      </c>
      <c r="B88" s="9" t="inlineStr">
        <is>
          <t>B331</t>
        </is>
      </c>
      <c r="C88" s="10" t="inlineStr">
        <is>
          <t>上海区域</t>
        </is>
      </c>
      <c r="D88" s="10" t="inlineStr">
        <is>
          <t>CMCF</t>
        </is>
      </c>
      <c r="E88" s="10" t="inlineStr">
        <is>
          <t>EE 上海七宝万科广场</t>
        </is>
      </c>
      <c r="F88" s="9" t="inlineStr">
        <is>
          <t>02</t>
        </is>
      </c>
      <c r="G88" s="10" t="inlineStr">
        <is>
          <t>购物中心</t>
        </is>
      </c>
      <c r="H88" s="11" t="inlineStr">
        <is>
          <t>EERAG24E02</t>
        </is>
      </c>
      <c r="I88" s="9" t="n">
        <v>499</v>
      </c>
      <c r="J88" s="43" t="n">
        <v>499</v>
      </c>
      <c r="K88" s="46">
        <f>VLOOKUP(H88,'七宝0412-0511'!H:M,6,0)</f>
        <v/>
      </c>
      <c r="L88" s="46">
        <f>VLOOKUP(H88,'七宝0412-0511'!H:O,8,0)</f>
        <v/>
      </c>
    </row>
    <row r="89" ht="18.95" customHeight="1" s="49">
      <c r="A89" s="12" t="inlineStr">
        <is>
          <t>RA</t>
        </is>
      </c>
      <c r="B89" s="12" t="inlineStr">
        <is>
          <t>B331</t>
        </is>
      </c>
      <c r="C89" s="13" t="inlineStr">
        <is>
          <t>上海区域</t>
        </is>
      </c>
      <c r="D89" s="13" t="inlineStr">
        <is>
          <t>CMCF</t>
        </is>
      </c>
      <c r="E89" s="13" t="inlineStr">
        <is>
          <t>EE 上海七宝万科广场</t>
        </is>
      </c>
      <c r="F89" s="12" t="inlineStr">
        <is>
          <t>02</t>
        </is>
      </c>
      <c r="G89" s="13" t="inlineStr">
        <is>
          <t>购物中心</t>
        </is>
      </c>
      <c r="H89" s="14" t="inlineStr">
        <is>
          <t>EERAG24E03</t>
        </is>
      </c>
      <c r="I89" s="12" t="n">
        <v>599</v>
      </c>
      <c r="J89" s="44" t="n">
        <v>599</v>
      </c>
      <c r="K89" s="46">
        <f>VLOOKUP(H89,'七宝0412-0511'!H:M,6,0)</f>
        <v/>
      </c>
      <c r="L89" s="46">
        <f>VLOOKUP(H89,'七宝0412-0511'!H:O,8,0)</f>
        <v/>
      </c>
    </row>
    <row r="90" ht="18.95" customHeight="1" s="49">
      <c r="A90" s="9" t="inlineStr">
        <is>
          <t>RA</t>
        </is>
      </c>
      <c r="B90" s="9" t="inlineStr">
        <is>
          <t>B331</t>
        </is>
      </c>
      <c r="C90" s="10" t="inlineStr">
        <is>
          <t>上海区域</t>
        </is>
      </c>
      <c r="D90" s="10" t="inlineStr">
        <is>
          <t>CMCF</t>
        </is>
      </c>
      <c r="E90" s="10" t="inlineStr">
        <is>
          <t>EE 上海七宝万科广场</t>
        </is>
      </c>
      <c r="F90" s="9" t="inlineStr">
        <is>
          <t>02</t>
        </is>
      </c>
      <c r="G90" s="10" t="inlineStr">
        <is>
          <t>购物中心</t>
        </is>
      </c>
      <c r="H90" s="11" t="inlineStr">
        <is>
          <t>EERAG24E04</t>
        </is>
      </c>
      <c r="I90" s="9" t="n">
        <v>499</v>
      </c>
      <c r="J90" s="43" t="n">
        <v>499</v>
      </c>
      <c r="K90" s="46">
        <f>VLOOKUP(H90,'七宝0412-0511'!H:M,6,0)</f>
        <v/>
      </c>
      <c r="L90" s="46">
        <f>VLOOKUP(H90,'七宝0412-0511'!H:O,8,0)</f>
        <v/>
      </c>
    </row>
    <row r="91" ht="18.95" customHeight="1" s="49">
      <c r="A91" s="12" t="inlineStr">
        <is>
          <t>RA</t>
        </is>
      </c>
      <c r="B91" s="12" t="inlineStr">
        <is>
          <t>B331</t>
        </is>
      </c>
      <c r="C91" s="13" t="inlineStr">
        <is>
          <t>上海区域</t>
        </is>
      </c>
      <c r="D91" s="13" t="inlineStr">
        <is>
          <t>CMCF</t>
        </is>
      </c>
      <c r="E91" s="13" t="inlineStr">
        <is>
          <t>EE 上海七宝万科广场</t>
        </is>
      </c>
      <c r="F91" s="12" t="inlineStr">
        <is>
          <t>02</t>
        </is>
      </c>
      <c r="G91" s="13" t="inlineStr">
        <is>
          <t>购物中心</t>
        </is>
      </c>
      <c r="H91" s="14" t="inlineStr">
        <is>
          <t>EERAG25B1G</t>
        </is>
      </c>
      <c r="I91" s="12" t="n">
        <v>499</v>
      </c>
      <c r="J91" s="44" t="n">
        <v>499</v>
      </c>
      <c r="K91" s="46">
        <f>VLOOKUP(H91,'七宝0412-0511'!H:M,6,0)</f>
        <v/>
      </c>
      <c r="L91" s="46">
        <f>VLOOKUP(H91,'七宝0412-0511'!H:O,8,0)</f>
        <v/>
      </c>
    </row>
    <row r="92" ht="18.95" customHeight="1" s="49">
      <c r="A92" s="9" t="inlineStr">
        <is>
          <t>RA</t>
        </is>
      </c>
      <c r="B92" s="9" t="inlineStr">
        <is>
          <t>B331</t>
        </is>
      </c>
      <c r="C92" s="10" t="inlineStr">
        <is>
          <t>上海区域</t>
        </is>
      </c>
      <c r="D92" s="10" t="inlineStr">
        <is>
          <t>CMCF</t>
        </is>
      </c>
      <c r="E92" s="10" t="inlineStr">
        <is>
          <t>EE 上海七宝万科广场</t>
        </is>
      </c>
      <c r="F92" s="9" t="inlineStr">
        <is>
          <t>02</t>
        </is>
      </c>
      <c r="G92" s="10" t="inlineStr">
        <is>
          <t>购物中心</t>
        </is>
      </c>
      <c r="H92" s="11" t="inlineStr">
        <is>
          <t>EERAG25E01</t>
        </is>
      </c>
      <c r="I92" s="9" t="n">
        <v>499</v>
      </c>
      <c r="J92" s="43" t="n">
        <v>499</v>
      </c>
      <c r="K92" s="46">
        <f>VLOOKUP(H92,'七宝0412-0511'!H:M,6,0)</f>
        <v/>
      </c>
      <c r="L92" s="46">
        <f>VLOOKUP(H92,'七宝0412-0511'!H:O,8,0)</f>
        <v/>
      </c>
    </row>
    <row r="93" ht="18.95" customHeight="1" s="49">
      <c r="A93" s="12" t="inlineStr">
        <is>
          <t>RA</t>
        </is>
      </c>
      <c r="B93" s="12" t="inlineStr">
        <is>
          <t>B331</t>
        </is>
      </c>
      <c r="C93" s="13" t="inlineStr">
        <is>
          <t>上海区域</t>
        </is>
      </c>
      <c r="D93" s="13" t="inlineStr">
        <is>
          <t>CMCF</t>
        </is>
      </c>
      <c r="E93" s="13" t="inlineStr">
        <is>
          <t>EE 上海七宝万科广场</t>
        </is>
      </c>
      <c r="F93" s="12" t="inlineStr">
        <is>
          <t>02</t>
        </is>
      </c>
      <c r="G93" s="13" t="inlineStr">
        <is>
          <t>购物中心</t>
        </is>
      </c>
      <c r="H93" s="14" t="inlineStr">
        <is>
          <t>EERAG25E02</t>
        </is>
      </c>
      <c r="I93" s="12" t="n">
        <v>399</v>
      </c>
      <c r="J93" s="44" t="n">
        <v>399</v>
      </c>
      <c r="K93" s="46">
        <f>VLOOKUP(H93,'七宝0412-0511'!H:M,6,0)</f>
        <v/>
      </c>
      <c r="L93" s="46">
        <f>VLOOKUP(H93,'七宝0412-0511'!H:O,8,0)</f>
        <v/>
      </c>
    </row>
    <row r="94" ht="18.95" customHeight="1" s="49">
      <c r="A94" s="9" t="inlineStr">
        <is>
          <t>RA</t>
        </is>
      </c>
      <c r="B94" s="9" t="inlineStr">
        <is>
          <t>B331</t>
        </is>
      </c>
      <c r="C94" s="10" t="inlineStr">
        <is>
          <t>上海区域</t>
        </is>
      </c>
      <c r="D94" s="10" t="inlineStr">
        <is>
          <t>CMCF</t>
        </is>
      </c>
      <c r="E94" s="10" t="inlineStr">
        <is>
          <t>EE 上海七宝万科广场</t>
        </is>
      </c>
      <c r="F94" s="9" t="inlineStr">
        <is>
          <t>02</t>
        </is>
      </c>
      <c r="G94" s="10" t="inlineStr">
        <is>
          <t>购物中心</t>
        </is>
      </c>
      <c r="H94" s="11" t="inlineStr">
        <is>
          <t>EERAG25E03</t>
        </is>
      </c>
      <c r="I94" s="9" t="n">
        <v>499</v>
      </c>
      <c r="J94" s="43" t="n">
        <v>499</v>
      </c>
      <c r="K94" s="46">
        <f>VLOOKUP(H94,'七宝0412-0511'!H:M,6,0)</f>
        <v/>
      </c>
      <c r="L94" s="46">
        <f>VLOOKUP(H94,'七宝0412-0511'!H:O,8,0)</f>
        <v/>
      </c>
    </row>
    <row r="95" ht="18.95" customHeight="1" s="49">
      <c r="A95" s="12" t="inlineStr">
        <is>
          <t>RA</t>
        </is>
      </c>
      <c r="B95" s="12" t="inlineStr">
        <is>
          <t>B331</t>
        </is>
      </c>
      <c r="C95" s="13" t="inlineStr">
        <is>
          <t>上海区域</t>
        </is>
      </c>
      <c r="D95" s="13" t="inlineStr">
        <is>
          <t>CMCF</t>
        </is>
      </c>
      <c r="E95" s="13" t="inlineStr">
        <is>
          <t>EE 上海七宝万科广场</t>
        </is>
      </c>
      <c r="F95" s="12" t="inlineStr">
        <is>
          <t>02</t>
        </is>
      </c>
      <c r="G95" s="13" t="inlineStr">
        <is>
          <t>购物中心</t>
        </is>
      </c>
      <c r="H95" s="14" t="inlineStr">
        <is>
          <t>EERAG25E1G</t>
        </is>
      </c>
      <c r="I95" s="12" t="n">
        <v>399</v>
      </c>
      <c r="J95" s="44" t="n">
        <v>399</v>
      </c>
      <c r="K95" s="46">
        <f>VLOOKUP(H95,'七宝0412-0511'!H:M,6,0)</f>
        <v/>
      </c>
      <c r="L95" s="46">
        <f>VLOOKUP(H95,'七宝0412-0511'!H:O,8,0)</f>
        <v/>
      </c>
    </row>
    <row r="96" ht="18.95" customHeight="1" s="49">
      <c r="A96" s="9" t="inlineStr">
        <is>
          <t>RA</t>
        </is>
      </c>
      <c r="B96" s="9" t="inlineStr">
        <is>
          <t>B331</t>
        </is>
      </c>
      <c r="C96" s="10" t="inlineStr">
        <is>
          <t>上海区域</t>
        </is>
      </c>
      <c r="D96" s="10" t="inlineStr">
        <is>
          <t>CMCF</t>
        </is>
      </c>
      <c r="E96" s="10" t="inlineStr">
        <is>
          <t>EE 上海七宝万科广场</t>
        </is>
      </c>
      <c r="F96" s="9" t="inlineStr">
        <is>
          <t>02</t>
        </is>
      </c>
      <c r="G96" s="10" t="inlineStr">
        <is>
          <t>购物中心</t>
        </is>
      </c>
      <c r="H96" s="11" t="inlineStr">
        <is>
          <t>EERAG26B02</t>
        </is>
      </c>
      <c r="I96" s="9" t="n">
        <v>399</v>
      </c>
      <c r="J96" s="43" t="n">
        <v>399</v>
      </c>
      <c r="K96" s="46">
        <f>VLOOKUP(H96,'七宝0412-0511'!H:M,6,0)</f>
        <v/>
      </c>
      <c r="L96" s="46">
        <f>VLOOKUP(H96,'七宝0412-0511'!H:O,8,0)</f>
        <v/>
      </c>
    </row>
    <row r="97" ht="18.95" customHeight="1" s="49">
      <c r="A97" s="12" t="inlineStr">
        <is>
          <t>RA</t>
        </is>
      </c>
      <c r="B97" s="12" t="inlineStr">
        <is>
          <t>B331</t>
        </is>
      </c>
      <c r="C97" s="13" t="inlineStr">
        <is>
          <t>上海区域</t>
        </is>
      </c>
      <c r="D97" s="13" t="inlineStr">
        <is>
          <t>CMCF</t>
        </is>
      </c>
      <c r="E97" s="13" t="inlineStr">
        <is>
          <t>EE 上海七宝万科广场</t>
        </is>
      </c>
      <c r="F97" s="12" t="inlineStr">
        <is>
          <t>02</t>
        </is>
      </c>
      <c r="G97" s="13" t="inlineStr">
        <is>
          <t>购物中心</t>
        </is>
      </c>
      <c r="H97" s="14" t="inlineStr">
        <is>
          <t>EERAG26B03</t>
        </is>
      </c>
      <c r="I97" s="12" t="n">
        <v>499</v>
      </c>
      <c r="J97" s="44" t="n">
        <v>499</v>
      </c>
      <c r="K97" s="46">
        <f>VLOOKUP(H97,'七宝0412-0511'!H:M,6,0)</f>
        <v/>
      </c>
      <c r="L97" s="46">
        <f>VLOOKUP(H97,'七宝0412-0511'!H:O,8,0)</f>
        <v/>
      </c>
    </row>
    <row r="98" ht="18.95" customHeight="1" s="49">
      <c r="A98" s="9" t="inlineStr">
        <is>
          <t>RN</t>
        </is>
      </c>
      <c r="B98" s="9" t="inlineStr">
        <is>
          <t>B331</t>
        </is>
      </c>
      <c r="C98" s="10" t="inlineStr">
        <is>
          <t>上海区域</t>
        </is>
      </c>
      <c r="D98" s="10" t="inlineStr">
        <is>
          <t>CMCF</t>
        </is>
      </c>
      <c r="E98" s="10" t="inlineStr">
        <is>
          <t>EE 上海七宝万科广场</t>
        </is>
      </c>
      <c r="F98" s="9" t="inlineStr">
        <is>
          <t>02</t>
        </is>
      </c>
      <c r="G98" s="10" t="inlineStr">
        <is>
          <t>购物中心</t>
        </is>
      </c>
      <c r="H98" s="11" t="inlineStr">
        <is>
          <t>EERNG23E01</t>
        </is>
      </c>
      <c r="I98" s="9" t="n">
        <v>299</v>
      </c>
      <c r="J98" s="43" t="n">
        <v>299</v>
      </c>
      <c r="K98" s="46">
        <f>VLOOKUP(H98,'七宝0412-0511'!H:M,6,0)</f>
        <v/>
      </c>
      <c r="L98" s="46">
        <f>VLOOKUP(H98,'七宝0412-0511'!H:O,8,0)</f>
        <v/>
      </c>
    </row>
    <row r="99" ht="18.95" customHeight="1" s="49">
      <c r="A99" s="12" t="inlineStr">
        <is>
          <t>RN</t>
        </is>
      </c>
      <c r="B99" s="12" t="inlineStr">
        <is>
          <t>B331</t>
        </is>
      </c>
      <c r="C99" s="13" t="inlineStr">
        <is>
          <t>上海区域</t>
        </is>
      </c>
      <c r="D99" s="13" t="inlineStr">
        <is>
          <t>CMCF</t>
        </is>
      </c>
      <c r="E99" s="13" t="inlineStr">
        <is>
          <t>EE 上海七宝万科广场</t>
        </is>
      </c>
      <c r="F99" s="12" t="inlineStr">
        <is>
          <t>02</t>
        </is>
      </c>
      <c r="G99" s="13" t="inlineStr">
        <is>
          <t>购物中心</t>
        </is>
      </c>
      <c r="H99" s="14" t="inlineStr">
        <is>
          <t>EERNG24B01</t>
        </is>
      </c>
      <c r="I99" s="12" t="n">
        <v>499</v>
      </c>
      <c r="J99" s="44" t="n">
        <v>499</v>
      </c>
      <c r="K99" s="46">
        <f>VLOOKUP(H99,'七宝0412-0511'!H:M,6,0)</f>
        <v/>
      </c>
      <c r="L99" s="46">
        <f>VLOOKUP(H99,'七宝0412-0511'!H:O,8,0)</f>
        <v/>
      </c>
    </row>
    <row r="100" ht="18.95" customHeight="1" s="49">
      <c r="A100" s="9" t="inlineStr">
        <is>
          <t>RN</t>
        </is>
      </c>
      <c r="B100" s="9" t="inlineStr">
        <is>
          <t>B331</t>
        </is>
      </c>
      <c r="C100" s="10" t="inlineStr">
        <is>
          <t>上海区域</t>
        </is>
      </c>
      <c r="D100" s="10" t="inlineStr">
        <is>
          <t>CMCF</t>
        </is>
      </c>
      <c r="E100" s="10" t="inlineStr">
        <is>
          <t>EE 上海七宝万科广场</t>
        </is>
      </c>
      <c r="F100" s="9" t="inlineStr">
        <is>
          <t>02</t>
        </is>
      </c>
      <c r="G100" s="10" t="inlineStr">
        <is>
          <t>购物中心</t>
        </is>
      </c>
      <c r="H100" s="11" t="inlineStr">
        <is>
          <t>EERNG24E51</t>
        </is>
      </c>
      <c r="I100" s="9" t="n">
        <v>199</v>
      </c>
      <c r="J100" s="43" t="n">
        <v>199</v>
      </c>
      <c r="K100" s="46">
        <f>VLOOKUP(H100,'七宝0412-0511'!H:M,6,0)</f>
        <v/>
      </c>
      <c r="L100" s="46">
        <f>VLOOKUP(H100,'七宝0412-0511'!H:O,8,0)</f>
        <v/>
      </c>
    </row>
    <row r="101" ht="18.95" customHeight="1" s="49">
      <c r="A101" s="12" t="inlineStr">
        <is>
          <t>RN</t>
        </is>
      </c>
      <c r="B101" s="12" t="inlineStr">
        <is>
          <t>B331</t>
        </is>
      </c>
      <c r="C101" s="13" t="inlineStr">
        <is>
          <t>上海区域</t>
        </is>
      </c>
      <c r="D101" s="13" t="inlineStr">
        <is>
          <t>CMCF</t>
        </is>
      </c>
      <c r="E101" s="13" t="inlineStr">
        <is>
          <t>EE 上海七宝万科广场</t>
        </is>
      </c>
      <c r="F101" s="12" t="inlineStr">
        <is>
          <t>02</t>
        </is>
      </c>
      <c r="G101" s="13" t="inlineStr">
        <is>
          <t>购物中心</t>
        </is>
      </c>
      <c r="H101" s="14" t="inlineStr">
        <is>
          <t>EERNG25B01</t>
        </is>
      </c>
      <c r="I101" s="12" t="n">
        <v>399</v>
      </c>
      <c r="J101" s="44" t="n">
        <v>399</v>
      </c>
      <c r="K101" s="46">
        <f>VLOOKUP(H101,'七宝0412-0511'!H:M,6,0)</f>
        <v/>
      </c>
      <c r="L101" s="46">
        <f>VLOOKUP(H101,'七宝0412-0511'!H:O,8,0)</f>
        <v/>
      </c>
    </row>
    <row r="102" ht="18.95" customHeight="1" s="49">
      <c r="A102" s="9" t="inlineStr">
        <is>
          <t>RS</t>
        </is>
      </c>
      <c r="B102" s="9" t="inlineStr">
        <is>
          <t>B331</t>
        </is>
      </c>
      <c r="C102" s="10" t="inlineStr">
        <is>
          <t>上海区域</t>
        </is>
      </c>
      <c r="D102" s="10" t="inlineStr">
        <is>
          <t>CMCF</t>
        </is>
      </c>
      <c r="E102" s="10" t="inlineStr">
        <is>
          <t>EE 上海七宝万科广场</t>
        </is>
      </c>
      <c r="F102" s="9" t="inlineStr">
        <is>
          <t>02</t>
        </is>
      </c>
      <c r="G102" s="10" t="inlineStr">
        <is>
          <t>购物中心</t>
        </is>
      </c>
      <c r="H102" s="11" t="inlineStr">
        <is>
          <t>EERSG23E01</t>
        </is>
      </c>
      <c r="I102" s="9" t="n">
        <v>399</v>
      </c>
      <c r="J102" s="43" t="n">
        <v>399</v>
      </c>
      <c r="K102" s="46">
        <f>VLOOKUP(H102,'七宝0412-0511'!H:M,6,0)</f>
        <v/>
      </c>
      <c r="L102" s="46">
        <f>VLOOKUP(H102,'七宝0412-0511'!H:O,8,0)</f>
        <v/>
      </c>
    </row>
    <row r="103" ht="18.95" customHeight="1" s="49">
      <c r="A103" s="12" t="inlineStr">
        <is>
          <t>RS</t>
        </is>
      </c>
      <c r="B103" s="12" t="inlineStr">
        <is>
          <t>B331</t>
        </is>
      </c>
      <c r="C103" s="13" t="inlineStr">
        <is>
          <t>上海区域</t>
        </is>
      </c>
      <c r="D103" s="13" t="inlineStr">
        <is>
          <t>CMCF</t>
        </is>
      </c>
      <c r="E103" s="13" t="inlineStr">
        <is>
          <t>EE 上海七宝万科广场</t>
        </is>
      </c>
      <c r="F103" s="12" t="inlineStr">
        <is>
          <t>02</t>
        </is>
      </c>
      <c r="G103" s="13" t="inlineStr">
        <is>
          <t>购物中心</t>
        </is>
      </c>
      <c r="H103" s="14" t="inlineStr">
        <is>
          <t>EERSG24B01</t>
        </is>
      </c>
      <c r="I103" s="12" t="n">
        <v>399</v>
      </c>
      <c r="J103" s="44" t="n">
        <v>399</v>
      </c>
      <c r="K103" s="46">
        <f>VLOOKUP(H103,'七宝0412-0511'!H:M,6,0)</f>
        <v/>
      </c>
      <c r="L103" s="46">
        <f>VLOOKUP(H103,'七宝0412-0511'!H:O,8,0)</f>
        <v/>
      </c>
    </row>
    <row r="104" ht="18.95" customHeight="1" s="49">
      <c r="A104" s="9" t="inlineStr">
        <is>
          <t>RS</t>
        </is>
      </c>
      <c r="B104" s="9" t="inlineStr">
        <is>
          <t>B331</t>
        </is>
      </c>
      <c r="C104" s="10" t="inlineStr">
        <is>
          <t>上海区域</t>
        </is>
      </c>
      <c r="D104" s="10" t="inlineStr">
        <is>
          <t>CMCF</t>
        </is>
      </c>
      <c r="E104" s="10" t="inlineStr">
        <is>
          <t>EE 上海七宝万科广场</t>
        </is>
      </c>
      <c r="F104" s="9" t="inlineStr">
        <is>
          <t>02</t>
        </is>
      </c>
      <c r="G104" s="10" t="inlineStr">
        <is>
          <t>购物中心</t>
        </is>
      </c>
      <c r="H104" s="11" t="inlineStr">
        <is>
          <t>EERSG25B01</t>
        </is>
      </c>
      <c r="I104" s="9" t="n">
        <v>499</v>
      </c>
      <c r="J104" s="43" t="n">
        <v>499</v>
      </c>
      <c r="K104" s="46">
        <f>VLOOKUP(H104,'七宝0412-0511'!H:M,6,0)</f>
        <v/>
      </c>
      <c r="L104" s="46">
        <f>VLOOKUP(H104,'七宝0412-0511'!H:O,8,0)</f>
        <v/>
      </c>
    </row>
    <row r="105" ht="18.95" customHeight="1" s="49">
      <c r="A105" s="12" t="inlineStr">
        <is>
          <t>TA</t>
        </is>
      </c>
      <c r="B105" s="12" t="inlineStr">
        <is>
          <t>B331</t>
        </is>
      </c>
      <c r="C105" s="13" t="inlineStr">
        <is>
          <t>上海区域</t>
        </is>
      </c>
      <c r="D105" s="13" t="inlineStr">
        <is>
          <t>CMCF</t>
        </is>
      </c>
      <c r="E105" s="13" t="inlineStr">
        <is>
          <t>EE 上海七宝万科广场</t>
        </is>
      </c>
      <c r="F105" s="12" t="inlineStr">
        <is>
          <t>02</t>
        </is>
      </c>
      <c r="G105" s="13" t="inlineStr">
        <is>
          <t>购物中心</t>
        </is>
      </c>
      <c r="H105" s="14" t="inlineStr">
        <is>
          <t>EETAG24B03</t>
        </is>
      </c>
      <c r="I105" s="12" t="n">
        <v>899</v>
      </c>
      <c r="J105" s="44" t="n">
        <v>899</v>
      </c>
      <c r="K105" s="46">
        <f>VLOOKUP(H105,'七宝0412-0511'!H:M,6,0)</f>
        <v/>
      </c>
      <c r="L105" s="46">
        <f>VLOOKUP(H105,'七宝0412-0511'!H:O,8,0)</f>
        <v/>
      </c>
    </row>
    <row r="106" ht="18.95" customHeight="1" s="49">
      <c r="A106" s="9" t="inlineStr">
        <is>
          <t>TA</t>
        </is>
      </c>
      <c r="B106" s="9" t="inlineStr">
        <is>
          <t>B331</t>
        </is>
      </c>
      <c r="C106" s="10" t="inlineStr">
        <is>
          <t>上海区域</t>
        </is>
      </c>
      <c r="D106" s="10" t="inlineStr">
        <is>
          <t>CMCF</t>
        </is>
      </c>
      <c r="E106" s="10" t="inlineStr">
        <is>
          <t>EE 上海七宝万科广场</t>
        </is>
      </c>
      <c r="F106" s="9" t="inlineStr">
        <is>
          <t>02</t>
        </is>
      </c>
      <c r="G106" s="10" t="inlineStr">
        <is>
          <t>购物中心</t>
        </is>
      </c>
      <c r="H106" s="11" t="inlineStr">
        <is>
          <t>EETAG24E02</t>
        </is>
      </c>
      <c r="I106" s="9" t="n">
        <v>899</v>
      </c>
      <c r="J106" s="43" t="n">
        <v>899</v>
      </c>
      <c r="K106" s="46">
        <f>VLOOKUP(H106,'七宝0412-0511'!H:M,6,0)</f>
        <v/>
      </c>
      <c r="L106" s="46">
        <f>VLOOKUP(H106,'七宝0412-0511'!H:O,8,0)</f>
        <v/>
      </c>
    </row>
    <row r="107" ht="18.95" customHeight="1" s="49">
      <c r="A107" s="12" t="inlineStr">
        <is>
          <t>TA</t>
        </is>
      </c>
      <c r="B107" s="12" t="inlineStr">
        <is>
          <t>B331</t>
        </is>
      </c>
      <c r="C107" s="13" t="inlineStr">
        <is>
          <t>上海区域</t>
        </is>
      </c>
      <c r="D107" s="13" t="inlineStr">
        <is>
          <t>CMCF</t>
        </is>
      </c>
      <c r="E107" s="13" t="inlineStr">
        <is>
          <t>EE 上海七宝万科广场</t>
        </is>
      </c>
      <c r="F107" s="12" t="inlineStr">
        <is>
          <t>02</t>
        </is>
      </c>
      <c r="G107" s="13" t="inlineStr">
        <is>
          <t>购物中心</t>
        </is>
      </c>
      <c r="H107" s="14" t="inlineStr">
        <is>
          <t>EETAG24E04</t>
        </is>
      </c>
      <c r="I107" s="12" t="n">
        <v>799</v>
      </c>
      <c r="J107" s="44" t="n">
        <v>799</v>
      </c>
      <c r="K107" s="46">
        <f>VLOOKUP(H107,'七宝0412-0511'!H:M,6,0)</f>
        <v/>
      </c>
      <c r="L107" s="46">
        <f>VLOOKUP(H107,'七宝0412-0511'!H:O,8,0)</f>
        <v/>
      </c>
    </row>
    <row r="108" ht="18.95" customHeight="1" s="49">
      <c r="A108" s="9" t="inlineStr">
        <is>
          <t>TC</t>
        </is>
      </c>
      <c r="B108" s="9" t="inlineStr">
        <is>
          <t>B331</t>
        </is>
      </c>
      <c r="C108" s="10" t="inlineStr">
        <is>
          <t>上海区域</t>
        </is>
      </c>
      <c r="D108" s="10" t="inlineStr">
        <is>
          <t>CMCF</t>
        </is>
      </c>
      <c r="E108" s="10" t="inlineStr">
        <is>
          <t>EE 上海七宝万科广场</t>
        </is>
      </c>
      <c r="F108" s="9" t="inlineStr">
        <is>
          <t>02</t>
        </is>
      </c>
      <c r="G108" s="10" t="inlineStr">
        <is>
          <t>购物中心</t>
        </is>
      </c>
      <c r="H108" s="11" t="inlineStr">
        <is>
          <t>EETCG23E01</t>
        </is>
      </c>
      <c r="I108" s="9" t="n">
        <v>799</v>
      </c>
      <c r="J108" s="43" t="n">
        <v>799</v>
      </c>
      <c r="K108" s="46">
        <f>VLOOKUP(H108,'七宝0412-0511'!H:M,6,0)</f>
        <v/>
      </c>
      <c r="L108" s="46">
        <f>VLOOKUP(H108,'七宝0412-0511'!H:O,8,0)</f>
        <v/>
      </c>
    </row>
    <row r="109" ht="18.95" customHeight="1" s="49">
      <c r="A109" s="12" t="inlineStr">
        <is>
          <t>TC</t>
        </is>
      </c>
      <c r="B109" s="12" t="inlineStr">
        <is>
          <t>B331</t>
        </is>
      </c>
      <c r="C109" s="13" t="inlineStr">
        <is>
          <t>上海区域</t>
        </is>
      </c>
      <c r="D109" s="13" t="inlineStr">
        <is>
          <t>CMCF</t>
        </is>
      </c>
      <c r="E109" s="13" t="inlineStr">
        <is>
          <t>EE 上海七宝万科广场</t>
        </is>
      </c>
      <c r="F109" s="12" t="inlineStr">
        <is>
          <t>02</t>
        </is>
      </c>
      <c r="G109" s="13" t="inlineStr">
        <is>
          <t>购物中心</t>
        </is>
      </c>
      <c r="H109" s="14" t="inlineStr">
        <is>
          <t>EETCG23E02</t>
        </is>
      </c>
      <c r="I109" s="12" t="n">
        <v>999</v>
      </c>
      <c r="J109" s="44" t="n">
        <v>999</v>
      </c>
      <c r="K109" s="46">
        <f>VLOOKUP(H109,'七宝0412-0511'!H:M,6,0)</f>
        <v/>
      </c>
      <c r="L109" s="46">
        <f>VLOOKUP(H109,'七宝0412-0511'!H:O,8,0)</f>
        <v/>
      </c>
    </row>
    <row r="110" ht="18.95" customHeight="1" s="49">
      <c r="A110" s="9" t="inlineStr">
        <is>
          <t>TC</t>
        </is>
      </c>
      <c r="B110" s="9" t="inlineStr">
        <is>
          <t>B331</t>
        </is>
      </c>
      <c r="C110" s="10" t="inlineStr">
        <is>
          <t>上海区域</t>
        </is>
      </c>
      <c r="D110" s="10" t="inlineStr">
        <is>
          <t>CMCF</t>
        </is>
      </c>
      <c r="E110" s="10" t="inlineStr">
        <is>
          <t>EE 上海七宝万科广场</t>
        </is>
      </c>
      <c r="F110" s="9" t="inlineStr">
        <is>
          <t>02</t>
        </is>
      </c>
      <c r="G110" s="10" t="inlineStr">
        <is>
          <t>购物中心</t>
        </is>
      </c>
      <c r="H110" s="11" t="inlineStr">
        <is>
          <t>EETCG24E01</t>
        </is>
      </c>
      <c r="I110" s="9" t="n">
        <v>699</v>
      </c>
      <c r="J110" s="43" t="n">
        <v>699</v>
      </c>
      <c r="K110" s="46">
        <f>VLOOKUP(H110,'七宝0412-0511'!H:M,6,0)</f>
        <v/>
      </c>
      <c r="L110" s="46">
        <f>VLOOKUP(H110,'七宝0412-0511'!H:O,8,0)</f>
        <v/>
      </c>
    </row>
    <row r="111" ht="18.95" customHeight="1" s="49">
      <c r="A111" s="12" t="inlineStr">
        <is>
          <t>TC</t>
        </is>
      </c>
      <c r="B111" s="12" t="inlineStr">
        <is>
          <t>B331</t>
        </is>
      </c>
      <c r="C111" s="13" t="inlineStr">
        <is>
          <t>上海区域</t>
        </is>
      </c>
      <c r="D111" s="13" t="inlineStr">
        <is>
          <t>CMCF</t>
        </is>
      </c>
      <c r="E111" s="13" t="inlineStr">
        <is>
          <t>EE 上海七宝万科广场</t>
        </is>
      </c>
      <c r="F111" s="12" t="inlineStr">
        <is>
          <t>02</t>
        </is>
      </c>
      <c r="G111" s="13" t="inlineStr">
        <is>
          <t>购物中心</t>
        </is>
      </c>
      <c r="H111" s="14" t="inlineStr">
        <is>
          <t>EETCG24E06</t>
        </is>
      </c>
      <c r="I111" s="12" t="n">
        <v>1299</v>
      </c>
      <c r="J111" s="44" t="n">
        <v>1299</v>
      </c>
      <c r="K111" s="46">
        <f>VLOOKUP(H111,'七宝0412-0511'!H:M,6,0)</f>
        <v/>
      </c>
      <c r="L111" s="46">
        <f>VLOOKUP(H111,'七宝0412-0511'!H:O,8,0)</f>
        <v/>
      </c>
    </row>
    <row r="112" ht="18.95" customHeight="1" s="49">
      <c r="A112" s="9" t="inlineStr">
        <is>
          <t>TH</t>
        </is>
      </c>
      <c r="B112" s="9" t="inlineStr">
        <is>
          <t>B331</t>
        </is>
      </c>
      <c r="C112" s="10" t="inlineStr">
        <is>
          <t>上海区域</t>
        </is>
      </c>
      <c r="D112" s="10" t="inlineStr">
        <is>
          <t>CMCF</t>
        </is>
      </c>
      <c r="E112" s="10" t="inlineStr">
        <is>
          <t>EE 上海七宝万科广场</t>
        </is>
      </c>
      <c r="F112" s="9" t="inlineStr">
        <is>
          <t>02</t>
        </is>
      </c>
      <c r="G112" s="10" t="inlineStr">
        <is>
          <t>购物中心</t>
        </is>
      </c>
      <c r="H112" s="11" t="inlineStr">
        <is>
          <t>EETHG24E02</t>
        </is>
      </c>
      <c r="I112" s="9" t="n">
        <v>599</v>
      </c>
      <c r="J112" s="43" t="n">
        <v>599</v>
      </c>
      <c r="K112" s="46">
        <f>VLOOKUP(H112,'七宝0412-0511'!H:M,6,0)</f>
        <v/>
      </c>
      <c r="L112" s="46">
        <f>VLOOKUP(H112,'七宝0412-0511'!H:O,8,0)</f>
        <v/>
      </c>
    </row>
    <row r="113" ht="18.95" customHeight="1" s="49">
      <c r="A113" s="12" t="inlineStr">
        <is>
          <t>TH</t>
        </is>
      </c>
      <c r="B113" s="12" t="inlineStr">
        <is>
          <t>B331</t>
        </is>
      </c>
      <c r="C113" s="13" t="inlineStr">
        <is>
          <t>上海区域</t>
        </is>
      </c>
      <c r="D113" s="13" t="inlineStr">
        <is>
          <t>CMCF</t>
        </is>
      </c>
      <c r="E113" s="13" t="inlineStr">
        <is>
          <t>EE 上海七宝万科广场</t>
        </is>
      </c>
      <c r="F113" s="12" t="inlineStr">
        <is>
          <t>02</t>
        </is>
      </c>
      <c r="G113" s="13" t="inlineStr">
        <is>
          <t>购物中心</t>
        </is>
      </c>
      <c r="H113" s="14" t="inlineStr">
        <is>
          <t>EETHG24E03</t>
        </is>
      </c>
      <c r="I113" s="12" t="n">
        <v>699</v>
      </c>
      <c r="J113" s="44" t="n">
        <v>699</v>
      </c>
      <c r="K113" s="46">
        <f>VLOOKUP(H113,'七宝0412-0511'!H:M,6,0)</f>
        <v/>
      </c>
      <c r="L113" s="46">
        <f>VLOOKUP(H113,'七宝0412-0511'!H:O,8,0)</f>
        <v/>
      </c>
    </row>
    <row r="114" ht="18.95" customHeight="1" s="49">
      <c r="A114" s="9" t="inlineStr">
        <is>
          <t>TH</t>
        </is>
      </c>
      <c r="B114" s="9" t="inlineStr">
        <is>
          <t>B331</t>
        </is>
      </c>
      <c r="C114" s="10" t="inlineStr">
        <is>
          <t>上海区域</t>
        </is>
      </c>
      <c r="D114" s="10" t="inlineStr">
        <is>
          <t>CMCF</t>
        </is>
      </c>
      <c r="E114" s="10" t="inlineStr">
        <is>
          <t>EE 上海七宝万科广场</t>
        </is>
      </c>
      <c r="F114" s="9" t="inlineStr">
        <is>
          <t>02</t>
        </is>
      </c>
      <c r="G114" s="10" t="inlineStr">
        <is>
          <t>购物中心</t>
        </is>
      </c>
      <c r="H114" s="11" t="inlineStr">
        <is>
          <t>EETHG25E01</t>
        </is>
      </c>
      <c r="I114" s="9" t="n">
        <v>699</v>
      </c>
      <c r="J114" s="43" t="n">
        <v>699</v>
      </c>
      <c r="K114" s="46">
        <f>VLOOKUP(H114,'七宝0412-0511'!H:M,6,0)</f>
        <v/>
      </c>
      <c r="L114" s="46">
        <f>VLOOKUP(H114,'七宝0412-0511'!H:O,8,0)</f>
        <v/>
      </c>
    </row>
    <row r="115" ht="18.95" customHeight="1" s="49">
      <c r="A115" s="12" t="inlineStr">
        <is>
          <t>TH</t>
        </is>
      </c>
      <c r="B115" s="12" t="inlineStr">
        <is>
          <t>B331</t>
        </is>
      </c>
      <c r="C115" s="13" t="inlineStr">
        <is>
          <t>上海区域</t>
        </is>
      </c>
      <c r="D115" s="13" t="inlineStr">
        <is>
          <t>CMCF</t>
        </is>
      </c>
      <c r="E115" s="13" t="inlineStr">
        <is>
          <t>EE 上海七宝万科广场</t>
        </is>
      </c>
      <c r="F115" s="12" t="inlineStr">
        <is>
          <t>02</t>
        </is>
      </c>
      <c r="G115" s="13" t="inlineStr">
        <is>
          <t>购物中心</t>
        </is>
      </c>
      <c r="H115" s="14" t="inlineStr">
        <is>
          <t>EETHG25E04</t>
        </is>
      </c>
      <c r="I115" s="12" t="n">
        <v>699</v>
      </c>
      <c r="J115" s="44" t="n">
        <v>699</v>
      </c>
      <c r="K115" s="46">
        <f>VLOOKUP(H115,'七宝0412-0511'!H:M,6,0)</f>
        <v/>
      </c>
      <c r="L115" s="46">
        <f>VLOOKUP(H115,'七宝0412-0511'!H:O,8,0)</f>
        <v/>
      </c>
    </row>
    <row r="116" ht="18.95" customHeight="1" s="49">
      <c r="A116" s="9" t="inlineStr">
        <is>
          <t>TJ</t>
        </is>
      </c>
      <c r="B116" s="9" t="inlineStr">
        <is>
          <t>B331</t>
        </is>
      </c>
      <c r="C116" s="10" t="inlineStr">
        <is>
          <t>上海区域</t>
        </is>
      </c>
      <c r="D116" s="10" t="inlineStr">
        <is>
          <t>CMCF</t>
        </is>
      </c>
      <c r="E116" s="10" t="inlineStr">
        <is>
          <t>EE 上海七宝万科广场</t>
        </is>
      </c>
      <c r="F116" s="9" t="inlineStr">
        <is>
          <t>02</t>
        </is>
      </c>
      <c r="G116" s="10" t="inlineStr">
        <is>
          <t>购物中心</t>
        </is>
      </c>
      <c r="H116" s="11" t="inlineStr">
        <is>
          <t>EETJG23B05</t>
        </is>
      </c>
      <c r="I116" s="9" t="n">
        <v>899</v>
      </c>
      <c r="J116" s="43" t="n">
        <v>899</v>
      </c>
      <c r="K116" s="46">
        <f>VLOOKUP(H116,'七宝0412-0511'!H:M,6,0)</f>
        <v/>
      </c>
      <c r="L116" s="46">
        <f>VLOOKUP(H116,'七宝0412-0511'!H:O,8,0)</f>
        <v/>
      </c>
    </row>
    <row r="117" ht="18.95" customHeight="1" s="49">
      <c r="A117" s="12" t="inlineStr">
        <is>
          <t>TJ</t>
        </is>
      </c>
      <c r="B117" s="12" t="inlineStr">
        <is>
          <t>B331</t>
        </is>
      </c>
      <c r="C117" s="13" t="inlineStr">
        <is>
          <t>上海区域</t>
        </is>
      </c>
      <c r="D117" s="13" t="inlineStr">
        <is>
          <t>CMCF</t>
        </is>
      </c>
      <c r="E117" s="13" t="inlineStr">
        <is>
          <t>EE 上海七宝万科广场</t>
        </is>
      </c>
      <c r="F117" s="12" t="inlineStr">
        <is>
          <t>02</t>
        </is>
      </c>
      <c r="G117" s="13" t="inlineStr">
        <is>
          <t>购物中心</t>
        </is>
      </c>
      <c r="H117" s="14" t="inlineStr">
        <is>
          <t>EETJG23B1G</t>
        </is>
      </c>
      <c r="I117" s="12" t="n">
        <v>899</v>
      </c>
      <c r="J117" s="44" t="n">
        <v>899</v>
      </c>
      <c r="K117" s="46">
        <f>VLOOKUP(H117,'七宝0412-0511'!H:M,6,0)</f>
        <v/>
      </c>
      <c r="L117" s="46">
        <f>VLOOKUP(H117,'七宝0412-0511'!H:O,8,0)</f>
        <v/>
      </c>
    </row>
    <row r="118" ht="18.95" customHeight="1" s="49">
      <c r="A118" s="9" t="inlineStr">
        <is>
          <t>TJ</t>
        </is>
      </c>
      <c r="B118" s="9" t="inlineStr">
        <is>
          <t>B331</t>
        </is>
      </c>
      <c r="C118" s="10" t="inlineStr">
        <is>
          <t>上海区域</t>
        </is>
      </c>
      <c r="D118" s="10" t="inlineStr">
        <is>
          <t>CMCF</t>
        </is>
      </c>
      <c r="E118" s="10" t="inlineStr">
        <is>
          <t>EE 上海七宝万科广场</t>
        </is>
      </c>
      <c r="F118" s="9" t="inlineStr">
        <is>
          <t>02</t>
        </is>
      </c>
      <c r="G118" s="10" t="inlineStr">
        <is>
          <t>购物中心</t>
        </is>
      </c>
      <c r="H118" s="11" t="inlineStr">
        <is>
          <t>EETJG23E01</t>
        </is>
      </c>
      <c r="I118" s="9" t="n">
        <v>699</v>
      </c>
      <c r="J118" s="43" t="n">
        <v>699</v>
      </c>
      <c r="K118" s="46">
        <f>VLOOKUP(H118,'七宝0412-0511'!H:M,6,0)</f>
        <v/>
      </c>
      <c r="L118" s="46">
        <f>VLOOKUP(H118,'七宝0412-0511'!H:O,8,0)</f>
        <v/>
      </c>
    </row>
    <row r="119" ht="18.95" customHeight="1" s="49">
      <c r="A119" s="12" t="inlineStr">
        <is>
          <t>TJ</t>
        </is>
      </c>
      <c r="B119" s="12" t="inlineStr">
        <is>
          <t>B331</t>
        </is>
      </c>
      <c r="C119" s="13" t="inlineStr">
        <is>
          <t>上海区域</t>
        </is>
      </c>
      <c r="D119" s="13" t="inlineStr">
        <is>
          <t>CMCF</t>
        </is>
      </c>
      <c r="E119" s="13" t="inlineStr">
        <is>
          <t>EE 上海七宝万科广场</t>
        </is>
      </c>
      <c r="F119" s="12" t="inlineStr">
        <is>
          <t>02</t>
        </is>
      </c>
      <c r="G119" s="13" t="inlineStr">
        <is>
          <t>购物中心</t>
        </is>
      </c>
      <c r="H119" s="14" t="inlineStr">
        <is>
          <t>EETJG23E02</t>
        </is>
      </c>
      <c r="I119" s="12" t="n">
        <v>799</v>
      </c>
      <c r="J119" s="44" t="n">
        <v>799</v>
      </c>
      <c r="K119" s="46">
        <f>VLOOKUP(H119,'七宝0412-0511'!H:M,6,0)</f>
        <v/>
      </c>
      <c r="L119" s="46">
        <f>VLOOKUP(H119,'七宝0412-0511'!H:O,8,0)</f>
        <v/>
      </c>
    </row>
    <row r="120" ht="18.95" customHeight="1" s="49">
      <c r="A120" s="9" t="inlineStr">
        <is>
          <t>TJ</t>
        </is>
      </c>
      <c r="B120" s="9" t="inlineStr">
        <is>
          <t>B331</t>
        </is>
      </c>
      <c r="C120" s="10" t="inlineStr">
        <is>
          <t>上海区域</t>
        </is>
      </c>
      <c r="D120" s="10" t="inlineStr">
        <is>
          <t>CMCF</t>
        </is>
      </c>
      <c r="E120" s="10" t="inlineStr">
        <is>
          <t>EE 上海七宝万科广场</t>
        </is>
      </c>
      <c r="F120" s="9" t="inlineStr">
        <is>
          <t>02</t>
        </is>
      </c>
      <c r="G120" s="10" t="inlineStr">
        <is>
          <t>购物中心</t>
        </is>
      </c>
      <c r="H120" s="11" t="inlineStr">
        <is>
          <t>EETJG23E04</t>
        </is>
      </c>
      <c r="I120" s="9" t="n">
        <v>899</v>
      </c>
      <c r="J120" s="43" t="n">
        <v>899</v>
      </c>
      <c r="K120" s="46">
        <f>VLOOKUP(H120,'七宝0412-0511'!H:M,6,0)</f>
        <v/>
      </c>
      <c r="L120" s="46">
        <f>VLOOKUP(H120,'七宝0412-0511'!H:O,8,0)</f>
        <v/>
      </c>
    </row>
    <row r="121" ht="18.95" customHeight="1" s="49">
      <c r="A121" s="12" t="inlineStr">
        <is>
          <t>TJ</t>
        </is>
      </c>
      <c r="B121" s="12" t="inlineStr">
        <is>
          <t>B331</t>
        </is>
      </c>
      <c r="C121" s="13" t="inlineStr">
        <is>
          <t>上海区域</t>
        </is>
      </c>
      <c r="D121" s="13" t="inlineStr">
        <is>
          <t>CMCF</t>
        </is>
      </c>
      <c r="E121" s="13" t="inlineStr">
        <is>
          <t>EE 上海七宝万科广场</t>
        </is>
      </c>
      <c r="F121" s="12" t="inlineStr">
        <is>
          <t>02</t>
        </is>
      </c>
      <c r="G121" s="13" t="inlineStr">
        <is>
          <t>购物中心</t>
        </is>
      </c>
      <c r="H121" s="14" t="inlineStr">
        <is>
          <t>EETJG23E06</t>
        </is>
      </c>
      <c r="I121" s="12" t="n">
        <v>799</v>
      </c>
      <c r="J121" s="44" t="n">
        <v>799</v>
      </c>
      <c r="K121" s="46">
        <f>VLOOKUP(H121,'七宝0412-0511'!H:M,6,0)</f>
        <v/>
      </c>
      <c r="L121" s="46">
        <f>VLOOKUP(H121,'七宝0412-0511'!H:O,8,0)</f>
        <v/>
      </c>
    </row>
    <row r="122" ht="18.95" customHeight="1" s="49">
      <c r="A122" s="9" t="inlineStr">
        <is>
          <t>TJ</t>
        </is>
      </c>
      <c r="B122" s="9" t="inlineStr">
        <is>
          <t>B331</t>
        </is>
      </c>
      <c r="C122" s="10" t="inlineStr">
        <is>
          <t>上海区域</t>
        </is>
      </c>
      <c r="D122" s="10" t="inlineStr">
        <is>
          <t>CMCF</t>
        </is>
      </c>
      <c r="E122" s="10" t="inlineStr">
        <is>
          <t>EE 上海七宝万科广场</t>
        </is>
      </c>
      <c r="F122" s="9" t="inlineStr">
        <is>
          <t>02</t>
        </is>
      </c>
      <c r="G122" s="10" t="inlineStr">
        <is>
          <t>购物中心</t>
        </is>
      </c>
      <c r="H122" s="11" t="inlineStr">
        <is>
          <t>EETJG23E07</t>
        </is>
      </c>
      <c r="I122" s="9" t="n">
        <v>899</v>
      </c>
      <c r="J122" s="43" t="n">
        <v>899</v>
      </c>
      <c r="K122" s="46">
        <f>VLOOKUP(H122,'七宝0412-0511'!H:M,6,0)</f>
        <v/>
      </c>
      <c r="L122" s="46">
        <f>VLOOKUP(H122,'七宝0412-0511'!H:O,8,0)</f>
        <v/>
      </c>
    </row>
    <row r="123" ht="18.95" customHeight="1" s="49">
      <c r="A123" s="12" t="inlineStr">
        <is>
          <t>TJ</t>
        </is>
      </c>
      <c r="B123" s="12" t="inlineStr">
        <is>
          <t>B331</t>
        </is>
      </c>
      <c r="C123" s="13" t="inlineStr">
        <is>
          <t>上海区域</t>
        </is>
      </c>
      <c r="D123" s="13" t="inlineStr">
        <is>
          <t>CMCF</t>
        </is>
      </c>
      <c r="E123" s="13" t="inlineStr">
        <is>
          <t>EE 上海七宝万科广场</t>
        </is>
      </c>
      <c r="F123" s="12" t="inlineStr">
        <is>
          <t>02</t>
        </is>
      </c>
      <c r="G123" s="13" t="inlineStr">
        <is>
          <t>购物中心</t>
        </is>
      </c>
      <c r="H123" s="14" t="inlineStr">
        <is>
          <t>EETJG24B57</t>
        </is>
      </c>
      <c r="I123" s="12" t="n">
        <v>899</v>
      </c>
      <c r="J123" s="44" t="n">
        <v>899</v>
      </c>
      <c r="K123" s="46">
        <f>VLOOKUP(H123,'七宝0412-0511'!H:M,6,0)</f>
        <v/>
      </c>
      <c r="L123" s="46">
        <f>VLOOKUP(H123,'七宝0412-0511'!H:O,8,0)</f>
        <v/>
      </c>
    </row>
    <row r="124" ht="18.95" customHeight="1" s="49">
      <c r="A124" s="9" t="inlineStr">
        <is>
          <t>TJ</t>
        </is>
      </c>
      <c r="B124" s="9" t="inlineStr">
        <is>
          <t>B331</t>
        </is>
      </c>
      <c r="C124" s="10" t="inlineStr">
        <is>
          <t>上海区域</t>
        </is>
      </c>
      <c r="D124" s="10" t="inlineStr">
        <is>
          <t>CMCF</t>
        </is>
      </c>
      <c r="E124" s="10" t="inlineStr">
        <is>
          <t>EE 上海七宝万科广场</t>
        </is>
      </c>
      <c r="F124" s="9" t="inlineStr">
        <is>
          <t>02</t>
        </is>
      </c>
      <c r="G124" s="10" t="inlineStr">
        <is>
          <t>购物中心</t>
        </is>
      </c>
      <c r="H124" s="11" t="inlineStr">
        <is>
          <t>EETJG24B58</t>
        </is>
      </c>
      <c r="I124" s="9" t="n">
        <v>899</v>
      </c>
      <c r="J124" s="43" t="n">
        <v>899</v>
      </c>
      <c r="K124" s="46">
        <f>VLOOKUP(H124,'七宝0412-0511'!H:M,6,0)</f>
        <v/>
      </c>
      <c r="L124" s="46">
        <f>VLOOKUP(H124,'七宝0412-0511'!H:O,8,0)</f>
        <v/>
      </c>
    </row>
    <row r="125" ht="18.95" customHeight="1" s="49">
      <c r="A125" s="12" t="inlineStr">
        <is>
          <t>TJ</t>
        </is>
      </c>
      <c r="B125" s="12" t="inlineStr">
        <is>
          <t>B331</t>
        </is>
      </c>
      <c r="C125" s="13" t="inlineStr">
        <is>
          <t>上海区域</t>
        </is>
      </c>
      <c r="D125" s="13" t="inlineStr">
        <is>
          <t>CMCF</t>
        </is>
      </c>
      <c r="E125" s="13" t="inlineStr">
        <is>
          <t>EE 上海七宝万科广场</t>
        </is>
      </c>
      <c r="F125" s="12" t="inlineStr">
        <is>
          <t>02</t>
        </is>
      </c>
      <c r="G125" s="13" t="inlineStr">
        <is>
          <t>购物中心</t>
        </is>
      </c>
      <c r="H125" s="14" t="inlineStr">
        <is>
          <t>EETJG24E01</t>
        </is>
      </c>
      <c r="I125" s="12" t="n">
        <v>799</v>
      </c>
      <c r="J125" s="44" t="n">
        <v>799</v>
      </c>
      <c r="K125" s="46">
        <f>VLOOKUP(H125,'七宝0412-0511'!H:M,6,0)</f>
        <v/>
      </c>
      <c r="L125" s="46">
        <f>VLOOKUP(H125,'七宝0412-0511'!H:O,8,0)</f>
        <v/>
      </c>
    </row>
    <row r="126" ht="18.95" customHeight="1" s="49">
      <c r="A126" s="9" t="inlineStr">
        <is>
          <t>TJ</t>
        </is>
      </c>
      <c r="B126" s="9" t="inlineStr">
        <is>
          <t>B331</t>
        </is>
      </c>
      <c r="C126" s="10" t="inlineStr">
        <is>
          <t>上海区域</t>
        </is>
      </c>
      <c r="D126" s="10" t="inlineStr">
        <is>
          <t>CMCF</t>
        </is>
      </c>
      <c r="E126" s="10" t="inlineStr">
        <is>
          <t>EE 上海七宝万科广场</t>
        </is>
      </c>
      <c r="F126" s="9" t="inlineStr">
        <is>
          <t>02</t>
        </is>
      </c>
      <c r="G126" s="10" t="inlineStr">
        <is>
          <t>购物中心</t>
        </is>
      </c>
      <c r="H126" s="11" t="inlineStr">
        <is>
          <t>EETJG24E02</t>
        </is>
      </c>
      <c r="I126" s="9" t="n">
        <v>699</v>
      </c>
      <c r="J126" s="43" t="n">
        <v>699</v>
      </c>
      <c r="K126" s="46">
        <f>VLOOKUP(H126,'七宝0412-0511'!H:M,6,0)</f>
        <v/>
      </c>
      <c r="L126" s="46">
        <f>VLOOKUP(H126,'七宝0412-0511'!H:O,8,0)</f>
        <v/>
      </c>
    </row>
    <row r="127" ht="18.95" customHeight="1" s="49">
      <c r="A127" s="12" t="inlineStr">
        <is>
          <t>TJ</t>
        </is>
      </c>
      <c r="B127" s="12" t="inlineStr">
        <is>
          <t>B331</t>
        </is>
      </c>
      <c r="C127" s="13" t="inlineStr">
        <is>
          <t>上海区域</t>
        </is>
      </c>
      <c r="D127" s="13" t="inlineStr">
        <is>
          <t>CMCF</t>
        </is>
      </c>
      <c r="E127" s="13" t="inlineStr">
        <is>
          <t>EE 上海七宝万科广场</t>
        </is>
      </c>
      <c r="F127" s="12" t="inlineStr">
        <is>
          <t>02</t>
        </is>
      </c>
      <c r="G127" s="13" t="inlineStr">
        <is>
          <t>购物中心</t>
        </is>
      </c>
      <c r="H127" s="14" t="inlineStr">
        <is>
          <t>EETJG24E04</t>
        </is>
      </c>
      <c r="I127" s="12" t="n">
        <v>699</v>
      </c>
      <c r="J127" s="44" t="n">
        <v>699</v>
      </c>
      <c r="K127" s="46">
        <f>VLOOKUP(H127,'七宝0412-0511'!H:M,6,0)</f>
        <v/>
      </c>
      <c r="L127" s="46">
        <f>VLOOKUP(H127,'七宝0412-0511'!H:O,8,0)</f>
        <v/>
      </c>
    </row>
    <row r="128" ht="18.95" customHeight="1" s="49">
      <c r="A128" s="9" t="inlineStr">
        <is>
          <t>TJ</t>
        </is>
      </c>
      <c r="B128" s="9" t="inlineStr">
        <is>
          <t>B331</t>
        </is>
      </c>
      <c r="C128" s="10" t="inlineStr">
        <is>
          <t>上海区域</t>
        </is>
      </c>
      <c r="D128" s="10" t="inlineStr">
        <is>
          <t>CMCF</t>
        </is>
      </c>
      <c r="E128" s="10" t="inlineStr">
        <is>
          <t>EE 上海七宝万科广场</t>
        </is>
      </c>
      <c r="F128" s="9" t="inlineStr">
        <is>
          <t>02</t>
        </is>
      </c>
      <c r="G128" s="10" t="inlineStr">
        <is>
          <t>购物中心</t>
        </is>
      </c>
      <c r="H128" s="11" t="inlineStr">
        <is>
          <t>EETJG24E05</t>
        </is>
      </c>
      <c r="I128" s="9" t="n">
        <v>599</v>
      </c>
      <c r="J128" s="43" t="n">
        <v>599</v>
      </c>
      <c r="K128" s="46">
        <f>VLOOKUP(H128,'七宝0412-0511'!H:M,6,0)</f>
        <v/>
      </c>
      <c r="L128" s="46">
        <f>VLOOKUP(H128,'七宝0412-0511'!H:O,8,0)</f>
        <v/>
      </c>
    </row>
    <row r="129" ht="18.95" customHeight="1" s="49">
      <c r="A129" s="12" t="inlineStr">
        <is>
          <t>TJ</t>
        </is>
      </c>
      <c r="B129" s="12" t="inlineStr">
        <is>
          <t>B331</t>
        </is>
      </c>
      <c r="C129" s="13" t="inlineStr">
        <is>
          <t>上海区域</t>
        </is>
      </c>
      <c r="D129" s="13" t="inlineStr">
        <is>
          <t>CMCF</t>
        </is>
      </c>
      <c r="E129" s="13" t="inlineStr">
        <is>
          <t>EE 上海七宝万科广场</t>
        </is>
      </c>
      <c r="F129" s="12" t="inlineStr">
        <is>
          <t>02</t>
        </is>
      </c>
      <c r="G129" s="13" t="inlineStr">
        <is>
          <t>购物中心</t>
        </is>
      </c>
      <c r="H129" s="14" t="inlineStr">
        <is>
          <t>EETJG24E06</t>
        </is>
      </c>
      <c r="I129" s="12" t="n">
        <v>599</v>
      </c>
      <c r="J129" s="44" t="n">
        <v>599</v>
      </c>
      <c r="K129" s="46">
        <f>VLOOKUP(H129,'七宝0412-0511'!H:M,6,0)</f>
        <v/>
      </c>
      <c r="L129" s="46">
        <f>VLOOKUP(H129,'七宝0412-0511'!H:O,8,0)</f>
        <v/>
      </c>
    </row>
    <row r="130" ht="18.95" customHeight="1" s="49">
      <c r="A130" s="9" t="inlineStr">
        <is>
          <t>TJ</t>
        </is>
      </c>
      <c r="B130" s="9" t="inlineStr">
        <is>
          <t>B331</t>
        </is>
      </c>
      <c r="C130" s="10" t="inlineStr">
        <is>
          <t>上海区域</t>
        </is>
      </c>
      <c r="D130" s="10" t="inlineStr">
        <is>
          <t>CMCF</t>
        </is>
      </c>
      <c r="E130" s="10" t="inlineStr">
        <is>
          <t>EE 上海七宝万科广场</t>
        </is>
      </c>
      <c r="F130" s="9" t="inlineStr">
        <is>
          <t>02</t>
        </is>
      </c>
      <c r="G130" s="10" t="inlineStr">
        <is>
          <t>购物中心</t>
        </is>
      </c>
      <c r="H130" s="11" t="inlineStr">
        <is>
          <t>EETJG25B03</t>
        </is>
      </c>
      <c r="I130" s="9" t="n">
        <v>999</v>
      </c>
      <c r="J130" s="43" t="n">
        <v>999</v>
      </c>
      <c r="K130" s="46">
        <f>VLOOKUP(H130,'七宝0412-0511'!H:M,6,0)</f>
        <v/>
      </c>
      <c r="L130" s="46">
        <f>VLOOKUP(H130,'七宝0412-0511'!H:O,8,0)</f>
        <v/>
      </c>
    </row>
    <row r="131" ht="18.95" customHeight="1" s="49">
      <c r="A131" s="12" t="inlineStr">
        <is>
          <t>TK</t>
        </is>
      </c>
      <c r="B131" s="12" t="inlineStr">
        <is>
          <t>B331</t>
        </is>
      </c>
      <c r="C131" s="13" t="inlineStr">
        <is>
          <t>上海区域</t>
        </is>
      </c>
      <c r="D131" s="13" t="inlineStr">
        <is>
          <t>CMCF</t>
        </is>
      </c>
      <c r="E131" s="13" t="inlineStr">
        <is>
          <t>EE 上海七宝万科广场</t>
        </is>
      </c>
      <c r="F131" s="12" t="inlineStr">
        <is>
          <t>02</t>
        </is>
      </c>
      <c r="G131" s="13" t="inlineStr">
        <is>
          <t>购物中心</t>
        </is>
      </c>
      <c r="H131" s="14" t="inlineStr">
        <is>
          <t>EETKG25D01</t>
        </is>
      </c>
      <c r="I131" s="12" t="n">
        <v>799</v>
      </c>
      <c r="J131" s="44" t="n">
        <v>799</v>
      </c>
      <c r="K131" s="46">
        <f>VLOOKUP(H131,'七宝0412-0511'!H:M,6,0)</f>
        <v/>
      </c>
      <c r="L131" s="46">
        <f>VLOOKUP(H131,'七宝0412-0511'!H:O,8,0)</f>
        <v/>
      </c>
    </row>
    <row r="132" ht="18.95" customHeight="1" s="49">
      <c r="A132" s="9" t="inlineStr">
        <is>
          <t>TM</t>
        </is>
      </c>
      <c r="B132" s="9" t="inlineStr">
        <is>
          <t>B331</t>
        </is>
      </c>
      <c r="C132" s="10" t="inlineStr">
        <is>
          <t>上海区域</t>
        </is>
      </c>
      <c r="D132" s="10" t="inlineStr">
        <is>
          <t>CMCF</t>
        </is>
      </c>
      <c r="E132" s="10" t="inlineStr">
        <is>
          <t>EE 上海七宝万科广场</t>
        </is>
      </c>
      <c r="F132" s="9" t="inlineStr">
        <is>
          <t>02</t>
        </is>
      </c>
      <c r="G132" s="10" t="inlineStr">
        <is>
          <t>购物中心</t>
        </is>
      </c>
      <c r="H132" s="11" t="inlineStr">
        <is>
          <t>EETMG24E51</t>
        </is>
      </c>
      <c r="I132" s="9" t="n">
        <v>699</v>
      </c>
      <c r="J132" s="43" t="n">
        <v>699</v>
      </c>
      <c r="K132" s="46">
        <f>VLOOKUP(H132,'七宝0412-0511'!H:M,6,0)</f>
        <v/>
      </c>
      <c r="L132" s="46">
        <f>VLOOKUP(H132,'七宝0412-0511'!H:O,8,0)</f>
        <v/>
      </c>
    </row>
    <row r="133" ht="18.95" customHeight="1" s="49">
      <c r="A133" s="12" t="inlineStr">
        <is>
          <t>TM</t>
        </is>
      </c>
      <c r="B133" s="12" t="inlineStr">
        <is>
          <t>B331</t>
        </is>
      </c>
      <c r="C133" s="13" t="inlineStr">
        <is>
          <t>上海区域</t>
        </is>
      </c>
      <c r="D133" s="13" t="inlineStr">
        <is>
          <t>CMCF</t>
        </is>
      </c>
      <c r="E133" s="13" t="inlineStr">
        <is>
          <t>EE 上海七宝万科广场</t>
        </is>
      </c>
      <c r="F133" s="12" t="inlineStr">
        <is>
          <t>02</t>
        </is>
      </c>
      <c r="G133" s="13" t="inlineStr">
        <is>
          <t>购物中心</t>
        </is>
      </c>
      <c r="H133" s="14" t="inlineStr">
        <is>
          <t>EETMG25B51</t>
        </is>
      </c>
      <c r="I133" s="12" t="n">
        <v>699</v>
      </c>
      <c r="J133" s="44" t="n">
        <v>699</v>
      </c>
      <c r="K133" s="46">
        <f>VLOOKUP(H133,'七宝0412-0511'!H:M,6,0)</f>
        <v/>
      </c>
      <c r="L133" s="46">
        <f>VLOOKUP(H133,'七宝0412-0511'!H:O,8,0)</f>
        <v/>
      </c>
    </row>
    <row r="134" ht="18.95" customHeight="1" s="49">
      <c r="A134" s="9" t="inlineStr">
        <is>
          <t>VJ</t>
        </is>
      </c>
      <c r="B134" s="9" t="inlineStr">
        <is>
          <t>B331</t>
        </is>
      </c>
      <c r="C134" s="10" t="inlineStr">
        <is>
          <t>上海区域</t>
        </is>
      </c>
      <c r="D134" s="10" t="inlineStr">
        <is>
          <t>CMCF</t>
        </is>
      </c>
      <c r="E134" s="10" t="inlineStr">
        <is>
          <t>EE 上海七宝万科广场</t>
        </is>
      </c>
      <c r="F134" s="9" t="inlineStr">
        <is>
          <t>02</t>
        </is>
      </c>
      <c r="G134" s="10" t="inlineStr">
        <is>
          <t>购物中心</t>
        </is>
      </c>
      <c r="H134" s="11" t="inlineStr">
        <is>
          <t>EEVJG23D01</t>
        </is>
      </c>
      <c r="I134" s="9" t="n">
        <v>799</v>
      </c>
      <c r="J134" s="43" t="n">
        <v>799</v>
      </c>
      <c r="K134" s="46">
        <f>VLOOKUP(H134,'七宝0412-0511'!H:M,6,0)</f>
        <v/>
      </c>
      <c r="L134" s="46">
        <f>VLOOKUP(H134,'七宝0412-0511'!H:O,8,0)</f>
        <v/>
      </c>
    </row>
    <row r="135" ht="18.95" customHeight="1" s="49">
      <c r="A135" s="12" t="inlineStr">
        <is>
          <t>VK</t>
        </is>
      </c>
      <c r="B135" s="12" t="inlineStr">
        <is>
          <t>B331</t>
        </is>
      </c>
      <c r="C135" s="13" t="inlineStr">
        <is>
          <t>上海区域</t>
        </is>
      </c>
      <c r="D135" s="13" t="inlineStr">
        <is>
          <t>CMCF</t>
        </is>
      </c>
      <c r="E135" s="13" t="inlineStr">
        <is>
          <t>EE 上海七宝万科广场</t>
        </is>
      </c>
      <c r="F135" s="12" t="inlineStr">
        <is>
          <t>02</t>
        </is>
      </c>
      <c r="G135" s="13" t="inlineStr">
        <is>
          <t>购物中心</t>
        </is>
      </c>
      <c r="H135" s="14" t="inlineStr">
        <is>
          <t>EEVKG23B02</t>
        </is>
      </c>
      <c r="I135" s="12" t="n">
        <v>699</v>
      </c>
      <c r="J135" s="44" t="n">
        <v>699</v>
      </c>
      <c r="K135" s="46">
        <f>VLOOKUP(H135,'七宝0412-0511'!H:M,6,0)</f>
        <v/>
      </c>
      <c r="L135" s="46">
        <f>VLOOKUP(H135,'七宝0412-0511'!H:O,8,0)</f>
        <v/>
      </c>
    </row>
    <row r="136" ht="18.95" customHeight="1" s="49">
      <c r="A136" s="9" t="inlineStr">
        <is>
          <t>VK</t>
        </is>
      </c>
      <c r="B136" s="9" t="inlineStr">
        <is>
          <t>B331</t>
        </is>
      </c>
      <c r="C136" s="10" t="inlineStr">
        <is>
          <t>上海区域</t>
        </is>
      </c>
      <c r="D136" s="10" t="inlineStr">
        <is>
          <t>CMCF</t>
        </is>
      </c>
      <c r="E136" s="10" t="inlineStr">
        <is>
          <t>EE 上海七宝万科广场</t>
        </is>
      </c>
      <c r="F136" s="9" t="inlineStr">
        <is>
          <t>02</t>
        </is>
      </c>
      <c r="G136" s="10" t="inlineStr">
        <is>
          <t>购物中心</t>
        </is>
      </c>
      <c r="H136" s="11" t="inlineStr">
        <is>
          <t>EEVKG23B03</t>
        </is>
      </c>
      <c r="I136" s="9" t="n">
        <v>499</v>
      </c>
      <c r="J136" s="43" t="n">
        <v>499</v>
      </c>
      <c r="K136" s="46">
        <f>VLOOKUP(H136,'七宝0412-0511'!H:M,6,0)</f>
        <v/>
      </c>
      <c r="L136" s="46">
        <f>VLOOKUP(H136,'七宝0412-0511'!H:O,8,0)</f>
        <v/>
      </c>
    </row>
    <row r="137" ht="18.95" customHeight="1" s="49">
      <c r="A137" s="12" t="inlineStr">
        <is>
          <t>VK</t>
        </is>
      </c>
      <c r="B137" s="12" t="inlineStr">
        <is>
          <t>B331</t>
        </is>
      </c>
      <c r="C137" s="13" t="inlineStr">
        <is>
          <t>上海区域</t>
        </is>
      </c>
      <c r="D137" s="13" t="inlineStr">
        <is>
          <t>CMCF</t>
        </is>
      </c>
      <c r="E137" s="13" t="inlineStr">
        <is>
          <t>EE 上海七宝万科广场</t>
        </is>
      </c>
      <c r="F137" s="12" t="inlineStr">
        <is>
          <t>02</t>
        </is>
      </c>
      <c r="G137" s="13" t="inlineStr">
        <is>
          <t>购物中心</t>
        </is>
      </c>
      <c r="H137" s="14" t="inlineStr">
        <is>
          <t>EEVKG23E01</t>
        </is>
      </c>
      <c r="I137" s="12" t="n">
        <v>599</v>
      </c>
      <c r="J137" s="44" t="n">
        <v>599</v>
      </c>
      <c r="K137" s="46">
        <f>VLOOKUP(H137,'七宝0412-0511'!H:M,6,0)</f>
        <v/>
      </c>
      <c r="L137" s="46">
        <f>VLOOKUP(H137,'七宝0412-0511'!H:O,8,0)</f>
        <v/>
      </c>
    </row>
    <row r="138" ht="18.95" customHeight="1" s="49">
      <c r="A138" s="9" t="inlineStr">
        <is>
          <t>VK</t>
        </is>
      </c>
      <c r="B138" s="9" t="inlineStr">
        <is>
          <t>B331</t>
        </is>
      </c>
      <c r="C138" s="10" t="inlineStr">
        <is>
          <t>上海区域</t>
        </is>
      </c>
      <c r="D138" s="10" t="inlineStr">
        <is>
          <t>CMCF</t>
        </is>
      </c>
      <c r="E138" s="10" t="inlineStr">
        <is>
          <t>EE 上海七宝万科广场</t>
        </is>
      </c>
      <c r="F138" s="9" t="inlineStr">
        <is>
          <t>02</t>
        </is>
      </c>
      <c r="G138" s="10" t="inlineStr">
        <is>
          <t>购物中心</t>
        </is>
      </c>
      <c r="H138" s="11" t="inlineStr">
        <is>
          <t>EEVKG24E01</t>
        </is>
      </c>
      <c r="I138" s="9" t="n">
        <v>599</v>
      </c>
      <c r="J138" s="43" t="n">
        <v>599</v>
      </c>
      <c r="K138" s="46">
        <f>VLOOKUP(H138,'七宝0412-0511'!H:M,6,0)</f>
        <v/>
      </c>
      <c r="L138" s="46">
        <f>VLOOKUP(H138,'七宝0412-0511'!H:O,8,0)</f>
        <v/>
      </c>
    </row>
    <row r="139" ht="18.95" customHeight="1" s="49">
      <c r="A139" s="12" t="inlineStr">
        <is>
          <t>VK</t>
        </is>
      </c>
      <c r="B139" s="12" t="inlineStr">
        <is>
          <t>B331</t>
        </is>
      </c>
      <c r="C139" s="13" t="inlineStr">
        <is>
          <t>上海区域</t>
        </is>
      </c>
      <c r="D139" s="13" t="inlineStr">
        <is>
          <t>CMCF</t>
        </is>
      </c>
      <c r="E139" s="13" t="inlineStr">
        <is>
          <t>EE 上海七宝万科广场</t>
        </is>
      </c>
      <c r="F139" s="12" t="inlineStr">
        <is>
          <t>02</t>
        </is>
      </c>
      <c r="G139" s="13" t="inlineStr">
        <is>
          <t>购物中心</t>
        </is>
      </c>
      <c r="H139" s="14" t="inlineStr">
        <is>
          <t>EEVKG25B02</t>
        </is>
      </c>
      <c r="I139" s="12" t="n">
        <v>699</v>
      </c>
      <c r="J139" s="44" t="n">
        <v>699</v>
      </c>
      <c r="K139" s="46">
        <f>VLOOKUP(H139,'七宝0412-0511'!H:M,6,0)</f>
        <v/>
      </c>
      <c r="L139" s="46">
        <f>VLOOKUP(H139,'七宝0412-0511'!H:O,8,0)</f>
        <v/>
      </c>
    </row>
    <row r="140" ht="18.95" customHeight="1" s="49">
      <c r="A140" s="9" t="inlineStr">
        <is>
          <t>VK</t>
        </is>
      </c>
      <c r="B140" s="9" t="inlineStr">
        <is>
          <t>B331</t>
        </is>
      </c>
      <c r="C140" s="10" t="inlineStr">
        <is>
          <t>上海区域</t>
        </is>
      </c>
      <c r="D140" s="10" t="inlineStr">
        <is>
          <t>CMCF</t>
        </is>
      </c>
      <c r="E140" s="10" t="inlineStr">
        <is>
          <t>EE 上海七宝万科广场</t>
        </is>
      </c>
      <c r="F140" s="9" t="inlineStr">
        <is>
          <t>02</t>
        </is>
      </c>
      <c r="G140" s="10" t="inlineStr">
        <is>
          <t>购物中心</t>
        </is>
      </c>
      <c r="H140" s="11" t="inlineStr">
        <is>
          <t>EEVKG25B03</t>
        </is>
      </c>
      <c r="I140" s="9" t="n">
        <v>699</v>
      </c>
      <c r="J140" s="43" t="n">
        <v>699</v>
      </c>
      <c r="K140" s="46">
        <f>VLOOKUP(H140,'七宝0412-0511'!H:M,6,0)</f>
        <v/>
      </c>
      <c r="L140" s="46">
        <f>VLOOKUP(H140,'七宝0412-0511'!H:O,8,0)</f>
        <v/>
      </c>
    </row>
    <row r="141" ht="18.95" customHeight="1" s="49">
      <c r="A141" s="12" t="inlineStr">
        <is>
          <t>VK</t>
        </is>
      </c>
      <c r="B141" s="12" t="inlineStr">
        <is>
          <t>B331</t>
        </is>
      </c>
      <c r="C141" s="13" t="inlineStr">
        <is>
          <t>上海区域</t>
        </is>
      </c>
      <c r="D141" s="13" t="inlineStr">
        <is>
          <t>CMCF</t>
        </is>
      </c>
      <c r="E141" s="13" t="inlineStr">
        <is>
          <t>EE 上海七宝万科广场</t>
        </is>
      </c>
      <c r="F141" s="12" t="inlineStr">
        <is>
          <t>02</t>
        </is>
      </c>
      <c r="G141" s="13" t="inlineStr">
        <is>
          <t>购物中心</t>
        </is>
      </c>
      <c r="H141" s="14" t="inlineStr">
        <is>
          <t>EEVKG25B04</t>
        </is>
      </c>
      <c r="I141" s="12" t="n">
        <v>699</v>
      </c>
      <c r="J141" s="44" t="n">
        <v>699</v>
      </c>
      <c r="K141" s="46">
        <f>VLOOKUP(H141,'七宝0412-0511'!H:M,6,0)</f>
        <v/>
      </c>
      <c r="L141" s="46">
        <f>VLOOKUP(H141,'七宝0412-0511'!H:O,8,0)</f>
        <v/>
      </c>
    </row>
    <row r="142" ht="18.95" customHeight="1" s="49">
      <c r="A142" s="9" t="inlineStr">
        <is>
          <t>VK</t>
        </is>
      </c>
      <c r="B142" s="9" t="inlineStr">
        <is>
          <t>B331</t>
        </is>
      </c>
      <c r="C142" s="10" t="inlineStr">
        <is>
          <t>上海区域</t>
        </is>
      </c>
      <c r="D142" s="10" t="inlineStr">
        <is>
          <t>CMCF</t>
        </is>
      </c>
      <c r="E142" s="10" t="inlineStr">
        <is>
          <t>EE 上海七宝万科广场</t>
        </is>
      </c>
      <c r="F142" s="9" t="inlineStr">
        <is>
          <t>02</t>
        </is>
      </c>
      <c r="G142" s="10" t="inlineStr">
        <is>
          <t>购物中心</t>
        </is>
      </c>
      <c r="H142" s="11" t="inlineStr">
        <is>
          <t>EEVKG25D05</t>
        </is>
      </c>
      <c r="I142" s="9" t="n">
        <v>899</v>
      </c>
      <c r="J142" s="43" t="n">
        <v>899</v>
      </c>
      <c r="K142" s="46">
        <f>VLOOKUP(H142,'七宝0412-0511'!H:M,6,0)</f>
        <v/>
      </c>
      <c r="L142" s="46">
        <f>VLOOKUP(H142,'七宝0412-0511'!H:O,8,0)</f>
        <v/>
      </c>
    </row>
    <row r="143" ht="18.95" customHeight="1" s="49">
      <c r="A143" s="12" t="inlineStr">
        <is>
          <t>VK</t>
        </is>
      </c>
      <c r="B143" s="12" t="inlineStr">
        <is>
          <t>B331</t>
        </is>
      </c>
      <c r="C143" s="13" t="inlineStr">
        <is>
          <t>上海区域</t>
        </is>
      </c>
      <c r="D143" s="13" t="inlineStr">
        <is>
          <t>CMCF</t>
        </is>
      </c>
      <c r="E143" s="13" t="inlineStr">
        <is>
          <t>EE 上海七宝万科广场</t>
        </is>
      </c>
      <c r="F143" s="12" t="inlineStr">
        <is>
          <t>02</t>
        </is>
      </c>
      <c r="G143" s="13" t="inlineStr">
        <is>
          <t>购物中心</t>
        </is>
      </c>
      <c r="H143" s="14" t="inlineStr">
        <is>
          <t>EEVKG25E01</t>
        </is>
      </c>
      <c r="I143" s="12" t="n">
        <v>499</v>
      </c>
      <c r="J143" s="44" t="n">
        <v>499</v>
      </c>
      <c r="K143" s="46">
        <f>VLOOKUP(H143,'七宝0412-0511'!H:M,6,0)</f>
        <v/>
      </c>
      <c r="L143" s="46">
        <f>VLOOKUP(H143,'七宝0412-0511'!H:O,8,0)</f>
        <v/>
      </c>
    </row>
    <row r="144" ht="18.95" customHeight="1" s="49">
      <c r="A144" s="9" t="inlineStr">
        <is>
          <t>VW</t>
        </is>
      </c>
      <c r="B144" s="9" t="inlineStr">
        <is>
          <t>B331</t>
        </is>
      </c>
      <c r="C144" s="10" t="inlineStr">
        <is>
          <t>上海区域</t>
        </is>
      </c>
      <c r="D144" s="10" t="inlineStr">
        <is>
          <t>CMCF</t>
        </is>
      </c>
      <c r="E144" s="10" t="inlineStr">
        <is>
          <t>EE 上海七宝万科广场</t>
        </is>
      </c>
      <c r="F144" s="9" t="inlineStr">
        <is>
          <t>02</t>
        </is>
      </c>
      <c r="G144" s="10" t="inlineStr">
        <is>
          <t>购物中心</t>
        </is>
      </c>
      <c r="H144" s="11" t="inlineStr">
        <is>
          <t>EEVWG24E01</t>
        </is>
      </c>
      <c r="I144" s="9" t="n">
        <v>899</v>
      </c>
      <c r="J144" s="43" t="n">
        <v>899</v>
      </c>
      <c r="K144" s="46">
        <f>VLOOKUP(H144,'七宝0412-0511'!H:M,6,0)</f>
        <v/>
      </c>
      <c r="L144" s="46">
        <f>VLOOKUP(H144,'七宝0412-0511'!H:O,8,0)</f>
        <v/>
      </c>
    </row>
    <row r="145" ht="18.95" customHeight="1" s="49">
      <c r="A145" s="12" t="inlineStr">
        <is>
          <t>VW</t>
        </is>
      </c>
      <c r="B145" s="12" t="inlineStr">
        <is>
          <t>B331</t>
        </is>
      </c>
      <c r="C145" s="13" t="inlineStr">
        <is>
          <t>上海区域</t>
        </is>
      </c>
      <c r="D145" s="13" t="inlineStr">
        <is>
          <t>CMCF</t>
        </is>
      </c>
      <c r="E145" s="13" t="inlineStr">
        <is>
          <t>EE 上海七宝万科广场</t>
        </is>
      </c>
      <c r="F145" s="12" t="inlineStr">
        <is>
          <t>02</t>
        </is>
      </c>
      <c r="G145" s="13" t="inlineStr">
        <is>
          <t>购物中心</t>
        </is>
      </c>
      <c r="H145" s="14" t="inlineStr">
        <is>
          <t>EEVWG25B01</t>
        </is>
      </c>
      <c r="I145" s="12" t="n">
        <v>999</v>
      </c>
      <c r="J145" s="44" t="n">
        <v>999</v>
      </c>
      <c r="K145" s="46">
        <f>VLOOKUP(H145,'七宝0412-0511'!H:M,6,0)</f>
        <v/>
      </c>
      <c r="L145" s="46">
        <f>VLOOKUP(H145,'七宝0412-0511'!H:O,8,0)</f>
        <v/>
      </c>
    </row>
    <row r="146" ht="18.95" customHeight="1" s="49">
      <c r="A146" s="9" t="inlineStr">
        <is>
          <t>WH</t>
        </is>
      </c>
      <c r="B146" s="9" t="inlineStr">
        <is>
          <t>B331</t>
        </is>
      </c>
      <c r="C146" s="10" t="inlineStr">
        <is>
          <t>上海区域</t>
        </is>
      </c>
      <c r="D146" s="10" t="inlineStr">
        <is>
          <t>CMCF</t>
        </is>
      </c>
      <c r="E146" s="10" t="inlineStr">
        <is>
          <t>EE 上海七宝万科广场</t>
        </is>
      </c>
      <c r="F146" s="9" t="inlineStr">
        <is>
          <t>02</t>
        </is>
      </c>
      <c r="G146" s="10" t="inlineStr">
        <is>
          <t>购物中心</t>
        </is>
      </c>
      <c r="H146" s="11" t="inlineStr">
        <is>
          <t>EEWHG23B02</t>
        </is>
      </c>
      <c r="I146" s="9" t="n">
        <v>999</v>
      </c>
      <c r="J146" s="43" t="n">
        <v>999</v>
      </c>
      <c r="K146" s="46">
        <f>VLOOKUP(H146,'七宝0412-0511'!H:M,6,0)</f>
        <v/>
      </c>
      <c r="L146" s="46">
        <f>VLOOKUP(H146,'七宝0412-0511'!H:O,8,0)</f>
        <v/>
      </c>
    </row>
    <row r="147" ht="18.95" customHeight="1" s="49">
      <c r="A147" s="12" t="inlineStr">
        <is>
          <t>WH</t>
        </is>
      </c>
      <c r="B147" s="12" t="inlineStr">
        <is>
          <t>B331</t>
        </is>
      </c>
      <c r="C147" s="13" t="inlineStr">
        <is>
          <t>上海区域</t>
        </is>
      </c>
      <c r="D147" s="13" t="inlineStr">
        <is>
          <t>CMCF</t>
        </is>
      </c>
      <c r="E147" s="13" t="inlineStr">
        <is>
          <t>EE 上海七宝万科广场</t>
        </is>
      </c>
      <c r="F147" s="12" t="inlineStr">
        <is>
          <t>02</t>
        </is>
      </c>
      <c r="G147" s="13" t="inlineStr">
        <is>
          <t>购物中心</t>
        </is>
      </c>
      <c r="H147" s="14" t="inlineStr">
        <is>
          <t>EEWHG23E01</t>
        </is>
      </c>
      <c r="I147" s="12" t="n">
        <v>799</v>
      </c>
      <c r="J147" s="44" t="n">
        <v>799</v>
      </c>
      <c r="K147" s="46">
        <f>VLOOKUP(H147,'七宝0412-0511'!H:M,6,0)</f>
        <v/>
      </c>
      <c r="L147" s="46">
        <f>VLOOKUP(H147,'七宝0412-0511'!H:O,8,0)</f>
        <v/>
      </c>
    </row>
    <row r="148" ht="18.95" customHeight="1" s="49">
      <c r="A148" s="9" t="inlineStr">
        <is>
          <t>WH</t>
        </is>
      </c>
      <c r="B148" s="9" t="inlineStr">
        <is>
          <t>B331</t>
        </is>
      </c>
      <c r="C148" s="10" t="inlineStr">
        <is>
          <t>上海区域</t>
        </is>
      </c>
      <c r="D148" s="10" t="inlineStr">
        <is>
          <t>CMCF</t>
        </is>
      </c>
      <c r="E148" s="10" t="inlineStr">
        <is>
          <t>EE 上海七宝万科广场</t>
        </is>
      </c>
      <c r="F148" s="9" t="inlineStr">
        <is>
          <t>02</t>
        </is>
      </c>
      <c r="G148" s="10" t="inlineStr">
        <is>
          <t>购物中心</t>
        </is>
      </c>
      <c r="H148" s="11" t="inlineStr">
        <is>
          <t>EEWHG23E03</t>
        </is>
      </c>
      <c r="I148" s="9" t="n">
        <v>699</v>
      </c>
      <c r="J148" s="43" t="n">
        <v>699</v>
      </c>
      <c r="K148" s="46">
        <f>VLOOKUP(H148,'七宝0412-0511'!H:M,6,0)</f>
        <v/>
      </c>
      <c r="L148" s="46">
        <f>VLOOKUP(H148,'七宝0412-0511'!H:O,8,0)</f>
        <v/>
      </c>
    </row>
    <row r="149" ht="18.95" customHeight="1" s="49">
      <c r="A149" s="12" t="inlineStr">
        <is>
          <t>WH</t>
        </is>
      </c>
      <c r="B149" s="12" t="inlineStr">
        <is>
          <t>B331</t>
        </is>
      </c>
      <c r="C149" s="13" t="inlineStr">
        <is>
          <t>上海区域</t>
        </is>
      </c>
      <c r="D149" s="13" t="inlineStr">
        <is>
          <t>CMCF</t>
        </is>
      </c>
      <c r="E149" s="13" t="inlineStr">
        <is>
          <t>EE 上海七宝万科广场</t>
        </is>
      </c>
      <c r="F149" s="12" t="inlineStr">
        <is>
          <t>02</t>
        </is>
      </c>
      <c r="G149" s="13" t="inlineStr">
        <is>
          <t>购物中心</t>
        </is>
      </c>
      <c r="H149" s="14" t="inlineStr">
        <is>
          <t>EEWHG23E52</t>
        </is>
      </c>
      <c r="I149" s="12" t="n">
        <v>699</v>
      </c>
      <c r="J149" s="44" t="n">
        <v>699</v>
      </c>
      <c r="K149" s="46">
        <f>VLOOKUP(H149,'七宝0412-0511'!H:M,6,0)</f>
        <v/>
      </c>
      <c r="L149" s="46">
        <f>VLOOKUP(H149,'七宝0412-0511'!H:O,8,0)</f>
        <v/>
      </c>
    </row>
    <row r="150" ht="18.95" customHeight="1" s="49">
      <c r="A150" s="9" t="inlineStr">
        <is>
          <t>WH</t>
        </is>
      </c>
      <c r="B150" s="9" t="inlineStr">
        <is>
          <t>B331</t>
        </is>
      </c>
      <c r="C150" s="10" t="inlineStr">
        <is>
          <t>上海区域</t>
        </is>
      </c>
      <c r="D150" s="10" t="inlineStr">
        <is>
          <t>CMCF</t>
        </is>
      </c>
      <c r="E150" s="10" t="inlineStr">
        <is>
          <t>EE 上海七宝万科广场</t>
        </is>
      </c>
      <c r="F150" s="9" t="inlineStr">
        <is>
          <t>02</t>
        </is>
      </c>
      <c r="G150" s="10" t="inlineStr">
        <is>
          <t>购物中心</t>
        </is>
      </c>
      <c r="H150" s="11" t="inlineStr">
        <is>
          <t>EEWHG23R31</t>
        </is>
      </c>
      <c r="I150" s="9" t="n">
        <v>799</v>
      </c>
      <c r="J150" s="43" t="n">
        <v>799</v>
      </c>
      <c r="K150" s="46">
        <f>VLOOKUP(H150,'七宝0412-0511'!H:M,6,0)</f>
        <v/>
      </c>
      <c r="L150" s="46">
        <f>VLOOKUP(H150,'七宝0412-0511'!H:O,8,0)</f>
        <v/>
      </c>
    </row>
    <row r="151" ht="18.95" customHeight="1" s="49">
      <c r="A151" s="12" t="inlineStr">
        <is>
          <t>WH</t>
        </is>
      </c>
      <c r="B151" s="12" t="inlineStr">
        <is>
          <t>B331</t>
        </is>
      </c>
      <c r="C151" s="13" t="inlineStr">
        <is>
          <t>上海区域</t>
        </is>
      </c>
      <c r="D151" s="13" t="inlineStr">
        <is>
          <t>CMCF</t>
        </is>
      </c>
      <c r="E151" s="13" t="inlineStr">
        <is>
          <t>EE 上海七宝万科广场</t>
        </is>
      </c>
      <c r="F151" s="12" t="inlineStr">
        <is>
          <t>02</t>
        </is>
      </c>
      <c r="G151" s="13" t="inlineStr">
        <is>
          <t>购物中心</t>
        </is>
      </c>
      <c r="H151" s="14" t="inlineStr">
        <is>
          <t>EEWHG24E01</t>
        </is>
      </c>
      <c r="I151" s="12" t="n">
        <v>799</v>
      </c>
      <c r="J151" s="44" t="n">
        <v>799</v>
      </c>
      <c r="K151" s="46">
        <f>VLOOKUP(H151,'七宝0412-0511'!H:M,6,0)</f>
        <v/>
      </c>
      <c r="L151" s="46">
        <f>VLOOKUP(H151,'七宝0412-0511'!H:O,8,0)</f>
        <v/>
      </c>
    </row>
    <row r="152" ht="18.95" customHeight="1" s="49">
      <c r="A152" s="9" t="inlineStr">
        <is>
          <t>WH</t>
        </is>
      </c>
      <c r="B152" s="9" t="inlineStr">
        <is>
          <t>B331</t>
        </is>
      </c>
      <c r="C152" s="10" t="inlineStr">
        <is>
          <t>上海区域</t>
        </is>
      </c>
      <c r="D152" s="10" t="inlineStr">
        <is>
          <t>CMCF</t>
        </is>
      </c>
      <c r="E152" s="10" t="inlineStr">
        <is>
          <t>EE 上海七宝万科广场</t>
        </is>
      </c>
      <c r="F152" s="9" t="inlineStr">
        <is>
          <t>02</t>
        </is>
      </c>
      <c r="G152" s="10" t="inlineStr">
        <is>
          <t>购物中心</t>
        </is>
      </c>
      <c r="H152" s="11" t="inlineStr">
        <is>
          <t>EEWHG24E02</t>
        </is>
      </c>
      <c r="I152" s="9" t="n">
        <v>899</v>
      </c>
      <c r="J152" s="43" t="n">
        <v>899</v>
      </c>
      <c r="K152" s="46">
        <f>VLOOKUP(H152,'七宝0412-0511'!H:M,6,0)</f>
        <v/>
      </c>
      <c r="L152" s="46">
        <f>VLOOKUP(H152,'七宝0412-0511'!H:O,8,0)</f>
        <v/>
      </c>
    </row>
    <row r="153" ht="18.95" customHeight="1" s="49">
      <c r="A153" s="12" t="inlineStr">
        <is>
          <t>WH</t>
        </is>
      </c>
      <c r="B153" s="12" t="inlineStr">
        <is>
          <t>B331</t>
        </is>
      </c>
      <c r="C153" s="13" t="inlineStr">
        <is>
          <t>上海区域</t>
        </is>
      </c>
      <c r="D153" s="13" t="inlineStr">
        <is>
          <t>CMCF</t>
        </is>
      </c>
      <c r="E153" s="13" t="inlineStr">
        <is>
          <t>EE 上海七宝万科广场</t>
        </is>
      </c>
      <c r="F153" s="12" t="inlineStr">
        <is>
          <t>02</t>
        </is>
      </c>
      <c r="G153" s="13" t="inlineStr">
        <is>
          <t>购物中心</t>
        </is>
      </c>
      <c r="H153" s="14" t="inlineStr">
        <is>
          <t>EEWHG24E03</t>
        </is>
      </c>
      <c r="I153" s="12" t="n">
        <v>699</v>
      </c>
      <c r="J153" s="44" t="n">
        <v>699</v>
      </c>
      <c r="K153" s="46">
        <f>VLOOKUP(H153,'七宝0412-0511'!H:M,6,0)</f>
        <v/>
      </c>
      <c r="L153" s="46">
        <f>VLOOKUP(H153,'七宝0412-0511'!H:O,8,0)</f>
        <v/>
      </c>
    </row>
    <row r="154" ht="18.95" customHeight="1" s="49">
      <c r="A154" s="9" t="inlineStr">
        <is>
          <t>WH</t>
        </is>
      </c>
      <c r="B154" s="9" t="inlineStr">
        <is>
          <t>B331</t>
        </is>
      </c>
      <c r="C154" s="10" t="inlineStr">
        <is>
          <t>上海区域</t>
        </is>
      </c>
      <c r="D154" s="10" t="inlineStr">
        <is>
          <t>CMCF</t>
        </is>
      </c>
      <c r="E154" s="10" t="inlineStr">
        <is>
          <t>EE 上海七宝万科广场</t>
        </is>
      </c>
      <c r="F154" s="9" t="inlineStr">
        <is>
          <t>02</t>
        </is>
      </c>
      <c r="G154" s="10" t="inlineStr">
        <is>
          <t>购物中心</t>
        </is>
      </c>
      <c r="H154" s="11" t="inlineStr">
        <is>
          <t>EEWHG24E04</t>
        </is>
      </c>
      <c r="I154" s="9" t="n">
        <v>799</v>
      </c>
      <c r="J154" s="43" t="n">
        <v>799</v>
      </c>
      <c r="K154" s="46">
        <f>VLOOKUP(H154,'七宝0412-0511'!H:M,6,0)</f>
        <v/>
      </c>
      <c r="L154" s="46">
        <f>VLOOKUP(H154,'七宝0412-0511'!H:O,8,0)</f>
        <v/>
      </c>
    </row>
    <row r="155" ht="18.95" customHeight="1" s="49">
      <c r="A155" s="12" t="inlineStr">
        <is>
          <t>WH</t>
        </is>
      </c>
      <c r="B155" s="12" t="inlineStr">
        <is>
          <t>B331</t>
        </is>
      </c>
      <c r="C155" s="13" t="inlineStr">
        <is>
          <t>上海区域</t>
        </is>
      </c>
      <c r="D155" s="13" t="inlineStr">
        <is>
          <t>CMCF</t>
        </is>
      </c>
      <c r="E155" s="13" t="inlineStr">
        <is>
          <t>EE 上海七宝万科广场</t>
        </is>
      </c>
      <c r="F155" s="12" t="inlineStr">
        <is>
          <t>02</t>
        </is>
      </c>
      <c r="G155" s="13" t="inlineStr">
        <is>
          <t>购物中心</t>
        </is>
      </c>
      <c r="H155" s="14" t="inlineStr">
        <is>
          <t>EEWHG24E05</t>
        </is>
      </c>
      <c r="I155" s="12" t="n">
        <v>699</v>
      </c>
      <c r="J155" s="44" t="n">
        <v>699</v>
      </c>
      <c r="K155" s="46">
        <f>VLOOKUP(H155,'七宝0412-0511'!H:M,6,0)</f>
        <v/>
      </c>
      <c r="L155" s="46">
        <f>VLOOKUP(H155,'七宝0412-0511'!H:O,8,0)</f>
        <v/>
      </c>
    </row>
    <row r="156" ht="18.95" customHeight="1" s="49">
      <c r="A156" s="9" t="inlineStr">
        <is>
          <t>WH</t>
        </is>
      </c>
      <c r="B156" s="9" t="inlineStr">
        <is>
          <t>B331</t>
        </is>
      </c>
      <c r="C156" s="10" t="inlineStr">
        <is>
          <t>上海区域</t>
        </is>
      </c>
      <c r="D156" s="10" t="inlineStr">
        <is>
          <t>CMCF</t>
        </is>
      </c>
      <c r="E156" s="10" t="inlineStr">
        <is>
          <t>EE 上海七宝万科广场</t>
        </is>
      </c>
      <c r="F156" s="9" t="inlineStr">
        <is>
          <t>02</t>
        </is>
      </c>
      <c r="G156" s="10" t="inlineStr">
        <is>
          <t>购物中心</t>
        </is>
      </c>
      <c r="H156" s="11" t="inlineStr">
        <is>
          <t>EEWHG24E56</t>
        </is>
      </c>
      <c r="I156" s="9" t="n">
        <v>799</v>
      </c>
      <c r="J156" s="43" t="n">
        <v>799</v>
      </c>
      <c r="K156" s="46">
        <f>VLOOKUP(H156,'七宝0412-0511'!H:M,6,0)</f>
        <v/>
      </c>
      <c r="L156" s="46">
        <f>VLOOKUP(H156,'七宝0412-0511'!H:O,8,0)</f>
        <v/>
      </c>
    </row>
    <row r="157" ht="18.95" customHeight="1" s="49">
      <c r="A157" s="12" t="inlineStr">
        <is>
          <t>WH</t>
        </is>
      </c>
      <c r="B157" s="12" t="inlineStr">
        <is>
          <t>B331</t>
        </is>
      </c>
      <c r="C157" s="13" t="inlineStr">
        <is>
          <t>上海区域</t>
        </is>
      </c>
      <c r="D157" s="13" t="inlineStr">
        <is>
          <t>CMCF</t>
        </is>
      </c>
      <c r="E157" s="13" t="inlineStr">
        <is>
          <t>EE 上海七宝万科广场</t>
        </is>
      </c>
      <c r="F157" s="12" t="inlineStr">
        <is>
          <t>02</t>
        </is>
      </c>
      <c r="G157" s="13" t="inlineStr">
        <is>
          <t>购物中心</t>
        </is>
      </c>
      <c r="H157" s="14" t="inlineStr">
        <is>
          <t>EEWHG25B06</t>
        </is>
      </c>
      <c r="I157" s="12" t="n">
        <v>899</v>
      </c>
      <c r="J157" s="44" t="n">
        <v>899</v>
      </c>
      <c r="K157" s="46">
        <f>VLOOKUP(H157,'七宝0412-0511'!H:M,6,0)</f>
        <v/>
      </c>
      <c r="L157" s="46">
        <f>VLOOKUP(H157,'七宝0412-0511'!H:O,8,0)</f>
        <v/>
      </c>
    </row>
    <row r="158" ht="18.95" customHeight="1" s="49">
      <c r="A158" s="9" t="inlineStr">
        <is>
          <t>WH</t>
        </is>
      </c>
      <c r="B158" s="9" t="inlineStr">
        <is>
          <t>B331</t>
        </is>
      </c>
      <c r="C158" s="10" t="inlineStr">
        <is>
          <t>上海区域</t>
        </is>
      </c>
      <c r="D158" s="10" t="inlineStr">
        <is>
          <t>CMCF</t>
        </is>
      </c>
      <c r="E158" s="10" t="inlineStr">
        <is>
          <t>EE 上海七宝万科广场</t>
        </is>
      </c>
      <c r="F158" s="9" t="inlineStr">
        <is>
          <t>02</t>
        </is>
      </c>
      <c r="G158" s="10" t="inlineStr">
        <is>
          <t>购物中心</t>
        </is>
      </c>
      <c r="H158" s="11" t="inlineStr">
        <is>
          <t>EEWHG25B08</t>
        </is>
      </c>
      <c r="I158" s="9" t="n">
        <v>999</v>
      </c>
      <c r="J158" s="43" t="n">
        <v>999</v>
      </c>
      <c r="K158" s="46">
        <f>VLOOKUP(H158,'七宝0412-0511'!H:M,6,0)</f>
        <v/>
      </c>
      <c r="L158" s="46">
        <f>VLOOKUP(H158,'七宝0412-0511'!H:O,8,0)</f>
        <v/>
      </c>
    </row>
    <row r="159" ht="18.95" customHeight="1" s="49">
      <c r="A159" s="12" t="inlineStr">
        <is>
          <t>WH</t>
        </is>
      </c>
      <c r="B159" s="12" t="inlineStr">
        <is>
          <t>B331</t>
        </is>
      </c>
      <c r="C159" s="13" t="inlineStr">
        <is>
          <t>上海区域</t>
        </is>
      </c>
      <c r="D159" s="13" t="inlineStr">
        <is>
          <t>CMCF</t>
        </is>
      </c>
      <c r="E159" s="13" t="inlineStr">
        <is>
          <t>EE 上海七宝万科广场</t>
        </is>
      </c>
      <c r="F159" s="12" t="inlineStr">
        <is>
          <t>02</t>
        </is>
      </c>
      <c r="G159" s="13" t="inlineStr">
        <is>
          <t>购物中心</t>
        </is>
      </c>
      <c r="H159" s="14" t="inlineStr">
        <is>
          <t>EEWHG25E01</t>
        </is>
      </c>
      <c r="I159" s="12" t="n">
        <v>899</v>
      </c>
      <c r="J159" s="44" t="n">
        <v>899</v>
      </c>
      <c r="K159" s="46">
        <f>VLOOKUP(H159,'七宝0412-0511'!H:M,6,0)</f>
        <v/>
      </c>
      <c r="L159" s="46">
        <f>VLOOKUP(H159,'七宝0412-0511'!H:O,8,0)</f>
        <v/>
      </c>
    </row>
    <row r="160" ht="18.95" customHeight="1" s="49">
      <c r="A160" s="9" t="inlineStr">
        <is>
          <t>WH</t>
        </is>
      </c>
      <c r="B160" s="9" t="inlineStr">
        <is>
          <t>B331</t>
        </is>
      </c>
      <c r="C160" s="10" t="inlineStr">
        <is>
          <t>上海区域</t>
        </is>
      </c>
      <c r="D160" s="10" t="inlineStr">
        <is>
          <t>CMCF</t>
        </is>
      </c>
      <c r="E160" s="10" t="inlineStr">
        <is>
          <t>EE 上海七宝万科广场</t>
        </is>
      </c>
      <c r="F160" s="9" t="inlineStr">
        <is>
          <t>02</t>
        </is>
      </c>
      <c r="G160" s="10" t="inlineStr">
        <is>
          <t>购物中心</t>
        </is>
      </c>
      <c r="H160" s="11" t="inlineStr">
        <is>
          <t>EEWHG25E03</t>
        </is>
      </c>
      <c r="I160" s="9" t="n">
        <v>699</v>
      </c>
      <c r="J160" s="43" t="n">
        <v>699</v>
      </c>
      <c r="K160" s="46">
        <f>VLOOKUP(H160,'七宝0412-0511'!H:M,6,0)</f>
        <v/>
      </c>
      <c r="L160" s="46">
        <f>VLOOKUP(H160,'七宝0412-0511'!H:O,8,0)</f>
        <v/>
      </c>
    </row>
    <row r="161" ht="18.95" customHeight="1" s="49">
      <c r="A161" s="12" t="inlineStr">
        <is>
          <t>WH</t>
        </is>
      </c>
      <c r="B161" s="12" t="inlineStr">
        <is>
          <t>B331</t>
        </is>
      </c>
      <c r="C161" s="13" t="inlineStr">
        <is>
          <t>上海区域</t>
        </is>
      </c>
      <c r="D161" s="13" t="inlineStr">
        <is>
          <t>CMCF</t>
        </is>
      </c>
      <c r="E161" s="13" t="inlineStr">
        <is>
          <t>EE 上海七宝万科广场</t>
        </is>
      </c>
      <c r="F161" s="12" t="inlineStr">
        <is>
          <t>02</t>
        </is>
      </c>
      <c r="G161" s="13" t="inlineStr">
        <is>
          <t>购物中心</t>
        </is>
      </c>
      <c r="H161" s="14" t="inlineStr">
        <is>
          <t>EEWHG25E52</t>
        </is>
      </c>
      <c r="I161" s="12" t="n">
        <v>799</v>
      </c>
      <c r="J161" s="44" t="n">
        <v>799</v>
      </c>
      <c r="K161" s="46">
        <f>VLOOKUP(H161,'七宝0412-0511'!H:M,6,0)</f>
        <v/>
      </c>
      <c r="L161" s="46">
        <f>VLOOKUP(H161,'七宝0412-0511'!H:O,8,0)</f>
        <v/>
      </c>
    </row>
    <row r="162" ht="18.95" customHeight="1" s="49">
      <c r="A162" s="9" t="inlineStr">
        <is>
          <t>WJ</t>
        </is>
      </c>
      <c r="B162" s="9" t="inlineStr">
        <is>
          <t>B331</t>
        </is>
      </c>
      <c r="C162" s="10" t="inlineStr">
        <is>
          <t>上海区域</t>
        </is>
      </c>
      <c r="D162" s="10" t="inlineStr">
        <is>
          <t>CMCF</t>
        </is>
      </c>
      <c r="E162" s="10" t="inlineStr">
        <is>
          <t>EE 上海七宝万科广场</t>
        </is>
      </c>
      <c r="F162" s="9" t="inlineStr">
        <is>
          <t>02</t>
        </is>
      </c>
      <c r="G162" s="10" t="inlineStr">
        <is>
          <t>购物中心</t>
        </is>
      </c>
      <c r="H162" s="11" t="inlineStr">
        <is>
          <t>EEWJG23B01</t>
        </is>
      </c>
      <c r="I162" s="9" t="n">
        <v>999</v>
      </c>
      <c r="J162" s="43" t="n">
        <v>999</v>
      </c>
      <c r="K162" s="46">
        <f>VLOOKUP(H162,'七宝0412-0511'!H:M,6,0)</f>
        <v/>
      </c>
      <c r="L162" s="46">
        <f>VLOOKUP(H162,'七宝0412-0511'!H:O,8,0)</f>
        <v/>
      </c>
    </row>
    <row r="163" ht="18.95" customHeight="1" s="49">
      <c r="A163" s="12" t="inlineStr">
        <is>
          <t>WJ</t>
        </is>
      </c>
      <c r="B163" s="12" t="inlineStr">
        <is>
          <t>B331</t>
        </is>
      </c>
      <c r="C163" s="13" t="inlineStr">
        <is>
          <t>上海区域</t>
        </is>
      </c>
      <c r="D163" s="13" t="inlineStr">
        <is>
          <t>CMCF</t>
        </is>
      </c>
      <c r="E163" s="13" t="inlineStr">
        <is>
          <t>EE 上海七宝万科广场</t>
        </is>
      </c>
      <c r="F163" s="12" t="inlineStr">
        <is>
          <t>02</t>
        </is>
      </c>
      <c r="G163" s="13" t="inlineStr">
        <is>
          <t>购物中心</t>
        </is>
      </c>
      <c r="H163" s="14" t="inlineStr">
        <is>
          <t>EEWJG23B02</t>
        </is>
      </c>
      <c r="I163" s="12" t="n">
        <v>799</v>
      </c>
      <c r="J163" s="44" t="n">
        <v>799</v>
      </c>
      <c r="K163" s="46">
        <f>VLOOKUP(H163,'七宝0412-0511'!H:M,6,0)</f>
        <v/>
      </c>
      <c r="L163" s="46">
        <f>VLOOKUP(H163,'七宝0412-0511'!H:O,8,0)</f>
        <v/>
      </c>
    </row>
    <row r="164" ht="18.95" customHeight="1" s="49">
      <c r="A164" s="9" t="inlineStr">
        <is>
          <t>WJ</t>
        </is>
      </c>
      <c r="B164" s="9" t="inlineStr">
        <is>
          <t>B331</t>
        </is>
      </c>
      <c r="C164" s="10" t="inlineStr">
        <is>
          <t>上海区域</t>
        </is>
      </c>
      <c r="D164" s="10" t="inlineStr">
        <is>
          <t>CMCF</t>
        </is>
      </c>
      <c r="E164" s="10" t="inlineStr">
        <is>
          <t>EE 上海七宝万科广场</t>
        </is>
      </c>
      <c r="F164" s="9" t="inlineStr">
        <is>
          <t>02</t>
        </is>
      </c>
      <c r="G164" s="10" t="inlineStr">
        <is>
          <t>购物中心</t>
        </is>
      </c>
      <c r="H164" s="11" t="inlineStr">
        <is>
          <t>EEWJG24E01</t>
        </is>
      </c>
      <c r="I164" s="9" t="n">
        <v>699</v>
      </c>
      <c r="J164" s="43" t="n">
        <v>699</v>
      </c>
      <c r="K164" s="46">
        <f>VLOOKUP(H164,'七宝0412-0511'!H:M,6,0)</f>
        <v/>
      </c>
      <c r="L164" s="46">
        <f>VLOOKUP(H164,'七宝0412-0511'!H:O,8,0)</f>
        <v/>
      </c>
    </row>
    <row r="165" ht="18.95" customHeight="1" s="49">
      <c r="A165" s="12" t="inlineStr">
        <is>
          <t>YA</t>
        </is>
      </c>
      <c r="B165" s="12" t="inlineStr">
        <is>
          <t>B331</t>
        </is>
      </c>
      <c r="C165" s="13" t="inlineStr">
        <is>
          <t>上海区域</t>
        </is>
      </c>
      <c r="D165" s="13" t="inlineStr">
        <is>
          <t>CMCF</t>
        </is>
      </c>
      <c r="E165" s="13" t="inlineStr">
        <is>
          <t>EE 上海七宝万科广场</t>
        </is>
      </c>
      <c r="F165" s="12" t="inlineStr">
        <is>
          <t>02</t>
        </is>
      </c>
      <c r="G165" s="13" t="inlineStr">
        <is>
          <t>购物中心</t>
        </is>
      </c>
      <c r="H165" s="14" t="inlineStr">
        <is>
          <t>EEYAG24B02</t>
        </is>
      </c>
      <c r="I165" s="12" t="n">
        <v>699</v>
      </c>
      <c r="J165" s="44" t="n">
        <v>699</v>
      </c>
      <c r="K165" s="46">
        <f>VLOOKUP(H165,'七宝0412-0511'!H:M,6,0)</f>
        <v/>
      </c>
      <c r="L165" s="46">
        <f>VLOOKUP(H165,'七宝0412-0511'!H:O,8,0)</f>
        <v/>
      </c>
    </row>
    <row r="166" ht="18.95" customHeight="1" s="49">
      <c r="A166" s="9" t="inlineStr">
        <is>
          <t>YA</t>
        </is>
      </c>
      <c r="B166" s="9" t="inlineStr">
        <is>
          <t>B331</t>
        </is>
      </c>
      <c r="C166" s="10" t="inlineStr">
        <is>
          <t>上海区域</t>
        </is>
      </c>
      <c r="D166" s="10" t="inlineStr">
        <is>
          <t>CMCF</t>
        </is>
      </c>
      <c r="E166" s="10" t="inlineStr">
        <is>
          <t>EE 上海七宝万科广场</t>
        </is>
      </c>
      <c r="F166" s="9" t="inlineStr">
        <is>
          <t>02</t>
        </is>
      </c>
      <c r="G166" s="10" t="inlineStr">
        <is>
          <t>购物中心</t>
        </is>
      </c>
      <c r="H166" s="11" t="inlineStr">
        <is>
          <t>EEYAG25B01</t>
        </is>
      </c>
      <c r="I166" s="9" t="n">
        <v>699</v>
      </c>
      <c r="J166" s="43" t="n">
        <v>699</v>
      </c>
      <c r="K166" s="46">
        <f>VLOOKUP(H166,'七宝0412-0511'!H:M,6,0)</f>
        <v/>
      </c>
      <c r="L166" s="46">
        <f>VLOOKUP(H166,'七宝0412-0511'!H:O,8,0)</f>
        <v/>
      </c>
    </row>
    <row r="167" ht="18.95" customHeight="1" s="49">
      <c r="A167" s="12" t="inlineStr">
        <is>
          <t>YA</t>
        </is>
      </c>
      <c r="B167" s="12" t="inlineStr">
        <is>
          <t>B331</t>
        </is>
      </c>
      <c r="C167" s="13" t="inlineStr">
        <is>
          <t>上海区域</t>
        </is>
      </c>
      <c r="D167" s="13" t="inlineStr">
        <is>
          <t>CMCF</t>
        </is>
      </c>
      <c r="E167" s="13" t="inlineStr">
        <is>
          <t>EE 上海七宝万科广场</t>
        </is>
      </c>
      <c r="F167" s="12" t="inlineStr">
        <is>
          <t>02</t>
        </is>
      </c>
      <c r="G167" s="13" t="inlineStr">
        <is>
          <t>购物中心</t>
        </is>
      </c>
      <c r="H167" s="14" t="inlineStr">
        <is>
          <t>EEYAG25B04</t>
        </is>
      </c>
      <c r="I167" s="12" t="n">
        <v>599</v>
      </c>
      <c r="J167" s="44" t="n">
        <v>599</v>
      </c>
      <c r="K167" s="46">
        <f>VLOOKUP(H167,'七宝0412-0511'!H:M,6,0)</f>
        <v/>
      </c>
      <c r="L167" s="46">
        <f>VLOOKUP(H167,'七宝0412-0511'!H:O,8,0)</f>
        <v/>
      </c>
    </row>
    <row r="168" ht="18.95" customHeight="1" s="49">
      <c r="A168" s="9" t="inlineStr">
        <is>
          <t>YA</t>
        </is>
      </c>
      <c r="B168" s="9" t="inlineStr">
        <is>
          <t>B331</t>
        </is>
      </c>
      <c r="C168" s="10" t="inlineStr">
        <is>
          <t>上海区域</t>
        </is>
      </c>
      <c r="D168" s="10" t="inlineStr">
        <is>
          <t>CMCF</t>
        </is>
      </c>
      <c r="E168" s="10" t="inlineStr">
        <is>
          <t>EE 上海七宝万科广场</t>
        </is>
      </c>
      <c r="F168" s="9" t="inlineStr">
        <is>
          <t>02</t>
        </is>
      </c>
      <c r="G168" s="10" t="inlineStr">
        <is>
          <t>购物中心</t>
        </is>
      </c>
      <c r="H168" s="11" t="inlineStr">
        <is>
          <t>EEYAG26B03</t>
        </is>
      </c>
      <c r="I168" s="9" t="n">
        <v>699</v>
      </c>
      <c r="J168" s="43" t="n">
        <v>699</v>
      </c>
      <c r="K168" s="46">
        <f>VLOOKUP(H168,'七宝0412-0511'!H:M,6,0)</f>
        <v/>
      </c>
      <c r="L168" s="46">
        <f>VLOOKUP(H168,'七宝0412-0511'!H:O,8,0)</f>
        <v/>
      </c>
    </row>
    <row r="169" ht="18.95" customHeight="1" s="49">
      <c r="A169" s="12" t="inlineStr">
        <is>
          <t>YA</t>
        </is>
      </c>
      <c r="B169" s="12" t="inlineStr">
        <is>
          <t>B331</t>
        </is>
      </c>
      <c r="C169" s="13" t="inlineStr">
        <is>
          <t>上海区域</t>
        </is>
      </c>
      <c r="D169" s="13" t="inlineStr">
        <is>
          <t>CMCF</t>
        </is>
      </c>
      <c r="E169" s="13" t="inlineStr">
        <is>
          <t>EE 上海七宝万科广场</t>
        </is>
      </c>
      <c r="F169" s="12" t="inlineStr">
        <is>
          <t>02</t>
        </is>
      </c>
      <c r="G169" s="13" t="inlineStr">
        <is>
          <t>购物中心</t>
        </is>
      </c>
      <c r="H169" s="14" t="inlineStr">
        <is>
          <t>EEYAG26B04</t>
        </is>
      </c>
      <c r="I169" s="12" t="n">
        <v>699</v>
      </c>
      <c r="J169" s="44" t="n">
        <v>699</v>
      </c>
      <c r="K169" s="46">
        <f>VLOOKUP(H169,'七宝0412-0511'!H:M,6,0)</f>
        <v/>
      </c>
      <c r="L169" s="46">
        <f>VLOOKUP(H169,'七宝0412-0511'!H:O,8,0)</f>
        <v/>
      </c>
    </row>
    <row r="170" ht="18.95" customHeight="1" s="49">
      <c r="A170" s="9" t="inlineStr">
        <is>
          <t>YC</t>
        </is>
      </c>
      <c r="B170" s="9" t="inlineStr">
        <is>
          <t>B331</t>
        </is>
      </c>
      <c r="C170" s="10" t="inlineStr">
        <is>
          <t>上海区域</t>
        </is>
      </c>
      <c r="D170" s="10" t="inlineStr">
        <is>
          <t>CMCF</t>
        </is>
      </c>
      <c r="E170" s="10" t="inlineStr">
        <is>
          <t>EE 上海七宝万科广场</t>
        </is>
      </c>
      <c r="F170" s="9" t="inlineStr">
        <is>
          <t>02</t>
        </is>
      </c>
      <c r="G170" s="10" t="inlineStr">
        <is>
          <t>购物中心</t>
        </is>
      </c>
      <c r="H170" s="11" t="inlineStr">
        <is>
          <t>EEYCG23E01</t>
        </is>
      </c>
      <c r="I170" s="9" t="n">
        <v>799</v>
      </c>
      <c r="J170" s="43" t="n">
        <v>799</v>
      </c>
      <c r="K170" s="46">
        <f>VLOOKUP(H170,'七宝0412-0511'!H:M,6,0)</f>
        <v/>
      </c>
      <c r="L170" s="46">
        <f>VLOOKUP(H170,'七宝0412-0511'!H:O,8,0)</f>
        <v/>
      </c>
    </row>
    <row r="171" ht="18.95" customHeight="1" s="49">
      <c r="A171" s="12" t="inlineStr">
        <is>
          <t>YC</t>
        </is>
      </c>
      <c r="B171" s="12" t="inlineStr">
        <is>
          <t>B331</t>
        </is>
      </c>
      <c r="C171" s="13" t="inlineStr">
        <is>
          <t>上海区域</t>
        </is>
      </c>
      <c r="D171" s="13" t="inlineStr">
        <is>
          <t>CMCF</t>
        </is>
      </c>
      <c r="E171" s="13" t="inlineStr">
        <is>
          <t>EE 上海七宝万科广场</t>
        </is>
      </c>
      <c r="F171" s="12" t="inlineStr">
        <is>
          <t>02</t>
        </is>
      </c>
      <c r="G171" s="13" t="inlineStr">
        <is>
          <t>购物中心</t>
        </is>
      </c>
      <c r="H171" s="14" t="inlineStr">
        <is>
          <t>EEYCG24E01</t>
        </is>
      </c>
      <c r="I171" s="12" t="n">
        <v>699</v>
      </c>
      <c r="J171" s="44" t="n">
        <v>699</v>
      </c>
      <c r="K171" s="46">
        <f>VLOOKUP(H171,'七宝0412-0511'!H:M,6,0)</f>
        <v/>
      </c>
      <c r="L171" s="46">
        <f>VLOOKUP(H171,'七宝0412-0511'!H:O,8,0)</f>
        <v/>
      </c>
    </row>
    <row r="172" ht="18.95" customHeight="1" s="49">
      <c r="A172" s="9" t="inlineStr">
        <is>
          <t>YC</t>
        </is>
      </c>
      <c r="B172" s="9" t="inlineStr">
        <is>
          <t>B331</t>
        </is>
      </c>
      <c r="C172" s="10" t="inlineStr">
        <is>
          <t>上海区域</t>
        </is>
      </c>
      <c r="D172" s="10" t="inlineStr">
        <is>
          <t>CMCF</t>
        </is>
      </c>
      <c r="E172" s="10" t="inlineStr">
        <is>
          <t>EE 上海七宝万科广场</t>
        </is>
      </c>
      <c r="F172" s="9" t="inlineStr">
        <is>
          <t>02</t>
        </is>
      </c>
      <c r="G172" s="10" t="inlineStr">
        <is>
          <t>购物中心</t>
        </is>
      </c>
      <c r="H172" s="11" t="inlineStr">
        <is>
          <t>EEYCG24E02</t>
        </is>
      </c>
      <c r="I172" s="9" t="n">
        <v>799</v>
      </c>
      <c r="J172" s="43" t="n">
        <v>799</v>
      </c>
      <c r="K172" s="46">
        <f>VLOOKUP(H172,'七宝0412-0511'!H:M,6,0)</f>
        <v/>
      </c>
      <c r="L172" s="46">
        <f>VLOOKUP(H172,'七宝0412-0511'!H:O,8,0)</f>
        <v/>
      </c>
    </row>
    <row r="173" ht="18.95" customHeight="1" s="49">
      <c r="A173" s="12" t="inlineStr">
        <is>
          <t>YC</t>
        </is>
      </c>
      <c r="B173" s="12" t="inlineStr">
        <is>
          <t>B331</t>
        </is>
      </c>
      <c r="C173" s="13" t="inlineStr">
        <is>
          <t>上海区域</t>
        </is>
      </c>
      <c r="D173" s="13" t="inlineStr">
        <is>
          <t>CMCF</t>
        </is>
      </c>
      <c r="E173" s="13" t="inlineStr">
        <is>
          <t>EE 上海七宝万科广场</t>
        </is>
      </c>
      <c r="F173" s="12" t="inlineStr">
        <is>
          <t>02</t>
        </is>
      </c>
      <c r="G173" s="13" t="inlineStr">
        <is>
          <t>购物中心</t>
        </is>
      </c>
      <c r="H173" s="14" t="inlineStr">
        <is>
          <t>EEYCG26E01</t>
        </is>
      </c>
      <c r="I173" s="12" t="n">
        <v>799</v>
      </c>
      <c r="J173" s="44" t="n">
        <v>799</v>
      </c>
      <c r="K173" s="46">
        <f>VLOOKUP(H173,'七宝0412-0511'!H:M,6,0)</f>
        <v/>
      </c>
      <c r="L173" s="46">
        <f>VLOOKUP(H173,'七宝0412-0511'!H:O,8,0)</f>
        <v/>
      </c>
    </row>
    <row r="174" ht="18.95" customHeight="1" s="49">
      <c r="A174" s="9" t="inlineStr">
        <is>
          <t>YP</t>
        </is>
      </c>
      <c r="B174" s="9" t="inlineStr">
        <is>
          <t>B331</t>
        </is>
      </c>
      <c r="C174" s="10" t="inlineStr">
        <is>
          <t>上海区域</t>
        </is>
      </c>
      <c r="D174" s="10" t="inlineStr">
        <is>
          <t>CMCF</t>
        </is>
      </c>
      <c r="E174" s="10" t="inlineStr">
        <is>
          <t>EE 上海七宝万科广场</t>
        </is>
      </c>
      <c r="F174" s="9" t="inlineStr">
        <is>
          <t>02</t>
        </is>
      </c>
      <c r="G174" s="10" t="inlineStr">
        <is>
          <t>购物中心</t>
        </is>
      </c>
      <c r="H174" s="11" t="inlineStr">
        <is>
          <t>EEYPG23E01</t>
        </is>
      </c>
      <c r="I174" s="9" t="n">
        <v>699</v>
      </c>
      <c r="J174" s="43" t="n">
        <v>699</v>
      </c>
      <c r="K174" s="46">
        <f>VLOOKUP(H174,'七宝0412-0511'!H:M,6,0)</f>
        <v/>
      </c>
      <c r="L174" s="46">
        <f>VLOOKUP(H174,'七宝0412-0511'!H:O,8,0)</f>
        <v/>
      </c>
    </row>
    <row r="175" ht="18.95" customHeight="1" s="49">
      <c r="A175" s="12" t="inlineStr">
        <is>
          <t>YP</t>
        </is>
      </c>
      <c r="B175" s="12" t="inlineStr">
        <is>
          <t>B331</t>
        </is>
      </c>
      <c r="C175" s="13" t="inlineStr">
        <is>
          <t>上海区域</t>
        </is>
      </c>
      <c r="D175" s="13" t="inlineStr">
        <is>
          <t>CMCF</t>
        </is>
      </c>
      <c r="E175" s="13" t="inlineStr">
        <is>
          <t>EE 上海七宝万科广场</t>
        </is>
      </c>
      <c r="F175" s="12" t="inlineStr">
        <is>
          <t>02</t>
        </is>
      </c>
      <c r="G175" s="13" t="inlineStr">
        <is>
          <t>购物中心</t>
        </is>
      </c>
      <c r="H175" s="14" t="inlineStr">
        <is>
          <t>EEYPG23E02</t>
        </is>
      </c>
      <c r="I175" s="12" t="n">
        <v>799</v>
      </c>
      <c r="J175" s="44" t="n">
        <v>799</v>
      </c>
      <c r="K175" s="46">
        <f>VLOOKUP(H175,'七宝0412-0511'!H:M,6,0)</f>
        <v/>
      </c>
      <c r="L175" s="46">
        <f>VLOOKUP(H175,'七宝0412-0511'!H:O,8,0)</f>
        <v/>
      </c>
    </row>
    <row r="176" ht="18.95" customHeight="1" s="49">
      <c r="A176" s="9" t="inlineStr">
        <is>
          <t>YP</t>
        </is>
      </c>
      <c r="B176" s="9" t="inlineStr">
        <is>
          <t>B331</t>
        </is>
      </c>
      <c r="C176" s="10" t="inlineStr">
        <is>
          <t>上海区域</t>
        </is>
      </c>
      <c r="D176" s="10" t="inlineStr">
        <is>
          <t>CMCF</t>
        </is>
      </c>
      <c r="E176" s="10" t="inlineStr">
        <is>
          <t>EE 上海七宝万科广场</t>
        </is>
      </c>
      <c r="F176" s="9" t="inlineStr">
        <is>
          <t>02</t>
        </is>
      </c>
      <c r="G176" s="10" t="inlineStr">
        <is>
          <t>购物中心</t>
        </is>
      </c>
      <c r="H176" s="11" t="inlineStr">
        <is>
          <t>EEYPG24E01</t>
        </is>
      </c>
      <c r="I176" s="9" t="n">
        <v>599</v>
      </c>
      <c r="J176" s="43" t="n">
        <v>599</v>
      </c>
      <c r="K176" s="46">
        <f>VLOOKUP(H176,'七宝0412-0511'!H:M,6,0)</f>
        <v/>
      </c>
      <c r="L176" s="46">
        <f>VLOOKUP(H176,'七宝0412-0511'!H:O,8,0)</f>
        <v/>
      </c>
    </row>
    <row r="177" ht="18.95" customHeight="1" s="49">
      <c r="A177" s="12" t="inlineStr">
        <is>
          <t>YS</t>
        </is>
      </c>
      <c r="B177" s="12" t="inlineStr">
        <is>
          <t>B331</t>
        </is>
      </c>
      <c r="C177" s="13" t="inlineStr">
        <is>
          <t>上海区域</t>
        </is>
      </c>
      <c r="D177" s="13" t="inlineStr">
        <is>
          <t>CMCF</t>
        </is>
      </c>
      <c r="E177" s="13" t="inlineStr">
        <is>
          <t>EE 上海七宝万科广场</t>
        </is>
      </c>
      <c r="F177" s="12" t="inlineStr">
        <is>
          <t>02</t>
        </is>
      </c>
      <c r="G177" s="13" t="inlineStr">
        <is>
          <t>购物中心</t>
        </is>
      </c>
      <c r="H177" s="14" t="inlineStr">
        <is>
          <t>EEYSG23E01</t>
        </is>
      </c>
      <c r="I177" s="12" t="n">
        <v>799</v>
      </c>
      <c r="J177" s="44" t="n">
        <v>799</v>
      </c>
      <c r="K177" s="46">
        <f>VLOOKUP(H177,'七宝0412-0511'!H:M,6,0)</f>
        <v/>
      </c>
      <c r="L177" s="46">
        <f>VLOOKUP(H177,'七宝0412-0511'!H:O,8,0)</f>
        <v/>
      </c>
    </row>
    <row r="178" ht="18.95" customHeight="1" s="49">
      <c r="A178" s="9" t="inlineStr">
        <is>
          <t>YW</t>
        </is>
      </c>
      <c r="B178" s="9" t="inlineStr">
        <is>
          <t>B331</t>
        </is>
      </c>
      <c r="C178" s="10" t="inlineStr">
        <is>
          <t>上海区域</t>
        </is>
      </c>
      <c r="D178" s="10" t="inlineStr">
        <is>
          <t>CMCF</t>
        </is>
      </c>
      <c r="E178" s="10" t="inlineStr">
        <is>
          <t>EE 上海七宝万科广场</t>
        </is>
      </c>
      <c r="F178" s="9" t="inlineStr">
        <is>
          <t>02</t>
        </is>
      </c>
      <c r="G178" s="10" t="inlineStr">
        <is>
          <t>购物中心</t>
        </is>
      </c>
      <c r="H178" s="11" t="inlineStr">
        <is>
          <t>EEYWG23E01</t>
        </is>
      </c>
      <c r="I178" s="9" t="n">
        <v>799</v>
      </c>
      <c r="J178" s="43" t="n">
        <v>799</v>
      </c>
      <c r="K178" s="46">
        <f>VLOOKUP(H178,'七宝0412-0511'!H:M,6,0)</f>
        <v/>
      </c>
      <c r="L178" s="46">
        <f>VLOOKUP(H178,'七宝0412-0511'!H:O,8,0)</f>
        <v/>
      </c>
    </row>
    <row r="179" ht="18.95" customHeight="1" s="49">
      <c r="A179" s="12" t="inlineStr">
        <is>
          <t>YW</t>
        </is>
      </c>
      <c r="B179" s="12" t="inlineStr">
        <is>
          <t>B331</t>
        </is>
      </c>
      <c r="C179" s="13" t="inlineStr">
        <is>
          <t>上海区域</t>
        </is>
      </c>
      <c r="D179" s="13" t="inlineStr">
        <is>
          <t>CMCF</t>
        </is>
      </c>
      <c r="E179" s="13" t="inlineStr">
        <is>
          <t>EE 上海七宝万科广场</t>
        </is>
      </c>
      <c r="F179" s="12" t="inlineStr">
        <is>
          <t>02</t>
        </is>
      </c>
      <c r="G179" s="13" t="inlineStr">
        <is>
          <t>购物中心</t>
        </is>
      </c>
      <c r="H179" s="14" t="inlineStr">
        <is>
          <t>EEYWG23E02</t>
        </is>
      </c>
      <c r="I179" s="12" t="n">
        <v>599</v>
      </c>
      <c r="J179" s="44" t="n">
        <v>599</v>
      </c>
      <c r="K179" s="46">
        <f>VLOOKUP(H179,'七宝0412-0511'!H:M,6,0)</f>
        <v/>
      </c>
      <c r="L179" s="46">
        <f>VLOOKUP(H179,'七宝0412-0511'!H:O,8,0)</f>
        <v/>
      </c>
    </row>
    <row r="180" ht="18.95" customHeight="1" s="49">
      <c r="A180" s="9" t="inlineStr">
        <is>
          <t>YW</t>
        </is>
      </c>
      <c r="B180" s="9" t="inlineStr">
        <is>
          <t>B331</t>
        </is>
      </c>
      <c r="C180" s="10" t="inlineStr">
        <is>
          <t>上海区域</t>
        </is>
      </c>
      <c r="D180" s="10" t="inlineStr">
        <is>
          <t>CMCF</t>
        </is>
      </c>
      <c r="E180" s="10" t="inlineStr">
        <is>
          <t>EE 上海七宝万科广场</t>
        </is>
      </c>
      <c r="F180" s="9" t="inlineStr">
        <is>
          <t>02</t>
        </is>
      </c>
      <c r="G180" s="10" t="inlineStr">
        <is>
          <t>购物中心</t>
        </is>
      </c>
      <c r="H180" s="11" t="inlineStr">
        <is>
          <t>EEYWG23E51</t>
        </is>
      </c>
      <c r="I180" s="9" t="n">
        <v>599</v>
      </c>
      <c r="J180" s="43" t="n">
        <v>599</v>
      </c>
      <c r="K180" s="46">
        <f>VLOOKUP(H180,'七宝0412-0511'!H:M,6,0)</f>
        <v/>
      </c>
      <c r="L180" s="46">
        <f>VLOOKUP(H180,'七宝0412-0511'!H:O,8,0)</f>
        <v/>
      </c>
    </row>
    <row r="181" ht="18.95" customHeight="1" s="49">
      <c r="A181" s="12" t="inlineStr">
        <is>
          <t>YW</t>
        </is>
      </c>
      <c r="B181" s="12" t="inlineStr">
        <is>
          <t>B331</t>
        </is>
      </c>
      <c r="C181" s="13" t="inlineStr">
        <is>
          <t>上海区域</t>
        </is>
      </c>
      <c r="D181" s="13" t="inlineStr">
        <is>
          <t>CMCF</t>
        </is>
      </c>
      <c r="E181" s="13" t="inlineStr">
        <is>
          <t>EE 上海七宝万科广场</t>
        </is>
      </c>
      <c r="F181" s="12" t="inlineStr">
        <is>
          <t>02</t>
        </is>
      </c>
      <c r="G181" s="13" t="inlineStr">
        <is>
          <t>购物中心</t>
        </is>
      </c>
      <c r="H181" s="14" t="inlineStr">
        <is>
          <t>EEYWG24E01</t>
        </is>
      </c>
      <c r="I181" s="12" t="n">
        <v>799</v>
      </c>
      <c r="J181" s="44" t="n">
        <v>799</v>
      </c>
      <c r="K181" s="46">
        <f>VLOOKUP(H181,'七宝0412-0511'!H:M,6,0)</f>
        <v/>
      </c>
      <c r="L181" s="46">
        <f>VLOOKUP(H181,'七宝0412-0511'!H:O,8,0)</f>
        <v/>
      </c>
    </row>
    <row r="182" ht="18.95" customHeight="1" s="49">
      <c r="A182" s="9" t="inlineStr">
        <is>
          <t>YW</t>
        </is>
      </c>
      <c r="B182" s="9" t="inlineStr">
        <is>
          <t>B331</t>
        </is>
      </c>
      <c r="C182" s="10" t="inlineStr">
        <is>
          <t>上海区域</t>
        </is>
      </c>
      <c r="D182" s="10" t="inlineStr">
        <is>
          <t>CMCF</t>
        </is>
      </c>
      <c r="E182" s="10" t="inlineStr">
        <is>
          <t>EE 上海七宝万科广场</t>
        </is>
      </c>
      <c r="F182" s="9" t="inlineStr">
        <is>
          <t>02</t>
        </is>
      </c>
      <c r="G182" s="10" t="inlineStr">
        <is>
          <t>购物中心</t>
        </is>
      </c>
      <c r="H182" s="11" t="inlineStr">
        <is>
          <t>EEYWG24E02</t>
        </is>
      </c>
      <c r="I182" s="9" t="n">
        <v>699</v>
      </c>
      <c r="J182" s="43" t="n">
        <v>699</v>
      </c>
      <c r="K182" s="46">
        <f>VLOOKUP(H182,'七宝0412-0511'!H:M,6,0)</f>
        <v/>
      </c>
      <c r="L182" s="46">
        <f>VLOOKUP(H182,'七宝0412-0511'!H:O,8,0)</f>
        <v/>
      </c>
    </row>
    <row r="183" ht="18.95" customHeight="1" s="49">
      <c r="A183" s="12" t="inlineStr">
        <is>
          <t>YW</t>
        </is>
      </c>
      <c r="B183" s="12" t="inlineStr">
        <is>
          <t>B331</t>
        </is>
      </c>
      <c r="C183" s="13" t="inlineStr">
        <is>
          <t>上海区域</t>
        </is>
      </c>
      <c r="D183" s="13" t="inlineStr">
        <is>
          <t>CMCF</t>
        </is>
      </c>
      <c r="E183" s="13" t="inlineStr">
        <is>
          <t>EE 上海七宝万科广场</t>
        </is>
      </c>
      <c r="F183" s="12" t="inlineStr">
        <is>
          <t>02</t>
        </is>
      </c>
      <c r="G183" s="13" t="inlineStr">
        <is>
          <t>购物中心</t>
        </is>
      </c>
      <c r="H183" s="14" t="inlineStr">
        <is>
          <t>EEYWG24E03</t>
        </is>
      </c>
      <c r="I183" s="12" t="n">
        <v>699</v>
      </c>
      <c r="J183" s="44" t="n">
        <v>699</v>
      </c>
      <c r="K183" s="46">
        <f>VLOOKUP(H183,'七宝0412-0511'!H:M,6,0)</f>
        <v/>
      </c>
      <c r="L183" s="46">
        <f>VLOOKUP(H183,'七宝0412-0511'!H:O,8,0)</f>
        <v/>
      </c>
    </row>
    <row r="184" ht="18.95" customHeight="1" s="49">
      <c r="A184" s="9" t="inlineStr">
        <is>
          <t>YW</t>
        </is>
      </c>
      <c r="B184" s="9" t="inlineStr">
        <is>
          <t>B331</t>
        </is>
      </c>
      <c r="C184" s="10" t="inlineStr">
        <is>
          <t>上海区域</t>
        </is>
      </c>
      <c r="D184" s="10" t="inlineStr">
        <is>
          <t>CMCF</t>
        </is>
      </c>
      <c r="E184" s="10" t="inlineStr">
        <is>
          <t>EE 上海七宝万科广场</t>
        </is>
      </c>
      <c r="F184" s="9" t="inlineStr">
        <is>
          <t>02</t>
        </is>
      </c>
      <c r="G184" s="10" t="inlineStr">
        <is>
          <t>购物中心</t>
        </is>
      </c>
      <c r="H184" s="11" t="inlineStr">
        <is>
          <t>EEYWG25E01</t>
        </is>
      </c>
      <c r="I184" s="9" t="n">
        <v>699</v>
      </c>
      <c r="J184" s="43" t="n">
        <v>699</v>
      </c>
      <c r="K184" s="46">
        <f>VLOOKUP(H184,'七宝0412-0511'!H:M,6,0)</f>
        <v/>
      </c>
      <c r="L184" s="46">
        <f>VLOOKUP(H184,'七宝0412-0511'!H:O,8,0)</f>
        <v/>
      </c>
    </row>
    <row r="185" ht="18.95" customHeight="1" s="49">
      <c r="A185" s="12" t="inlineStr">
        <is>
          <t>YW</t>
        </is>
      </c>
      <c r="B185" s="12" t="inlineStr">
        <is>
          <t>B331</t>
        </is>
      </c>
      <c r="C185" s="13" t="inlineStr">
        <is>
          <t>上海区域</t>
        </is>
      </c>
      <c r="D185" s="13" t="inlineStr">
        <is>
          <t>CMCF</t>
        </is>
      </c>
      <c r="E185" s="13" t="inlineStr">
        <is>
          <t>EE 上海七宝万科广场</t>
        </is>
      </c>
      <c r="F185" s="12" t="inlineStr">
        <is>
          <t>02</t>
        </is>
      </c>
      <c r="G185" s="13" t="inlineStr">
        <is>
          <t>购物中心</t>
        </is>
      </c>
      <c r="H185" s="14" t="inlineStr">
        <is>
          <t>EEYWG25E02</t>
        </is>
      </c>
      <c r="I185" s="12" t="n">
        <v>699</v>
      </c>
      <c r="J185" s="44" t="n">
        <v>699</v>
      </c>
      <c r="K185" s="46">
        <f>VLOOKUP(H185,'七宝0412-0511'!H:M,6,0)</f>
        <v/>
      </c>
      <c r="L185" s="46">
        <f>VLOOKUP(H185,'七宝0412-0511'!H:O,8,0)</f>
        <v/>
      </c>
    </row>
    <row r="186" ht="18.95" customHeight="1" s="49">
      <c r="A186" s="9" t="inlineStr">
        <is>
          <t>YW</t>
        </is>
      </c>
      <c r="B186" s="9" t="inlineStr">
        <is>
          <t>B331</t>
        </is>
      </c>
      <c r="C186" s="10" t="inlineStr">
        <is>
          <t>上海区域</t>
        </is>
      </c>
      <c r="D186" s="10" t="inlineStr">
        <is>
          <t>CMCF</t>
        </is>
      </c>
      <c r="E186" s="10" t="inlineStr">
        <is>
          <t>EE 上海七宝万科广场</t>
        </is>
      </c>
      <c r="F186" s="9" t="inlineStr">
        <is>
          <t>02</t>
        </is>
      </c>
      <c r="G186" s="10" t="inlineStr">
        <is>
          <t>购物中心</t>
        </is>
      </c>
      <c r="H186" s="11" t="inlineStr">
        <is>
          <t>EEYWG25E03</t>
        </is>
      </c>
      <c r="I186" s="9" t="n">
        <v>599</v>
      </c>
      <c r="J186" s="43" t="n">
        <v>599</v>
      </c>
      <c r="K186" s="46">
        <f>VLOOKUP(H186,'七宝0412-0511'!H:M,6,0)</f>
        <v/>
      </c>
      <c r="L186" s="46">
        <f>VLOOKUP(H186,'七宝0412-0511'!H:O,8,0)</f>
        <v/>
      </c>
    </row>
    <row r="187" ht="18.95" customHeight="1" s="49">
      <c r="A187" s="12" t="inlineStr">
        <is>
          <t>YW</t>
        </is>
      </c>
      <c r="B187" s="12" t="inlineStr">
        <is>
          <t>B331</t>
        </is>
      </c>
      <c r="C187" s="13" t="inlineStr">
        <is>
          <t>上海区域</t>
        </is>
      </c>
      <c r="D187" s="13" t="inlineStr">
        <is>
          <t>CMCF</t>
        </is>
      </c>
      <c r="E187" s="13" t="inlineStr">
        <is>
          <t>EE 上海七宝万科广场</t>
        </is>
      </c>
      <c r="F187" s="12" t="inlineStr">
        <is>
          <t>02</t>
        </is>
      </c>
      <c r="G187" s="13" t="inlineStr">
        <is>
          <t>购物中心</t>
        </is>
      </c>
      <c r="H187" s="14" t="inlineStr">
        <is>
          <t>EEYWG25E2G</t>
        </is>
      </c>
      <c r="I187" s="12" t="n">
        <v>899</v>
      </c>
      <c r="J187" s="44" t="n">
        <v>899</v>
      </c>
      <c r="K187" s="46">
        <f>VLOOKUP(H187,'七宝0412-0511'!H:M,6,0)</f>
        <v/>
      </c>
      <c r="L187" s="46">
        <f>VLOOKUP(H187,'七宝0412-0511'!H:O,8,0)</f>
        <v/>
      </c>
    </row>
    <row r="188" ht="18.95" customHeight="1" s="49">
      <c r="A188" s="9" t="inlineStr">
        <is>
          <t>YW</t>
        </is>
      </c>
      <c r="B188" s="9" t="inlineStr">
        <is>
          <t>B331</t>
        </is>
      </c>
      <c r="C188" s="10" t="inlineStr">
        <is>
          <t>上海区域</t>
        </is>
      </c>
      <c r="D188" s="10" t="inlineStr">
        <is>
          <t>CMCF</t>
        </is>
      </c>
      <c r="E188" s="10" t="inlineStr">
        <is>
          <t>EE 上海七宝万科广场</t>
        </is>
      </c>
      <c r="F188" s="9" t="inlineStr">
        <is>
          <t>02</t>
        </is>
      </c>
      <c r="G188" s="10" t="inlineStr">
        <is>
          <t>购物中心</t>
        </is>
      </c>
      <c r="H188" s="11" t="inlineStr">
        <is>
          <t>EEYWG26B01</t>
        </is>
      </c>
      <c r="I188" s="9" t="n">
        <v>899</v>
      </c>
      <c r="J188" s="43" t="n">
        <v>899</v>
      </c>
      <c r="K188" s="46">
        <f>VLOOKUP(H188,'七宝0412-0511'!H:M,6,0)</f>
        <v/>
      </c>
      <c r="L188" s="46">
        <f>VLOOKUP(H188,'七宝0412-0511'!H:O,8,0)</f>
        <v/>
      </c>
    </row>
  </sheetData>
  <mergeCells count="2">
    <mergeCell ref="A2:L2"/>
    <mergeCell ref="A1:L1"/>
  </mergeCells>
  <pageMargins left="0.75" right="0.75" top="1" bottom="1" header="0.5" footer="0.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workbookViewId="0">
      <selection activeCell="A1" sqref="A1"/>
    </sheetView>
  </sheetViews>
  <sheetFormatPr baseColWidth="8" defaultRowHeight="16.5"/>
  <cols>
    <col width="2" customWidth="1" style="49" min="1" max="1"/>
    <col width="16" customWidth="1" style="49" min="2" max="2"/>
    <col width="26" customWidth="1" style="49" min="3" max="3"/>
    <col width="34" customWidth="1" style="49" min="4" max="4"/>
    <col width="20" customWidth="1" style="49" min="5" max="5"/>
  </cols>
  <sheetData>
    <row r="1" ht="42" customHeight="1" s="49">
      <c r="B1" s="55" t="inlineStr">
        <is>
          <t>VMD 데이터 입력 양식 — 작성 가이드</t>
        </is>
      </c>
    </row>
    <row r="3" ht="27.95" customHeight="1" s="49">
      <c r="B3" s="56" t="inlineStr">
        <is>
          <t xml:space="preserve">  📦 진열 데이터 탭 — 4개 컬럼</t>
        </is>
      </c>
    </row>
    <row r="4" ht="21.95" customHeight="1" s="49">
      <c r="B4" s="15" t="inlineStr">
        <is>
          <t>컬럼</t>
        </is>
      </c>
      <c r="C4" s="15" t="inlineStr">
        <is>
          <t>입력 방식</t>
        </is>
      </c>
      <c r="D4" s="15" t="inlineStr">
        <is>
          <t>규칙</t>
        </is>
      </c>
      <c r="E4" s="15" t="inlineStr">
        <is>
          <t>예시</t>
        </is>
      </c>
    </row>
    <row r="5" ht="21.95" customHeight="1" s="49">
      <c r="B5" s="16" t="inlineStr">
        <is>
          <t>집기 ID</t>
        </is>
      </c>
      <c r="C5" s="16" t="inlineStr">
        <is>
          <t>수동</t>
        </is>
      </c>
      <c r="D5" s="16" t="inlineStr">
        <is>
          <t>F001~F016 / H001~H009 / T001~T003 / M001~M008</t>
        </is>
      </c>
      <c r="E5" s="16" t="inlineStr">
        <is>
          <t>F001</t>
        </is>
      </c>
    </row>
    <row r="6" ht="21.95" customHeight="1" s="49">
      <c r="B6" s="17" t="inlineStr">
        <is>
          <t>집기 종류</t>
        </is>
      </c>
      <c r="C6" s="17" t="inlineStr">
        <is>
          <t>드롭다운</t>
        </is>
      </c>
      <c r="D6" s="17" t="inlineStr">
        <is>
          <t>FACE / TABLE / HANGER / MQ</t>
        </is>
      </c>
      <c r="E6" s="17" t="inlineStr">
        <is>
          <t>FACE</t>
        </is>
      </c>
    </row>
    <row r="7" ht="21.95" customHeight="1" s="49">
      <c r="B7" s="16" t="inlineStr">
        <is>
          <t>바코드</t>
        </is>
      </c>
      <c r="C7" s="16" t="inlineStr">
        <is>
          <t>스캔</t>
        </is>
      </c>
      <c r="D7" s="16" t="inlineStr">
        <is>
          <t>15자리 EE로 시작, 공백 없이</t>
        </is>
      </c>
      <c r="E7" s="16" t="inlineStr">
        <is>
          <t>EEYWG24E0150165</t>
        </is>
      </c>
    </row>
    <row r="8" ht="21.95" customHeight="1" s="49">
      <c r="B8" s="17" t="inlineStr">
        <is>
          <t>진열수량</t>
        </is>
      </c>
      <c r="C8" s="17" t="inlineStr">
        <is>
          <t>직접 카운트</t>
        </is>
      </c>
      <c r="D8" s="17" t="inlineStr">
        <is>
          <t>해당 집기에 진열된 실물 개수</t>
        </is>
      </c>
      <c r="E8" s="17" t="inlineStr">
        <is>
          <t>2</t>
        </is>
      </c>
    </row>
    <row r="10" ht="27.95" customHeight="1" s="49">
      <c r="B10" s="53" t="inlineStr">
        <is>
          <t xml:space="preserve">  💰 판매 실적 탭 — 회사 양식</t>
        </is>
      </c>
    </row>
    <row r="11" ht="21.95" customHeight="1" s="49">
      <c r="B11" s="15" t="inlineStr">
        <is>
          <t>컬럼</t>
        </is>
      </c>
      <c r="C11" s="15" t="inlineStr">
        <is>
          <t>내용</t>
        </is>
      </c>
      <c r="D11" s="15" t="inlineStr">
        <is>
          <t>규칙</t>
        </is>
      </c>
      <c r="E11" s="15" t="inlineStr">
        <is>
          <t>예시</t>
        </is>
      </c>
    </row>
    <row r="12" ht="21.95" customHeight="1" s="49">
      <c r="B12" s="16" t="inlineStr">
        <is>
          <t>款号 ★</t>
        </is>
      </c>
      <c r="C12" s="16" t="inlineStr">
        <is>
          <t>스타일번호 (매칭 키)</t>
        </is>
      </c>
      <c r="D12" s="16" t="inlineStr">
        <is>
          <t>바코드 앞 10자와 자동 매칭</t>
        </is>
      </c>
      <c r="E12" s="16" t="inlineStr">
        <is>
          <t>EETJG24E01</t>
        </is>
      </c>
    </row>
    <row r="13" ht="21.95" customHeight="1" s="49">
      <c r="B13" s="17" t="inlineStr">
        <is>
          <t>销售数量 ★</t>
        </is>
      </c>
      <c r="C13" s="17" t="inlineStr">
        <is>
          <t>판매수량</t>
        </is>
      </c>
      <c r="D13" s="17" t="inlineStr">
        <is>
          <t>숫자만, 미판매=0</t>
        </is>
      </c>
      <c r="E13" s="17" t="inlineStr">
        <is>
          <t>7</t>
        </is>
      </c>
    </row>
    <row r="14" ht="21.95" customHeight="1" s="49">
      <c r="B14" s="16" t="inlineStr">
        <is>
          <t>销售额 ★</t>
        </is>
      </c>
      <c r="C14" s="16" t="inlineStr">
        <is>
          <t>매출 (CNY)</t>
        </is>
      </c>
      <c r="D14" s="16" t="inlineStr">
        <is>
          <t>숫자만, 쉼표 없이</t>
        </is>
      </c>
      <c r="E14" s="16" t="inlineStr">
        <is>
          <t>3076</t>
        </is>
      </c>
    </row>
    <row r="15" ht="21.95" customHeight="1" s="49">
      <c r="B15" s="17" t="inlineStr">
        <is>
          <t>决定销售价</t>
        </is>
      </c>
      <c r="C15" s="17" t="inlineStr">
        <is>
          <t>결정단가</t>
        </is>
      </c>
      <c r="D15" s="17" t="inlineStr">
        <is>
          <t>단가는 여기서 자동 참조</t>
        </is>
      </c>
      <c r="E15" s="17" t="inlineStr">
        <is>
          <t>699</t>
        </is>
      </c>
    </row>
    <row r="16" ht="21.95" customHeight="1" s="49">
      <c r="B16" s="16" t="inlineStr">
        <is>
          <t>나머지</t>
        </is>
      </c>
      <c r="C16" s="16" t="inlineStr">
        <is>
          <t>회사 ERP 그대로</t>
        </is>
      </c>
      <c r="D16" s="16" t="inlineStr">
        <is>
          <t>복붙해도 됨</t>
        </is>
      </c>
      <c r="E16" s="16" t="inlineStr">
        <is>
          <t>B331, CMCF…</t>
        </is>
      </c>
    </row>
    <row r="18" ht="27.95" customHeight="1" s="49">
      <c r="B18" s="54" t="inlineStr">
        <is>
          <t xml:space="preserve">  🔗 두 탭 연결 구조</t>
        </is>
      </c>
    </row>
    <row r="19" ht="21.95" customHeight="1" s="49">
      <c r="B19" s="15" t="inlineStr">
        <is>
          <t>항목</t>
        </is>
      </c>
      <c r="C19" s="15" t="inlineStr">
        <is>
          <t>설명</t>
        </is>
      </c>
      <c r="D19" s="15" t="n"/>
      <c r="E19" s="15" t="n"/>
    </row>
    <row r="20" ht="21.95" customHeight="1" s="49">
      <c r="B20" s="16" t="inlineStr">
        <is>
          <t>매칭 키</t>
        </is>
      </c>
      <c r="C20" s="16" t="inlineStr">
        <is>
          <t>바코드 앞 10자리 = 款号</t>
        </is>
      </c>
      <c r="D20" s="16" t="n"/>
      <c r="E20" s="16" t="n"/>
    </row>
    <row r="21" ht="21.95" customHeight="1" s="49">
      <c r="B21" s="17" t="inlineStr">
        <is>
          <t>예시</t>
        </is>
      </c>
      <c r="C21" s="17" t="inlineStr">
        <is>
          <t>EEYWG24E01|50|165 → EEYWG24E01</t>
        </is>
      </c>
      <c r="D21" s="17" t="n"/>
      <c r="E21" s="17" t="n"/>
    </row>
    <row r="22" ht="21.95" customHeight="1" s="49">
      <c r="B22" s="16" t="inlineStr">
        <is>
          <t>단가 참조</t>
        </is>
      </c>
      <c r="C22" s="16" t="inlineStr">
        <is>
          <t>款号 → 판매 실적 탭의 决定销售价 자동 참조</t>
        </is>
      </c>
      <c r="D22" s="16" t="n"/>
      <c r="E22" s="16" t="n"/>
    </row>
    <row r="23" ht="21.95" customHeight="1" s="49">
      <c r="B23" s="17" t="inlineStr">
        <is>
          <t>업데이트 주기</t>
        </is>
      </c>
      <c r="C23" s="17" t="inlineStr">
        <is>
          <t>진열탭 고정 / 판매탭 매주 교체</t>
        </is>
      </c>
      <c r="D23" s="17" t="n"/>
      <c r="E23" s="17" t="n"/>
    </row>
  </sheetData>
  <mergeCells count="4">
    <mergeCell ref="B10:E10"/>
    <mergeCell ref="B18:E18"/>
    <mergeCell ref="B1:E1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topLeftCell="A4" workbookViewId="0">
      <selection activeCell="J60" sqref="J60"/>
    </sheetView>
  </sheetViews>
  <sheetFormatPr baseColWidth="8" defaultRowHeight="16.5"/>
  <cols>
    <col width="12" customWidth="1" style="49" min="1" max="1"/>
    <col width="20" customWidth="1" style="49" min="2" max="2"/>
    <col width="16" customWidth="1" style="49" min="3" max="3"/>
    <col width="3" customWidth="1" style="49" min="4" max="4"/>
    <col width="12" customWidth="1" style="49" min="5" max="5"/>
    <col width="20" customWidth="1" style="49" min="6" max="6"/>
    <col width="16" customWidth="1" style="49" min="7" max="7"/>
  </cols>
  <sheetData>
    <row r="1" ht="42" customHeight="1" s="49">
      <c r="A1" s="57" t="inlineStr">
        <is>
          <t>✅  유효값 &amp; 매핑표 (수정 금지)</t>
        </is>
      </c>
    </row>
    <row r="2"/>
    <row r="3" ht="26.1" customHeight="1" s="49">
      <c r="A3" s="56" t="inlineStr">
        <is>
          <t xml:space="preserve">  스타일코드(2자) → 카테고리 · 품목 매핑</t>
        </is>
      </c>
    </row>
    <row r="4">
      <c r="A4" s="18" t="inlineStr">
        <is>
          <t>스타일코드</t>
        </is>
      </c>
      <c r="B4" s="18" t="inlineStr">
        <is>
          <t>카테고리</t>
        </is>
      </c>
      <c r="C4" s="18" t="inlineStr">
        <is>
          <t>품목</t>
        </is>
      </c>
      <c r="E4" s="18" t="inlineStr">
        <is>
          <t>스타일코드</t>
        </is>
      </c>
      <c r="F4" s="18" t="inlineStr">
        <is>
          <t>카테고리</t>
        </is>
      </c>
      <c r="G4" s="18" t="inlineStr">
        <is>
          <t>품목</t>
        </is>
      </c>
    </row>
    <row r="5" ht="18.95" customHeight="1" s="49">
      <c r="A5" s="19" t="inlineStr">
        <is>
          <t>AB</t>
        </is>
      </c>
      <c r="B5" s="7" t="inlineStr">
        <is>
          <t>액세서리 ACC</t>
        </is>
      </c>
      <c r="C5" s="7" t="inlineStr">
        <is>
          <t>皮带</t>
        </is>
      </c>
      <c r="E5" s="20" t="inlineStr">
        <is>
          <t>OM</t>
        </is>
      </c>
      <c r="F5" s="6" t="inlineStr">
        <is>
          <t>원피스 连衣裙</t>
        </is>
      </c>
      <c r="G5" s="6" t="inlineStr">
        <is>
          <t>连衣裙</t>
        </is>
      </c>
    </row>
    <row r="6" ht="18.95" customHeight="1" s="49">
      <c r="A6" s="19" t="inlineStr">
        <is>
          <t>AC</t>
        </is>
      </c>
      <c r="B6" s="7" t="inlineStr">
        <is>
          <t>액세서리 ACC</t>
        </is>
      </c>
      <c r="C6" s="7" t="inlineStr">
        <is>
          <t>ACC</t>
        </is>
      </c>
      <c r="E6" s="20" t="inlineStr">
        <is>
          <t>OW</t>
        </is>
      </c>
      <c r="F6" s="6" t="inlineStr">
        <is>
          <t>원피스 连衣裙</t>
        </is>
      </c>
      <c r="G6" s="6" t="inlineStr">
        <is>
          <t>短袖连衣裙</t>
        </is>
      </c>
    </row>
    <row r="7" ht="18.95" customHeight="1" s="49">
      <c r="A7" s="21" t="inlineStr">
        <is>
          <t>ACC</t>
        </is>
      </c>
      <c r="B7" s="10" t="n"/>
      <c r="C7" s="10" t="n"/>
      <c r="E7" s="22" t="inlineStr">
        <is>
          <t>RA</t>
        </is>
      </c>
      <c r="F7" s="4" t="inlineStr">
        <is>
          <t>상의 上衣</t>
        </is>
      </c>
      <c r="G7" s="4" t="inlineStr">
        <is>
          <t>短袖T</t>
        </is>
      </c>
    </row>
    <row r="8" ht="18.95" customHeight="1" s="49">
      <c r="A8" s="19" t="inlineStr">
        <is>
          <t>AG</t>
        </is>
      </c>
      <c r="B8" s="7" t="inlineStr">
        <is>
          <t>액세서리 ACC</t>
        </is>
      </c>
      <c r="C8" s="7" t="inlineStr">
        <is>
          <t>ACC</t>
        </is>
      </c>
      <c r="E8" s="22" t="inlineStr">
        <is>
          <t>RN</t>
        </is>
      </c>
      <c r="F8" s="4" t="inlineStr">
        <is>
          <t>상의 上衣</t>
        </is>
      </c>
      <c r="G8" s="4" t="inlineStr">
        <is>
          <t>背心</t>
        </is>
      </c>
    </row>
    <row r="9" ht="18.95" customHeight="1" s="49">
      <c r="A9" s="19" t="inlineStr">
        <is>
          <t>AK</t>
        </is>
      </c>
      <c r="B9" s="7" t="inlineStr">
        <is>
          <t>액세서리 ACC</t>
        </is>
      </c>
      <c r="C9" s="7" t="inlineStr">
        <is>
          <t>包</t>
        </is>
      </c>
      <c r="E9" s="22" t="inlineStr">
        <is>
          <t>RS</t>
        </is>
      </c>
      <c r="F9" s="4" t="inlineStr">
        <is>
          <t>상의 上衣</t>
        </is>
      </c>
      <c r="G9" s="4" t="inlineStr">
        <is>
          <t>短袖T</t>
        </is>
      </c>
    </row>
    <row r="10" ht="18.95" customHeight="1" s="49">
      <c r="A10" s="19" t="inlineStr">
        <is>
          <t>AM</t>
        </is>
      </c>
      <c r="B10" s="7" t="inlineStr">
        <is>
          <t>액세서리 ACC</t>
        </is>
      </c>
      <c r="C10" s="7" t="inlineStr">
        <is>
          <t>ACC</t>
        </is>
      </c>
      <c r="E10" s="22" t="inlineStr">
        <is>
          <t>SK</t>
        </is>
      </c>
      <c r="F10" s="4" t="inlineStr">
        <is>
          <t>상의 上衣</t>
        </is>
      </c>
      <c r="G10" s="4" t="inlineStr">
        <is>
          <t>针织衫</t>
        </is>
      </c>
    </row>
    <row r="11" ht="18.95" customHeight="1" s="49">
      <c r="A11" s="19" t="inlineStr">
        <is>
          <t>AN</t>
        </is>
      </c>
      <c r="B11" s="7" t="inlineStr">
        <is>
          <t>액세서리 ACC</t>
        </is>
      </c>
      <c r="C11" s="7" t="inlineStr">
        <is>
          <t>ACC</t>
        </is>
      </c>
      <c r="E11" s="23" t="inlineStr">
        <is>
          <t>TA</t>
        </is>
      </c>
      <c r="F11" s="5" t="inlineStr">
        <is>
          <t>하의 下衣</t>
        </is>
      </c>
      <c r="G11" s="5" t="inlineStr">
        <is>
          <t>亚麻阔腿裤</t>
        </is>
      </c>
    </row>
    <row r="12" ht="18.95" customHeight="1" s="49">
      <c r="A12" s="19" t="inlineStr">
        <is>
          <t>AP</t>
        </is>
      </c>
      <c r="B12" s="7" t="inlineStr">
        <is>
          <t>액세서리 ACC</t>
        </is>
      </c>
      <c r="C12" s="7" t="inlineStr">
        <is>
          <t>配饰</t>
        </is>
      </c>
      <c r="E12" s="23" t="inlineStr">
        <is>
          <t>TC</t>
        </is>
      </c>
      <c r="F12" s="5" t="inlineStr">
        <is>
          <t>하의 下衣</t>
        </is>
      </c>
      <c r="G12" s="5" t="inlineStr">
        <is>
          <t>长裤</t>
        </is>
      </c>
    </row>
    <row r="13" ht="18.95" customHeight="1" s="49">
      <c r="A13" s="19" t="inlineStr">
        <is>
          <t>AS</t>
        </is>
      </c>
      <c r="B13" s="7" t="inlineStr">
        <is>
          <t>액세서리 ACC</t>
        </is>
      </c>
      <c r="C13" s="7" t="inlineStr">
        <is>
          <t>丝巾</t>
        </is>
      </c>
      <c r="E13" s="23" t="inlineStr">
        <is>
          <t>TH</t>
        </is>
      </c>
      <c r="F13" s="5" t="inlineStr">
        <is>
          <t>하의 下衣</t>
        </is>
      </c>
      <c r="G13" s="5" t="inlineStr">
        <is>
          <t>短裤</t>
        </is>
      </c>
    </row>
    <row r="14" ht="18.95" customHeight="1" s="49">
      <c r="A14" s="19" t="inlineStr">
        <is>
          <t>AU</t>
        </is>
      </c>
      <c r="B14" s="7" t="inlineStr">
        <is>
          <t>액세서리 ACC</t>
        </is>
      </c>
      <c r="C14" s="7" t="inlineStr">
        <is>
          <t>ACC</t>
        </is>
      </c>
      <c r="E14" s="23" t="inlineStr">
        <is>
          <t>TJ</t>
        </is>
      </c>
      <c r="F14" s="5" t="inlineStr">
        <is>
          <t>하의 下衣</t>
        </is>
      </c>
      <c r="G14" s="5" t="inlineStr">
        <is>
          <t>牛仔裤</t>
        </is>
      </c>
    </row>
    <row r="15" ht="18.95" customHeight="1" s="49">
      <c r="A15" s="19" t="inlineStr">
        <is>
          <t>AW</t>
        </is>
      </c>
      <c r="B15" s="7" t="inlineStr">
        <is>
          <t>액세서리 ACC</t>
        </is>
      </c>
      <c r="C15" s="7" t="inlineStr">
        <is>
          <t>ACC</t>
        </is>
      </c>
      <c r="E15" s="19" t="inlineStr">
        <is>
          <t>TK</t>
        </is>
      </c>
      <c r="F15" s="7" t="inlineStr">
        <is>
          <t>액세서리 ACC</t>
        </is>
      </c>
      <c r="G15" s="7" t="inlineStr">
        <is>
          <t>帽子</t>
        </is>
      </c>
    </row>
    <row r="16" ht="18.95" customHeight="1" s="49">
      <c r="A16" s="19" t="inlineStr">
        <is>
          <t>AY</t>
        </is>
      </c>
      <c r="B16" s="7" t="inlineStr">
        <is>
          <t>액세서리 ACC</t>
        </is>
      </c>
      <c r="C16" s="7" t="inlineStr">
        <is>
          <t>ACC</t>
        </is>
      </c>
      <c r="E16" s="23" t="inlineStr">
        <is>
          <t>TM</t>
        </is>
      </c>
      <c r="F16" s="5" t="inlineStr">
        <is>
          <t>하의 下衣</t>
        </is>
      </c>
      <c r="G16" s="5" t="inlineStr">
        <is>
          <t>面料裤</t>
        </is>
      </c>
    </row>
    <row r="17" ht="18.95" customHeight="1" s="49">
      <c r="A17" s="22" t="inlineStr">
        <is>
          <t>BW</t>
        </is>
      </c>
      <c r="B17" s="4" t="inlineStr">
        <is>
          <t>상의 上衣</t>
        </is>
      </c>
      <c r="C17" s="4" t="inlineStr">
        <is>
          <t>衬衫</t>
        </is>
      </c>
      <c r="E17" s="22" t="inlineStr">
        <is>
          <t>VJ</t>
        </is>
      </c>
      <c r="F17" s="4" t="inlineStr">
        <is>
          <t>상의 上衣</t>
        </is>
      </c>
      <c r="G17" s="4" t="inlineStr">
        <is>
          <t>牛仔</t>
        </is>
      </c>
    </row>
    <row r="18" ht="18.95" customHeight="1" s="49">
      <c r="A18" s="19" t="inlineStr">
        <is>
          <t>CF</t>
        </is>
      </c>
      <c r="B18" s="7" t="inlineStr">
        <is>
          <t>액세서리 ACC</t>
        </is>
      </c>
      <c r="C18" s="7" t="inlineStr">
        <is>
          <t>ACC</t>
        </is>
      </c>
      <c r="E18" s="22" t="inlineStr">
        <is>
          <t>VK</t>
        </is>
      </c>
      <c r="F18" s="4" t="inlineStr">
        <is>
          <t>상의 上衣</t>
        </is>
      </c>
      <c r="G18" s="4" t="inlineStr">
        <is>
          <t>针织背心</t>
        </is>
      </c>
    </row>
    <row r="19" ht="18.95" customHeight="1" s="49">
      <c r="A19" s="22" t="inlineStr">
        <is>
          <t>CK</t>
        </is>
      </c>
      <c r="B19" s="4" t="inlineStr">
        <is>
          <t>상의 上衣</t>
        </is>
      </c>
      <c r="C19" s="4" t="inlineStr">
        <is>
          <t>针织开衫</t>
        </is>
      </c>
      <c r="E19" s="22" t="inlineStr">
        <is>
          <t>VW</t>
        </is>
      </c>
      <c r="F19" s="4" t="inlineStr">
        <is>
          <t>상의 上衣</t>
        </is>
      </c>
      <c r="G19" s="4" t="inlineStr">
        <is>
          <t>马甲</t>
        </is>
      </c>
    </row>
    <row r="20" ht="18.95" customHeight="1" s="49">
      <c r="A20" s="22" t="inlineStr">
        <is>
          <t>HW</t>
        </is>
      </c>
      <c r="B20" s="4" t="inlineStr">
        <is>
          <t>상의 上衣</t>
        </is>
      </c>
      <c r="C20" s="4" t="inlineStr">
        <is>
          <t>POLO T</t>
        </is>
      </c>
      <c r="E20" s="23" t="inlineStr">
        <is>
          <t>WH</t>
        </is>
      </c>
      <c r="F20" s="5" t="inlineStr">
        <is>
          <t>하의 下衣</t>
        </is>
      </c>
      <c r="G20" s="5" t="inlineStr">
        <is>
          <t>半裙</t>
        </is>
      </c>
    </row>
    <row r="21" ht="18.95" customHeight="1" s="49">
      <c r="A21" s="22" t="inlineStr">
        <is>
          <t>JA</t>
        </is>
      </c>
      <c r="B21" s="4" t="inlineStr">
        <is>
          <t>상의 上衣</t>
        </is>
      </c>
      <c r="C21" s="4" t="inlineStr">
        <is>
          <t>轻薄夹克</t>
        </is>
      </c>
      <c r="E21" s="23" t="inlineStr">
        <is>
          <t>WJ</t>
        </is>
      </c>
      <c r="F21" s="5" t="inlineStr">
        <is>
          <t>하의 下衣</t>
        </is>
      </c>
      <c r="G21" s="5" t="inlineStr">
        <is>
          <t>牛仔半裙</t>
        </is>
      </c>
    </row>
    <row r="22" ht="18.95" customHeight="1" s="49">
      <c r="A22" s="21" t="inlineStr">
        <is>
          <t>JD</t>
        </is>
      </c>
      <c r="B22" s="10" t="n"/>
      <c r="C22" s="10" t="n"/>
      <c r="E22" s="21" t="inlineStr">
        <is>
          <t>WM</t>
        </is>
      </c>
      <c r="F22" s="10" t="n"/>
      <c r="G22" s="10" t="n"/>
    </row>
    <row r="23" ht="18.95" customHeight="1" s="49">
      <c r="A23" s="22" t="inlineStr">
        <is>
          <t>JH</t>
        </is>
      </c>
      <c r="B23" s="4" t="inlineStr">
        <is>
          <t>상의 上衣</t>
        </is>
      </c>
      <c r="C23" s="4" t="inlineStr">
        <is>
          <t>牛仔外套</t>
        </is>
      </c>
      <c r="E23" s="21" t="inlineStr">
        <is>
          <t>WR</t>
        </is>
      </c>
      <c r="F23" s="10" t="n"/>
      <c r="G23" s="10" t="n"/>
    </row>
    <row r="24" ht="18.95" customHeight="1" s="49">
      <c r="A24" s="22" t="inlineStr">
        <is>
          <t>JJ</t>
        </is>
      </c>
      <c r="B24" s="4" t="inlineStr">
        <is>
          <t>상의 上衣</t>
        </is>
      </c>
      <c r="C24" s="4" t="inlineStr">
        <is>
          <t>牛仔夹克</t>
        </is>
      </c>
      <c r="E24" s="22" t="inlineStr">
        <is>
          <t>YA</t>
        </is>
      </c>
      <c r="F24" s="4" t="inlineStr">
        <is>
          <t>상의 上衣</t>
        </is>
      </c>
      <c r="G24" s="4" t="inlineStr">
        <is>
          <t>短袖衬衫</t>
        </is>
      </c>
    </row>
    <row r="25" ht="18.95" customHeight="1" s="49">
      <c r="A25" s="22" t="inlineStr">
        <is>
          <t>JK</t>
        </is>
      </c>
      <c r="B25" s="4" t="inlineStr">
        <is>
          <t>상의 上衣</t>
        </is>
      </c>
      <c r="C25" s="4" t="inlineStr">
        <is>
          <t>西装夹克</t>
        </is>
      </c>
      <c r="E25" s="22" t="inlineStr">
        <is>
          <t>YC</t>
        </is>
      </c>
      <c r="F25" s="4" t="inlineStr">
        <is>
          <t>상의 上衣</t>
        </is>
      </c>
      <c r="G25" s="4" t="inlineStr">
        <is>
          <t>衬衫</t>
        </is>
      </c>
    </row>
    <row r="26" ht="18.95" customHeight="1" s="49">
      <c r="A26" s="22" t="inlineStr">
        <is>
          <t>JL</t>
        </is>
      </c>
      <c r="B26" s="4" t="inlineStr">
        <is>
          <t>상의 上衣</t>
        </is>
      </c>
      <c r="C26" s="4" t="inlineStr">
        <is>
          <t>牛仔外套</t>
        </is>
      </c>
      <c r="E26" s="19" t="inlineStr">
        <is>
          <t>YJ</t>
        </is>
      </c>
      <c r="F26" s="7" t="inlineStr">
        <is>
          <t>액세서리 ACC</t>
        </is>
      </c>
      <c r="G26" s="7" t="inlineStr">
        <is>
          <t>牛仔ACC</t>
        </is>
      </c>
    </row>
    <row r="27" ht="18.95" customHeight="1" s="49">
      <c r="A27" s="22" t="inlineStr">
        <is>
          <t>JP</t>
        </is>
      </c>
      <c r="B27" s="4" t="inlineStr">
        <is>
          <t>상의 上衣</t>
        </is>
      </c>
      <c r="C27" s="4" t="inlineStr">
        <is>
          <t>羽绒服</t>
        </is>
      </c>
      <c r="E27" s="22" t="inlineStr">
        <is>
          <t>YP</t>
        </is>
      </c>
      <c r="F27" s="4" t="inlineStr">
        <is>
          <t>상의 上衣</t>
        </is>
      </c>
      <c r="G27" s="4" t="inlineStr">
        <is>
          <t>牛仔衬衫</t>
        </is>
      </c>
    </row>
    <row r="28" ht="18.95" customHeight="1" s="49">
      <c r="A28" s="22" t="inlineStr">
        <is>
          <t>JT</t>
        </is>
      </c>
      <c r="B28" s="4" t="inlineStr">
        <is>
          <t>상의 上衣</t>
        </is>
      </c>
      <c r="C28" s="4" t="inlineStr">
        <is>
          <t>牛仔外套</t>
        </is>
      </c>
      <c r="E28" s="21" t="inlineStr">
        <is>
          <t>YS</t>
        </is>
      </c>
      <c r="F28" s="10" t="inlineStr">
        <is>
          <t>상의 上衣</t>
        </is>
      </c>
      <c r="G28" s="10" t="inlineStr">
        <is>
          <t>条纹衬衫</t>
        </is>
      </c>
    </row>
    <row r="29" ht="18.95" customHeight="1" s="49">
      <c r="A29" s="22" t="inlineStr">
        <is>
          <t>JW</t>
        </is>
      </c>
      <c r="B29" s="4" t="inlineStr">
        <is>
          <t>상의 上衣</t>
        </is>
      </c>
      <c r="C29" s="4" t="n"/>
      <c r="E29" s="22" t="inlineStr">
        <is>
          <t>YW</t>
        </is>
      </c>
      <c r="F29" s="4" t="inlineStr">
        <is>
          <t>상의 上衣</t>
        </is>
      </c>
      <c r="G29" s="4" t="inlineStr">
        <is>
          <t>亚麻衬衫</t>
        </is>
      </c>
    </row>
    <row r="30" ht="18.95" customHeight="1" s="49">
      <c r="A30" s="22" t="inlineStr">
        <is>
          <t>KW</t>
        </is>
      </c>
      <c r="B30" s="4" t="inlineStr">
        <is>
          <t>상의 上衣</t>
        </is>
      </c>
      <c r="C30" s="4" t="inlineStr">
        <is>
          <t>针织短袖</t>
        </is>
      </c>
      <c r="E30" s="21" t="inlineStr">
        <is>
          <t>item</t>
        </is>
      </c>
      <c r="F30" s="10" t="n"/>
      <c r="G30" s="10" t="n"/>
    </row>
    <row r="31" ht="18.95" customHeight="1" s="49">
      <c r="A31" s="22" t="inlineStr">
        <is>
          <t>LA</t>
        </is>
      </c>
      <c r="B31" s="4" t="inlineStr">
        <is>
          <t>상의 上衣</t>
        </is>
      </c>
      <c r="C31" s="4" t="inlineStr">
        <is>
          <t>吊带</t>
        </is>
      </c>
      <c r="E31" s="21" t="inlineStr">
        <is>
          <t>内搭</t>
        </is>
      </c>
      <c r="F31" s="10" t="n"/>
      <c r="G31" s="10" t="n"/>
    </row>
    <row r="32" ht="18.95" customHeight="1" s="49">
      <c r="A32" s="19" t="inlineStr">
        <is>
          <t>LS</t>
        </is>
      </c>
      <c r="B32" s="7" t="inlineStr">
        <is>
          <t>액세서리 ACC</t>
        </is>
      </c>
      <c r="C32" s="7" t="inlineStr">
        <is>
          <t>针织ACC</t>
        </is>
      </c>
      <c r="E32" s="21" t="inlineStr">
        <is>
          <t>外套</t>
        </is>
      </c>
      <c r="F32" s="10" t="n"/>
      <c r="G32" s="10" t="n"/>
    </row>
    <row r="33" ht="18.95" customHeight="1" s="49">
      <c r="A33" s="22" t="inlineStr">
        <is>
          <t>MT</t>
        </is>
      </c>
      <c r="B33" s="4" t="inlineStr">
        <is>
          <t>상의 上衣</t>
        </is>
      </c>
      <c r="C33" s="4" t="n"/>
      <c r="E33" s="21" t="inlineStr">
        <is>
          <t>廓形</t>
        </is>
      </c>
      <c r="F33" s="10" t="n"/>
      <c r="G33" s="10" t="n"/>
    </row>
    <row r="34" ht="18.95" customHeight="1" s="49">
      <c r="A34" s="19" t="inlineStr">
        <is>
          <t>MZ</t>
        </is>
      </c>
      <c r="B34" s="7" t="inlineStr">
        <is>
          <t>액세서리 ACC</t>
        </is>
      </c>
      <c r="C34" s="7" t="inlineStr">
        <is>
          <t>针织配饰</t>
        </is>
      </c>
      <c r="E34" s="21" t="inlineStr">
        <is>
          <t>牛仔</t>
        </is>
      </c>
      <c r="F34" s="10" t="n"/>
      <c r="G34" s="10" t="n"/>
    </row>
    <row r="35" ht="18.95" customHeight="1" s="49">
      <c r="A35" s="20" t="inlineStr">
        <is>
          <t>OJ</t>
        </is>
      </c>
      <c r="B35" s="6" t="inlineStr">
        <is>
          <t>원피스 连衣裙</t>
        </is>
      </c>
      <c r="C35" s="6" t="inlineStr">
        <is>
          <t>牛仔连衣裙</t>
        </is>
      </c>
      <c r="E35" s="21" t="inlineStr">
        <is>
          <t>连衣裙</t>
        </is>
      </c>
      <c r="F35" s="10" t="n"/>
      <c r="G35" s="10" t="n"/>
    </row>
    <row r="36" ht="18.95" customHeight="1" s="49">
      <c r="A36" s="22" t="inlineStr">
        <is>
          <t>OK</t>
        </is>
      </c>
      <c r="B36" s="4" t="inlineStr">
        <is>
          <t>상의 上衣</t>
        </is>
      </c>
      <c r="C36" s="4" t="inlineStr">
        <is>
          <t>针织衫</t>
        </is>
      </c>
      <c r="E36" s="21" t="inlineStr">
        <is>
          <t>针织</t>
        </is>
      </c>
      <c r="F36" s="10" t="n"/>
      <c r="G36" s="10" t="n"/>
    </row>
    <row r="37"/>
    <row r="38"/>
    <row r="39" ht="26.1" customHeight="1" s="49">
      <c r="A39" s="56" t="inlineStr">
        <is>
          <t xml:space="preserve">  컬러코드(2자리) → 컬러명 매핑</t>
        </is>
      </c>
    </row>
    <row r="40">
      <c r="A40" s="18" t="inlineStr">
        <is>
          <t>컬러코드</t>
        </is>
      </c>
      <c r="B40" s="18" t="inlineStr">
        <is>
          <t>컬러명</t>
        </is>
      </c>
      <c r="E40" s="18" t="inlineStr">
        <is>
          <t>컬러코드</t>
        </is>
      </c>
      <c r="F40" s="18" t="inlineStr">
        <is>
          <t>컬러명</t>
        </is>
      </c>
    </row>
    <row r="41" ht="18" customHeight="1" s="49">
      <c r="A41" s="21" t="inlineStr">
        <is>
          <t>01</t>
        </is>
      </c>
      <c r="B41" s="10" t="inlineStr">
        <is>
          <t>(01)M/Indigo</t>
        </is>
      </c>
      <c r="E41" s="21" t="inlineStr">
        <is>
          <t>49</t>
        </is>
      </c>
      <c r="F41" s="10" t="inlineStr">
        <is>
          <t>(49)Khaki</t>
        </is>
      </c>
    </row>
    <row r="42" ht="18" customHeight="1" s="49">
      <c r="A42" s="24" t="inlineStr">
        <is>
          <t>15</t>
        </is>
      </c>
      <c r="B42" s="13" t="inlineStr">
        <is>
          <t>(15)Grey</t>
        </is>
      </c>
      <c r="E42" s="24" t="inlineStr">
        <is>
          <t>50</t>
        </is>
      </c>
      <c r="F42" s="13" t="inlineStr">
        <is>
          <t>(50)Blue</t>
        </is>
      </c>
    </row>
    <row r="43" ht="18" customHeight="1" s="49">
      <c r="A43" s="21" t="inlineStr">
        <is>
          <t>16</t>
        </is>
      </c>
      <c r="B43" s="10" t="inlineStr">
        <is>
          <t>(16)L/Grey</t>
        </is>
      </c>
      <c r="E43" s="21" t="inlineStr">
        <is>
          <t>51</t>
        </is>
      </c>
      <c r="F43" s="10" t="inlineStr">
        <is>
          <t>(51)L/Blue</t>
        </is>
      </c>
    </row>
    <row r="44" ht="18" customHeight="1" s="49">
      <c r="A44" s="24" t="inlineStr">
        <is>
          <t>17</t>
        </is>
      </c>
      <c r="B44" s="13" t="inlineStr">
        <is>
          <t>(17)D/Grey</t>
        </is>
      </c>
      <c r="E44" s="24" t="inlineStr">
        <is>
          <t>52</t>
        </is>
      </c>
      <c r="F44" s="13" t="inlineStr">
        <is>
          <t>(52)D/Blue</t>
        </is>
      </c>
    </row>
    <row r="45" ht="18" customHeight="1" s="49">
      <c r="A45" s="21" t="inlineStr">
        <is>
          <t>18</t>
        </is>
      </c>
      <c r="B45" s="10" t="inlineStr">
        <is>
          <t>(18)M/Grey</t>
        </is>
      </c>
      <c r="E45" s="21" t="inlineStr">
        <is>
          <t>55</t>
        </is>
      </c>
      <c r="F45" s="10" t="inlineStr">
        <is>
          <t>(55)Indigo</t>
        </is>
      </c>
    </row>
    <row r="46" ht="18" customHeight="1" s="49">
      <c r="A46" s="24" t="inlineStr">
        <is>
          <t>19</t>
        </is>
      </c>
      <c r="B46" s="13" t="inlineStr">
        <is>
          <t>(19)Black</t>
        </is>
      </c>
      <c r="E46" s="24" t="inlineStr">
        <is>
          <t>56</t>
        </is>
      </c>
      <c r="F46" s="13" t="inlineStr">
        <is>
          <t>(56)L/Indigo</t>
        </is>
      </c>
    </row>
    <row r="47" ht="18" customHeight="1" s="49">
      <c r="A47" s="21" t="inlineStr">
        <is>
          <t>20</t>
        </is>
      </c>
      <c r="B47" s="10" t="inlineStr">
        <is>
          <t>(20)Red</t>
        </is>
      </c>
      <c r="E47" s="21" t="inlineStr">
        <is>
          <t>57</t>
        </is>
      </c>
      <c r="F47" s="10" t="inlineStr">
        <is>
          <t>(57)D/Indigo</t>
        </is>
      </c>
    </row>
    <row r="48" ht="18" customHeight="1" s="49">
      <c r="A48" s="24" t="inlineStr">
        <is>
          <t>25</t>
        </is>
      </c>
      <c r="B48" s="13" t="inlineStr">
        <is>
          <t>(25)Pink</t>
        </is>
      </c>
      <c r="E48" s="24" t="inlineStr">
        <is>
          <t>59</t>
        </is>
      </c>
      <c r="F48" s="13" t="inlineStr">
        <is>
          <t>(59)Navy</t>
        </is>
      </c>
    </row>
    <row r="49" ht="18" customHeight="1" s="49">
      <c r="A49" s="21" t="inlineStr">
        <is>
          <t>26</t>
        </is>
      </c>
      <c r="B49" s="10" t="inlineStr">
        <is>
          <t>(26)L/Pink</t>
        </is>
      </c>
      <c r="E49" s="21" t="inlineStr">
        <is>
          <t>62</t>
        </is>
      </c>
      <c r="F49" s="10" t="inlineStr">
        <is>
          <t>(62)Hunter</t>
        </is>
      </c>
    </row>
    <row r="50" ht="18" customHeight="1" s="49">
      <c r="A50" s="24" t="inlineStr">
        <is>
          <t>27</t>
        </is>
      </c>
      <c r="B50" s="13" t="inlineStr">
        <is>
          <t>(27)D/Pink</t>
        </is>
      </c>
      <c r="E50" s="24" t="inlineStr">
        <is>
          <t>64</t>
        </is>
      </c>
      <c r="F50" s="13" t="inlineStr">
        <is>
          <t>(64)Cream</t>
        </is>
      </c>
    </row>
    <row r="51" ht="18" customHeight="1" s="49">
      <c r="A51" s="21" t="inlineStr">
        <is>
          <t>30</t>
        </is>
      </c>
      <c r="B51" s="10" t="inlineStr">
        <is>
          <t>(30)Yellow</t>
        </is>
      </c>
      <c r="E51" s="21" t="inlineStr">
        <is>
          <t>70</t>
        </is>
      </c>
      <c r="F51" s="10" t="inlineStr">
        <is>
          <t>(70)Violet</t>
        </is>
      </c>
    </row>
    <row r="52" ht="18" customHeight="1" s="49">
      <c r="A52" s="24" t="inlineStr">
        <is>
          <t>31</t>
        </is>
      </c>
      <c r="B52" s="13" t="inlineStr">
        <is>
          <t>(31)L/Yellow</t>
        </is>
      </c>
      <c r="E52" s="24" t="inlineStr">
        <is>
          <t>75</t>
        </is>
      </c>
      <c r="F52" s="13" t="inlineStr">
        <is>
          <t>(75)Purple</t>
        </is>
      </c>
    </row>
    <row r="53" ht="18" customHeight="1" s="49">
      <c r="A53" s="21" t="inlineStr">
        <is>
          <t>32</t>
        </is>
      </c>
      <c r="B53" s="10" t="inlineStr">
        <is>
          <t>(32)Mustard Yellow</t>
        </is>
      </c>
      <c r="E53" s="21" t="inlineStr">
        <is>
          <t>79</t>
        </is>
      </c>
      <c r="F53" s="10" t="inlineStr">
        <is>
          <t>(79)Olive Green</t>
        </is>
      </c>
    </row>
    <row r="54" ht="18" customHeight="1" s="49">
      <c r="A54" s="24" t="inlineStr">
        <is>
          <t>35</t>
        </is>
      </c>
      <c r="B54" s="13" t="inlineStr">
        <is>
          <t>(35)Beige</t>
        </is>
      </c>
      <c r="E54" s="24" t="inlineStr">
        <is>
          <t>84</t>
        </is>
      </c>
      <c r="F54" s="13" t="inlineStr">
        <is>
          <t>(84)Mint</t>
        </is>
      </c>
    </row>
    <row r="55" ht="18" customHeight="1" s="49">
      <c r="A55" s="21" t="inlineStr">
        <is>
          <t>36</t>
        </is>
      </c>
      <c r="B55" s="10" t="inlineStr">
        <is>
          <t>(36)L/Beige</t>
        </is>
      </c>
      <c r="E55" s="21" t="inlineStr">
        <is>
          <t>85</t>
        </is>
      </c>
      <c r="F55" s="10" t="inlineStr">
        <is>
          <t>(85)Brown</t>
        </is>
      </c>
    </row>
    <row r="56" ht="18" customHeight="1" s="49">
      <c r="A56" s="24" t="inlineStr">
        <is>
          <t>37</t>
        </is>
      </c>
      <c r="B56" s="13" t="inlineStr">
        <is>
          <t>(37)D/Beige</t>
        </is>
      </c>
      <c r="E56" s="24" t="inlineStr">
        <is>
          <t>86</t>
        </is>
      </c>
      <c r="F56" s="13" t="inlineStr">
        <is>
          <t>(86)Light Brown</t>
        </is>
      </c>
    </row>
    <row r="57" ht="18" customHeight="1" s="49">
      <c r="A57" s="21" t="inlineStr">
        <is>
          <t>39</t>
        </is>
      </c>
      <c r="B57" s="10" t="inlineStr">
        <is>
          <t>(39)Ivory</t>
        </is>
      </c>
      <c r="E57" s="21" t="inlineStr">
        <is>
          <t>88</t>
        </is>
      </c>
      <c r="F57" s="10" t="inlineStr">
        <is>
          <t>(88)Lavender</t>
        </is>
      </c>
    </row>
    <row r="58" ht="18" customHeight="1" s="49">
      <c r="A58" s="24" t="inlineStr">
        <is>
          <t>40</t>
        </is>
      </c>
      <c r="B58" s="13" t="inlineStr">
        <is>
          <t>(40)Green</t>
        </is>
      </c>
      <c r="E58" s="24" t="inlineStr">
        <is>
          <t>92</t>
        </is>
      </c>
      <c r="F58" s="13" t="inlineStr">
        <is>
          <t>(92)Gold</t>
        </is>
      </c>
    </row>
    <row r="59" ht="18" customHeight="1" s="49">
      <c r="A59" s="21" t="inlineStr">
        <is>
          <t>41</t>
        </is>
      </c>
      <c r="B59" s="10" t="inlineStr">
        <is>
          <t>(41)L/Green</t>
        </is>
      </c>
      <c r="E59" s="21" t="inlineStr">
        <is>
          <t>95</t>
        </is>
      </c>
      <c r="F59" s="10" t="inlineStr">
        <is>
          <t>(95)Twotone</t>
        </is>
      </c>
    </row>
    <row r="60" ht="18" customHeight="1" s="49">
      <c r="A60" s="24" t="inlineStr">
        <is>
          <t>42</t>
        </is>
      </c>
      <c r="B60" s="13" t="inlineStr">
        <is>
          <t>(42)M/Green</t>
        </is>
      </c>
      <c r="E60" s="24" t="inlineStr">
        <is>
          <t>99</t>
        </is>
      </c>
      <c r="F60" s="13" t="inlineStr">
        <is>
          <t>(99)Mix</t>
        </is>
      </c>
    </row>
  </sheetData>
  <mergeCells count="3">
    <mergeCell ref="A3:G3"/>
    <mergeCell ref="A39:G3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T189"/>
  <sheetViews>
    <sheetView topLeftCell="H1" workbookViewId="0">
      <selection activeCell="Q28" sqref="Q28"/>
    </sheetView>
  </sheetViews>
  <sheetFormatPr baseColWidth="8" defaultColWidth="8.875" defaultRowHeight="16.5"/>
  <cols>
    <col hidden="1" width="8.875" customWidth="1" style="37" min="1" max="7"/>
    <col width="14" customWidth="1" style="37" min="8" max="8"/>
    <col width="8.875" customWidth="1" style="37" min="9" max="17"/>
    <col width="13.25" customWidth="1" style="37" min="18" max="18"/>
    <col width="8.875" customWidth="1" style="37" min="19" max="19"/>
    <col width="8.875" customWidth="1" style="37" min="20" max="16384"/>
  </cols>
  <sheetData>
    <row r="1">
      <c r="B1" s="37" t="inlineStr">
        <is>
          <t>Table</t>
        </is>
      </c>
    </row>
    <row r="2">
      <c r="M2" s="37" t="inlineStr">
        <is>
          <t>销售数量</t>
        </is>
      </c>
      <c r="N2" s="37" t="inlineStr">
        <is>
          <t>卖场库存量</t>
        </is>
      </c>
      <c r="O2" s="37" t="inlineStr">
        <is>
          <t>销售额</t>
        </is>
      </c>
    </row>
    <row r="3">
      <c r="A3" s="37" t="inlineStr">
        <is>
          <t>品类</t>
        </is>
      </c>
      <c r="B3" s="37" t="inlineStr">
        <is>
          <t>支社</t>
        </is>
      </c>
      <c r="D3" s="37" t="inlineStr">
        <is>
          <t>卖场</t>
        </is>
      </c>
      <c r="F3" s="37" t="inlineStr">
        <is>
          <t>卖场类型</t>
        </is>
      </c>
      <c r="H3" s="37" t="inlineStr">
        <is>
          <t>款号</t>
        </is>
      </c>
      <c r="I3" s="37" t="inlineStr">
        <is>
          <t>预定销售价</t>
        </is>
      </c>
      <c r="J3" s="37" t="inlineStr">
        <is>
          <t>决定销售价</t>
        </is>
      </c>
      <c r="K3" s="37" t="inlineStr">
        <is>
          <t>入库要求日期</t>
        </is>
      </c>
      <c r="L3" s="37" t="inlineStr">
        <is>
          <t>卖场状态</t>
        </is>
      </c>
      <c r="M3" s="37" t="inlineStr">
        <is>
          <t>PCS</t>
        </is>
      </c>
      <c r="N3" s="37" t="inlineStr">
        <is>
          <t>PCS</t>
        </is>
      </c>
      <c r="O3" s="37" t="inlineStr">
        <is>
          <t>CNY</t>
        </is>
      </c>
    </row>
    <row r="4" hidden="1" s="49">
      <c r="A4" s="37">
        <f>MID(H4,3,2)</f>
        <v/>
      </c>
      <c r="B4" s="37" t="inlineStr">
        <is>
          <t>B331</t>
        </is>
      </c>
      <c r="C4" s="37" t="inlineStr">
        <is>
          <t>上海区域</t>
        </is>
      </c>
      <c r="D4" s="37" t="inlineStr">
        <is>
          <t>CMCF</t>
        </is>
      </c>
      <c r="E4" s="37" t="inlineStr">
        <is>
          <t>EE 上海七宝万科广场</t>
        </is>
      </c>
      <c r="F4" s="38" t="inlineStr">
        <is>
          <t>02</t>
        </is>
      </c>
      <c r="G4" s="37" t="inlineStr">
        <is>
          <t>购物中心</t>
        </is>
      </c>
      <c r="H4" s="37" t="inlineStr">
        <is>
          <t>EEABG23B01</t>
        </is>
      </c>
      <c r="I4" s="37" t="n">
        <v>499</v>
      </c>
      <c r="J4" s="37" t="n">
        <v>499</v>
      </c>
      <c r="K4" s="39" t="n">
        <v>46045</v>
      </c>
      <c r="L4" s="37" t="inlineStr">
        <is>
          <t>营业中</t>
        </is>
      </c>
      <c r="N4" s="37" t="n">
        <v>2</v>
      </c>
      <c r="R4" s="37" t="inlineStr">
        <is>
          <t>款号</t>
        </is>
      </c>
      <c r="S4" s="37" t="inlineStr">
        <is>
          <t>销售额</t>
        </is>
      </c>
      <c r="T4" s="37" t="inlineStr">
        <is>
          <t>销售量</t>
        </is>
      </c>
    </row>
    <row r="5" hidden="1" s="49">
      <c r="A5" s="37">
        <f>MID(H5,3,2)</f>
        <v/>
      </c>
      <c r="B5" s="37" t="inlineStr">
        <is>
          <t>B331</t>
        </is>
      </c>
      <c r="C5" s="37" t="inlineStr">
        <is>
          <t>上海区域</t>
        </is>
      </c>
      <c r="D5" s="37" t="inlineStr">
        <is>
          <t>CMCF</t>
        </is>
      </c>
      <c r="E5" s="37" t="inlineStr">
        <is>
          <t>EE 上海七宝万科广场</t>
        </is>
      </c>
      <c r="F5" s="38" t="inlineStr">
        <is>
          <t>02</t>
        </is>
      </c>
      <c r="G5" s="37" t="inlineStr">
        <is>
          <t>购物中心</t>
        </is>
      </c>
      <c r="H5" s="37" t="inlineStr">
        <is>
          <t>EEABG23B51</t>
        </is>
      </c>
      <c r="I5" s="37" t="n">
        <v>199</v>
      </c>
      <c r="J5" s="37" t="n">
        <v>199</v>
      </c>
      <c r="K5" s="39" t="n">
        <v>46106</v>
      </c>
      <c r="L5" s="37" t="inlineStr">
        <is>
          <t>营业中</t>
        </is>
      </c>
      <c r="N5" s="37" t="n">
        <v>2</v>
      </c>
      <c r="R5" s="40" t="inlineStr">
        <is>
          <t>EETJG24E01</t>
        </is>
      </c>
      <c r="S5" s="37">
        <f>SUMIFS(O:O,H:H,R5)</f>
        <v/>
      </c>
      <c r="T5" s="37">
        <f>SUMIFS(M:M,H:H,R5)</f>
        <v/>
      </c>
    </row>
    <row r="6" hidden="1" s="49">
      <c r="A6" s="37">
        <f>MID(H6,3,2)</f>
        <v/>
      </c>
      <c r="B6" s="37" t="inlineStr">
        <is>
          <t>B331</t>
        </is>
      </c>
      <c r="C6" s="37" t="inlineStr">
        <is>
          <t>上海区域</t>
        </is>
      </c>
      <c r="D6" s="37" t="inlineStr">
        <is>
          <t>CMCF</t>
        </is>
      </c>
      <c r="E6" s="37" t="inlineStr">
        <is>
          <t>EE 上海七宝万科广场</t>
        </is>
      </c>
      <c r="F6" s="38" t="inlineStr">
        <is>
          <t>02</t>
        </is>
      </c>
      <c r="G6" s="37" t="inlineStr">
        <is>
          <t>购物中心</t>
        </is>
      </c>
      <c r="H6" s="37" t="inlineStr">
        <is>
          <t>EEACG23E01</t>
        </is>
      </c>
      <c r="I6" s="37" t="n">
        <v>299</v>
      </c>
      <c r="J6" s="37" t="n">
        <v>299</v>
      </c>
      <c r="K6" s="39" t="n">
        <v>46038</v>
      </c>
      <c r="L6" s="37" t="inlineStr">
        <is>
          <t>营业中</t>
        </is>
      </c>
      <c r="N6" s="37" t="n">
        <v>12</v>
      </c>
      <c r="R6" s="40" t="inlineStr">
        <is>
          <t>EETAG24E02</t>
        </is>
      </c>
      <c r="S6" s="37">
        <f>SUMIFS(O:O,H:H,R6)</f>
        <v/>
      </c>
      <c r="T6" s="37">
        <f>SUMIFS(M:M,H:H,R6)</f>
        <v/>
      </c>
    </row>
    <row r="7" hidden="1" s="49">
      <c r="A7" s="37">
        <f>MID(H7,3,2)</f>
        <v/>
      </c>
      <c r="B7" s="37" t="inlineStr">
        <is>
          <t>B331</t>
        </is>
      </c>
      <c r="C7" s="37" t="inlineStr">
        <is>
          <t>上海区域</t>
        </is>
      </c>
      <c r="D7" s="37" t="inlineStr">
        <is>
          <t>CMCF</t>
        </is>
      </c>
      <c r="E7" s="37" t="inlineStr">
        <is>
          <t>EE 上海七宝万科广场</t>
        </is>
      </c>
      <c r="F7" s="38" t="inlineStr">
        <is>
          <t>02</t>
        </is>
      </c>
      <c r="G7" s="37" t="inlineStr">
        <is>
          <t>购物中心</t>
        </is>
      </c>
      <c r="H7" s="37" t="inlineStr">
        <is>
          <t>EEACG25D01</t>
        </is>
      </c>
      <c r="I7" s="37" t="n">
        <v>399</v>
      </c>
      <c r="J7" s="37" t="n">
        <v>399</v>
      </c>
      <c r="K7" s="39" t="n">
        <v>46106</v>
      </c>
      <c r="L7" s="37" t="inlineStr">
        <is>
          <t>营业中</t>
        </is>
      </c>
      <c r="M7" s="37" t="n">
        <v>0</v>
      </c>
      <c r="N7" s="37" t="n">
        <v>2</v>
      </c>
      <c r="O7" s="37" t="n">
        <v>0</v>
      </c>
      <c r="R7" s="40" t="inlineStr">
        <is>
          <t>EETCG24E06</t>
        </is>
      </c>
      <c r="S7" s="37">
        <f>SUMIFS(O:O,H:H,R7)</f>
        <v/>
      </c>
      <c r="T7" s="37">
        <f>SUMIFS(M:M,H:H,R7)</f>
        <v/>
      </c>
    </row>
    <row r="8" hidden="1" s="49">
      <c r="A8" s="37">
        <f>MID(H8,3,2)</f>
        <v/>
      </c>
      <c r="B8" s="37" t="inlineStr">
        <is>
          <t>B331</t>
        </is>
      </c>
      <c r="C8" s="37" t="inlineStr">
        <is>
          <t>上海区域</t>
        </is>
      </c>
      <c r="D8" s="37" t="inlineStr">
        <is>
          <t>CMCF</t>
        </is>
      </c>
      <c r="E8" s="37" t="inlineStr">
        <is>
          <t>EE 上海七宝万科广场</t>
        </is>
      </c>
      <c r="F8" s="38" t="inlineStr">
        <is>
          <t>02</t>
        </is>
      </c>
      <c r="G8" s="37" t="inlineStr">
        <is>
          <t>购物中心</t>
        </is>
      </c>
      <c r="H8" s="37" t="inlineStr">
        <is>
          <t>EEAKG23B01</t>
        </is>
      </c>
      <c r="I8" s="37" t="n">
        <v>999</v>
      </c>
      <c r="J8" s="37" t="n">
        <v>999</v>
      </c>
      <c r="K8" s="39" t="n">
        <v>46059</v>
      </c>
      <c r="L8" s="37" t="inlineStr">
        <is>
          <t>营业中</t>
        </is>
      </c>
      <c r="N8" s="37" t="n">
        <v>1</v>
      </c>
      <c r="R8" s="40" t="inlineStr">
        <is>
          <t>EETJG23E04</t>
        </is>
      </c>
      <c r="S8" s="37">
        <f>SUMIFS(O:O,H:H,R8)</f>
        <v/>
      </c>
      <c r="T8" s="37">
        <f>SUMIFS(M:M,H:H,R8)</f>
        <v/>
      </c>
    </row>
    <row r="9" hidden="1" s="49">
      <c r="A9" s="37">
        <f>MID(H9,3,2)</f>
        <v/>
      </c>
      <c r="B9" s="37" t="inlineStr">
        <is>
          <t>B331</t>
        </is>
      </c>
      <c r="C9" s="37" t="inlineStr">
        <is>
          <t>上海区域</t>
        </is>
      </c>
      <c r="D9" s="37" t="inlineStr">
        <is>
          <t>CMCF</t>
        </is>
      </c>
      <c r="E9" s="37" t="inlineStr">
        <is>
          <t>EE 上海七宝万科广场</t>
        </is>
      </c>
      <c r="F9" s="38" t="inlineStr">
        <is>
          <t>02</t>
        </is>
      </c>
      <c r="G9" s="37" t="inlineStr">
        <is>
          <t>购物中心</t>
        </is>
      </c>
      <c r="H9" s="37" t="inlineStr">
        <is>
          <t>EEAKG25B01</t>
        </is>
      </c>
      <c r="I9" s="37" t="n">
        <v>1299</v>
      </c>
      <c r="J9" s="37" t="n">
        <v>1299</v>
      </c>
      <c r="K9" s="39" t="n">
        <v>46112</v>
      </c>
      <c r="L9" s="37" t="inlineStr">
        <is>
          <t>营业中</t>
        </is>
      </c>
      <c r="N9" s="37" t="n">
        <v>2</v>
      </c>
      <c r="R9" s="40" t="inlineStr">
        <is>
          <t>EETAG24B03</t>
        </is>
      </c>
      <c r="S9" s="37">
        <f>SUMIFS(O:O,H:H,R9)</f>
        <v/>
      </c>
      <c r="T9" s="37">
        <f>SUMIFS(M:M,H:H,R9)</f>
        <v/>
      </c>
    </row>
    <row r="10" hidden="1" s="49">
      <c r="A10" s="37">
        <f>MID(H10,3,2)</f>
        <v/>
      </c>
      <c r="B10" s="37" t="inlineStr">
        <is>
          <t>B331</t>
        </is>
      </c>
      <c r="C10" s="37" t="inlineStr">
        <is>
          <t>上海区域</t>
        </is>
      </c>
      <c r="D10" s="37" t="inlineStr">
        <is>
          <t>CMCF</t>
        </is>
      </c>
      <c r="E10" s="37" t="inlineStr">
        <is>
          <t>EE 上海七宝万科广场</t>
        </is>
      </c>
      <c r="F10" s="38" t="inlineStr">
        <is>
          <t>02</t>
        </is>
      </c>
      <c r="G10" s="37" t="inlineStr">
        <is>
          <t>购物中心</t>
        </is>
      </c>
      <c r="H10" s="37" t="inlineStr">
        <is>
          <t>EEAKG25E01</t>
        </is>
      </c>
      <c r="I10" s="37" t="n">
        <v>1599</v>
      </c>
      <c r="J10" s="37" t="n">
        <v>1599</v>
      </c>
      <c r="K10" s="39" t="n">
        <v>46112</v>
      </c>
      <c r="L10" s="37" t="inlineStr">
        <is>
          <t>营业中</t>
        </is>
      </c>
      <c r="N10" s="37" t="n">
        <v>2</v>
      </c>
      <c r="R10" s="40" t="inlineStr">
        <is>
          <t>EETJG23E06</t>
        </is>
      </c>
      <c r="S10" s="37">
        <f>SUMIFS(O:O,H:H,R10)</f>
        <v/>
      </c>
      <c r="T10" s="37">
        <f>SUMIFS(M:M,H:H,R10)</f>
        <v/>
      </c>
    </row>
    <row r="11" hidden="1" s="49">
      <c r="A11" s="37">
        <f>MID(H11,3,2)</f>
        <v/>
      </c>
      <c r="B11" s="37" t="inlineStr">
        <is>
          <t>B331</t>
        </is>
      </c>
      <c r="C11" s="37" t="inlineStr">
        <is>
          <t>上海区域</t>
        </is>
      </c>
      <c r="D11" s="37" t="inlineStr">
        <is>
          <t>CMCF</t>
        </is>
      </c>
      <c r="E11" s="37" t="inlineStr">
        <is>
          <t>EE 上海七宝万科广场</t>
        </is>
      </c>
      <c r="F11" s="38" t="inlineStr">
        <is>
          <t>02</t>
        </is>
      </c>
      <c r="G11" s="37" t="inlineStr">
        <is>
          <t>购物中心</t>
        </is>
      </c>
      <c r="H11" s="37" t="inlineStr">
        <is>
          <t>EEASG23D01</t>
        </is>
      </c>
      <c r="I11" s="37" t="n">
        <v>399</v>
      </c>
      <c r="J11" s="37" t="n">
        <v>399</v>
      </c>
      <c r="K11" s="39" t="n">
        <v>46045</v>
      </c>
      <c r="L11" s="37" t="inlineStr">
        <is>
          <t>营业中</t>
        </is>
      </c>
      <c r="N11" s="37" t="n">
        <v>2</v>
      </c>
      <c r="R11" s="40" t="inlineStr">
        <is>
          <t>EETCG24E01</t>
        </is>
      </c>
      <c r="S11" s="37">
        <f>SUMIFS(O:O,H:H,R11)</f>
        <v/>
      </c>
      <c r="T11" s="37">
        <f>SUMIFS(M:M,H:H,R11)</f>
        <v/>
      </c>
    </row>
    <row r="12" hidden="1" s="49">
      <c r="A12" s="37">
        <f>MID(H12,3,2)</f>
        <v/>
      </c>
      <c r="B12" s="37" t="inlineStr">
        <is>
          <t>B331</t>
        </is>
      </c>
      <c r="C12" s="37" t="inlineStr">
        <is>
          <t>上海区域</t>
        </is>
      </c>
      <c r="D12" s="37" t="inlineStr">
        <is>
          <t>CMCF</t>
        </is>
      </c>
      <c r="E12" s="37" t="inlineStr">
        <is>
          <t>EE 上海七宝万科广场</t>
        </is>
      </c>
      <c r="F12" s="38" t="inlineStr">
        <is>
          <t>02</t>
        </is>
      </c>
      <c r="G12" s="37" t="inlineStr">
        <is>
          <t>购物中心</t>
        </is>
      </c>
      <c r="H12" s="37" t="inlineStr">
        <is>
          <t>EEASG24Q1S</t>
        </is>
      </c>
      <c r="I12" s="37" t="n">
        <v>299</v>
      </c>
      <c r="J12" s="37" t="n">
        <v>299</v>
      </c>
      <c r="K12" s="39" t="n">
        <v>46119</v>
      </c>
      <c r="L12" s="37" t="inlineStr">
        <is>
          <t>营业中</t>
        </is>
      </c>
      <c r="N12" s="37" t="n">
        <v>2</v>
      </c>
      <c r="R12" s="40" t="inlineStr">
        <is>
          <t>EETJG24E05</t>
        </is>
      </c>
      <c r="S12" s="37">
        <f>SUMIFS(O:O,H:H,R12)</f>
        <v/>
      </c>
      <c r="T12" s="37">
        <f>SUMIFS(M:M,H:H,R12)</f>
        <v/>
      </c>
    </row>
    <row r="13">
      <c r="A13" s="37">
        <f>MID(H13,3,2)</f>
        <v/>
      </c>
      <c r="B13" s="37" t="inlineStr">
        <is>
          <t>B331</t>
        </is>
      </c>
      <c r="C13" s="37" t="inlineStr">
        <is>
          <t>上海区域</t>
        </is>
      </c>
      <c r="D13" s="37" t="inlineStr">
        <is>
          <t>CMCF</t>
        </is>
      </c>
      <c r="E13" s="37" t="inlineStr">
        <is>
          <t>EE 上海七宝万科广场</t>
        </is>
      </c>
      <c r="F13" s="38" t="inlineStr">
        <is>
          <t>02</t>
        </is>
      </c>
      <c r="G13" s="37" t="inlineStr">
        <is>
          <t>购物中心</t>
        </is>
      </c>
      <c r="H13" s="37" t="inlineStr">
        <is>
          <t>EEBWG23B01</t>
        </is>
      </c>
      <c r="I13" s="37" t="n">
        <v>799</v>
      </c>
      <c r="J13" s="37" t="n">
        <v>799</v>
      </c>
      <c r="K13" s="39" t="n">
        <v>46027</v>
      </c>
      <c r="L13" s="37" t="inlineStr">
        <is>
          <t>营业中</t>
        </is>
      </c>
      <c r="M13" s="37" t="n">
        <v>1</v>
      </c>
      <c r="N13" s="37" t="n">
        <v>0</v>
      </c>
      <c r="O13" s="37" t="n">
        <v>503</v>
      </c>
      <c r="R13" s="40" t="inlineStr">
        <is>
          <t>EETJG25B03</t>
        </is>
      </c>
      <c r="S13" s="37">
        <f>SUMIFS(O:O,H:H,R13)</f>
        <v/>
      </c>
      <c r="T13" s="37">
        <f>SUMIFS(M:M,H:H,R13)</f>
        <v/>
      </c>
    </row>
    <row r="14" hidden="1" s="49">
      <c r="A14" s="37">
        <f>MID(H14,3,2)</f>
        <v/>
      </c>
      <c r="B14" s="37" t="inlineStr">
        <is>
          <t>B331</t>
        </is>
      </c>
      <c r="C14" s="37" t="inlineStr">
        <is>
          <t>上海区域</t>
        </is>
      </c>
      <c r="D14" s="37" t="inlineStr">
        <is>
          <t>CMCF</t>
        </is>
      </c>
      <c r="E14" s="37" t="inlineStr">
        <is>
          <t>EE 上海七宝万科广场</t>
        </is>
      </c>
      <c r="F14" s="38" t="inlineStr">
        <is>
          <t>02</t>
        </is>
      </c>
      <c r="G14" s="37" t="inlineStr">
        <is>
          <t>购物中心</t>
        </is>
      </c>
      <c r="H14" s="37" t="inlineStr">
        <is>
          <t>EECKG23B03</t>
        </is>
      </c>
      <c r="I14" s="37" t="n">
        <v>899</v>
      </c>
      <c r="J14" s="37" t="n">
        <v>799</v>
      </c>
      <c r="K14" s="39" t="n">
        <v>46048</v>
      </c>
      <c r="L14" s="37" t="inlineStr">
        <is>
          <t>营业中</t>
        </is>
      </c>
      <c r="N14" s="37" t="n">
        <v>0</v>
      </c>
      <c r="R14" s="40" t="inlineStr">
        <is>
          <t>EETJG23E01</t>
        </is>
      </c>
      <c r="S14" s="37">
        <f>SUMIFS(O:O,H:H,R14)</f>
        <v/>
      </c>
      <c r="T14" s="37">
        <f>SUMIFS(M:M,H:H,R14)</f>
        <v/>
      </c>
    </row>
    <row r="15" hidden="1" s="49">
      <c r="A15" s="37">
        <f>MID(H15,3,2)</f>
        <v/>
      </c>
      <c r="B15" s="37" t="inlineStr">
        <is>
          <t>B331</t>
        </is>
      </c>
      <c r="C15" s="37" t="inlineStr">
        <is>
          <t>上海区域</t>
        </is>
      </c>
      <c r="D15" s="37" t="inlineStr">
        <is>
          <t>CMCF</t>
        </is>
      </c>
      <c r="E15" s="37" t="inlineStr">
        <is>
          <t>EE 上海七宝万科广场</t>
        </is>
      </c>
      <c r="F15" s="38" t="inlineStr">
        <is>
          <t>02</t>
        </is>
      </c>
      <c r="G15" s="37" t="inlineStr">
        <is>
          <t>购物中心</t>
        </is>
      </c>
      <c r="H15" s="37" t="inlineStr">
        <is>
          <t>EECKG23B04</t>
        </is>
      </c>
      <c r="I15" s="37" t="n">
        <v>899</v>
      </c>
      <c r="J15" s="37" t="n">
        <v>899</v>
      </c>
      <c r="K15" s="39" t="n">
        <v>46048</v>
      </c>
      <c r="L15" s="37" t="inlineStr">
        <is>
          <t>营业中</t>
        </is>
      </c>
      <c r="N15" s="37" t="n">
        <v>0</v>
      </c>
      <c r="R15" s="40" t="inlineStr">
        <is>
          <t>EETAG24E04</t>
        </is>
      </c>
      <c r="S15" s="37">
        <f>SUMIFS(O:O,H:H,R15)</f>
        <v/>
      </c>
      <c r="T15" s="37">
        <f>SUMIFS(M:M,H:H,R15)</f>
        <v/>
      </c>
    </row>
    <row r="16">
      <c r="A16" s="37">
        <f>MID(H16,3,2)</f>
        <v/>
      </c>
      <c r="B16" s="37" t="inlineStr">
        <is>
          <t>B331</t>
        </is>
      </c>
      <c r="C16" s="37" t="inlineStr">
        <is>
          <t>上海区域</t>
        </is>
      </c>
      <c r="D16" s="37" t="inlineStr">
        <is>
          <t>CMCF</t>
        </is>
      </c>
      <c r="E16" s="37" t="inlineStr">
        <is>
          <t>EE 上海七宝万科广场</t>
        </is>
      </c>
      <c r="F16" s="38" t="inlineStr">
        <is>
          <t>02</t>
        </is>
      </c>
      <c r="G16" s="37" t="inlineStr">
        <is>
          <t>购物中心</t>
        </is>
      </c>
      <c r="H16" s="37" t="inlineStr">
        <is>
          <t>EEJAG23E01</t>
        </is>
      </c>
      <c r="I16" s="37" t="n">
        <v>1299</v>
      </c>
      <c r="J16" s="37" t="n">
        <v>1299</v>
      </c>
      <c r="K16" s="39" t="n">
        <v>46048</v>
      </c>
      <c r="L16" s="37" t="inlineStr">
        <is>
          <t>营业中</t>
        </is>
      </c>
      <c r="M16" s="37" t="n">
        <v>2</v>
      </c>
      <c r="N16" s="37" t="n">
        <v>0</v>
      </c>
      <c r="O16" s="41" t="n">
        <v>1299</v>
      </c>
      <c r="R16" s="40" t="inlineStr">
        <is>
          <t>EETHG25E04</t>
        </is>
      </c>
      <c r="S16" s="37">
        <f>SUMIFS(O:O,H:H,R16)</f>
        <v/>
      </c>
      <c r="T16" s="37">
        <f>SUMIFS(M:M,H:H,R16)</f>
        <v/>
      </c>
    </row>
    <row r="17">
      <c r="A17" s="37">
        <f>MID(H17,3,2)</f>
        <v/>
      </c>
      <c r="B17" s="37" t="inlineStr">
        <is>
          <t>B331</t>
        </is>
      </c>
      <c r="C17" s="37" t="inlineStr">
        <is>
          <t>上海区域</t>
        </is>
      </c>
      <c r="D17" s="37" t="inlineStr">
        <is>
          <t>CMCF</t>
        </is>
      </c>
      <c r="E17" s="37" t="inlineStr">
        <is>
          <t>EE 上海七宝万科广场</t>
        </is>
      </c>
      <c r="F17" s="38" t="inlineStr">
        <is>
          <t>02</t>
        </is>
      </c>
      <c r="G17" s="37" t="inlineStr">
        <is>
          <t>购物中心</t>
        </is>
      </c>
      <c r="H17" s="37" t="inlineStr">
        <is>
          <t>EEJAG24B04</t>
        </is>
      </c>
      <c r="I17" s="37" t="n">
        <v>1999</v>
      </c>
      <c r="J17" s="37" t="n">
        <v>1599</v>
      </c>
      <c r="K17" s="39" t="n">
        <v>46125</v>
      </c>
      <c r="L17" s="37" t="inlineStr">
        <is>
          <t>营业中</t>
        </is>
      </c>
      <c r="M17" s="37" t="n">
        <v>2</v>
      </c>
      <c r="N17" s="37" t="n">
        <v>1</v>
      </c>
      <c r="O17" s="41" t="n">
        <v>1839</v>
      </c>
    </row>
    <row r="18" hidden="1" s="49">
      <c r="A18" s="37">
        <f>MID(H18,3,2)</f>
        <v/>
      </c>
      <c r="B18" s="37" t="inlineStr">
        <is>
          <t>B331</t>
        </is>
      </c>
      <c r="C18" s="37" t="inlineStr">
        <is>
          <t>上海区域</t>
        </is>
      </c>
      <c r="D18" s="37" t="inlineStr">
        <is>
          <t>CMCF</t>
        </is>
      </c>
      <c r="E18" s="37" t="inlineStr">
        <is>
          <t>EE 上海七宝万科广场</t>
        </is>
      </c>
      <c r="F18" s="38" t="inlineStr">
        <is>
          <t>02</t>
        </is>
      </c>
      <c r="G18" s="37" t="inlineStr">
        <is>
          <t>购物中心</t>
        </is>
      </c>
      <c r="H18" s="37" t="inlineStr">
        <is>
          <t>EECKG23R31</t>
        </is>
      </c>
      <c r="I18" s="37" t="n">
        <v>999</v>
      </c>
      <c r="J18" s="37" t="n">
        <v>999</v>
      </c>
      <c r="K18" s="39" t="n">
        <v>46052</v>
      </c>
      <c r="L18" s="37" t="inlineStr">
        <is>
          <t>营业中</t>
        </is>
      </c>
      <c r="M18" s="37" t="n">
        <v>0</v>
      </c>
      <c r="N18" s="37" t="n">
        <v>0</v>
      </c>
      <c r="O18" s="37" t="n">
        <v>0</v>
      </c>
      <c r="R18" s="40" t="inlineStr">
        <is>
          <t>EETHG24E02</t>
        </is>
      </c>
      <c r="S18" s="37">
        <f>SUMIFS(O:O,H:H,R18)</f>
        <v/>
      </c>
      <c r="T18" s="37">
        <f>SUMIFS(M:M,H:H,R18)</f>
        <v/>
      </c>
    </row>
    <row r="19" hidden="1" s="49">
      <c r="A19" s="37">
        <f>MID(H19,3,2)</f>
        <v/>
      </c>
      <c r="B19" s="37" t="inlineStr">
        <is>
          <t>B331</t>
        </is>
      </c>
      <c r="C19" s="37" t="inlineStr">
        <is>
          <t>上海区域</t>
        </is>
      </c>
      <c r="D19" s="37" t="inlineStr">
        <is>
          <t>CMCF</t>
        </is>
      </c>
      <c r="E19" s="37" t="inlineStr">
        <is>
          <t>EE 上海七宝万科广场</t>
        </is>
      </c>
      <c r="F19" s="38" t="inlineStr">
        <is>
          <t>02</t>
        </is>
      </c>
      <c r="G19" s="37" t="inlineStr">
        <is>
          <t>购物中心</t>
        </is>
      </c>
      <c r="H19" s="37" t="inlineStr">
        <is>
          <t>EECKG23R33</t>
        </is>
      </c>
      <c r="I19" s="37" t="n">
        <v>899</v>
      </c>
      <c r="J19" s="37" t="n">
        <v>899</v>
      </c>
      <c r="K19" s="39" t="n">
        <v>46045</v>
      </c>
      <c r="L19" s="37" t="inlineStr">
        <is>
          <t>营业中</t>
        </is>
      </c>
      <c r="N19" s="37" t="n">
        <v>0</v>
      </c>
      <c r="R19" s="40" t="inlineStr">
        <is>
          <t>EETJG24E06</t>
        </is>
      </c>
      <c r="S19" s="37">
        <f>SUMIFS(O:O,H:H,R19)</f>
        <v/>
      </c>
      <c r="T19" s="37">
        <f>SUMIFS(M:M,H:H,R19)</f>
        <v/>
      </c>
    </row>
    <row r="20">
      <c r="A20" s="37">
        <f>MID(H20,3,2)</f>
        <v/>
      </c>
      <c r="B20" s="37" t="inlineStr">
        <is>
          <t>B331</t>
        </is>
      </c>
      <c r="C20" s="37" t="inlineStr">
        <is>
          <t>上海区域</t>
        </is>
      </c>
      <c r="D20" s="37" t="inlineStr">
        <is>
          <t>CMCF</t>
        </is>
      </c>
      <c r="E20" s="37" t="inlineStr">
        <is>
          <t>EE 上海七宝万科广场</t>
        </is>
      </c>
      <c r="F20" s="38" t="inlineStr">
        <is>
          <t>02</t>
        </is>
      </c>
      <c r="G20" s="37" t="inlineStr">
        <is>
          <t>购物中心</t>
        </is>
      </c>
      <c r="H20" s="37" t="inlineStr">
        <is>
          <t>EEJJG23D03</t>
        </is>
      </c>
      <c r="I20" s="37" t="n">
        <v>1599</v>
      </c>
      <c r="J20" s="37" t="n">
        <v>1599</v>
      </c>
      <c r="K20" s="39" t="n">
        <v>46063</v>
      </c>
      <c r="L20" s="37" t="inlineStr">
        <is>
          <t>营业中</t>
        </is>
      </c>
      <c r="M20" s="37" t="n">
        <v>1</v>
      </c>
      <c r="N20" s="37" t="n">
        <v>0</v>
      </c>
      <c r="O20" s="37" t="n">
        <v>480</v>
      </c>
    </row>
    <row r="21" hidden="1" s="49">
      <c r="A21" s="37">
        <f>MID(H21,3,2)</f>
        <v/>
      </c>
      <c r="B21" s="37" t="inlineStr">
        <is>
          <t>B331</t>
        </is>
      </c>
      <c r="C21" s="37" t="inlineStr">
        <is>
          <t>上海区域</t>
        </is>
      </c>
      <c r="D21" s="37" t="inlineStr">
        <is>
          <t>CMCF</t>
        </is>
      </c>
      <c r="E21" s="37" t="inlineStr">
        <is>
          <t>EE 上海七宝万科广场</t>
        </is>
      </c>
      <c r="F21" s="38" t="inlineStr">
        <is>
          <t>02</t>
        </is>
      </c>
      <c r="G21" s="37" t="inlineStr">
        <is>
          <t>购物中心</t>
        </is>
      </c>
      <c r="H21" s="37" t="inlineStr">
        <is>
          <t>EECKG25B04</t>
        </is>
      </c>
      <c r="I21" s="37" t="n">
        <v>899</v>
      </c>
      <c r="J21" s="37" t="n">
        <v>599</v>
      </c>
      <c r="K21" s="39" t="n">
        <v>46127</v>
      </c>
      <c r="L21" s="37" t="inlineStr">
        <is>
          <t>营业中</t>
        </is>
      </c>
      <c r="N21" s="37" t="n">
        <v>5</v>
      </c>
      <c r="R21" s="40" t="inlineStr">
        <is>
          <t>EETJG23B1G</t>
        </is>
      </c>
      <c r="S21" s="37">
        <f>SUMIFS(O:O,H:H,R21)</f>
        <v/>
      </c>
      <c r="T21" s="37">
        <f>SUMIFS(M:M,H:H,R21)</f>
        <v/>
      </c>
    </row>
    <row r="22">
      <c r="A22" s="37">
        <f>MID(H22,3,2)</f>
        <v/>
      </c>
      <c r="B22" s="37" t="inlineStr">
        <is>
          <t>B331</t>
        </is>
      </c>
      <c r="C22" s="37" t="inlineStr">
        <is>
          <t>上海区域</t>
        </is>
      </c>
      <c r="D22" s="37" t="inlineStr">
        <is>
          <t>CMCF</t>
        </is>
      </c>
      <c r="E22" s="37" t="inlineStr">
        <is>
          <t>EE 上海七宝万科广场</t>
        </is>
      </c>
      <c r="F22" s="38" t="inlineStr">
        <is>
          <t>02</t>
        </is>
      </c>
      <c r="G22" s="37" t="inlineStr">
        <is>
          <t>购物中心</t>
        </is>
      </c>
      <c r="H22" s="37" t="inlineStr">
        <is>
          <t>EEKWG23D02</t>
        </is>
      </c>
      <c r="I22" s="37" t="n">
        <v>699</v>
      </c>
      <c r="J22" s="37" t="n">
        <v>699</v>
      </c>
      <c r="K22" s="39" t="n">
        <v>46048</v>
      </c>
      <c r="L22" s="37" t="inlineStr">
        <is>
          <t>营业中</t>
        </is>
      </c>
      <c r="M22" s="37" t="n">
        <v>1</v>
      </c>
      <c r="N22" s="37" t="n">
        <v>0</v>
      </c>
      <c r="O22" s="37" t="n">
        <v>489</v>
      </c>
    </row>
    <row r="23">
      <c r="A23" s="37">
        <f>MID(H23,3,2)</f>
        <v/>
      </c>
      <c r="B23" s="37" t="inlineStr">
        <is>
          <t>B331</t>
        </is>
      </c>
      <c r="C23" s="37" t="inlineStr">
        <is>
          <t>上海区域</t>
        </is>
      </c>
      <c r="D23" s="37" t="inlineStr">
        <is>
          <t>CMCF</t>
        </is>
      </c>
      <c r="E23" s="37" t="inlineStr">
        <is>
          <t>EE 上海七宝万科广场</t>
        </is>
      </c>
      <c r="F23" s="38" t="inlineStr">
        <is>
          <t>02</t>
        </is>
      </c>
      <c r="G23" s="37" t="inlineStr">
        <is>
          <t>购物中心</t>
        </is>
      </c>
      <c r="H23" s="37" t="inlineStr">
        <is>
          <t>EELAG23E01</t>
        </is>
      </c>
      <c r="I23" s="37" t="n">
        <v>799</v>
      </c>
      <c r="J23" s="37" t="n">
        <v>699</v>
      </c>
      <c r="K23" s="39" t="n">
        <v>46048</v>
      </c>
      <c r="L23" s="37" t="inlineStr">
        <is>
          <t>营业中</t>
        </is>
      </c>
      <c r="M23" s="37" t="n">
        <v>2</v>
      </c>
      <c r="N23" s="37" t="n">
        <v>0</v>
      </c>
      <c r="O23" s="37" t="n">
        <v>681</v>
      </c>
    </row>
    <row r="24" hidden="1" s="49">
      <c r="A24" s="37">
        <f>MID(H24,3,2)</f>
        <v/>
      </c>
      <c r="B24" s="37" t="inlineStr">
        <is>
          <t>B331</t>
        </is>
      </c>
      <c r="C24" s="37" t="inlineStr">
        <is>
          <t>上海区域</t>
        </is>
      </c>
      <c r="D24" s="37" t="inlineStr">
        <is>
          <t>CMCF</t>
        </is>
      </c>
      <c r="E24" s="37" t="inlineStr">
        <is>
          <t>EE 上海七宝万科广场</t>
        </is>
      </c>
      <c r="F24" s="38" t="inlineStr">
        <is>
          <t>02</t>
        </is>
      </c>
      <c r="G24" s="37" t="inlineStr">
        <is>
          <t>购物中心</t>
        </is>
      </c>
      <c r="H24" s="37" t="inlineStr">
        <is>
          <t>EEHWG25B01</t>
        </is>
      </c>
      <c r="I24" s="37" t="n">
        <v>599</v>
      </c>
      <c r="J24" s="37" t="n">
        <v>499</v>
      </c>
      <c r="K24" s="39" t="n">
        <v>46129</v>
      </c>
      <c r="L24" s="37" t="inlineStr">
        <is>
          <t>营业中</t>
        </is>
      </c>
      <c r="N24" s="37" t="n">
        <v>2</v>
      </c>
      <c r="R24" s="40" t="inlineStr">
        <is>
          <t>EETJG24E04</t>
        </is>
      </c>
      <c r="S24" s="37">
        <f>SUMIFS(O:O,H:H,R24)</f>
        <v/>
      </c>
      <c r="T24" s="37">
        <f>SUMIFS(M:M,H:H,R24)</f>
        <v/>
      </c>
    </row>
    <row r="25" hidden="1" s="49">
      <c r="A25" s="37">
        <f>MID(H25,3,2)</f>
        <v/>
      </c>
      <c r="B25" s="37" t="inlineStr">
        <is>
          <t>B331</t>
        </is>
      </c>
      <c r="C25" s="37" t="inlineStr">
        <is>
          <t>上海区域</t>
        </is>
      </c>
      <c r="D25" s="37" t="inlineStr">
        <is>
          <t>CMCF</t>
        </is>
      </c>
      <c r="E25" s="37" t="inlineStr">
        <is>
          <t>EE 上海七宝万科广场</t>
        </is>
      </c>
      <c r="F25" s="38" t="inlineStr">
        <is>
          <t>02</t>
        </is>
      </c>
      <c r="G25" s="37" t="inlineStr">
        <is>
          <t>购物中心</t>
        </is>
      </c>
      <c r="H25" s="37" t="inlineStr">
        <is>
          <t>EEJAG23B03</t>
        </is>
      </c>
      <c r="I25" s="37" t="n">
        <v>1599</v>
      </c>
      <c r="J25" s="37" t="n">
        <v>1599</v>
      </c>
      <c r="K25" s="39" t="n">
        <v>46048</v>
      </c>
      <c r="L25" s="37" t="inlineStr">
        <is>
          <t>营业中</t>
        </is>
      </c>
      <c r="N25" s="37" t="n">
        <v>0</v>
      </c>
      <c r="R25" s="40" t="inlineStr">
        <is>
          <t>EETMG25B51</t>
        </is>
      </c>
      <c r="S25" s="37">
        <f>SUMIFS(O:O,H:H,R25)</f>
        <v/>
      </c>
      <c r="T25" s="37">
        <f>SUMIFS(M:M,H:H,R25)</f>
        <v/>
      </c>
    </row>
    <row r="26" hidden="1" s="49">
      <c r="A26" s="37">
        <f>MID(H26,3,2)</f>
        <v/>
      </c>
      <c r="B26" s="37" t="inlineStr">
        <is>
          <t>B331</t>
        </is>
      </c>
      <c r="C26" s="37" t="inlineStr">
        <is>
          <t>上海区域</t>
        </is>
      </c>
      <c r="D26" s="37" t="inlineStr">
        <is>
          <t>CMCF</t>
        </is>
      </c>
      <c r="E26" s="37" t="inlineStr">
        <is>
          <t>EE 上海七宝万科广场</t>
        </is>
      </c>
      <c r="F26" s="38" t="inlineStr">
        <is>
          <t>02</t>
        </is>
      </c>
      <c r="G26" s="37" t="inlineStr">
        <is>
          <t>购物中心</t>
        </is>
      </c>
      <c r="H26" s="37" t="inlineStr">
        <is>
          <t>EEJAG23B04</t>
        </is>
      </c>
      <c r="I26" s="37" t="n">
        <v>1599</v>
      </c>
      <c r="J26" s="37" t="n">
        <v>1599</v>
      </c>
      <c r="K26" s="39" t="n">
        <v>46048</v>
      </c>
      <c r="L26" s="37" t="inlineStr">
        <is>
          <t>营业中</t>
        </is>
      </c>
      <c r="N26" s="37" t="n">
        <v>0</v>
      </c>
      <c r="R26" s="40" t="inlineStr">
        <is>
          <t>EETCG23E01</t>
        </is>
      </c>
      <c r="S26" s="37">
        <f>SUMIFS(O:O,H:H,R26)</f>
        <v/>
      </c>
      <c r="T26" s="37">
        <f>SUMIFS(M:M,H:H,R26)</f>
        <v/>
      </c>
    </row>
    <row r="27" hidden="1" s="49">
      <c r="A27" s="37">
        <f>MID(H27,3,2)</f>
        <v/>
      </c>
      <c r="B27" s="37" t="inlineStr">
        <is>
          <t>B331</t>
        </is>
      </c>
      <c r="C27" s="37" t="inlineStr">
        <is>
          <t>上海区域</t>
        </is>
      </c>
      <c r="D27" s="37" t="inlineStr">
        <is>
          <t>CMCF</t>
        </is>
      </c>
      <c r="E27" s="37" t="inlineStr">
        <is>
          <t>EE 上海七宝万科广场</t>
        </is>
      </c>
      <c r="F27" s="38" t="inlineStr">
        <is>
          <t>02</t>
        </is>
      </c>
      <c r="G27" s="37" t="inlineStr">
        <is>
          <t>购物中心</t>
        </is>
      </c>
      <c r="H27" s="37" t="inlineStr">
        <is>
          <t>EEJAG23B51</t>
        </is>
      </c>
      <c r="I27" s="37" t="n">
        <v>1599</v>
      </c>
      <c r="J27" s="37" t="n">
        <v>1599</v>
      </c>
      <c r="K27" s="39" t="n">
        <v>46062</v>
      </c>
      <c r="L27" s="37" t="inlineStr">
        <is>
          <t>营业中</t>
        </is>
      </c>
      <c r="N27" s="37" t="n">
        <v>0</v>
      </c>
      <c r="R27" s="40" t="inlineStr">
        <is>
          <t>EETHG24E03</t>
        </is>
      </c>
      <c r="S27" s="37">
        <f>SUMIFS(O:O,H:H,R27)</f>
        <v/>
      </c>
      <c r="T27" s="37">
        <f>SUMIFS(M:M,H:H,R27)</f>
        <v/>
      </c>
    </row>
    <row r="28">
      <c r="A28" s="37">
        <f>MID(H28,3,2)</f>
        <v/>
      </c>
      <c r="B28" s="37" t="inlineStr">
        <is>
          <t>B331</t>
        </is>
      </c>
      <c r="C28" s="37" t="inlineStr">
        <is>
          <t>上海区域</t>
        </is>
      </c>
      <c r="D28" s="37" t="inlineStr">
        <is>
          <t>CMCF</t>
        </is>
      </c>
      <c r="E28" s="37" t="inlineStr">
        <is>
          <t>EE 上海七宝万科广场</t>
        </is>
      </c>
      <c r="F28" s="38" t="inlineStr">
        <is>
          <t>02</t>
        </is>
      </c>
      <c r="G28" s="37" t="inlineStr">
        <is>
          <t>购物中心</t>
        </is>
      </c>
      <c r="H28" s="37" t="inlineStr">
        <is>
          <t>EERAG25B1G</t>
        </is>
      </c>
      <c r="I28" s="37" t="n">
        <v>499</v>
      </c>
      <c r="J28" s="37" t="n">
        <v>499</v>
      </c>
      <c r="K28" s="39" t="n">
        <v>46106</v>
      </c>
      <c r="L28" s="37" t="inlineStr">
        <is>
          <t>营业中</t>
        </is>
      </c>
      <c r="M28" s="37" t="n">
        <v>2</v>
      </c>
      <c r="N28" s="37" t="n">
        <v>0</v>
      </c>
      <c r="O28" s="37" t="n">
        <v>299</v>
      </c>
    </row>
    <row r="29" hidden="1" s="49">
      <c r="A29" s="37">
        <f>MID(H29,3,2)</f>
        <v/>
      </c>
      <c r="B29" s="37" t="inlineStr">
        <is>
          <t>B331</t>
        </is>
      </c>
      <c r="C29" s="37" t="inlineStr">
        <is>
          <t>上海区域</t>
        </is>
      </c>
      <c r="D29" s="37" t="inlineStr">
        <is>
          <t>CMCF</t>
        </is>
      </c>
      <c r="E29" s="37" t="inlineStr">
        <is>
          <t>EE 上海七宝万科广场</t>
        </is>
      </c>
      <c r="F29" s="38" t="inlineStr">
        <is>
          <t>02</t>
        </is>
      </c>
      <c r="G29" s="37" t="inlineStr">
        <is>
          <t>购物中心</t>
        </is>
      </c>
      <c r="H29" s="37" t="inlineStr">
        <is>
          <t>EEJAG23E02</t>
        </is>
      </c>
      <c r="I29" s="37" t="n">
        <v>1299</v>
      </c>
      <c r="J29" s="37" t="n">
        <v>1599</v>
      </c>
      <c r="K29" s="39" t="n">
        <v>46048</v>
      </c>
      <c r="L29" s="37" t="inlineStr">
        <is>
          <t>营业中</t>
        </is>
      </c>
      <c r="N29" s="37" t="n">
        <v>0</v>
      </c>
      <c r="R29" s="40" t="inlineStr">
        <is>
          <t>EETJG23B05</t>
        </is>
      </c>
      <c r="S29" s="37">
        <f>SUMIFS(O:O,H:H,R29)</f>
        <v/>
      </c>
      <c r="T29" s="37">
        <f>SUMIFS(M:M,H:H,R29)</f>
        <v/>
      </c>
    </row>
    <row r="30" hidden="1" s="49">
      <c r="A30" s="37">
        <f>MID(H30,3,2)</f>
        <v/>
      </c>
      <c r="B30" s="37" t="inlineStr">
        <is>
          <t>B331</t>
        </is>
      </c>
      <c r="C30" s="37" t="inlineStr">
        <is>
          <t>上海区域</t>
        </is>
      </c>
      <c r="D30" s="37" t="inlineStr">
        <is>
          <t>CMCF</t>
        </is>
      </c>
      <c r="E30" s="37" t="inlineStr">
        <is>
          <t>EE 上海七宝万科广场</t>
        </is>
      </c>
      <c r="F30" s="38" t="inlineStr">
        <is>
          <t>02</t>
        </is>
      </c>
      <c r="G30" s="37" t="inlineStr">
        <is>
          <t>购物中心</t>
        </is>
      </c>
      <c r="H30" s="37" t="inlineStr">
        <is>
          <t>EEJAG23R01</t>
        </is>
      </c>
      <c r="I30" s="37" t="n">
        <v>1999</v>
      </c>
      <c r="J30" s="37" t="n">
        <v>1999</v>
      </c>
      <c r="K30" s="39" t="n">
        <v>46120</v>
      </c>
      <c r="L30" s="37" t="inlineStr">
        <is>
          <t>营业中</t>
        </is>
      </c>
      <c r="N30" s="37" t="n">
        <v>0</v>
      </c>
      <c r="R30" s="40" t="inlineStr">
        <is>
          <t>EETJG24B57</t>
        </is>
      </c>
      <c r="S30" s="37">
        <f>SUMIFS(O:O,H:H,R30)</f>
        <v/>
      </c>
      <c r="T30" s="37">
        <f>SUMIFS(M:M,H:H,R30)</f>
        <v/>
      </c>
    </row>
    <row r="31" hidden="1" s="49">
      <c r="A31" s="37">
        <f>MID(H31,3,2)</f>
        <v/>
      </c>
      <c r="B31" s="37" t="inlineStr">
        <is>
          <t>B331</t>
        </is>
      </c>
      <c r="C31" s="37" t="inlineStr">
        <is>
          <t>上海区域</t>
        </is>
      </c>
      <c r="D31" s="37" t="inlineStr">
        <is>
          <t>CMCF</t>
        </is>
      </c>
      <c r="E31" s="37" t="inlineStr">
        <is>
          <t>EE 上海七宝万科广场</t>
        </is>
      </c>
      <c r="F31" s="38" t="inlineStr">
        <is>
          <t>02</t>
        </is>
      </c>
      <c r="G31" s="37" t="inlineStr">
        <is>
          <t>购物中心</t>
        </is>
      </c>
      <c r="H31" s="37" t="inlineStr">
        <is>
          <t>EEJAG24B01</t>
        </is>
      </c>
      <c r="I31" s="37" t="n">
        <v>1599</v>
      </c>
      <c r="J31" s="37" t="n">
        <v>1599</v>
      </c>
      <c r="K31" s="39" t="n">
        <v>46078</v>
      </c>
      <c r="L31" s="37" t="inlineStr">
        <is>
          <t>营业中</t>
        </is>
      </c>
      <c r="N31" s="37" t="n">
        <v>0</v>
      </c>
      <c r="R31" s="40" t="inlineStr">
        <is>
          <t>EETJG24B58</t>
        </is>
      </c>
      <c r="S31" s="37">
        <f>SUMIFS(O:O,H:H,R31)</f>
        <v/>
      </c>
      <c r="T31" s="37">
        <f>SUMIFS(M:M,H:H,R31)</f>
        <v/>
      </c>
    </row>
    <row r="32" hidden="1" s="49">
      <c r="A32" s="37">
        <f>MID(H32,3,2)</f>
        <v/>
      </c>
      <c r="B32" s="37" t="inlineStr">
        <is>
          <t>B331</t>
        </is>
      </c>
      <c r="C32" s="37" t="inlineStr">
        <is>
          <t>上海区域</t>
        </is>
      </c>
      <c r="D32" s="37" t="inlineStr">
        <is>
          <t>CMCF</t>
        </is>
      </c>
      <c r="E32" s="37" t="inlineStr">
        <is>
          <t>EE 上海七宝万科广场</t>
        </is>
      </c>
      <c r="F32" s="38" t="inlineStr">
        <is>
          <t>02</t>
        </is>
      </c>
      <c r="G32" s="37" t="inlineStr">
        <is>
          <t>购物中心</t>
        </is>
      </c>
      <c r="H32" s="37" t="inlineStr">
        <is>
          <t>EEJAG24B02</t>
        </is>
      </c>
      <c r="I32" s="37" t="n">
        <v>1599</v>
      </c>
      <c r="J32" s="37" t="n">
        <v>1599</v>
      </c>
      <c r="K32" s="39" t="n">
        <v>46078</v>
      </c>
      <c r="L32" s="37" t="inlineStr">
        <is>
          <t>营业中</t>
        </is>
      </c>
      <c r="N32" s="37" t="n">
        <v>4</v>
      </c>
      <c r="R32" s="40" t="inlineStr">
        <is>
          <t>EETKG25D01</t>
        </is>
      </c>
      <c r="S32" s="37">
        <f>SUMIFS(O:O,H:H,R32)</f>
        <v/>
      </c>
      <c r="T32" s="37">
        <f>SUMIFS(M:M,H:H,R32)</f>
        <v/>
      </c>
    </row>
    <row r="33">
      <c r="A33" s="37">
        <f>MID(H33,3,2)</f>
        <v/>
      </c>
      <c r="B33" s="37" t="inlineStr">
        <is>
          <t>B331</t>
        </is>
      </c>
      <c r="C33" s="37" t="inlineStr">
        <is>
          <t>上海区域</t>
        </is>
      </c>
      <c r="D33" s="37" t="inlineStr">
        <is>
          <t>CMCF</t>
        </is>
      </c>
      <c r="E33" s="37" t="inlineStr">
        <is>
          <t>EE 上海七宝万科广场</t>
        </is>
      </c>
      <c r="F33" s="38" t="inlineStr">
        <is>
          <t>02</t>
        </is>
      </c>
      <c r="G33" s="37" t="inlineStr">
        <is>
          <t>购物中心</t>
        </is>
      </c>
      <c r="H33" s="37" t="inlineStr">
        <is>
          <t>EERAG25E1G</t>
        </is>
      </c>
      <c r="I33" s="37" t="n">
        <v>399</v>
      </c>
      <c r="J33" s="37" t="n">
        <v>399</v>
      </c>
      <c r="K33" s="39" t="n">
        <v>46106</v>
      </c>
      <c r="L33" s="37" t="inlineStr">
        <is>
          <t>营业中</t>
        </is>
      </c>
      <c r="M33" s="37" t="n">
        <v>1</v>
      </c>
      <c r="N33" s="37" t="n">
        <v>0</v>
      </c>
      <c r="O33" s="37" t="n">
        <v>120</v>
      </c>
    </row>
    <row r="34">
      <c r="A34" s="37">
        <f>MID(H34,3,2)</f>
        <v/>
      </c>
      <c r="B34" s="37" t="inlineStr">
        <is>
          <t>B331</t>
        </is>
      </c>
      <c r="C34" s="37" t="inlineStr">
        <is>
          <t>上海区域</t>
        </is>
      </c>
      <c r="D34" s="37" t="inlineStr">
        <is>
          <t>CMCF</t>
        </is>
      </c>
      <c r="E34" s="37" t="inlineStr">
        <is>
          <t>EE 上海七宝万科广场</t>
        </is>
      </c>
      <c r="F34" s="38" t="inlineStr">
        <is>
          <t>02</t>
        </is>
      </c>
      <c r="G34" s="37" t="inlineStr">
        <is>
          <t>购物中心</t>
        </is>
      </c>
      <c r="H34" s="37" t="inlineStr">
        <is>
          <t>EERSG24B01</t>
        </is>
      </c>
      <c r="I34" s="37" t="n">
        <v>399</v>
      </c>
      <c r="J34" s="37" t="n">
        <v>399</v>
      </c>
      <c r="K34" s="39" t="n">
        <v>46106</v>
      </c>
      <c r="L34" s="37" t="inlineStr">
        <is>
          <t>营业中</t>
        </is>
      </c>
      <c r="M34" s="37" t="n">
        <v>1</v>
      </c>
      <c r="N34" s="37" t="n">
        <v>0</v>
      </c>
      <c r="O34" s="37" t="n">
        <v>279</v>
      </c>
    </row>
    <row r="35" hidden="1" s="49">
      <c r="A35" s="37">
        <f>MID(H35,3,2)</f>
        <v/>
      </c>
      <c r="B35" s="37" t="inlineStr">
        <is>
          <t>B331</t>
        </is>
      </c>
      <c r="C35" s="37" t="inlineStr">
        <is>
          <t>上海区域</t>
        </is>
      </c>
      <c r="D35" s="37" t="inlineStr">
        <is>
          <t>CMCF</t>
        </is>
      </c>
      <c r="E35" s="37" t="inlineStr">
        <is>
          <t>EE 上海七宝万科广场</t>
        </is>
      </c>
      <c r="F35" s="38" t="inlineStr">
        <is>
          <t>02</t>
        </is>
      </c>
      <c r="G35" s="37" t="inlineStr">
        <is>
          <t>购物中心</t>
        </is>
      </c>
      <c r="H35" s="37" t="inlineStr">
        <is>
          <t>EEJDG23R31</t>
        </is>
      </c>
      <c r="I35" s="37" t="n">
        <v>1599</v>
      </c>
      <c r="J35" s="37" t="n">
        <v>1599</v>
      </c>
      <c r="K35" s="39" t="n">
        <v>46058</v>
      </c>
      <c r="L35" s="37" t="inlineStr">
        <is>
          <t>营业中</t>
        </is>
      </c>
      <c r="N35" s="37" t="n">
        <v>0</v>
      </c>
    </row>
    <row r="36" hidden="1" s="49">
      <c r="A36" s="37">
        <f>MID(H36,3,2)</f>
        <v/>
      </c>
      <c r="B36" s="37" t="inlineStr">
        <is>
          <t>B331</t>
        </is>
      </c>
      <c r="C36" s="37" t="inlineStr">
        <is>
          <t>上海区域</t>
        </is>
      </c>
      <c r="D36" s="37" t="inlineStr">
        <is>
          <t>CMCF</t>
        </is>
      </c>
      <c r="E36" s="37" t="inlineStr">
        <is>
          <t>EE 上海七宝万科广场</t>
        </is>
      </c>
      <c r="F36" s="38" t="inlineStr">
        <is>
          <t>02</t>
        </is>
      </c>
      <c r="G36" s="37" t="inlineStr">
        <is>
          <t>购物中心</t>
        </is>
      </c>
      <c r="H36" s="37" t="inlineStr">
        <is>
          <t>EEJJG23B01</t>
        </is>
      </c>
      <c r="I36" s="37" t="n">
        <v>899</v>
      </c>
      <c r="J36" s="37" t="n">
        <v>899</v>
      </c>
      <c r="K36" s="39" t="n">
        <v>46044</v>
      </c>
      <c r="L36" s="37" t="inlineStr">
        <is>
          <t>营业中</t>
        </is>
      </c>
      <c r="M36" s="37" t="n">
        <v>0</v>
      </c>
      <c r="N36" s="37" t="n">
        <v>0</v>
      </c>
      <c r="O36" s="37" t="n">
        <v>0</v>
      </c>
    </row>
    <row r="37">
      <c r="A37" s="37">
        <f>MID(H37,3,2)</f>
        <v/>
      </c>
      <c r="B37" s="37" t="inlineStr">
        <is>
          <t>B331</t>
        </is>
      </c>
      <c r="C37" s="37" t="inlineStr">
        <is>
          <t>上海区域</t>
        </is>
      </c>
      <c r="D37" s="37" t="inlineStr">
        <is>
          <t>CMCF</t>
        </is>
      </c>
      <c r="E37" s="37" t="inlineStr">
        <is>
          <t>EE 上海七宝万科广场</t>
        </is>
      </c>
      <c r="F37" s="38" t="inlineStr">
        <is>
          <t>02</t>
        </is>
      </c>
      <c r="G37" s="37" t="inlineStr">
        <is>
          <t>购物中心</t>
        </is>
      </c>
      <c r="H37" s="37" t="inlineStr">
        <is>
          <t>EETCG23E02</t>
        </is>
      </c>
      <c r="I37" s="37" t="n">
        <v>899</v>
      </c>
      <c r="J37" s="37" t="n">
        <v>999</v>
      </c>
      <c r="K37" s="39" t="n">
        <v>46085</v>
      </c>
      <c r="L37" s="37" t="inlineStr">
        <is>
          <t>营业中</t>
        </is>
      </c>
      <c r="M37" s="37" t="n">
        <v>1</v>
      </c>
      <c r="N37" s="37" t="n">
        <v>5</v>
      </c>
      <c r="O37" s="37" t="n">
        <v>300</v>
      </c>
    </row>
    <row r="38">
      <c r="A38" s="37">
        <f>MID(H38,3,2)</f>
        <v/>
      </c>
      <c r="B38" s="37" t="inlineStr">
        <is>
          <t>B331</t>
        </is>
      </c>
      <c r="C38" s="37" t="inlineStr">
        <is>
          <t>上海区域</t>
        </is>
      </c>
      <c r="D38" s="37" t="inlineStr">
        <is>
          <t>CMCF</t>
        </is>
      </c>
      <c r="E38" s="37" t="inlineStr">
        <is>
          <t>EE 上海七宝万科广场</t>
        </is>
      </c>
      <c r="F38" s="38" t="inlineStr">
        <is>
          <t>02</t>
        </is>
      </c>
      <c r="G38" s="37" t="inlineStr">
        <is>
          <t>购物中心</t>
        </is>
      </c>
      <c r="H38" s="37" t="inlineStr">
        <is>
          <t>EEWHG23B02</t>
        </is>
      </c>
      <c r="I38" s="37" t="n">
        <v>899</v>
      </c>
      <c r="J38" s="37" t="n">
        <v>999</v>
      </c>
      <c r="K38" s="39" t="n">
        <v>46045</v>
      </c>
      <c r="L38" s="37" t="inlineStr">
        <is>
          <t>营业中</t>
        </is>
      </c>
      <c r="M38" s="37" t="n">
        <v>1</v>
      </c>
      <c r="N38" s="37" t="n">
        <v>0</v>
      </c>
      <c r="O38" s="37" t="n">
        <v>300</v>
      </c>
    </row>
    <row r="39" hidden="1" s="49">
      <c r="A39" s="37">
        <f>MID(H39,3,2)</f>
        <v/>
      </c>
      <c r="B39" s="37" t="inlineStr">
        <is>
          <t>B331</t>
        </is>
      </c>
      <c r="C39" s="37" t="inlineStr">
        <is>
          <t>上海区域</t>
        </is>
      </c>
      <c r="D39" s="37" t="inlineStr">
        <is>
          <t>CMCF</t>
        </is>
      </c>
      <c r="E39" s="37" t="inlineStr">
        <is>
          <t>EE 上海七宝万科广场</t>
        </is>
      </c>
      <c r="F39" s="38" t="inlineStr">
        <is>
          <t>02</t>
        </is>
      </c>
      <c r="G39" s="37" t="inlineStr">
        <is>
          <t>购物中心</t>
        </is>
      </c>
      <c r="H39" s="37" t="inlineStr">
        <is>
          <t>EEJLG23B51</t>
        </is>
      </c>
      <c r="I39" s="37" t="n">
        <v>1599</v>
      </c>
      <c r="J39" s="37" t="n">
        <v>1599</v>
      </c>
      <c r="K39" s="39" t="n">
        <v>46099</v>
      </c>
      <c r="L39" s="37" t="inlineStr">
        <is>
          <t>营业中</t>
        </is>
      </c>
      <c r="N39" s="37" t="n">
        <v>0</v>
      </c>
    </row>
    <row r="40" hidden="1" s="49">
      <c r="A40" s="37">
        <f>MID(H40,3,2)</f>
        <v/>
      </c>
      <c r="B40" s="37" t="inlineStr">
        <is>
          <t>B331</t>
        </is>
      </c>
      <c r="C40" s="37" t="inlineStr">
        <is>
          <t>上海区域</t>
        </is>
      </c>
      <c r="D40" s="37" t="inlineStr">
        <is>
          <t>CMCF</t>
        </is>
      </c>
      <c r="E40" s="37" t="inlineStr">
        <is>
          <t>EE 上海七宝万科广场</t>
        </is>
      </c>
      <c r="F40" s="38" t="inlineStr">
        <is>
          <t>02</t>
        </is>
      </c>
      <c r="G40" s="37" t="inlineStr">
        <is>
          <t>购物中心</t>
        </is>
      </c>
      <c r="H40" s="37" t="inlineStr">
        <is>
          <t>EEJWG23R31</t>
        </is>
      </c>
      <c r="I40" s="37" t="n">
        <v>3999</v>
      </c>
      <c r="J40" s="37" t="n">
        <v>3999</v>
      </c>
      <c r="K40" s="39" t="n">
        <v>46052</v>
      </c>
      <c r="L40" s="37" t="inlineStr">
        <is>
          <t>营业中</t>
        </is>
      </c>
      <c r="N40" s="37" t="n">
        <v>0</v>
      </c>
    </row>
    <row r="41">
      <c r="A41" s="37">
        <f>MID(H41,3,2)</f>
        <v/>
      </c>
      <c r="B41" s="37" t="inlineStr">
        <is>
          <t>B331</t>
        </is>
      </c>
      <c r="C41" s="37" t="inlineStr">
        <is>
          <t>上海区域</t>
        </is>
      </c>
      <c r="D41" s="37" t="inlineStr">
        <is>
          <t>CMCF</t>
        </is>
      </c>
      <c r="E41" s="37" t="inlineStr">
        <is>
          <t>EE 上海七宝万科广场</t>
        </is>
      </c>
      <c r="F41" s="38" t="inlineStr">
        <is>
          <t>02</t>
        </is>
      </c>
      <c r="G41" s="37" t="inlineStr">
        <is>
          <t>购物中心</t>
        </is>
      </c>
      <c r="H41" s="37" t="inlineStr">
        <is>
          <t>EEYPG23E02</t>
        </is>
      </c>
      <c r="I41" s="37" t="n">
        <v>799</v>
      </c>
      <c r="J41" s="37" t="n">
        <v>799</v>
      </c>
      <c r="K41" s="39" t="n">
        <v>46055</v>
      </c>
      <c r="L41" s="37" t="inlineStr">
        <is>
          <t>营业中</t>
        </is>
      </c>
      <c r="M41" s="37" t="n">
        <v>1</v>
      </c>
      <c r="N41" s="37" t="n">
        <v>0</v>
      </c>
      <c r="O41" s="37" t="n">
        <v>240</v>
      </c>
    </row>
    <row r="42">
      <c r="A42" s="37">
        <f>MID(H42,3,2)</f>
        <v/>
      </c>
      <c r="B42" s="37" t="inlineStr">
        <is>
          <t>B331</t>
        </is>
      </c>
      <c r="C42" s="37" t="inlineStr">
        <is>
          <t>上海区域</t>
        </is>
      </c>
      <c r="D42" s="37" t="inlineStr">
        <is>
          <t>CMCF</t>
        </is>
      </c>
      <c r="E42" s="37" t="inlineStr">
        <is>
          <t>EE 上海七宝万科广场</t>
        </is>
      </c>
      <c r="F42" s="38" t="inlineStr">
        <is>
          <t>02</t>
        </is>
      </c>
      <c r="G42" s="37" t="inlineStr">
        <is>
          <t>购物中心</t>
        </is>
      </c>
      <c r="H42" s="37" t="inlineStr">
        <is>
          <t>EEYWG25E2G</t>
        </is>
      </c>
      <c r="I42" s="37" t="n">
        <v>899</v>
      </c>
      <c r="J42" s="37" t="n">
        <v>899</v>
      </c>
      <c r="K42" s="39" t="n">
        <v>46092</v>
      </c>
      <c r="L42" s="37" t="inlineStr">
        <is>
          <t>营业中</t>
        </is>
      </c>
      <c r="M42" s="37" t="n">
        <v>1</v>
      </c>
      <c r="N42" s="37" t="n">
        <v>0</v>
      </c>
      <c r="O42" s="37" t="n">
        <v>270</v>
      </c>
    </row>
    <row r="43" hidden="1" s="49">
      <c r="A43" s="37">
        <f>MID(H43,3,2)</f>
        <v/>
      </c>
      <c r="B43" s="37" t="inlineStr">
        <is>
          <t>B331</t>
        </is>
      </c>
      <c r="C43" s="37" t="inlineStr">
        <is>
          <t>上海区域</t>
        </is>
      </c>
      <c r="D43" s="37" t="inlineStr">
        <is>
          <t>CMCF</t>
        </is>
      </c>
      <c r="E43" s="37" t="inlineStr">
        <is>
          <t>EE 上海七宝万科广场</t>
        </is>
      </c>
      <c r="F43" s="38" t="inlineStr">
        <is>
          <t>02</t>
        </is>
      </c>
      <c r="G43" s="37" t="inlineStr">
        <is>
          <t>购物中心</t>
        </is>
      </c>
      <c r="H43" s="37" t="inlineStr">
        <is>
          <t>EEKWG23E2G</t>
        </is>
      </c>
      <c r="I43" s="37" t="n">
        <v>699</v>
      </c>
      <c r="J43" s="37" t="n">
        <v>699</v>
      </c>
      <c r="K43" s="39" t="n">
        <v>46048</v>
      </c>
      <c r="L43" s="37" t="inlineStr">
        <is>
          <t>营业中</t>
        </is>
      </c>
      <c r="N43" s="37" t="n">
        <v>18</v>
      </c>
    </row>
    <row r="44" hidden="1" s="49">
      <c r="A44" s="37">
        <f>MID(H44,3,2)</f>
        <v/>
      </c>
      <c r="B44" s="37" t="inlineStr">
        <is>
          <t>B331</t>
        </is>
      </c>
      <c r="C44" s="37" t="inlineStr">
        <is>
          <t>上海区域</t>
        </is>
      </c>
      <c r="D44" s="37" t="inlineStr">
        <is>
          <t>CMCF</t>
        </is>
      </c>
      <c r="E44" s="37" t="inlineStr">
        <is>
          <t>EE 上海七宝万科广场</t>
        </is>
      </c>
      <c r="F44" s="38" t="inlineStr">
        <is>
          <t>02</t>
        </is>
      </c>
      <c r="G44" s="37" t="inlineStr">
        <is>
          <t>购物中心</t>
        </is>
      </c>
      <c r="H44" s="37" t="inlineStr">
        <is>
          <t>EEKWG24B05</t>
        </is>
      </c>
      <c r="I44" s="37" t="n">
        <v>799</v>
      </c>
      <c r="J44" s="37" t="n">
        <v>699</v>
      </c>
      <c r="K44" s="39" t="n">
        <v>46078</v>
      </c>
      <c r="L44" s="37" t="inlineStr">
        <is>
          <t>营业中</t>
        </is>
      </c>
      <c r="N44" s="37" t="n">
        <v>2</v>
      </c>
    </row>
    <row r="45">
      <c r="A45" s="37">
        <f>MID(H45,3,2)</f>
        <v/>
      </c>
      <c r="B45" s="37" t="inlineStr">
        <is>
          <t>B331</t>
        </is>
      </c>
      <c r="C45" s="37" t="inlineStr">
        <is>
          <t>上海区域</t>
        </is>
      </c>
      <c r="D45" s="37" t="inlineStr">
        <is>
          <t>CMCF</t>
        </is>
      </c>
      <c r="E45" s="37" t="inlineStr">
        <is>
          <t>EE 上海七宝万科广场</t>
        </is>
      </c>
      <c r="F45" s="38" t="inlineStr">
        <is>
          <t>02</t>
        </is>
      </c>
      <c r="G45" s="37" t="inlineStr">
        <is>
          <t>购物中心</t>
        </is>
      </c>
      <c r="H45" s="42" t="inlineStr">
        <is>
          <t>EECKG23E01</t>
        </is>
      </c>
      <c r="I45" s="37" t="n">
        <v>699</v>
      </c>
      <c r="J45" s="37" t="n">
        <v>699</v>
      </c>
      <c r="K45" s="39" t="n">
        <v>46048</v>
      </c>
      <c r="L45" s="37" t="inlineStr">
        <is>
          <t>营业中</t>
        </is>
      </c>
      <c r="M45" s="37" t="n">
        <v>1</v>
      </c>
      <c r="N45" s="37" t="n">
        <v>2</v>
      </c>
      <c r="O45" s="37" t="n">
        <v>449</v>
      </c>
      <c r="R45" s="40" t="inlineStr">
        <is>
          <t>EETHG25E01</t>
        </is>
      </c>
      <c r="S45" s="37">
        <f>SUMIFS(O:O,H:H,R45)</f>
        <v/>
      </c>
      <c r="T45" s="37">
        <f>SUMIFS(M:M,H:H,R45)</f>
        <v/>
      </c>
    </row>
    <row r="46">
      <c r="A46" s="37">
        <f>MID(H46,3,2)</f>
        <v/>
      </c>
      <c r="B46" s="37" t="inlineStr">
        <is>
          <t>B331</t>
        </is>
      </c>
      <c r="C46" s="37" t="inlineStr">
        <is>
          <t>上海区域</t>
        </is>
      </c>
      <c r="D46" s="37" t="inlineStr">
        <is>
          <t>CMCF</t>
        </is>
      </c>
      <c r="E46" s="37" t="inlineStr">
        <is>
          <t>EE 上海七宝万科广场</t>
        </is>
      </c>
      <c r="F46" s="38" t="inlineStr">
        <is>
          <t>02</t>
        </is>
      </c>
      <c r="G46" s="37" t="inlineStr">
        <is>
          <t>购物中心</t>
        </is>
      </c>
      <c r="H46" s="42" t="inlineStr">
        <is>
          <t>EECKG23E02</t>
        </is>
      </c>
      <c r="I46" s="37" t="n">
        <v>699</v>
      </c>
      <c r="J46" s="37" t="n">
        <v>699</v>
      </c>
      <c r="K46" s="39" t="n">
        <v>46048</v>
      </c>
      <c r="L46" s="37" t="inlineStr">
        <is>
          <t>营业中</t>
        </is>
      </c>
      <c r="M46" s="37" t="n">
        <v>6</v>
      </c>
      <c r="N46" s="37" t="n">
        <v>19</v>
      </c>
      <c r="O46" s="41" t="n">
        <v>2515</v>
      </c>
      <c r="R46" s="40" t="inlineStr">
        <is>
          <t>EETJG24E02</t>
        </is>
      </c>
      <c r="S46" s="37">
        <f>SUMIFS(O:O,H:H,R46)</f>
        <v/>
      </c>
      <c r="T46" s="37">
        <f>SUMIFS(M:M,H:H,R46)</f>
        <v/>
      </c>
    </row>
    <row r="47">
      <c r="A47" s="37">
        <f>MID(H47,3,2)</f>
        <v/>
      </c>
      <c r="B47" s="37" t="inlineStr">
        <is>
          <t>B331</t>
        </is>
      </c>
      <c r="C47" s="37" t="inlineStr">
        <is>
          <t>上海区域</t>
        </is>
      </c>
      <c r="D47" s="37" t="inlineStr">
        <is>
          <t>CMCF</t>
        </is>
      </c>
      <c r="E47" s="37" t="inlineStr">
        <is>
          <t>EE 上海七宝万科广场</t>
        </is>
      </c>
      <c r="F47" s="38" t="inlineStr">
        <is>
          <t>02</t>
        </is>
      </c>
      <c r="G47" s="37" t="inlineStr">
        <is>
          <t>购物中心</t>
        </is>
      </c>
      <c r="H47" s="42" t="inlineStr">
        <is>
          <t>EECKG24E02</t>
        </is>
      </c>
      <c r="I47" s="37" t="n">
        <v>699</v>
      </c>
      <c r="J47" s="37" t="n">
        <v>699</v>
      </c>
      <c r="K47" s="39" t="n">
        <v>46078</v>
      </c>
      <c r="L47" s="37" t="inlineStr">
        <is>
          <t>营业中</t>
        </is>
      </c>
      <c r="M47" s="37" t="n">
        <v>4</v>
      </c>
      <c r="N47" s="37" t="n">
        <v>6</v>
      </c>
      <c r="O47" s="41" t="n">
        <v>1464</v>
      </c>
      <c r="R47" s="40" t="inlineStr">
        <is>
          <t>EETCG23E02</t>
        </is>
      </c>
      <c r="S47" s="37">
        <f>SUMIFS(O:O,H:H,R47)</f>
        <v/>
      </c>
      <c r="T47" s="37">
        <f>SUMIFS(M:M,H:H,R47)</f>
        <v/>
      </c>
    </row>
    <row r="48">
      <c r="A48" s="37">
        <f>MID(H48,3,2)</f>
        <v/>
      </c>
      <c r="B48" s="37" t="inlineStr">
        <is>
          <t>B331</t>
        </is>
      </c>
      <c r="C48" s="37" t="inlineStr">
        <is>
          <t>上海区域</t>
        </is>
      </c>
      <c r="D48" s="37" t="inlineStr">
        <is>
          <t>CMCF</t>
        </is>
      </c>
      <c r="E48" s="37" t="inlineStr">
        <is>
          <t>EE 上海七宝万科广场</t>
        </is>
      </c>
      <c r="F48" s="38" t="inlineStr">
        <is>
          <t>02</t>
        </is>
      </c>
      <c r="G48" s="37" t="inlineStr">
        <is>
          <t>购物中心</t>
        </is>
      </c>
      <c r="H48" s="42" t="inlineStr">
        <is>
          <t>EECKG25D03</t>
        </is>
      </c>
      <c r="I48" s="37" t="n">
        <v>899</v>
      </c>
      <c r="J48" s="37" t="n">
        <v>899</v>
      </c>
      <c r="K48" s="39" t="n">
        <v>46106</v>
      </c>
      <c r="L48" s="37" t="inlineStr">
        <is>
          <t>营业中</t>
        </is>
      </c>
      <c r="M48" s="37" t="n">
        <v>1</v>
      </c>
      <c r="N48" s="37" t="n">
        <v>2</v>
      </c>
      <c r="O48" s="37" t="n">
        <v>764</v>
      </c>
      <c r="R48" s="40" t="inlineStr">
        <is>
          <t>EETJG23E07</t>
        </is>
      </c>
      <c r="S48" s="37">
        <f>SUMIFS(O:O,H:H,R48)</f>
        <v/>
      </c>
      <c r="T48" s="37">
        <f>SUMIFS(M:M,H:H,R48)</f>
        <v/>
      </c>
    </row>
    <row r="49">
      <c r="A49" s="37">
        <f>MID(H49,3,2)</f>
        <v/>
      </c>
      <c r="B49" s="37" t="inlineStr">
        <is>
          <t>B331</t>
        </is>
      </c>
      <c r="C49" s="37" t="inlineStr">
        <is>
          <t>上海区域</t>
        </is>
      </c>
      <c r="D49" s="37" t="inlineStr">
        <is>
          <t>CMCF</t>
        </is>
      </c>
      <c r="E49" s="37" t="inlineStr">
        <is>
          <t>EE 上海七宝万科广场</t>
        </is>
      </c>
      <c r="F49" s="38" t="inlineStr">
        <is>
          <t>02</t>
        </is>
      </c>
      <c r="G49" s="37" t="inlineStr">
        <is>
          <t>购物中心</t>
        </is>
      </c>
      <c r="H49" s="42" t="inlineStr">
        <is>
          <t>EEHWG24E02</t>
        </is>
      </c>
      <c r="I49" s="37" t="n">
        <v>599</v>
      </c>
      <c r="J49" s="37" t="n">
        <v>599</v>
      </c>
      <c r="K49" s="39" t="n">
        <v>46078</v>
      </c>
      <c r="L49" s="37" t="inlineStr">
        <is>
          <t>营业中</t>
        </is>
      </c>
      <c r="M49" s="37" t="n">
        <v>1</v>
      </c>
      <c r="N49" s="37" t="n">
        <v>8</v>
      </c>
      <c r="O49" s="37" t="n">
        <v>419</v>
      </c>
      <c r="R49" s="40" t="inlineStr">
        <is>
          <t>EETJG23E02</t>
        </is>
      </c>
      <c r="S49" s="37">
        <f>SUMIFS(O:O,H:H,R49)</f>
        <v/>
      </c>
      <c r="T49" s="37">
        <f>SUMIFS(M:M,H:H,R49)</f>
        <v/>
      </c>
    </row>
    <row r="50">
      <c r="A50" s="37">
        <f>MID(H50,3,2)</f>
        <v/>
      </c>
      <c r="B50" s="37" t="inlineStr">
        <is>
          <t>B331</t>
        </is>
      </c>
      <c r="C50" s="37" t="inlineStr">
        <is>
          <t>上海区域</t>
        </is>
      </c>
      <c r="D50" s="37" t="inlineStr">
        <is>
          <t>CMCF</t>
        </is>
      </c>
      <c r="E50" s="37" t="inlineStr">
        <is>
          <t>EE 上海七宝万科广场</t>
        </is>
      </c>
      <c r="F50" s="38" t="inlineStr">
        <is>
          <t>02</t>
        </is>
      </c>
      <c r="G50" s="37" t="inlineStr">
        <is>
          <t>购物中心</t>
        </is>
      </c>
      <c r="H50" s="42" t="inlineStr">
        <is>
          <t>EEJAG24B03</t>
        </is>
      </c>
      <c r="I50" s="37" t="n">
        <v>1299</v>
      </c>
      <c r="J50" s="37" t="n">
        <v>1299</v>
      </c>
      <c r="K50" s="39" t="n">
        <v>46078</v>
      </c>
      <c r="L50" s="37" t="inlineStr">
        <is>
          <t>营业中</t>
        </is>
      </c>
      <c r="M50" s="37" t="n">
        <v>2</v>
      </c>
      <c r="N50" s="37" t="n">
        <v>1</v>
      </c>
      <c r="O50" s="41" t="n">
        <v>1220</v>
      </c>
      <c r="R50" s="40" t="inlineStr">
        <is>
          <t>EETMG24E51</t>
        </is>
      </c>
      <c r="S50" s="37">
        <f>SUMIFS(O:O,H:H,R50)</f>
        <v/>
      </c>
      <c r="T50" s="37">
        <f>SUMIFS(M:M,H:H,R50)</f>
        <v/>
      </c>
    </row>
    <row r="51">
      <c r="A51" s="37">
        <f>MID(H51,3,2)</f>
        <v/>
      </c>
      <c r="B51" s="37" t="inlineStr">
        <is>
          <t>B331</t>
        </is>
      </c>
      <c r="C51" s="37" t="inlineStr">
        <is>
          <t>上海区域</t>
        </is>
      </c>
      <c r="D51" s="37" t="inlineStr">
        <is>
          <t>CMCF</t>
        </is>
      </c>
      <c r="E51" s="37" t="inlineStr">
        <is>
          <t>EE 上海七宝万科广场</t>
        </is>
      </c>
      <c r="F51" s="38" t="inlineStr">
        <is>
          <t>02</t>
        </is>
      </c>
      <c r="G51" s="37" t="inlineStr">
        <is>
          <t>购物中心</t>
        </is>
      </c>
      <c r="H51" s="42" t="inlineStr">
        <is>
          <t>EEJKG24B01</t>
        </is>
      </c>
      <c r="I51" s="37" t="n">
        <v>1599</v>
      </c>
      <c r="J51" s="37" t="n">
        <v>1599</v>
      </c>
      <c r="K51" s="39" t="n">
        <v>46078</v>
      </c>
      <c r="L51" s="37" t="inlineStr">
        <is>
          <t>营业中</t>
        </is>
      </c>
      <c r="M51" s="37" t="n">
        <v>1</v>
      </c>
      <c r="N51" s="37" t="n">
        <v>3</v>
      </c>
      <c r="O51" s="37" t="n">
        <v>480</v>
      </c>
    </row>
    <row r="52" hidden="1" s="49">
      <c r="A52" s="37">
        <f>MID(H52,3,2)</f>
        <v/>
      </c>
      <c r="B52" s="37" t="inlineStr">
        <is>
          <t>B331</t>
        </is>
      </c>
      <c r="C52" s="37" t="inlineStr">
        <is>
          <t>上海区域</t>
        </is>
      </c>
      <c r="D52" s="37" t="inlineStr">
        <is>
          <t>CMCF</t>
        </is>
      </c>
      <c r="E52" s="37" t="inlineStr">
        <is>
          <t>EE 上海七宝万科广场</t>
        </is>
      </c>
      <c r="F52" s="38" t="inlineStr">
        <is>
          <t>02</t>
        </is>
      </c>
      <c r="G52" s="37" t="inlineStr">
        <is>
          <t>购物中心</t>
        </is>
      </c>
      <c r="H52" s="37" t="inlineStr">
        <is>
          <t>EEKWG25E01</t>
        </is>
      </c>
      <c r="I52" s="37" t="n">
        <v>599</v>
      </c>
      <c r="J52" s="37" t="n">
        <v>599</v>
      </c>
      <c r="K52" s="39" t="n">
        <v>46125</v>
      </c>
      <c r="L52" s="37" t="inlineStr">
        <is>
          <t>营业中</t>
        </is>
      </c>
      <c r="N52" s="37" t="n">
        <v>9</v>
      </c>
    </row>
    <row r="53">
      <c r="A53" s="37">
        <f>MID(H53,3,2)</f>
        <v/>
      </c>
      <c r="B53" s="37" t="inlineStr">
        <is>
          <t>B331</t>
        </is>
      </c>
      <c r="C53" s="37" t="inlineStr">
        <is>
          <t>上海区域</t>
        </is>
      </c>
      <c r="D53" s="37" t="inlineStr">
        <is>
          <t>CMCF</t>
        </is>
      </c>
      <c r="E53" s="37" t="inlineStr">
        <is>
          <t>EE 上海七宝万科广场</t>
        </is>
      </c>
      <c r="F53" s="38" t="inlineStr">
        <is>
          <t>02</t>
        </is>
      </c>
      <c r="G53" s="37" t="inlineStr">
        <is>
          <t>购物中心</t>
        </is>
      </c>
      <c r="H53" s="42" t="inlineStr">
        <is>
          <t>EEKWG23E01</t>
        </is>
      </c>
      <c r="I53" s="37" t="n">
        <v>499</v>
      </c>
      <c r="J53" s="37" t="n">
        <v>499</v>
      </c>
      <c r="K53" s="39" t="n">
        <v>46048</v>
      </c>
      <c r="L53" s="37" t="inlineStr">
        <is>
          <t>营业中</t>
        </is>
      </c>
      <c r="M53" s="37" t="n">
        <v>5</v>
      </c>
      <c r="N53" s="37" t="n">
        <v>2</v>
      </c>
      <c r="O53" s="41" t="n">
        <v>1319</v>
      </c>
    </row>
    <row r="54" hidden="1" s="49">
      <c r="A54" s="37">
        <f>MID(H54,3,2)</f>
        <v/>
      </c>
      <c r="B54" s="37" t="inlineStr">
        <is>
          <t>B331</t>
        </is>
      </c>
      <c r="C54" s="37" t="inlineStr">
        <is>
          <t>上海区域</t>
        </is>
      </c>
      <c r="D54" s="37" t="inlineStr">
        <is>
          <t>CMCF</t>
        </is>
      </c>
      <c r="E54" s="37" t="inlineStr">
        <is>
          <t>EE 上海七宝万科广场</t>
        </is>
      </c>
      <c r="F54" s="38" t="inlineStr">
        <is>
          <t>02</t>
        </is>
      </c>
      <c r="G54" s="37" t="inlineStr">
        <is>
          <t>购物中心</t>
        </is>
      </c>
      <c r="H54" s="37" t="inlineStr">
        <is>
          <t>EELAG23B02</t>
        </is>
      </c>
      <c r="I54" s="37" t="n">
        <v>599</v>
      </c>
      <c r="J54" s="37" t="n">
        <v>599</v>
      </c>
      <c r="K54" s="39" t="n">
        <v>46024</v>
      </c>
      <c r="L54" s="37" t="inlineStr">
        <is>
          <t>营业中</t>
        </is>
      </c>
      <c r="N54" s="37" t="n">
        <v>5</v>
      </c>
    </row>
    <row r="55">
      <c r="A55" s="37">
        <f>MID(H55,3,2)</f>
        <v/>
      </c>
      <c r="B55" s="37" t="inlineStr">
        <is>
          <t>B331</t>
        </is>
      </c>
      <c r="C55" s="37" t="inlineStr">
        <is>
          <t>上海区域</t>
        </is>
      </c>
      <c r="D55" s="37" t="inlineStr">
        <is>
          <t>CMCF</t>
        </is>
      </c>
      <c r="E55" s="37" t="inlineStr">
        <is>
          <t>EE 上海七宝万科广场</t>
        </is>
      </c>
      <c r="F55" s="38" t="inlineStr">
        <is>
          <t>02</t>
        </is>
      </c>
      <c r="G55" s="37" t="inlineStr">
        <is>
          <t>购物中心</t>
        </is>
      </c>
      <c r="H55" s="42" t="inlineStr">
        <is>
          <t>EEKWG24B08</t>
        </is>
      </c>
      <c r="I55" s="37" t="n">
        <v>799</v>
      </c>
      <c r="J55" s="37" t="n">
        <v>799</v>
      </c>
      <c r="K55" s="39" t="n">
        <v>46078</v>
      </c>
      <c r="L55" s="37" t="inlineStr">
        <is>
          <t>营业中</t>
        </is>
      </c>
      <c r="M55" s="37" t="n">
        <v>2</v>
      </c>
      <c r="N55" s="37" t="n">
        <v>6</v>
      </c>
      <c r="O55" s="37" t="n">
        <v>799</v>
      </c>
    </row>
    <row r="56" hidden="1" s="49">
      <c r="A56" s="37">
        <f>MID(H56,3,2)</f>
        <v/>
      </c>
      <c r="B56" s="37" t="inlineStr">
        <is>
          <t>B331</t>
        </is>
      </c>
      <c r="C56" s="37" t="inlineStr">
        <is>
          <t>上海区域</t>
        </is>
      </c>
      <c r="D56" s="37" t="inlineStr">
        <is>
          <t>CMCF</t>
        </is>
      </c>
      <c r="E56" s="37" t="inlineStr">
        <is>
          <t>EE 上海七宝万科广场</t>
        </is>
      </c>
      <c r="F56" s="38" t="inlineStr">
        <is>
          <t>02</t>
        </is>
      </c>
      <c r="G56" s="37" t="inlineStr">
        <is>
          <t>购物中心</t>
        </is>
      </c>
      <c r="H56" s="37" t="inlineStr">
        <is>
          <t>EELAG23E03</t>
        </is>
      </c>
      <c r="I56" s="37" t="n">
        <v>599</v>
      </c>
      <c r="J56" s="37" t="n">
        <v>599</v>
      </c>
      <c r="K56" s="39" t="n">
        <v>46024</v>
      </c>
      <c r="L56" s="37" t="inlineStr">
        <is>
          <t>营业中</t>
        </is>
      </c>
      <c r="N56" s="37" t="n">
        <v>0</v>
      </c>
    </row>
    <row r="57">
      <c r="A57" s="37">
        <f>MID(H57,3,2)</f>
        <v/>
      </c>
      <c r="B57" s="37" t="inlineStr">
        <is>
          <t>B331</t>
        </is>
      </c>
      <c r="C57" s="37" t="inlineStr">
        <is>
          <t>上海区域</t>
        </is>
      </c>
      <c r="D57" s="37" t="inlineStr">
        <is>
          <t>CMCF</t>
        </is>
      </c>
      <c r="E57" s="37" t="inlineStr">
        <is>
          <t>EE 上海七宝万科广场</t>
        </is>
      </c>
      <c r="F57" s="38" t="inlineStr">
        <is>
          <t>02</t>
        </is>
      </c>
      <c r="G57" s="37" t="inlineStr">
        <is>
          <t>购物中心</t>
        </is>
      </c>
      <c r="H57" s="42" t="inlineStr">
        <is>
          <t>EEKWG24B09</t>
        </is>
      </c>
      <c r="I57" s="37" t="n">
        <v>799</v>
      </c>
      <c r="J57" s="37" t="n">
        <v>799</v>
      </c>
      <c r="K57" s="39" t="n">
        <v>46078</v>
      </c>
      <c r="L57" s="37" t="inlineStr">
        <is>
          <t>营业中</t>
        </is>
      </c>
      <c r="M57" s="37" t="n">
        <v>1</v>
      </c>
      <c r="N57" s="37" t="n">
        <v>4</v>
      </c>
      <c r="O57" s="37" t="n">
        <v>240</v>
      </c>
    </row>
    <row r="58" hidden="1" s="49">
      <c r="A58" s="37">
        <f>MID(H58,3,2)</f>
        <v/>
      </c>
      <c r="B58" s="37" t="inlineStr">
        <is>
          <t>B331</t>
        </is>
      </c>
      <c r="C58" s="37" t="inlineStr">
        <is>
          <t>上海区域</t>
        </is>
      </c>
      <c r="D58" s="37" t="inlineStr">
        <is>
          <t>CMCF</t>
        </is>
      </c>
      <c r="E58" s="37" t="inlineStr">
        <is>
          <t>EE 上海七宝万科广场</t>
        </is>
      </c>
      <c r="F58" s="38" t="inlineStr">
        <is>
          <t>02</t>
        </is>
      </c>
      <c r="G58" s="37" t="inlineStr">
        <is>
          <t>购物中心</t>
        </is>
      </c>
      <c r="H58" s="37" t="inlineStr">
        <is>
          <t>EEOJG24B03</t>
        </is>
      </c>
      <c r="I58" s="37" t="n">
        <v>999</v>
      </c>
      <c r="J58" s="37" t="n">
        <v>999</v>
      </c>
      <c r="K58" s="39" t="n">
        <v>46094</v>
      </c>
      <c r="L58" s="37" t="inlineStr">
        <is>
          <t>营业中</t>
        </is>
      </c>
      <c r="N58" s="37" t="n">
        <v>3</v>
      </c>
    </row>
    <row r="59">
      <c r="A59" s="37">
        <f>MID(H59,3,2)</f>
        <v/>
      </c>
      <c r="B59" s="37" t="inlineStr">
        <is>
          <t>B331</t>
        </is>
      </c>
      <c r="C59" s="37" t="inlineStr">
        <is>
          <t>上海区域</t>
        </is>
      </c>
      <c r="D59" s="37" t="inlineStr">
        <is>
          <t>CMCF</t>
        </is>
      </c>
      <c r="E59" s="37" t="inlineStr">
        <is>
          <t>EE 上海七宝万科广场</t>
        </is>
      </c>
      <c r="F59" s="38" t="inlineStr">
        <is>
          <t>02</t>
        </is>
      </c>
      <c r="G59" s="37" t="inlineStr">
        <is>
          <t>购物中心</t>
        </is>
      </c>
      <c r="H59" s="42" t="inlineStr">
        <is>
          <t>EEKWG24B51</t>
        </is>
      </c>
      <c r="I59" s="37" t="n">
        <v>799</v>
      </c>
      <c r="J59" s="37" t="n">
        <v>799</v>
      </c>
      <c r="K59" s="39" t="n">
        <v>46174</v>
      </c>
      <c r="L59" s="37" t="inlineStr">
        <is>
          <t>营业中</t>
        </is>
      </c>
      <c r="M59" s="37" t="n">
        <v>2</v>
      </c>
      <c r="N59" s="37" t="n">
        <v>10</v>
      </c>
      <c r="O59" s="41" t="n">
        <v>1019</v>
      </c>
    </row>
    <row r="60">
      <c r="A60" s="37">
        <f>MID(H60,3,2)</f>
        <v/>
      </c>
      <c r="B60" s="37" t="inlineStr">
        <is>
          <t>B331</t>
        </is>
      </c>
      <c r="C60" s="37" t="inlineStr">
        <is>
          <t>上海区域</t>
        </is>
      </c>
      <c r="D60" s="37" t="inlineStr">
        <is>
          <t>CMCF</t>
        </is>
      </c>
      <c r="E60" s="37" t="inlineStr">
        <is>
          <t>EE 上海七宝万科广场</t>
        </is>
      </c>
      <c r="F60" s="38" t="inlineStr">
        <is>
          <t>02</t>
        </is>
      </c>
      <c r="G60" s="37" t="inlineStr">
        <is>
          <t>购物中心</t>
        </is>
      </c>
      <c r="H60" s="42" t="inlineStr">
        <is>
          <t>EEKWG24B52</t>
        </is>
      </c>
      <c r="I60" s="37" t="n">
        <v>699</v>
      </c>
      <c r="J60" s="37" t="n">
        <v>599</v>
      </c>
      <c r="K60" s="39" t="n">
        <v>46142</v>
      </c>
      <c r="L60" s="37" t="inlineStr">
        <is>
          <t>营业中</t>
        </is>
      </c>
      <c r="M60" s="37" t="n">
        <v>2</v>
      </c>
      <c r="N60" s="37" t="n">
        <v>6</v>
      </c>
      <c r="O60" s="37" t="n">
        <v>801</v>
      </c>
    </row>
    <row r="61">
      <c r="A61" s="37">
        <f>MID(H61,3,2)</f>
        <v/>
      </c>
      <c r="B61" s="37" t="inlineStr">
        <is>
          <t>B331</t>
        </is>
      </c>
      <c r="C61" s="37" t="inlineStr">
        <is>
          <t>上海区域</t>
        </is>
      </c>
      <c r="D61" s="37" t="inlineStr">
        <is>
          <t>CMCF</t>
        </is>
      </c>
      <c r="E61" s="37" t="inlineStr">
        <is>
          <t>EE 上海七宝万科广场</t>
        </is>
      </c>
      <c r="F61" s="38" t="inlineStr">
        <is>
          <t>02</t>
        </is>
      </c>
      <c r="G61" s="37" t="inlineStr">
        <is>
          <t>购物中心</t>
        </is>
      </c>
      <c r="H61" s="42" t="inlineStr">
        <is>
          <t>EEKWG24E01</t>
        </is>
      </c>
      <c r="I61" s="37" t="n">
        <v>699</v>
      </c>
      <c r="J61" s="37" t="n">
        <v>699</v>
      </c>
      <c r="K61" s="39" t="n">
        <v>46078</v>
      </c>
      <c r="L61" s="37" t="inlineStr">
        <is>
          <t>营业中</t>
        </is>
      </c>
      <c r="M61" s="37" t="n">
        <v>6</v>
      </c>
      <c r="N61" s="37" t="n">
        <v>13</v>
      </c>
      <c r="O61" s="41" t="n">
        <v>2301</v>
      </c>
    </row>
    <row r="62">
      <c r="A62" s="37">
        <f>MID(H62,3,2)</f>
        <v/>
      </c>
      <c r="B62" s="37" t="inlineStr">
        <is>
          <t>B331</t>
        </is>
      </c>
      <c r="C62" s="37" t="inlineStr">
        <is>
          <t>上海区域</t>
        </is>
      </c>
      <c r="D62" s="37" t="inlineStr">
        <is>
          <t>CMCF</t>
        </is>
      </c>
      <c r="E62" s="37" t="inlineStr">
        <is>
          <t>EE 上海七宝万科广场</t>
        </is>
      </c>
      <c r="F62" s="38" t="inlineStr">
        <is>
          <t>02</t>
        </is>
      </c>
      <c r="G62" s="37" t="inlineStr">
        <is>
          <t>购物中心</t>
        </is>
      </c>
      <c r="H62" s="42" t="inlineStr">
        <is>
          <t>EEKWG24E02</t>
        </is>
      </c>
      <c r="I62" s="37" t="n">
        <v>599</v>
      </c>
      <c r="J62" s="37" t="n">
        <v>699</v>
      </c>
      <c r="K62" s="39" t="n">
        <v>46078</v>
      </c>
      <c r="L62" s="37" t="inlineStr">
        <is>
          <t>营业中</t>
        </is>
      </c>
      <c r="M62" s="37" t="n">
        <v>7</v>
      </c>
      <c r="N62" s="37" t="n">
        <v>18</v>
      </c>
      <c r="O62" s="41" t="n">
        <v>2411</v>
      </c>
    </row>
    <row r="63" hidden="1" s="49">
      <c r="A63" s="37">
        <f>MID(H63,3,2)</f>
        <v/>
      </c>
      <c r="B63" s="37" t="inlineStr">
        <is>
          <t>B331</t>
        </is>
      </c>
      <c r="C63" s="37" t="inlineStr">
        <is>
          <t>上海区域</t>
        </is>
      </c>
      <c r="D63" s="37" t="inlineStr">
        <is>
          <t>CMCF</t>
        </is>
      </c>
      <c r="E63" s="37" t="inlineStr">
        <is>
          <t>EE 上海七宝万科广场</t>
        </is>
      </c>
      <c r="F63" s="38" t="inlineStr">
        <is>
          <t>02</t>
        </is>
      </c>
      <c r="G63" s="37" t="inlineStr">
        <is>
          <t>购物中心</t>
        </is>
      </c>
      <c r="H63" s="37" t="inlineStr">
        <is>
          <t>EEOWG24B01</t>
        </is>
      </c>
      <c r="I63" s="37" t="n">
        <v>1299</v>
      </c>
      <c r="J63" s="37" t="n">
        <v>1299</v>
      </c>
      <c r="K63" s="39" t="n">
        <v>46097</v>
      </c>
      <c r="L63" s="37" t="inlineStr">
        <is>
          <t>营业中</t>
        </is>
      </c>
      <c r="N63" s="37" t="n">
        <v>5</v>
      </c>
    </row>
    <row r="64" hidden="1" s="49">
      <c r="A64" s="37">
        <f>MID(H64,3,2)</f>
        <v/>
      </c>
      <c r="B64" s="37" t="inlineStr">
        <is>
          <t>B331</t>
        </is>
      </c>
      <c r="C64" s="37" t="inlineStr">
        <is>
          <t>上海区域</t>
        </is>
      </c>
      <c r="D64" s="37" t="inlineStr">
        <is>
          <t>CMCF</t>
        </is>
      </c>
      <c r="E64" s="37" t="inlineStr">
        <is>
          <t>EE 上海七宝万科广场</t>
        </is>
      </c>
      <c r="F64" s="38" t="inlineStr">
        <is>
          <t>02</t>
        </is>
      </c>
      <c r="G64" s="37" t="inlineStr">
        <is>
          <t>购物中心</t>
        </is>
      </c>
      <c r="H64" s="37" t="inlineStr">
        <is>
          <t>EEOWG24B02</t>
        </is>
      </c>
      <c r="I64" s="37" t="n">
        <v>1299</v>
      </c>
      <c r="J64" s="37" t="n">
        <v>1299</v>
      </c>
      <c r="K64" s="39" t="n">
        <v>46097</v>
      </c>
      <c r="L64" s="37" t="inlineStr">
        <is>
          <t>营业中</t>
        </is>
      </c>
      <c r="N64" s="37" t="n">
        <v>6</v>
      </c>
    </row>
    <row r="65" hidden="1" s="49">
      <c r="A65" s="37">
        <f>MID(H65,3,2)</f>
        <v/>
      </c>
      <c r="B65" s="37" t="inlineStr">
        <is>
          <t>B331</t>
        </is>
      </c>
      <c r="C65" s="37" t="inlineStr">
        <is>
          <t>上海区域</t>
        </is>
      </c>
      <c r="D65" s="37" t="inlineStr">
        <is>
          <t>CMCF</t>
        </is>
      </c>
      <c r="E65" s="37" t="inlineStr">
        <is>
          <t>EE 上海七宝万科广场</t>
        </is>
      </c>
      <c r="F65" s="38" t="inlineStr">
        <is>
          <t>02</t>
        </is>
      </c>
      <c r="G65" s="37" t="inlineStr">
        <is>
          <t>购物中心</t>
        </is>
      </c>
      <c r="H65" s="37" t="inlineStr">
        <is>
          <t>EEOWG24E01</t>
        </is>
      </c>
      <c r="I65" s="37" t="n">
        <v>1299</v>
      </c>
      <c r="J65" s="37" t="n">
        <v>1299</v>
      </c>
      <c r="K65" s="39" t="n">
        <v>46106</v>
      </c>
      <c r="L65" s="37" t="inlineStr">
        <is>
          <t>营业中</t>
        </is>
      </c>
      <c r="N65" s="37" t="n">
        <v>10</v>
      </c>
    </row>
    <row r="66">
      <c r="A66" s="37">
        <f>MID(H66,3,2)</f>
        <v/>
      </c>
      <c r="B66" s="37" t="inlineStr">
        <is>
          <t>B331</t>
        </is>
      </c>
      <c r="C66" s="37" t="inlineStr">
        <is>
          <t>上海区域</t>
        </is>
      </c>
      <c r="D66" s="37" t="inlineStr">
        <is>
          <t>CMCF</t>
        </is>
      </c>
      <c r="E66" s="37" t="inlineStr">
        <is>
          <t>EE 上海七宝万科广场</t>
        </is>
      </c>
      <c r="F66" s="38" t="inlineStr">
        <is>
          <t>02</t>
        </is>
      </c>
      <c r="G66" s="37" t="inlineStr">
        <is>
          <t>购物中心</t>
        </is>
      </c>
      <c r="H66" s="42" t="inlineStr">
        <is>
          <t>EEKWG24E03</t>
        </is>
      </c>
      <c r="I66" s="37" t="n">
        <v>699</v>
      </c>
      <c r="J66" s="37" t="n">
        <v>699</v>
      </c>
      <c r="K66" s="39" t="n">
        <v>46108</v>
      </c>
      <c r="L66" s="37" t="inlineStr">
        <is>
          <t>营业中</t>
        </is>
      </c>
      <c r="M66" s="37" t="n">
        <v>2</v>
      </c>
      <c r="N66" s="37" t="n">
        <v>22</v>
      </c>
      <c r="O66" s="37" t="n">
        <v>804</v>
      </c>
    </row>
    <row r="67">
      <c r="A67" s="37">
        <f>MID(H67,3,2)</f>
        <v/>
      </c>
      <c r="B67" s="37" t="inlineStr">
        <is>
          <t>B331</t>
        </is>
      </c>
      <c r="C67" s="37" t="inlineStr">
        <is>
          <t>上海区域</t>
        </is>
      </c>
      <c r="D67" s="37" t="inlineStr">
        <is>
          <t>CMCF</t>
        </is>
      </c>
      <c r="E67" s="37" t="inlineStr">
        <is>
          <t>EE 上海七宝万科广场</t>
        </is>
      </c>
      <c r="F67" s="38" t="inlineStr">
        <is>
          <t>02</t>
        </is>
      </c>
      <c r="G67" s="37" t="inlineStr">
        <is>
          <t>购物中心</t>
        </is>
      </c>
      <c r="H67" s="42" t="inlineStr">
        <is>
          <t>EEKWG25E02</t>
        </is>
      </c>
      <c r="I67" s="37" t="n">
        <v>699</v>
      </c>
      <c r="J67" s="37" t="n">
        <v>699</v>
      </c>
      <c r="K67" s="39" t="n">
        <v>46125</v>
      </c>
      <c r="L67" s="37" t="inlineStr">
        <is>
          <t>营业中</t>
        </is>
      </c>
      <c r="M67" s="37" t="n">
        <v>2</v>
      </c>
      <c r="N67" s="37" t="n">
        <v>9</v>
      </c>
      <c r="O67" s="37" t="n">
        <v>674</v>
      </c>
    </row>
    <row r="68" hidden="1" s="49">
      <c r="A68" s="37">
        <f>MID(H68,3,2)</f>
        <v/>
      </c>
      <c r="B68" s="37" t="inlineStr">
        <is>
          <t>B331</t>
        </is>
      </c>
      <c r="C68" s="37" t="inlineStr">
        <is>
          <t>上海区域</t>
        </is>
      </c>
      <c r="D68" s="37" t="inlineStr">
        <is>
          <t>CMCF</t>
        </is>
      </c>
      <c r="E68" s="37" t="inlineStr">
        <is>
          <t>EE 上海七宝万科广场</t>
        </is>
      </c>
      <c r="F68" s="38" t="inlineStr">
        <is>
          <t>02</t>
        </is>
      </c>
      <c r="G68" s="37" t="inlineStr">
        <is>
          <t>购物中心</t>
        </is>
      </c>
      <c r="H68" s="37" t="inlineStr">
        <is>
          <t>EEOWG25B03</t>
        </is>
      </c>
      <c r="I68" s="37" t="n">
        <v>1299</v>
      </c>
      <c r="J68" s="37" t="n">
        <v>1299</v>
      </c>
      <c r="K68" s="39" t="n">
        <v>46106</v>
      </c>
      <c r="L68" s="37" t="inlineStr">
        <is>
          <t>营业中</t>
        </is>
      </c>
      <c r="N68" s="37" t="n">
        <v>3</v>
      </c>
    </row>
    <row r="69" hidden="1" s="49">
      <c r="A69" s="37">
        <f>MID(H69,3,2)</f>
        <v/>
      </c>
      <c r="B69" s="37" t="inlineStr">
        <is>
          <t>B331</t>
        </is>
      </c>
      <c r="C69" s="37" t="inlineStr">
        <is>
          <t>上海区域</t>
        </is>
      </c>
      <c r="D69" s="37" t="inlineStr">
        <is>
          <t>CMCF</t>
        </is>
      </c>
      <c r="E69" s="37" t="inlineStr">
        <is>
          <t>EE 上海七宝万科广场</t>
        </is>
      </c>
      <c r="F69" s="38" t="inlineStr">
        <is>
          <t>02</t>
        </is>
      </c>
      <c r="G69" s="37" t="inlineStr">
        <is>
          <t>购物中心</t>
        </is>
      </c>
      <c r="H69" s="37" t="inlineStr">
        <is>
          <t>EEOWG25B04</t>
        </is>
      </c>
      <c r="I69" s="37" t="n">
        <v>999</v>
      </c>
      <c r="J69" s="37" t="n">
        <v>1299</v>
      </c>
      <c r="K69" s="39" t="n">
        <v>46111</v>
      </c>
      <c r="L69" s="37" t="inlineStr">
        <is>
          <t>营业中</t>
        </is>
      </c>
      <c r="N69" s="37" t="n">
        <v>5</v>
      </c>
    </row>
    <row r="70" hidden="1" s="49">
      <c r="A70" s="37">
        <f>MID(H70,3,2)</f>
        <v/>
      </c>
      <c r="B70" s="37" t="inlineStr">
        <is>
          <t>B331</t>
        </is>
      </c>
      <c r="C70" s="37" t="inlineStr">
        <is>
          <t>上海区域</t>
        </is>
      </c>
      <c r="D70" s="37" t="inlineStr">
        <is>
          <t>CMCF</t>
        </is>
      </c>
      <c r="E70" s="37" t="inlineStr">
        <is>
          <t>EE 上海七宝万科广场</t>
        </is>
      </c>
      <c r="F70" s="38" t="inlineStr">
        <is>
          <t>02</t>
        </is>
      </c>
      <c r="G70" s="37" t="inlineStr">
        <is>
          <t>购物中心</t>
        </is>
      </c>
      <c r="H70" s="37" t="inlineStr">
        <is>
          <t>EEOWG25B05</t>
        </is>
      </c>
      <c r="I70" s="37" t="n">
        <v>1299</v>
      </c>
      <c r="J70" s="37" t="n">
        <v>1599</v>
      </c>
      <c r="K70" s="39" t="n">
        <v>46111</v>
      </c>
      <c r="L70" s="37" t="inlineStr">
        <is>
          <t>营业中</t>
        </is>
      </c>
      <c r="N70" s="37" t="n">
        <v>2</v>
      </c>
    </row>
    <row r="71">
      <c r="A71" s="37">
        <f>MID(H71,3,2)</f>
        <v/>
      </c>
      <c r="B71" s="37" t="inlineStr">
        <is>
          <t>B331</t>
        </is>
      </c>
      <c r="C71" s="37" t="inlineStr">
        <is>
          <t>上海区域</t>
        </is>
      </c>
      <c r="D71" s="37" t="inlineStr">
        <is>
          <t>CMCF</t>
        </is>
      </c>
      <c r="E71" s="37" t="inlineStr">
        <is>
          <t>EE 上海七宝万科广场</t>
        </is>
      </c>
      <c r="F71" s="38" t="inlineStr">
        <is>
          <t>02</t>
        </is>
      </c>
      <c r="G71" s="37" t="inlineStr">
        <is>
          <t>购物中心</t>
        </is>
      </c>
      <c r="H71" s="42" t="inlineStr">
        <is>
          <t>EEOJG23B01</t>
        </is>
      </c>
      <c r="I71" s="37" t="n">
        <v>1299</v>
      </c>
      <c r="J71" s="37" t="n">
        <v>1299</v>
      </c>
      <c r="K71" s="39" t="n">
        <v>46045</v>
      </c>
      <c r="L71" s="37" t="inlineStr">
        <is>
          <t>营业中</t>
        </is>
      </c>
      <c r="M71" s="37" t="n">
        <v>1</v>
      </c>
      <c r="N71" s="37" t="n">
        <v>2</v>
      </c>
      <c r="O71" s="37" t="n">
        <v>831</v>
      </c>
    </row>
    <row r="72" hidden="1" s="49">
      <c r="A72" s="37">
        <f>MID(H72,3,2)</f>
        <v/>
      </c>
      <c r="B72" s="37" t="inlineStr">
        <is>
          <t>B331</t>
        </is>
      </c>
      <c r="C72" s="37" t="inlineStr">
        <is>
          <t>上海区域</t>
        </is>
      </c>
      <c r="D72" s="37" t="inlineStr">
        <is>
          <t>CMCF</t>
        </is>
      </c>
      <c r="E72" s="37" t="inlineStr">
        <is>
          <t>EE 上海七宝万科广场</t>
        </is>
      </c>
      <c r="F72" s="38" t="inlineStr">
        <is>
          <t>02</t>
        </is>
      </c>
      <c r="G72" s="37" t="inlineStr">
        <is>
          <t>购物中心</t>
        </is>
      </c>
      <c r="H72" s="37" t="inlineStr">
        <is>
          <t>EEOWG25B10</t>
        </is>
      </c>
      <c r="I72" s="37" t="n">
        <v>1299</v>
      </c>
      <c r="J72" s="37" t="n">
        <v>1299</v>
      </c>
      <c r="K72" s="39" t="n">
        <v>46149</v>
      </c>
      <c r="L72" s="37" t="inlineStr">
        <is>
          <t>营业中</t>
        </is>
      </c>
      <c r="N72" s="37" t="n">
        <v>4</v>
      </c>
    </row>
    <row r="73" hidden="1" s="49">
      <c r="A73" s="37">
        <f>MID(H73,3,2)</f>
        <v/>
      </c>
      <c r="B73" s="37" t="inlineStr">
        <is>
          <t>B331</t>
        </is>
      </c>
      <c r="C73" s="37" t="inlineStr">
        <is>
          <t>上海区域</t>
        </is>
      </c>
      <c r="D73" s="37" t="inlineStr">
        <is>
          <t>CMCF</t>
        </is>
      </c>
      <c r="E73" s="37" t="inlineStr">
        <is>
          <t>EE 上海七宝万科广场</t>
        </is>
      </c>
      <c r="F73" s="38" t="inlineStr">
        <is>
          <t>02</t>
        </is>
      </c>
      <c r="G73" s="37" t="inlineStr">
        <is>
          <t>购物中心</t>
        </is>
      </c>
      <c r="H73" s="37" t="inlineStr">
        <is>
          <t>EEOWG25B11</t>
        </is>
      </c>
      <c r="I73" s="37" t="n">
        <v>1299</v>
      </c>
      <c r="J73" s="37" t="n">
        <v>999</v>
      </c>
      <c r="K73" s="39" t="n">
        <v>46141</v>
      </c>
      <c r="L73" s="37" t="inlineStr">
        <is>
          <t>营业中</t>
        </is>
      </c>
      <c r="N73" s="37" t="n">
        <v>8</v>
      </c>
    </row>
    <row r="74" hidden="1" s="49">
      <c r="A74" s="37">
        <f>MID(H74,3,2)</f>
        <v/>
      </c>
      <c r="B74" s="37" t="inlineStr">
        <is>
          <t>B331</t>
        </is>
      </c>
      <c r="C74" s="37" t="inlineStr">
        <is>
          <t>上海区域</t>
        </is>
      </c>
      <c r="D74" s="37" t="inlineStr">
        <is>
          <t>CMCF</t>
        </is>
      </c>
      <c r="E74" s="37" t="inlineStr">
        <is>
          <t>EE 上海七宝万科广场</t>
        </is>
      </c>
      <c r="F74" s="38" t="inlineStr">
        <is>
          <t>02</t>
        </is>
      </c>
      <c r="G74" s="37" t="inlineStr">
        <is>
          <t>购物中心</t>
        </is>
      </c>
      <c r="H74" s="37" t="inlineStr">
        <is>
          <t>EEOWG25B12</t>
        </is>
      </c>
      <c r="I74" s="37" t="n">
        <v>1299</v>
      </c>
      <c r="J74" s="37" t="n">
        <v>1299</v>
      </c>
      <c r="K74" s="39" t="n">
        <v>46141</v>
      </c>
      <c r="L74" s="37" t="inlineStr">
        <is>
          <t>营业中</t>
        </is>
      </c>
      <c r="N74" s="37" t="n">
        <v>5</v>
      </c>
    </row>
    <row r="75" hidden="1" s="49">
      <c r="A75" s="37">
        <f>MID(H75,3,2)</f>
        <v/>
      </c>
      <c r="B75" s="37" t="inlineStr">
        <is>
          <t>B331</t>
        </is>
      </c>
      <c r="C75" s="37" t="inlineStr">
        <is>
          <t>上海区域</t>
        </is>
      </c>
      <c r="D75" s="37" t="inlineStr">
        <is>
          <t>CMCF</t>
        </is>
      </c>
      <c r="E75" s="37" t="inlineStr">
        <is>
          <t>EE 上海七宝万科广场</t>
        </is>
      </c>
      <c r="F75" s="38" t="inlineStr">
        <is>
          <t>02</t>
        </is>
      </c>
      <c r="G75" s="37" t="inlineStr">
        <is>
          <t>购物中心</t>
        </is>
      </c>
      <c r="H75" s="37" t="inlineStr">
        <is>
          <t>EEOWG25B13</t>
        </is>
      </c>
      <c r="I75" s="37" t="n">
        <v>1299</v>
      </c>
      <c r="J75" s="37" t="n">
        <v>1299</v>
      </c>
      <c r="K75" s="39" t="n">
        <v>46176</v>
      </c>
      <c r="L75" s="37" t="inlineStr">
        <is>
          <t>营业中</t>
        </is>
      </c>
      <c r="N75" s="37" t="n">
        <v>5</v>
      </c>
    </row>
    <row r="76">
      <c r="A76" s="37">
        <f>MID(H76,3,2)</f>
        <v/>
      </c>
      <c r="B76" s="37" t="inlineStr">
        <is>
          <t>B331</t>
        </is>
      </c>
      <c r="C76" s="37" t="inlineStr">
        <is>
          <t>上海区域</t>
        </is>
      </c>
      <c r="D76" s="37" t="inlineStr">
        <is>
          <t>CMCF</t>
        </is>
      </c>
      <c r="E76" s="37" t="inlineStr">
        <is>
          <t>EE 上海七宝万科广场</t>
        </is>
      </c>
      <c r="F76" s="38" t="inlineStr">
        <is>
          <t>02</t>
        </is>
      </c>
      <c r="G76" s="37" t="inlineStr">
        <is>
          <t>购物中心</t>
        </is>
      </c>
      <c r="H76" s="42" t="inlineStr">
        <is>
          <t>EEOJG24E01</t>
        </is>
      </c>
      <c r="I76" s="37" t="n">
        <v>1299</v>
      </c>
      <c r="J76" s="37" t="n">
        <v>1599</v>
      </c>
      <c r="K76" s="39" t="n">
        <v>46078</v>
      </c>
      <c r="L76" s="37" t="inlineStr">
        <is>
          <t>营业中</t>
        </is>
      </c>
      <c r="M76" s="37" t="n">
        <v>3</v>
      </c>
      <c r="N76" s="37" t="n">
        <v>1</v>
      </c>
      <c r="O76" s="41" t="n">
        <v>2798</v>
      </c>
    </row>
    <row r="77" hidden="1" s="49">
      <c r="A77" s="37">
        <f>MID(H77,3,2)</f>
        <v/>
      </c>
      <c r="B77" s="37" t="inlineStr">
        <is>
          <t>B331</t>
        </is>
      </c>
      <c r="C77" s="37" t="inlineStr">
        <is>
          <t>上海区域</t>
        </is>
      </c>
      <c r="D77" s="37" t="inlineStr">
        <is>
          <t>CMCF</t>
        </is>
      </c>
      <c r="E77" s="37" t="inlineStr">
        <is>
          <t>EE 上海七宝万科广场</t>
        </is>
      </c>
      <c r="F77" s="38" t="inlineStr">
        <is>
          <t>02</t>
        </is>
      </c>
      <c r="G77" s="37" t="inlineStr">
        <is>
          <t>购物中心</t>
        </is>
      </c>
      <c r="H77" s="37" t="inlineStr">
        <is>
          <t>EEOWG25E02</t>
        </is>
      </c>
      <c r="I77" s="37" t="n">
        <v>1299</v>
      </c>
      <c r="J77" s="37" t="n">
        <v>999</v>
      </c>
      <c r="K77" s="39" t="n">
        <v>46141</v>
      </c>
      <c r="L77" s="37" t="inlineStr">
        <is>
          <t>营业中</t>
        </is>
      </c>
      <c r="N77" s="37" t="n">
        <v>10</v>
      </c>
    </row>
    <row r="78" hidden="1" s="49">
      <c r="A78" s="37">
        <f>MID(H78,3,2)</f>
        <v/>
      </c>
      <c r="B78" s="37" t="inlineStr">
        <is>
          <t>B331</t>
        </is>
      </c>
      <c r="C78" s="37" t="inlineStr">
        <is>
          <t>上海区域</t>
        </is>
      </c>
      <c r="D78" s="37" t="inlineStr">
        <is>
          <t>CMCF</t>
        </is>
      </c>
      <c r="E78" s="37" t="inlineStr">
        <is>
          <t>EE 上海七宝万科广场</t>
        </is>
      </c>
      <c r="F78" s="38" t="inlineStr">
        <is>
          <t>02</t>
        </is>
      </c>
      <c r="G78" s="37" t="inlineStr">
        <is>
          <t>购物中心</t>
        </is>
      </c>
      <c r="H78" s="37" t="inlineStr">
        <is>
          <t>EEOWG25Q91</t>
        </is>
      </c>
      <c r="I78" s="37" t="n">
        <v>1299</v>
      </c>
      <c r="J78" s="37" t="n">
        <v>1299</v>
      </c>
      <c r="K78" s="39" t="n">
        <v>46137</v>
      </c>
      <c r="L78" s="37" t="inlineStr">
        <is>
          <t>营业中</t>
        </is>
      </c>
      <c r="N78" s="37" t="n">
        <v>6</v>
      </c>
    </row>
    <row r="79" hidden="1" s="49">
      <c r="A79" s="37">
        <f>MID(H79,3,2)</f>
        <v/>
      </c>
      <c r="B79" s="37" t="inlineStr">
        <is>
          <t>B331</t>
        </is>
      </c>
      <c r="C79" s="37" t="inlineStr">
        <is>
          <t>上海区域</t>
        </is>
      </c>
      <c r="D79" s="37" t="inlineStr">
        <is>
          <t>CMCF</t>
        </is>
      </c>
      <c r="E79" s="37" t="inlineStr">
        <is>
          <t>EE 上海七宝万科广场</t>
        </is>
      </c>
      <c r="F79" s="38" t="inlineStr">
        <is>
          <t>02</t>
        </is>
      </c>
      <c r="G79" s="37" t="inlineStr">
        <is>
          <t>购物中心</t>
        </is>
      </c>
      <c r="H79" s="37" t="inlineStr">
        <is>
          <t>EEOWG26B01</t>
        </is>
      </c>
      <c r="I79" s="37" t="n">
        <v>1299</v>
      </c>
      <c r="J79" s="37" t="n">
        <v>1299</v>
      </c>
      <c r="K79" s="39" t="n">
        <v>46154</v>
      </c>
      <c r="L79" s="37" t="inlineStr">
        <is>
          <t>营业中</t>
        </is>
      </c>
      <c r="N79" s="37" t="n">
        <v>3</v>
      </c>
    </row>
    <row r="80" hidden="1" s="49">
      <c r="A80" s="37">
        <f>MID(H80,3,2)</f>
        <v/>
      </c>
      <c r="B80" s="37" t="inlineStr">
        <is>
          <t>B331</t>
        </is>
      </c>
      <c r="C80" s="37" t="inlineStr">
        <is>
          <t>上海区域</t>
        </is>
      </c>
      <c r="D80" s="37" t="inlineStr">
        <is>
          <t>CMCF</t>
        </is>
      </c>
      <c r="E80" s="37" t="inlineStr">
        <is>
          <t>EE 上海七宝万科广场</t>
        </is>
      </c>
      <c r="F80" s="38" t="inlineStr">
        <is>
          <t>02</t>
        </is>
      </c>
      <c r="G80" s="37" t="inlineStr">
        <is>
          <t>购物中心</t>
        </is>
      </c>
      <c r="H80" s="37" t="inlineStr">
        <is>
          <t>EEOWG26B03</t>
        </is>
      </c>
      <c r="I80" s="37" t="n">
        <v>1299</v>
      </c>
      <c r="J80" s="37" t="n">
        <v>1299</v>
      </c>
      <c r="K80" s="39" t="n">
        <v>46172</v>
      </c>
      <c r="L80" s="37" t="inlineStr">
        <is>
          <t>营业中</t>
        </is>
      </c>
      <c r="N80" s="37" t="n">
        <v>5</v>
      </c>
    </row>
    <row r="81">
      <c r="A81" s="37">
        <f>MID(H81,3,2)</f>
        <v/>
      </c>
      <c r="B81" s="37" t="inlineStr">
        <is>
          <t>B331</t>
        </is>
      </c>
      <c r="C81" s="37" t="inlineStr">
        <is>
          <t>上海区域</t>
        </is>
      </c>
      <c r="D81" s="37" t="inlineStr">
        <is>
          <t>CMCF</t>
        </is>
      </c>
      <c r="E81" s="37" t="inlineStr">
        <is>
          <t>EE 上海七宝万科广场</t>
        </is>
      </c>
      <c r="F81" s="38" t="inlineStr">
        <is>
          <t>02</t>
        </is>
      </c>
      <c r="G81" s="37" t="inlineStr">
        <is>
          <t>购物中心</t>
        </is>
      </c>
      <c r="H81" s="42" t="inlineStr">
        <is>
          <t>EEOMG25B01</t>
        </is>
      </c>
      <c r="I81" s="37" t="n">
        <v>799</v>
      </c>
      <c r="J81" s="37" t="n">
        <v>799</v>
      </c>
      <c r="K81" s="39" t="n">
        <v>46107</v>
      </c>
      <c r="L81" s="37" t="inlineStr">
        <is>
          <t>营业中</t>
        </is>
      </c>
      <c r="M81" s="37" t="n">
        <v>1</v>
      </c>
      <c r="N81" s="37" t="n">
        <v>3</v>
      </c>
      <c r="O81" s="37" t="n">
        <v>559</v>
      </c>
    </row>
    <row r="82" hidden="1" s="49">
      <c r="A82" s="37">
        <f>MID(H82,3,2)</f>
        <v/>
      </c>
      <c r="B82" s="37" t="inlineStr">
        <is>
          <t>B331</t>
        </is>
      </c>
      <c r="C82" s="37" t="inlineStr">
        <is>
          <t>上海区域</t>
        </is>
      </c>
      <c r="D82" s="37" t="inlineStr">
        <is>
          <t>CMCF</t>
        </is>
      </c>
      <c r="E82" s="37" t="inlineStr">
        <is>
          <t>EE 上海七宝万科广场</t>
        </is>
      </c>
      <c r="F82" s="38" t="inlineStr">
        <is>
          <t>02</t>
        </is>
      </c>
      <c r="G82" s="37" t="inlineStr">
        <is>
          <t>购物中心</t>
        </is>
      </c>
      <c r="H82" s="37" t="inlineStr">
        <is>
          <t>EERAG23D03</t>
        </is>
      </c>
      <c r="I82" s="37" t="n">
        <v>499</v>
      </c>
      <c r="J82" s="37" t="n">
        <v>599</v>
      </c>
      <c r="K82" s="39" t="n">
        <v>46048</v>
      </c>
      <c r="L82" s="37" t="inlineStr">
        <is>
          <t>营业中</t>
        </is>
      </c>
      <c r="N82" s="37" t="n">
        <v>0</v>
      </c>
    </row>
    <row r="83">
      <c r="A83" s="37">
        <f>MID(H83,3,2)</f>
        <v/>
      </c>
      <c r="B83" s="37" t="inlineStr">
        <is>
          <t>B331</t>
        </is>
      </c>
      <c r="C83" s="37" t="inlineStr">
        <is>
          <t>上海区域</t>
        </is>
      </c>
      <c r="D83" s="37" t="inlineStr">
        <is>
          <t>CMCF</t>
        </is>
      </c>
      <c r="E83" s="37" t="inlineStr">
        <is>
          <t>EE 上海七宝万科广场</t>
        </is>
      </c>
      <c r="F83" s="38" t="inlineStr">
        <is>
          <t>02</t>
        </is>
      </c>
      <c r="G83" s="37" t="inlineStr">
        <is>
          <t>购物中心</t>
        </is>
      </c>
      <c r="H83" s="42" t="inlineStr">
        <is>
          <t>EEOMG26B01</t>
        </is>
      </c>
      <c r="I83" s="37" t="n">
        <v>999</v>
      </c>
      <c r="J83" s="37" t="n">
        <v>999</v>
      </c>
      <c r="K83" s="39" t="n">
        <v>46136</v>
      </c>
      <c r="L83" s="37" t="inlineStr">
        <is>
          <t>营业中</t>
        </is>
      </c>
      <c r="M83" s="37" t="n">
        <v>1</v>
      </c>
      <c r="N83" s="37" t="n">
        <v>3</v>
      </c>
      <c r="O83" s="37" t="n">
        <v>300</v>
      </c>
    </row>
    <row r="84" hidden="1" s="49">
      <c r="A84" s="37">
        <f>MID(H84,3,2)</f>
        <v/>
      </c>
      <c r="B84" s="37" t="inlineStr">
        <is>
          <t>B331</t>
        </is>
      </c>
      <c r="C84" s="37" t="inlineStr">
        <is>
          <t>上海区域</t>
        </is>
      </c>
      <c r="D84" s="37" t="inlineStr">
        <is>
          <t>CMCF</t>
        </is>
      </c>
      <c r="E84" s="37" t="inlineStr">
        <is>
          <t>EE 上海七宝万科广场</t>
        </is>
      </c>
      <c r="F84" s="38" t="inlineStr">
        <is>
          <t>02</t>
        </is>
      </c>
      <c r="G84" s="37" t="inlineStr">
        <is>
          <t>购物中心</t>
        </is>
      </c>
      <c r="H84" s="37" t="inlineStr">
        <is>
          <t>EERAG23E02</t>
        </is>
      </c>
      <c r="I84" s="37" t="n">
        <v>399</v>
      </c>
      <c r="J84" s="37" t="n">
        <v>399</v>
      </c>
      <c r="K84" s="39" t="n">
        <v>46048</v>
      </c>
      <c r="L84" s="37" t="inlineStr">
        <is>
          <t>营业中</t>
        </is>
      </c>
      <c r="N84" s="37" t="n">
        <v>15</v>
      </c>
    </row>
    <row r="85">
      <c r="A85" s="37">
        <f>MID(H85,3,2)</f>
        <v/>
      </c>
      <c r="B85" s="37" t="inlineStr">
        <is>
          <t>B331</t>
        </is>
      </c>
      <c r="C85" s="37" t="inlineStr">
        <is>
          <t>上海区域</t>
        </is>
      </c>
      <c r="D85" s="37" t="inlineStr">
        <is>
          <t>CMCF</t>
        </is>
      </c>
      <c r="E85" s="37" t="inlineStr">
        <is>
          <t>EE 上海七宝万科广场</t>
        </is>
      </c>
      <c r="F85" s="38" t="inlineStr">
        <is>
          <t>02</t>
        </is>
      </c>
      <c r="G85" s="37" t="inlineStr">
        <is>
          <t>购物中心</t>
        </is>
      </c>
      <c r="H85" s="42" t="inlineStr">
        <is>
          <t>EEOWG23B01</t>
        </is>
      </c>
      <c r="I85" s="37" t="n">
        <v>1599</v>
      </c>
      <c r="J85" s="37" t="n">
        <v>1599</v>
      </c>
      <c r="K85" s="39" t="n">
        <v>46048</v>
      </c>
      <c r="L85" s="37" t="inlineStr">
        <is>
          <t>营业中</t>
        </is>
      </c>
      <c r="M85" s="37" t="n">
        <v>1</v>
      </c>
      <c r="N85" s="37" t="n">
        <v>5</v>
      </c>
      <c r="O85" s="41" t="n">
        <v>1069</v>
      </c>
    </row>
    <row r="86" hidden="1" s="49">
      <c r="A86" s="37">
        <f>MID(H86,3,2)</f>
        <v/>
      </c>
      <c r="B86" s="37" t="inlineStr">
        <is>
          <t>B331</t>
        </is>
      </c>
      <c r="C86" s="37" t="inlineStr">
        <is>
          <t>上海区域</t>
        </is>
      </c>
      <c r="D86" s="37" t="inlineStr">
        <is>
          <t>CMCF</t>
        </is>
      </c>
      <c r="E86" s="37" t="inlineStr">
        <is>
          <t>EE 上海七宝万科广场</t>
        </is>
      </c>
      <c r="F86" s="38" t="inlineStr">
        <is>
          <t>02</t>
        </is>
      </c>
      <c r="G86" s="37" t="inlineStr">
        <is>
          <t>购物中心</t>
        </is>
      </c>
      <c r="H86" s="37" t="inlineStr">
        <is>
          <t>EERAG24B06</t>
        </is>
      </c>
      <c r="I86" s="37" t="n">
        <v>499</v>
      </c>
      <c r="J86" s="37" t="n">
        <v>499</v>
      </c>
      <c r="K86" s="39" t="n">
        <v>46078</v>
      </c>
      <c r="L86" s="37" t="inlineStr">
        <is>
          <t>营业中</t>
        </is>
      </c>
      <c r="N86" s="37" t="n">
        <v>7</v>
      </c>
    </row>
    <row r="87">
      <c r="A87" s="37">
        <f>MID(H87,3,2)</f>
        <v/>
      </c>
      <c r="B87" s="37" t="inlineStr">
        <is>
          <t>B331</t>
        </is>
      </c>
      <c r="C87" s="37" t="inlineStr">
        <is>
          <t>上海区域</t>
        </is>
      </c>
      <c r="D87" s="37" t="inlineStr">
        <is>
          <t>CMCF</t>
        </is>
      </c>
      <c r="E87" s="37" t="inlineStr">
        <is>
          <t>EE 上海七宝万科广场</t>
        </is>
      </c>
      <c r="F87" s="38" t="inlineStr">
        <is>
          <t>02</t>
        </is>
      </c>
      <c r="G87" s="37" t="inlineStr">
        <is>
          <t>购物中心</t>
        </is>
      </c>
      <c r="H87" s="42" t="inlineStr">
        <is>
          <t>EEOWG24E02</t>
        </is>
      </c>
      <c r="I87" s="37" t="n">
        <v>1299</v>
      </c>
      <c r="J87" s="37" t="n">
        <v>1299</v>
      </c>
      <c r="K87" s="39" t="n">
        <v>46078</v>
      </c>
      <c r="L87" s="37" t="inlineStr">
        <is>
          <t>营业中</t>
        </is>
      </c>
      <c r="M87" s="37" t="n">
        <v>3</v>
      </c>
      <c r="N87" s="37" t="n">
        <v>10</v>
      </c>
      <c r="O87" s="41" t="n">
        <v>2086</v>
      </c>
    </row>
    <row r="88" hidden="1" s="49">
      <c r="A88" s="37">
        <f>MID(H88,3,2)</f>
        <v/>
      </c>
      <c r="B88" s="37" t="inlineStr">
        <is>
          <t>B331</t>
        </is>
      </c>
      <c r="C88" s="37" t="inlineStr">
        <is>
          <t>上海区域</t>
        </is>
      </c>
      <c r="D88" s="37" t="inlineStr">
        <is>
          <t>CMCF</t>
        </is>
      </c>
      <c r="E88" s="37" t="inlineStr">
        <is>
          <t>EE 上海七宝万科广场</t>
        </is>
      </c>
      <c r="F88" s="38" t="inlineStr">
        <is>
          <t>02</t>
        </is>
      </c>
      <c r="G88" s="37" t="inlineStr">
        <is>
          <t>购物中心</t>
        </is>
      </c>
      <c r="H88" s="37" t="inlineStr">
        <is>
          <t>EERAG24E02</t>
        </is>
      </c>
      <c r="I88" s="37" t="n">
        <v>499</v>
      </c>
      <c r="J88" s="37" t="n">
        <v>499</v>
      </c>
      <c r="K88" s="39" t="n">
        <v>46078</v>
      </c>
      <c r="L88" s="37" t="inlineStr">
        <is>
          <t>营业中</t>
        </is>
      </c>
      <c r="N88" s="37" t="n">
        <v>18</v>
      </c>
    </row>
    <row r="89" hidden="1" s="49">
      <c r="A89" s="37">
        <f>MID(H89,3,2)</f>
        <v/>
      </c>
      <c r="B89" s="37" t="inlineStr">
        <is>
          <t>B331</t>
        </is>
      </c>
      <c r="C89" s="37" t="inlineStr">
        <is>
          <t>上海区域</t>
        </is>
      </c>
      <c r="D89" s="37" t="inlineStr">
        <is>
          <t>CMCF</t>
        </is>
      </c>
      <c r="E89" s="37" t="inlineStr">
        <is>
          <t>EE 上海七宝万科广场</t>
        </is>
      </c>
      <c r="F89" s="38" t="inlineStr">
        <is>
          <t>02</t>
        </is>
      </c>
      <c r="G89" s="37" t="inlineStr">
        <is>
          <t>购物中心</t>
        </is>
      </c>
      <c r="H89" s="37" t="inlineStr">
        <is>
          <t>EERAG24E03</t>
        </is>
      </c>
      <c r="I89" s="37" t="n">
        <v>599</v>
      </c>
      <c r="J89" s="37" t="n">
        <v>599</v>
      </c>
      <c r="K89" s="39" t="n">
        <v>46078</v>
      </c>
      <c r="L89" s="37" t="inlineStr">
        <is>
          <t>营业中</t>
        </is>
      </c>
      <c r="N89" s="37" t="n">
        <v>5</v>
      </c>
    </row>
    <row r="90">
      <c r="A90" s="37">
        <f>MID(H90,3,2)</f>
        <v/>
      </c>
      <c r="B90" s="37" t="inlineStr">
        <is>
          <t>B331</t>
        </is>
      </c>
      <c r="C90" s="37" t="inlineStr">
        <is>
          <t>上海区域</t>
        </is>
      </c>
      <c r="D90" s="37" t="inlineStr">
        <is>
          <t>CMCF</t>
        </is>
      </c>
      <c r="E90" s="37" t="inlineStr">
        <is>
          <t>EE 上海七宝万科广场</t>
        </is>
      </c>
      <c r="F90" s="38" t="inlineStr">
        <is>
          <t>02</t>
        </is>
      </c>
      <c r="G90" s="37" t="inlineStr">
        <is>
          <t>购物中心</t>
        </is>
      </c>
      <c r="H90" s="42" t="inlineStr">
        <is>
          <t>EEOWG25B02</t>
        </is>
      </c>
      <c r="I90" s="37" t="n">
        <v>1599</v>
      </c>
      <c r="J90" s="37" t="n">
        <v>1299</v>
      </c>
      <c r="K90" s="39" t="n">
        <v>46111</v>
      </c>
      <c r="L90" s="37" t="inlineStr">
        <is>
          <t>营业中</t>
        </is>
      </c>
      <c r="M90" s="37" t="n">
        <v>1</v>
      </c>
      <c r="N90" s="37" t="n">
        <v>4</v>
      </c>
      <c r="O90" s="37" t="n">
        <v>831</v>
      </c>
    </row>
    <row r="91">
      <c r="A91" s="37">
        <f>MID(H91,3,2)</f>
        <v/>
      </c>
      <c r="B91" s="37" t="inlineStr">
        <is>
          <t>B331</t>
        </is>
      </c>
      <c r="C91" s="37" t="inlineStr">
        <is>
          <t>上海区域</t>
        </is>
      </c>
      <c r="D91" s="37" t="inlineStr">
        <is>
          <t>CMCF</t>
        </is>
      </c>
      <c r="E91" s="37" t="inlineStr">
        <is>
          <t>EE 上海七宝万科广场</t>
        </is>
      </c>
      <c r="F91" s="38" t="inlineStr">
        <is>
          <t>02</t>
        </is>
      </c>
      <c r="G91" s="37" t="inlineStr">
        <is>
          <t>购物中心</t>
        </is>
      </c>
      <c r="H91" s="42" t="inlineStr">
        <is>
          <t>EEOWG25B09</t>
        </is>
      </c>
      <c r="I91" s="37" t="n">
        <v>1299</v>
      </c>
      <c r="J91" s="37" t="n">
        <v>1299</v>
      </c>
      <c r="K91" s="39" t="n">
        <v>46106</v>
      </c>
      <c r="L91" s="37" t="inlineStr">
        <is>
          <t>营业中</t>
        </is>
      </c>
      <c r="M91" s="37" t="n">
        <v>1</v>
      </c>
      <c r="N91" s="37" t="n">
        <v>5</v>
      </c>
      <c r="O91" s="37" t="n">
        <v>390</v>
      </c>
    </row>
    <row r="92">
      <c r="A92" s="37">
        <f>MID(H92,3,2)</f>
        <v/>
      </c>
      <c r="B92" s="37" t="inlineStr">
        <is>
          <t>B331</t>
        </is>
      </c>
      <c r="C92" s="37" t="inlineStr">
        <is>
          <t>上海区域</t>
        </is>
      </c>
      <c r="D92" s="37" t="inlineStr">
        <is>
          <t>CMCF</t>
        </is>
      </c>
      <c r="E92" s="37" t="inlineStr">
        <is>
          <t>EE 上海七宝万科广场</t>
        </is>
      </c>
      <c r="F92" s="38" t="inlineStr">
        <is>
          <t>02</t>
        </is>
      </c>
      <c r="G92" s="37" t="inlineStr">
        <is>
          <t>购物中心</t>
        </is>
      </c>
      <c r="H92" s="42" t="inlineStr">
        <is>
          <t>EEOWG25E01</t>
        </is>
      </c>
      <c r="I92" s="37" t="n">
        <v>999</v>
      </c>
      <c r="J92" s="37" t="n">
        <v>999</v>
      </c>
      <c r="K92" s="39" t="n">
        <v>46106</v>
      </c>
      <c r="L92" s="37" t="inlineStr">
        <is>
          <t>营业中</t>
        </is>
      </c>
      <c r="M92" s="37" t="n">
        <v>1</v>
      </c>
      <c r="N92" s="37" t="n">
        <v>3</v>
      </c>
      <c r="O92" s="37" t="n">
        <v>300</v>
      </c>
    </row>
    <row r="93">
      <c r="A93" s="37">
        <f>MID(H93,3,2)</f>
        <v/>
      </c>
      <c r="B93" s="37" t="inlineStr">
        <is>
          <t>B331</t>
        </is>
      </c>
      <c r="C93" s="37" t="inlineStr">
        <is>
          <t>上海区域</t>
        </is>
      </c>
      <c r="D93" s="37" t="inlineStr">
        <is>
          <t>CMCF</t>
        </is>
      </c>
      <c r="E93" s="37" t="inlineStr">
        <is>
          <t>EE 上海七宝万科广场</t>
        </is>
      </c>
      <c r="F93" s="38" t="inlineStr">
        <is>
          <t>02</t>
        </is>
      </c>
      <c r="G93" s="37" t="inlineStr">
        <is>
          <t>购物中心</t>
        </is>
      </c>
      <c r="H93" s="42" t="inlineStr">
        <is>
          <t>EERAG23B04</t>
        </is>
      </c>
      <c r="I93" s="37" t="n">
        <v>499</v>
      </c>
      <c r="J93" s="37" t="n">
        <v>599</v>
      </c>
      <c r="K93" s="39" t="n">
        <v>46048</v>
      </c>
      <c r="L93" s="37" t="inlineStr">
        <is>
          <t>营业中</t>
        </is>
      </c>
      <c r="M93" s="37" t="n">
        <v>2</v>
      </c>
      <c r="N93" s="37" t="n">
        <v>2</v>
      </c>
      <c r="O93" s="37" t="n">
        <v>765</v>
      </c>
    </row>
    <row r="94">
      <c r="A94" s="37">
        <f>MID(H94,3,2)</f>
        <v/>
      </c>
      <c r="B94" s="37" t="inlineStr">
        <is>
          <t>B331</t>
        </is>
      </c>
      <c r="C94" s="37" t="inlineStr">
        <is>
          <t>上海区域</t>
        </is>
      </c>
      <c r="D94" s="37" t="inlineStr">
        <is>
          <t>CMCF</t>
        </is>
      </c>
      <c r="E94" s="37" t="inlineStr">
        <is>
          <t>EE 上海七宝万科广场</t>
        </is>
      </c>
      <c r="F94" s="38" t="inlineStr">
        <is>
          <t>02</t>
        </is>
      </c>
      <c r="G94" s="37" t="inlineStr">
        <is>
          <t>购物中心</t>
        </is>
      </c>
      <c r="H94" s="42" t="inlineStr">
        <is>
          <t>EERAG23E01</t>
        </is>
      </c>
      <c r="I94" s="37" t="n">
        <v>399</v>
      </c>
      <c r="J94" s="37" t="n">
        <v>399</v>
      </c>
      <c r="K94" s="39" t="n">
        <v>46048</v>
      </c>
      <c r="L94" s="37" t="inlineStr">
        <is>
          <t>营业中</t>
        </is>
      </c>
      <c r="M94" s="37" t="n">
        <v>1</v>
      </c>
      <c r="N94" s="37" t="n">
        <v>25</v>
      </c>
      <c r="O94" s="37" t="n">
        <v>254</v>
      </c>
    </row>
    <row r="95">
      <c r="A95" s="37">
        <f>MID(H95,3,2)</f>
        <v/>
      </c>
      <c r="B95" s="37" t="inlineStr">
        <is>
          <t>B331</t>
        </is>
      </c>
      <c r="C95" s="37" t="inlineStr">
        <is>
          <t>上海区域</t>
        </is>
      </c>
      <c r="D95" s="37" t="inlineStr">
        <is>
          <t>CMCF</t>
        </is>
      </c>
      <c r="E95" s="37" t="inlineStr">
        <is>
          <t>EE 上海七宝万科广场</t>
        </is>
      </c>
      <c r="F95" s="38" t="inlineStr">
        <is>
          <t>02</t>
        </is>
      </c>
      <c r="G95" s="37" t="inlineStr">
        <is>
          <t>购物中心</t>
        </is>
      </c>
      <c r="H95" s="42" t="inlineStr">
        <is>
          <t>EERAG24B05</t>
        </is>
      </c>
      <c r="I95" s="37" t="n">
        <v>499</v>
      </c>
      <c r="J95" s="37" t="n">
        <v>499</v>
      </c>
      <c r="K95" s="39" t="n">
        <v>46078</v>
      </c>
      <c r="L95" s="37" t="inlineStr">
        <is>
          <t>营业中</t>
        </is>
      </c>
      <c r="M95" s="37" t="n">
        <v>1</v>
      </c>
      <c r="N95" s="37" t="n">
        <v>6</v>
      </c>
      <c r="O95" s="37" t="n">
        <v>349</v>
      </c>
    </row>
    <row r="96" hidden="1" s="49">
      <c r="A96" s="37">
        <f>MID(H96,3,2)</f>
        <v/>
      </c>
      <c r="B96" s="37" t="inlineStr">
        <is>
          <t>B331</t>
        </is>
      </c>
      <c r="C96" s="37" t="inlineStr">
        <is>
          <t>上海区域</t>
        </is>
      </c>
      <c r="D96" s="37" t="inlineStr">
        <is>
          <t>CMCF</t>
        </is>
      </c>
      <c r="E96" s="37" t="inlineStr">
        <is>
          <t>EE 上海七宝万科广场</t>
        </is>
      </c>
      <c r="F96" s="38" t="inlineStr">
        <is>
          <t>02</t>
        </is>
      </c>
      <c r="G96" s="37" t="inlineStr">
        <is>
          <t>购物中心</t>
        </is>
      </c>
      <c r="H96" s="37" t="inlineStr">
        <is>
          <t>EERAG26B02</t>
        </is>
      </c>
      <c r="I96" s="37" t="n">
        <v>399</v>
      </c>
      <c r="J96" s="37" t="n">
        <v>399</v>
      </c>
      <c r="K96" s="39" t="n">
        <v>46136</v>
      </c>
      <c r="L96" s="37" t="inlineStr">
        <is>
          <t>营业中</t>
        </is>
      </c>
      <c r="N96" s="37" t="n">
        <v>8</v>
      </c>
    </row>
    <row r="97" hidden="1" s="49">
      <c r="A97" s="37">
        <f>MID(H97,3,2)</f>
        <v/>
      </c>
      <c r="B97" s="37" t="inlineStr">
        <is>
          <t>B331</t>
        </is>
      </c>
      <c r="C97" s="37" t="inlineStr">
        <is>
          <t>上海区域</t>
        </is>
      </c>
      <c r="D97" s="37" t="inlineStr">
        <is>
          <t>CMCF</t>
        </is>
      </c>
      <c r="E97" s="37" t="inlineStr">
        <is>
          <t>EE 上海七宝万科广场</t>
        </is>
      </c>
      <c r="F97" s="38" t="inlineStr">
        <is>
          <t>02</t>
        </is>
      </c>
      <c r="G97" s="37" t="inlineStr">
        <is>
          <t>购物中心</t>
        </is>
      </c>
      <c r="H97" s="37" t="inlineStr">
        <is>
          <t>EERAG26B03</t>
        </is>
      </c>
      <c r="I97" s="37" t="n">
        <v>499</v>
      </c>
      <c r="J97" s="37" t="n">
        <v>499</v>
      </c>
      <c r="K97" s="39" t="n">
        <v>46136</v>
      </c>
      <c r="L97" s="37" t="inlineStr">
        <is>
          <t>营业中</t>
        </is>
      </c>
      <c r="N97" s="37" t="n">
        <v>5</v>
      </c>
    </row>
    <row r="98">
      <c r="A98" s="37">
        <f>MID(H98,3,2)</f>
        <v/>
      </c>
      <c r="B98" s="37" t="inlineStr">
        <is>
          <t>B331</t>
        </is>
      </c>
      <c r="C98" s="37" t="inlineStr">
        <is>
          <t>上海区域</t>
        </is>
      </c>
      <c r="D98" s="37" t="inlineStr">
        <is>
          <t>CMCF</t>
        </is>
      </c>
      <c r="E98" s="37" t="inlineStr">
        <is>
          <t>EE 上海七宝万科广场</t>
        </is>
      </c>
      <c r="F98" s="38" t="inlineStr">
        <is>
          <t>02</t>
        </is>
      </c>
      <c r="G98" s="37" t="inlineStr">
        <is>
          <t>购物中心</t>
        </is>
      </c>
      <c r="H98" s="42" t="inlineStr">
        <is>
          <t>EERAG24E01</t>
        </is>
      </c>
      <c r="I98" s="37" t="n">
        <v>399</v>
      </c>
      <c r="J98" s="37" t="n">
        <v>399</v>
      </c>
      <c r="K98" s="39" t="n">
        <v>46078</v>
      </c>
      <c r="L98" s="37" t="inlineStr">
        <is>
          <t>营业中</t>
        </is>
      </c>
      <c r="M98" s="37" t="n">
        <v>1</v>
      </c>
      <c r="N98" s="37" t="n">
        <v>19</v>
      </c>
      <c r="O98" s="37" t="n">
        <v>279</v>
      </c>
    </row>
    <row r="99">
      <c r="A99" s="37">
        <f>MID(H99,3,2)</f>
        <v/>
      </c>
      <c r="B99" s="37" t="inlineStr">
        <is>
          <t>B331</t>
        </is>
      </c>
      <c r="C99" s="37" t="inlineStr">
        <is>
          <t>上海区域</t>
        </is>
      </c>
      <c r="D99" s="37" t="inlineStr">
        <is>
          <t>CMCF</t>
        </is>
      </c>
      <c r="E99" s="37" t="inlineStr">
        <is>
          <t>EE 上海七宝万科广场</t>
        </is>
      </c>
      <c r="F99" s="38" t="inlineStr">
        <is>
          <t>02</t>
        </is>
      </c>
      <c r="G99" s="37" t="inlineStr">
        <is>
          <t>购物中心</t>
        </is>
      </c>
      <c r="H99" s="42" t="inlineStr">
        <is>
          <t>EERAG24E04</t>
        </is>
      </c>
      <c r="I99" s="37" t="n">
        <v>599</v>
      </c>
      <c r="J99" s="37" t="n">
        <v>499</v>
      </c>
      <c r="K99" s="39" t="n">
        <v>46078</v>
      </c>
      <c r="L99" s="37" t="inlineStr">
        <is>
          <t>营业中</t>
        </is>
      </c>
      <c r="M99" s="37" t="n">
        <v>4</v>
      </c>
      <c r="N99" s="37" t="n">
        <v>28</v>
      </c>
      <c r="O99" s="37" t="n">
        <v>998</v>
      </c>
    </row>
    <row r="100">
      <c r="A100" s="37">
        <f>MID(H100,3,2)</f>
        <v/>
      </c>
      <c r="B100" s="37" t="inlineStr">
        <is>
          <t>B331</t>
        </is>
      </c>
      <c r="C100" s="37" t="inlineStr">
        <is>
          <t>上海区域</t>
        </is>
      </c>
      <c r="D100" s="37" t="inlineStr">
        <is>
          <t>CMCF</t>
        </is>
      </c>
      <c r="E100" s="37" t="inlineStr">
        <is>
          <t>EE 上海七宝万科广场</t>
        </is>
      </c>
      <c r="F100" s="38" t="inlineStr">
        <is>
          <t>02</t>
        </is>
      </c>
      <c r="G100" s="37" t="inlineStr">
        <is>
          <t>购物中心</t>
        </is>
      </c>
      <c r="H100" s="42" t="inlineStr">
        <is>
          <t>EERAG25E01</t>
        </is>
      </c>
      <c r="I100" s="37" t="n">
        <v>499</v>
      </c>
      <c r="J100" s="37" t="n">
        <v>499</v>
      </c>
      <c r="K100" s="39" t="n">
        <v>46106</v>
      </c>
      <c r="L100" s="37" t="inlineStr">
        <is>
          <t>营业中</t>
        </is>
      </c>
      <c r="M100" s="37" t="n">
        <v>1</v>
      </c>
      <c r="N100" s="37" t="n">
        <v>5</v>
      </c>
      <c r="O100" s="37" t="n">
        <v>319</v>
      </c>
    </row>
    <row r="101" hidden="1" s="49">
      <c r="A101" s="37">
        <f>MID(H101,3,2)</f>
        <v/>
      </c>
      <c r="B101" s="37" t="inlineStr">
        <is>
          <t>B331</t>
        </is>
      </c>
      <c r="C101" s="37" t="inlineStr">
        <is>
          <t>上海区域</t>
        </is>
      </c>
      <c r="D101" s="37" t="inlineStr">
        <is>
          <t>CMCF</t>
        </is>
      </c>
      <c r="E101" s="37" t="inlineStr">
        <is>
          <t>EE 上海七宝万科广场</t>
        </is>
      </c>
      <c r="F101" s="38" t="inlineStr">
        <is>
          <t>02</t>
        </is>
      </c>
      <c r="G101" s="37" t="inlineStr">
        <is>
          <t>购物中心</t>
        </is>
      </c>
      <c r="H101" s="37" t="inlineStr">
        <is>
          <t>EERNG25B01</t>
        </is>
      </c>
      <c r="I101" s="37" t="n">
        <v>399</v>
      </c>
      <c r="J101" s="37" t="n">
        <v>399</v>
      </c>
      <c r="K101" s="39" t="n">
        <v>46106</v>
      </c>
      <c r="L101" s="37" t="inlineStr">
        <is>
          <t>营业中</t>
        </is>
      </c>
      <c r="N101" s="37" t="n">
        <v>5</v>
      </c>
    </row>
    <row r="102">
      <c r="A102" s="37">
        <f>MID(H102,3,2)</f>
        <v/>
      </c>
      <c r="B102" s="37" t="inlineStr">
        <is>
          <t>B331</t>
        </is>
      </c>
      <c r="C102" s="37" t="inlineStr">
        <is>
          <t>上海区域</t>
        </is>
      </c>
      <c r="D102" s="37" t="inlineStr">
        <is>
          <t>CMCF</t>
        </is>
      </c>
      <c r="E102" s="37" t="inlineStr">
        <is>
          <t>EE 上海七宝万科广场</t>
        </is>
      </c>
      <c r="F102" s="38" t="inlineStr">
        <is>
          <t>02</t>
        </is>
      </c>
      <c r="G102" s="37" t="inlineStr">
        <is>
          <t>购物中心</t>
        </is>
      </c>
      <c r="H102" s="42" t="inlineStr">
        <is>
          <t>EERAG25E02</t>
        </is>
      </c>
      <c r="I102" s="37" t="n">
        <v>499</v>
      </c>
      <c r="J102" s="37" t="n">
        <v>399</v>
      </c>
      <c r="K102" s="39" t="n">
        <v>46106</v>
      </c>
      <c r="L102" s="37" t="inlineStr">
        <is>
          <t>营业中</t>
        </is>
      </c>
      <c r="M102" s="37" t="n">
        <v>2</v>
      </c>
      <c r="N102" s="37" t="n">
        <v>8</v>
      </c>
      <c r="O102" s="37" t="n">
        <v>509</v>
      </c>
    </row>
    <row r="103">
      <c r="A103" s="37">
        <f>MID(H103,3,2)</f>
        <v/>
      </c>
      <c r="B103" s="37" t="inlineStr">
        <is>
          <t>B331</t>
        </is>
      </c>
      <c r="C103" s="37" t="inlineStr">
        <is>
          <t>上海区域</t>
        </is>
      </c>
      <c r="D103" s="37" t="inlineStr">
        <is>
          <t>CMCF</t>
        </is>
      </c>
      <c r="E103" s="37" t="inlineStr">
        <is>
          <t>EE 上海七宝万科广场</t>
        </is>
      </c>
      <c r="F103" s="38" t="inlineStr">
        <is>
          <t>02</t>
        </is>
      </c>
      <c r="G103" s="37" t="inlineStr">
        <is>
          <t>购物中心</t>
        </is>
      </c>
      <c r="H103" s="42" t="inlineStr">
        <is>
          <t>EERAG25E03</t>
        </is>
      </c>
      <c r="I103" s="37" t="n">
        <v>499</v>
      </c>
      <c r="J103" s="37" t="n">
        <v>499</v>
      </c>
      <c r="K103" s="39" t="n">
        <v>46106</v>
      </c>
      <c r="L103" s="37" t="inlineStr">
        <is>
          <t>营业中</t>
        </is>
      </c>
      <c r="M103" s="37" t="n">
        <v>2</v>
      </c>
      <c r="N103" s="37" t="n">
        <v>20</v>
      </c>
      <c r="O103" s="37" t="n">
        <v>634</v>
      </c>
    </row>
    <row r="104">
      <c r="A104" s="37">
        <f>MID(H104,3,2)</f>
        <v/>
      </c>
      <c r="B104" s="37" t="inlineStr">
        <is>
          <t>B331</t>
        </is>
      </c>
      <c r="C104" s="37" t="inlineStr">
        <is>
          <t>上海区域</t>
        </is>
      </c>
      <c r="D104" s="37" t="inlineStr">
        <is>
          <t>CMCF</t>
        </is>
      </c>
      <c r="E104" s="37" t="inlineStr">
        <is>
          <t>EE 上海七宝万科广场</t>
        </is>
      </c>
      <c r="F104" s="38" t="inlineStr">
        <is>
          <t>02</t>
        </is>
      </c>
      <c r="G104" s="37" t="inlineStr">
        <is>
          <t>购物中心</t>
        </is>
      </c>
      <c r="H104" s="42" t="inlineStr">
        <is>
          <t>EERNG23E01</t>
        </is>
      </c>
      <c r="I104" s="37" t="n">
        <v>299</v>
      </c>
      <c r="J104" s="37" t="n">
        <v>299</v>
      </c>
      <c r="K104" s="39" t="n">
        <v>46048</v>
      </c>
      <c r="L104" s="37" t="inlineStr">
        <is>
          <t>营业中</t>
        </is>
      </c>
      <c r="M104" s="37" t="n">
        <v>4</v>
      </c>
      <c r="N104" s="37" t="n">
        <v>19</v>
      </c>
      <c r="O104" s="37" t="n">
        <v>584</v>
      </c>
    </row>
    <row r="105">
      <c r="A105" s="37">
        <f>MID(H105,3,2)</f>
        <v/>
      </c>
      <c r="B105" s="37" t="inlineStr">
        <is>
          <t>B331</t>
        </is>
      </c>
      <c r="C105" s="37" t="inlineStr">
        <is>
          <t>上海区域</t>
        </is>
      </c>
      <c r="D105" s="37" t="inlineStr">
        <is>
          <t>CMCF</t>
        </is>
      </c>
      <c r="E105" s="37" t="inlineStr">
        <is>
          <t>EE 上海七宝万科广场</t>
        </is>
      </c>
      <c r="F105" s="38" t="inlineStr">
        <is>
          <t>02</t>
        </is>
      </c>
      <c r="G105" s="37" t="inlineStr">
        <is>
          <t>购物中心</t>
        </is>
      </c>
      <c r="H105" s="42" t="inlineStr">
        <is>
          <t>EERNG24B01</t>
        </is>
      </c>
      <c r="I105" s="37" t="n">
        <v>499</v>
      </c>
      <c r="J105" s="37" t="n">
        <v>499</v>
      </c>
      <c r="K105" s="39" t="n">
        <v>46078</v>
      </c>
      <c r="L105" s="37" t="inlineStr">
        <is>
          <t>营业中</t>
        </is>
      </c>
      <c r="M105" s="37" t="n">
        <v>1</v>
      </c>
      <c r="N105" s="37" t="n">
        <v>16</v>
      </c>
      <c r="O105" s="37" t="n">
        <v>150</v>
      </c>
    </row>
    <row r="106">
      <c r="A106" s="37">
        <f>MID(H106,3,2)</f>
        <v/>
      </c>
      <c r="B106" s="37" t="inlineStr">
        <is>
          <t>B331</t>
        </is>
      </c>
      <c r="C106" s="37" t="inlineStr">
        <is>
          <t>上海区域</t>
        </is>
      </c>
      <c r="D106" s="37" t="inlineStr">
        <is>
          <t>CMCF</t>
        </is>
      </c>
      <c r="E106" s="37" t="inlineStr">
        <is>
          <t>EE 上海七宝万科广场</t>
        </is>
      </c>
      <c r="F106" s="38" t="inlineStr">
        <is>
          <t>02</t>
        </is>
      </c>
      <c r="G106" s="37" t="inlineStr">
        <is>
          <t>购物中心</t>
        </is>
      </c>
      <c r="H106" s="42" t="inlineStr">
        <is>
          <t>EERNG24E51</t>
        </is>
      </c>
      <c r="I106" s="37" t="n">
        <v>199</v>
      </c>
      <c r="J106" s="37" t="n">
        <v>199</v>
      </c>
      <c r="K106" s="39" t="n">
        <v>46136</v>
      </c>
      <c r="L106" s="37" t="inlineStr">
        <is>
          <t>营业中</t>
        </is>
      </c>
      <c r="M106" s="37" t="n">
        <v>4</v>
      </c>
      <c r="N106" s="37" t="n">
        <v>9</v>
      </c>
      <c r="O106" s="37" t="n">
        <v>239</v>
      </c>
    </row>
    <row r="107">
      <c r="A107" s="37">
        <f>MID(H107,3,2)</f>
        <v/>
      </c>
      <c r="B107" s="37" t="inlineStr">
        <is>
          <t>B331</t>
        </is>
      </c>
      <c r="C107" s="37" t="inlineStr">
        <is>
          <t>上海区域</t>
        </is>
      </c>
      <c r="D107" s="37" t="inlineStr">
        <is>
          <t>CMCF</t>
        </is>
      </c>
      <c r="E107" s="37" t="inlineStr">
        <is>
          <t>EE 上海七宝万科广场</t>
        </is>
      </c>
      <c r="F107" s="38" t="inlineStr">
        <is>
          <t>02</t>
        </is>
      </c>
      <c r="G107" s="37" t="inlineStr">
        <is>
          <t>购物中心</t>
        </is>
      </c>
      <c r="H107" s="42" t="inlineStr">
        <is>
          <t>EERSG23E01</t>
        </is>
      </c>
      <c r="I107" s="37" t="n">
        <v>399</v>
      </c>
      <c r="J107" s="37" t="n">
        <v>399</v>
      </c>
      <c r="K107" s="39" t="n">
        <v>46048</v>
      </c>
      <c r="L107" s="37" t="inlineStr">
        <is>
          <t>营业中</t>
        </is>
      </c>
      <c r="M107" s="37" t="n">
        <v>1</v>
      </c>
      <c r="N107" s="37" t="n">
        <v>13</v>
      </c>
      <c r="O107" s="37" t="n">
        <v>279</v>
      </c>
    </row>
    <row r="108" hidden="1" s="49">
      <c r="A108" s="37">
        <f>MID(H108,3,2)</f>
        <v/>
      </c>
      <c r="B108" s="37" t="inlineStr">
        <is>
          <t>B331</t>
        </is>
      </c>
      <c r="C108" s="37" t="inlineStr">
        <is>
          <t>上海区域</t>
        </is>
      </c>
      <c r="D108" s="37" t="inlineStr">
        <is>
          <t>CMCF</t>
        </is>
      </c>
      <c r="E108" s="37" t="inlineStr">
        <is>
          <t>EE 上海七宝万科广场</t>
        </is>
      </c>
      <c r="F108" s="38" t="inlineStr">
        <is>
          <t>02</t>
        </is>
      </c>
      <c r="G108" s="37" t="inlineStr">
        <is>
          <t>购物中心</t>
        </is>
      </c>
      <c r="H108" s="40" t="inlineStr">
        <is>
          <t>EETCG23E01</t>
        </is>
      </c>
      <c r="I108" s="37" t="n">
        <v>799</v>
      </c>
      <c r="J108" s="37" t="n">
        <v>799</v>
      </c>
      <c r="K108" s="39" t="n">
        <v>46048</v>
      </c>
      <c r="L108" s="37" t="inlineStr">
        <is>
          <t>营业中</t>
        </is>
      </c>
      <c r="N108" s="37" t="n">
        <v>0</v>
      </c>
    </row>
    <row r="109">
      <c r="A109" s="37">
        <f>MID(H109,3,2)</f>
        <v/>
      </c>
      <c r="B109" s="37" t="inlineStr">
        <is>
          <t>B331</t>
        </is>
      </c>
      <c r="C109" s="37" t="inlineStr">
        <is>
          <t>上海区域</t>
        </is>
      </c>
      <c r="D109" s="37" t="inlineStr">
        <is>
          <t>CMCF</t>
        </is>
      </c>
      <c r="E109" s="37" t="inlineStr">
        <is>
          <t>EE 上海七宝万科广场</t>
        </is>
      </c>
      <c r="F109" s="38" t="inlineStr">
        <is>
          <t>02</t>
        </is>
      </c>
      <c r="G109" s="37" t="inlineStr">
        <is>
          <t>购物中心</t>
        </is>
      </c>
      <c r="H109" s="42" t="inlineStr">
        <is>
          <t>EERSG25B01</t>
        </is>
      </c>
      <c r="I109" s="37" t="n">
        <v>499</v>
      </c>
      <c r="J109" s="37" t="n">
        <v>499</v>
      </c>
      <c r="K109" s="39" t="n">
        <v>46106</v>
      </c>
      <c r="L109" s="37" t="inlineStr">
        <is>
          <t>营业中</t>
        </is>
      </c>
      <c r="M109" s="37" t="n">
        <v>2</v>
      </c>
      <c r="N109" s="37" t="n">
        <v>11</v>
      </c>
      <c r="O109" s="37" t="n">
        <v>668</v>
      </c>
    </row>
    <row r="110">
      <c r="A110" s="37">
        <f>MID(H110,3,2)</f>
        <v/>
      </c>
      <c r="B110" s="37" t="inlineStr">
        <is>
          <t>B331</t>
        </is>
      </c>
      <c r="C110" s="37" t="inlineStr">
        <is>
          <t>上海区域</t>
        </is>
      </c>
      <c r="D110" s="37" t="inlineStr">
        <is>
          <t>CMCF</t>
        </is>
      </c>
      <c r="E110" s="37" t="inlineStr">
        <is>
          <t>EE 上海七宝万科广场</t>
        </is>
      </c>
      <c r="F110" s="38" t="inlineStr">
        <is>
          <t>02</t>
        </is>
      </c>
      <c r="G110" s="37" t="inlineStr">
        <is>
          <t>购物中心</t>
        </is>
      </c>
      <c r="H110" s="42" t="inlineStr">
        <is>
          <t>EETAG24B03</t>
        </is>
      </c>
      <c r="I110" s="37" t="n">
        <v>899</v>
      </c>
      <c r="J110" s="37" t="n">
        <v>899</v>
      </c>
      <c r="K110" s="39" t="n">
        <v>46078</v>
      </c>
      <c r="L110" s="37" t="inlineStr">
        <is>
          <t>营业中</t>
        </is>
      </c>
      <c r="M110" s="37" t="n">
        <v>2</v>
      </c>
      <c r="N110" s="37" t="n">
        <v>2</v>
      </c>
      <c r="O110" s="41" t="n">
        <v>1084</v>
      </c>
    </row>
    <row r="111">
      <c r="A111" s="37">
        <f>MID(H111,3,2)</f>
        <v/>
      </c>
      <c r="B111" s="37" t="inlineStr">
        <is>
          <t>B331</t>
        </is>
      </c>
      <c r="C111" s="37" t="inlineStr">
        <is>
          <t>上海区域</t>
        </is>
      </c>
      <c r="D111" s="37" t="inlineStr">
        <is>
          <t>CMCF</t>
        </is>
      </c>
      <c r="E111" s="37" t="inlineStr">
        <is>
          <t>EE 上海七宝万科广场</t>
        </is>
      </c>
      <c r="F111" s="38" t="inlineStr">
        <is>
          <t>02</t>
        </is>
      </c>
      <c r="G111" s="37" t="inlineStr">
        <is>
          <t>购物中心</t>
        </is>
      </c>
      <c r="H111" s="42" t="inlineStr">
        <is>
          <t>EETAG24E02</t>
        </is>
      </c>
      <c r="I111" s="37" t="n">
        <v>999</v>
      </c>
      <c r="J111" s="37" t="n">
        <v>899</v>
      </c>
      <c r="K111" s="39" t="n">
        <v>46127</v>
      </c>
      <c r="L111" s="37" t="inlineStr">
        <is>
          <t>营业中</t>
        </is>
      </c>
      <c r="M111" s="37" t="n">
        <v>4</v>
      </c>
      <c r="N111" s="37" t="n">
        <v>12</v>
      </c>
      <c r="O111" s="41" t="n">
        <v>2242</v>
      </c>
    </row>
    <row r="112">
      <c r="A112" s="37">
        <f>MID(H112,3,2)</f>
        <v/>
      </c>
      <c r="B112" s="37" t="inlineStr">
        <is>
          <t>B331</t>
        </is>
      </c>
      <c r="C112" s="37" t="inlineStr">
        <is>
          <t>上海区域</t>
        </is>
      </c>
      <c r="D112" s="37" t="inlineStr">
        <is>
          <t>CMCF</t>
        </is>
      </c>
      <c r="E112" s="37" t="inlineStr">
        <is>
          <t>EE 上海七宝万科广场</t>
        </is>
      </c>
      <c r="F112" s="38" t="inlineStr">
        <is>
          <t>02</t>
        </is>
      </c>
      <c r="G112" s="37" t="inlineStr">
        <is>
          <t>购物中心</t>
        </is>
      </c>
      <c r="H112" s="42" t="inlineStr">
        <is>
          <t>EETAG24E04</t>
        </is>
      </c>
      <c r="I112" s="37" t="n">
        <v>699</v>
      </c>
      <c r="J112" s="37" t="n">
        <v>799</v>
      </c>
      <c r="K112" s="39" t="n">
        <v>46091</v>
      </c>
      <c r="L112" s="37" t="inlineStr">
        <is>
          <t>营业中</t>
        </is>
      </c>
      <c r="M112" s="37" t="n">
        <v>1</v>
      </c>
      <c r="N112" s="37" t="n">
        <v>6</v>
      </c>
      <c r="O112" s="37" t="n">
        <v>559</v>
      </c>
    </row>
    <row r="113" hidden="1" s="49">
      <c r="A113" s="37">
        <f>MID(H113,3,2)</f>
        <v/>
      </c>
      <c r="B113" s="37" t="inlineStr">
        <is>
          <t>B331</t>
        </is>
      </c>
      <c r="C113" s="37" t="inlineStr">
        <is>
          <t>上海区域</t>
        </is>
      </c>
      <c r="D113" s="37" t="inlineStr">
        <is>
          <t>CMCF</t>
        </is>
      </c>
      <c r="E113" s="37" t="inlineStr">
        <is>
          <t>EE 上海七宝万科广场</t>
        </is>
      </c>
      <c r="F113" s="38" t="inlineStr">
        <is>
          <t>02</t>
        </is>
      </c>
      <c r="G113" s="37" t="inlineStr">
        <is>
          <t>购物中心</t>
        </is>
      </c>
      <c r="H113" s="40" t="inlineStr">
        <is>
          <t>EETHG24E03</t>
        </is>
      </c>
      <c r="I113" s="37" t="n">
        <v>699</v>
      </c>
      <c r="J113" s="37" t="n">
        <v>699</v>
      </c>
      <c r="K113" s="39" t="n">
        <v>46127</v>
      </c>
      <c r="L113" s="37" t="inlineStr">
        <is>
          <t>营业中</t>
        </is>
      </c>
      <c r="N113" s="37" t="n">
        <v>2</v>
      </c>
    </row>
    <row r="114">
      <c r="A114" s="37">
        <f>MID(H114,3,2)</f>
        <v/>
      </c>
      <c r="B114" s="37" t="inlineStr">
        <is>
          <t>B331</t>
        </is>
      </c>
      <c r="C114" s="37" t="inlineStr">
        <is>
          <t>上海区域</t>
        </is>
      </c>
      <c r="D114" s="37" t="inlineStr">
        <is>
          <t>CMCF</t>
        </is>
      </c>
      <c r="E114" s="37" t="inlineStr">
        <is>
          <t>EE 上海七宝万科广场</t>
        </is>
      </c>
      <c r="F114" s="38" t="inlineStr">
        <is>
          <t>02</t>
        </is>
      </c>
      <c r="G114" s="37" t="inlineStr">
        <is>
          <t>购物中心</t>
        </is>
      </c>
      <c r="H114" s="42" t="inlineStr">
        <is>
          <t>EETCG24E01</t>
        </is>
      </c>
      <c r="I114" s="37" t="n">
        <v>699</v>
      </c>
      <c r="J114" s="37" t="n">
        <v>699</v>
      </c>
      <c r="K114" s="39" t="n">
        <v>46091</v>
      </c>
      <c r="L114" s="37" t="inlineStr">
        <is>
          <t>营业中</t>
        </is>
      </c>
      <c r="M114" s="37" t="n">
        <v>3</v>
      </c>
      <c r="N114" s="37" t="n">
        <v>15</v>
      </c>
      <c r="O114" s="37" t="n">
        <v>909</v>
      </c>
    </row>
    <row r="115" hidden="1" s="49">
      <c r="A115" s="37">
        <f>MID(H115,3,2)</f>
        <v/>
      </c>
      <c r="B115" s="37" t="inlineStr">
        <is>
          <t>B331</t>
        </is>
      </c>
      <c r="C115" s="37" t="inlineStr">
        <is>
          <t>上海区域</t>
        </is>
      </c>
      <c r="D115" s="37" t="inlineStr">
        <is>
          <t>CMCF</t>
        </is>
      </c>
      <c r="E115" s="37" t="inlineStr">
        <is>
          <t>EE 上海七宝万科广场</t>
        </is>
      </c>
      <c r="F115" s="38" t="inlineStr">
        <is>
          <t>02</t>
        </is>
      </c>
      <c r="G115" s="37" t="inlineStr">
        <is>
          <t>购物中心</t>
        </is>
      </c>
      <c r="H115" s="40" t="inlineStr">
        <is>
          <t>EETHG25E04</t>
        </is>
      </c>
      <c r="I115" s="37" t="n">
        <v>699</v>
      </c>
      <c r="J115" s="37" t="n">
        <v>699</v>
      </c>
      <c r="K115" s="39" t="n">
        <v>46127</v>
      </c>
      <c r="L115" s="37" t="inlineStr">
        <is>
          <t>营业中</t>
        </is>
      </c>
      <c r="N115" s="37" t="n">
        <v>5</v>
      </c>
    </row>
    <row r="116" hidden="1" s="49">
      <c r="A116" s="37">
        <f>MID(H116,3,2)</f>
        <v/>
      </c>
      <c r="B116" s="37" t="inlineStr">
        <is>
          <t>B331</t>
        </is>
      </c>
      <c r="C116" s="37" t="inlineStr">
        <is>
          <t>上海区域</t>
        </is>
      </c>
      <c r="D116" s="37" t="inlineStr">
        <is>
          <t>CMCF</t>
        </is>
      </c>
      <c r="E116" s="37" t="inlineStr">
        <is>
          <t>EE 上海七宝万科广场</t>
        </is>
      </c>
      <c r="F116" s="38" t="inlineStr">
        <is>
          <t>02</t>
        </is>
      </c>
      <c r="G116" s="37" t="inlineStr">
        <is>
          <t>购物中心</t>
        </is>
      </c>
      <c r="H116" s="40" t="inlineStr">
        <is>
          <t>EETJG23B05</t>
        </is>
      </c>
      <c r="I116" s="37" t="n">
        <v>899</v>
      </c>
      <c r="J116" s="37" t="n">
        <v>899</v>
      </c>
      <c r="K116" s="39" t="n">
        <v>46027</v>
      </c>
      <c r="L116" s="37" t="inlineStr">
        <is>
          <t>营业中</t>
        </is>
      </c>
      <c r="N116" s="37" t="n">
        <v>0</v>
      </c>
    </row>
    <row r="117">
      <c r="A117" s="37">
        <f>MID(H117,3,2)</f>
        <v/>
      </c>
      <c r="B117" s="37" t="inlineStr">
        <is>
          <t>B331</t>
        </is>
      </c>
      <c r="C117" s="37" t="inlineStr">
        <is>
          <t>上海区域</t>
        </is>
      </c>
      <c r="D117" s="37" t="inlineStr">
        <is>
          <t>CMCF</t>
        </is>
      </c>
      <c r="E117" s="37" t="inlineStr">
        <is>
          <t>EE 上海七宝万科广场</t>
        </is>
      </c>
      <c r="F117" s="38" t="inlineStr">
        <is>
          <t>02</t>
        </is>
      </c>
      <c r="G117" s="37" t="inlineStr">
        <is>
          <t>购物中心</t>
        </is>
      </c>
      <c r="H117" s="42" t="inlineStr">
        <is>
          <t>EETCG24E06</t>
        </is>
      </c>
      <c r="I117" s="37" t="n">
        <v>1299</v>
      </c>
      <c r="J117" s="37" t="n">
        <v>1299</v>
      </c>
      <c r="K117" s="39" t="n">
        <v>46091</v>
      </c>
      <c r="L117" s="37" t="inlineStr">
        <is>
          <t>营业中</t>
        </is>
      </c>
      <c r="M117" s="37" t="n">
        <v>3</v>
      </c>
      <c r="N117" s="37" t="n">
        <v>7</v>
      </c>
      <c r="O117" s="41" t="n">
        <v>1639</v>
      </c>
    </row>
    <row r="118">
      <c r="A118" s="37">
        <f>MID(H118,3,2)</f>
        <v/>
      </c>
      <c r="B118" s="37" t="inlineStr">
        <is>
          <t>B331</t>
        </is>
      </c>
      <c r="C118" s="37" t="inlineStr">
        <is>
          <t>上海区域</t>
        </is>
      </c>
      <c r="D118" s="37" t="inlineStr">
        <is>
          <t>CMCF</t>
        </is>
      </c>
      <c r="E118" s="37" t="inlineStr">
        <is>
          <t>EE 上海七宝万科广场</t>
        </is>
      </c>
      <c r="F118" s="38" t="inlineStr">
        <is>
          <t>02</t>
        </is>
      </c>
      <c r="G118" s="37" t="inlineStr">
        <is>
          <t>购物中心</t>
        </is>
      </c>
      <c r="H118" s="42" t="inlineStr">
        <is>
          <t>EETHG24E02</t>
        </is>
      </c>
      <c r="I118" s="37" t="n">
        <v>599</v>
      </c>
      <c r="J118" s="37" t="n">
        <v>599</v>
      </c>
      <c r="K118" s="39" t="n">
        <v>46087</v>
      </c>
      <c r="L118" s="37" t="inlineStr">
        <is>
          <t>营业中</t>
        </is>
      </c>
      <c r="M118" s="37" t="n">
        <v>1</v>
      </c>
      <c r="N118" s="37" t="n">
        <v>11</v>
      </c>
      <c r="O118" s="37" t="n">
        <v>386</v>
      </c>
    </row>
    <row r="119">
      <c r="A119" s="37">
        <f>MID(H119,3,2)</f>
        <v/>
      </c>
      <c r="B119" s="37" t="inlineStr">
        <is>
          <t>B331</t>
        </is>
      </c>
      <c r="C119" s="37" t="inlineStr">
        <is>
          <t>上海区域</t>
        </is>
      </c>
      <c r="D119" s="37" t="inlineStr">
        <is>
          <t>CMCF</t>
        </is>
      </c>
      <c r="E119" s="37" t="inlineStr">
        <is>
          <t>EE 上海七宝万科广场</t>
        </is>
      </c>
      <c r="F119" s="38" t="inlineStr">
        <is>
          <t>02</t>
        </is>
      </c>
      <c r="G119" s="37" t="inlineStr">
        <is>
          <t>购物中心</t>
        </is>
      </c>
      <c r="H119" s="42" t="inlineStr">
        <is>
          <t>EETHG25E01</t>
        </is>
      </c>
      <c r="I119" s="37" t="n">
        <v>699</v>
      </c>
      <c r="J119" s="37" t="n">
        <v>699</v>
      </c>
      <c r="K119" s="39" t="n">
        <v>46106</v>
      </c>
      <c r="L119" s="37" t="inlineStr">
        <is>
          <t>营业中</t>
        </is>
      </c>
      <c r="M119" s="37" t="n">
        <v>1</v>
      </c>
      <c r="N119" s="37" t="n">
        <v>9</v>
      </c>
      <c r="O119" s="37" t="n">
        <v>454</v>
      </c>
    </row>
    <row r="120">
      <c r="A120" s="37">
        <f>MID(H120,3,2)</f>
        <v/>
      </c>
      <c r="B120" s="37" t="inlineStr">
        <is>
          <t>B331</t>
        </is>
      </c>
      <c r="C120" s="37" t="inlineStr">
        <is>
          <t>上海区域</t>
        </is>
      </c>
      <c r="D120" s="37" t="inlineStr">
        <is>
          <t>CMCF</t>
        </is>
      </c>
      <c r="E120" s="37" t="inlineStr">
        <is>
          <t>EE 上海七宝万科广场</t>
        </is>
      </c>
      <c r="F120" s="38" t="inlineStr">
        <is>
          <t>02</t>
        </is>
      </c>
      <c r="G120" s="37" t="inlineStr">
        <is>
          <t>购物中心</t>
        </is>
      </c>
      <c r="H120" s="37" t="inlineStr">
        <is>
          <t>EETJG23B1G</t>
        </is>
      </c>
      <c r="I120" s="37" t="n">
        <v>899</v>
      </c>
      <c r="J120" s="37" t="n">
        <v>899</v>
      </c>
      <c r="K120" s="39" t="n">
        <v>46048</v>
      </c>
      <c r="L120" s="37" t="inlineStr">
        <is>
          <t>营业中</t>
        </is>
      </c>
      <c r="M120" s="37" t="n">
        <v>1</v>
      </c>
      <c r="N120" s="37" t="n">
        <v>0</v>
      </c>
      <c r="O120" s="37" t="n">
        <v>270</v>
      </c>
    </row>
    <row r="121">
      <c r="A121" s="37">
        <f>MID(H121,3,2)</f>
        <v/>
      </c>
      <c r="B121" s="37" t="inlineStr">
        <is>
          <t>B331</t>
        </is>
      </c>
      <c r="C121" s="37" t="inlineStr">
        <is>
          <t>上海区域</t>
        </is>
      </c>
      <c r="D121" s="37" t="inlineStr">
        <is>
          <t>CMCF</t>
        </is>
      </c>
      <c r="E121" s="37" t="inlineStr">
        <is>
          <t>EE 上海七宝万科广场</t>
        </is>
      </c>
      <c r="F121" s="38" t="inlineStr">
        <is>
          <t>02</t>
        </is>
      </c>
      <c r="G121" s="37" t="inlineStr">
        <is>
          <t>购物中心</t>
        </is>
      </c>
      <c r="H121" s="42" t="inlineStr">
        <is>
          <t>EETJG23E01</t>
        </is>
      </c>
      <c r="I121" s="37" t="n">
        <v>699</v>
      </c>
      <c r="J121" s="37" t="n">
        <v>699</v>
      </c>
      <c r="K121" s="39" t="n">
        <v>46014</v>
      </c>
      <c r="L121" s="37" t="inlineStr">
        <is>
          <t>营业中</t>
        </is>
      </c>
      <c r="M121" s="37" t="n">
        <v>2</v>
      </c>
      <c r="N121" s="37" t="n">
        <v>1</v>
      </c>
      <c r="O121" s="37" t="n">
        <v>606</v>
      </c>
    </row>
    <row r="122">
      <c r="A122" s="37">
        <f>MID(H122,3,2)</f>
        <v/>
      </c>
      <c r="B122" s="37" t="inlineStr">
        <is>
          <t>B331</t>
        </is>
      </c>
      <c r="C122" s="37" t="inlineStr">
        <is>
          <t>上海区域</t>
        </is>
      </c>
      <c r="D122" s="37" t="inlineStr">
        <is>
          <t>CMCF</t>
        </is>
      </c>
      <c r="E122" s="37" t="inlineStr">
        <is>
          <t>EE 上海七宝万科广场</t>
        </is>
      </c>
      <c r="F122" s="38" t="inlineStr">
        <is>
          <t>02</t>
        </is>
      </c>
      <c r="G122" s="37" t="inlineStr">
        <is>
          <t>购物中心</t>
        </is>
      </c>
      <c r="H122" s="42" t="inlineStr">
        <is>
          <t>EETJG23E02</t>
        </is>
      </c>
      <c r="I122" s="37" t="n">
        <v>799</v>
      </c>
      <c r="J122" s="37" t="n">
        <v>799</v>
      </c>
      <c r="K122" s="39" t="n">
        <v>46027</v>
      </c>
      <c r="L122" s="37" t="inlineStr">
        <is>
          <t>营业中</t>
        </is>
      </c>
      <c r="M122" s="37" t="n">
        <v>1</v>
      </c>
      <c r="N122" s="37" t="n">
        <v>6</v>
      </c>
      <c r="O122" s="37" t="n">
        <v>240</v>
      </c>
    </row>
    <row r="123" hidden="1" s="49">
      <c r="A123" s="37">
        <f>MID(H123,3,2)</f>
        <v/>
      </c>
      <c r="B123" s="37" t="inlineStr">
        <is>
          <t>B331</t>
        </is>
      </c>
      <c r="C123" s="37" t="inlineStr">
        <is>
          <t>上海区域</t>
        </is>
      </c>
      <c r="D123" s="37" t="inlineStr">
        <is>
          <t>CMCF</t>
        </is>
      </c>
      <c r="E123" s="37" t="inlineStr">
        <is>
          <t>EE 上海七宝万科广场</t>
        </is>
      </c>
      <c r="F123" s="38" t="inlineStr">
        <is>
          <t>02</t>
        </is>
      </c>
      <c r="G123" s="37" t="inlineStr">
        <is>
          <t>购物中心</t>
        </is>
      </c>
      <c r="H123" s="40" t="inlineStr">
        <is>
          <t>EETJG24B57</t>
        </is>
      </c>
      <c r="I123" s="37" t="n">
        <v>799</v>
      </c>
      <c r="J123" s="37" t="n">
        <v>899</v>
      </c>
      <c r="K123" s="39" t="n">
        <v>46112</v>
      </c>
      <c r="L123" s="37" t="inlineStr">
        <is>
          <t>营业中</t>
        </is>
      </c>
      <c r="N123" s="37" t="n">
        <v>10</v>
      </c>
    </row>
    <row r="124" hidden="1" s="49">
      <c r="A124" s="37">
        <f>MID(H124,3,2)</f>
        <v/>
      </c>
      <c r="B124" s="37" t="inlineStr">
        <is>
          <t>B331</t>
        </is>
      </c>
      <c r="C124" s="37" t="inlineStr">
        <is>
          <t>上海区域</t>
        </is>
      </c>
      <c r="D124" s="37" t="inlineStr">
        <is>
          <t>CMCF</t>
        </is>
      </c>
      <c r="E124" s="37" t="inlineStr">
        <is>
          <t>EE 上海七宝万科广场</t>
        </is>
      </c>
      <c r="F124" s="38" t="inlineStr">
        <is>
          <t>02</t>
        </is>
      </c>
      <c r="G124" s="37" t="inlineStr">
        <is>
          <t>购物中心</t>
        </is>
      </c>
      <c r="H124" s="40" t="inlineStr">
        <is>
          <t>EETJG24B58</t>
        </is>
      </c>
      <c r="I124" s="37" t="n">
        <v>799</v>
      </c>
      <c r="J124" s="37" t="n">
        <v>899</v>
      </c>
      <c r="K124" s="39" t="n">
        <v>46132</v>
      </c>
      <c r="L124" s="37" t="inlineStr">
        <is>
          <t>营业中</t>
        </is>
      </c>
      <c r="N124" s="37" t="n">
        <v>2</v>
      </c>
    </row>
    <row r="125">
      <c r="A125" s="37">
        <f>MID(H125,3,2)</f>
        <v/>
      </c>
      <c r="B125" s="37" t="inlineStr">
        <is>
          <t>B331</t>
        </is>
      </c>
      <c r="C125" s="37" t="inlineStr">
        <is>
          <t>上海区域</t>
        </is>
      </c>
      <c r="D125" s="37" t="inlineStr">
        <is>
          <t>CMCF</t>
        </is>
      </c>
      <c r="E125" s="37" t="inlineStr">
        <is>
          <t>EE 上海七宝万科广场</t>
        </is>
      </c>
      <c r="F125" s="38" t="inlineStr">
        <is>
          <t>02</t>
        </is>
      </c>
      <c r="G125" s="37" t="inlineStr">
        <is>
          <t>购物中心</t>
        </is>
      </c>
      <c r="H125" s="42" t="inlineStr">
        <is>
          <t>EETJG23E04</t>
        </is>
      </c>
      <c r="I125" s="37" t="n">
        <v>899</v>
      </c>
      <c r="J125" s="37" t="n">
        <v>899</v>
      </c>
      <c r="K125" s="39" t="n">
        <v>46041</v>
      </c>
      <c r="L125" s="37" t="inlineStr">
        <is>
          <t>营业中</t>
        </is>
      </c>
      <c r="M125" s="37" t="n">
        <v>3</v>
      </c>
      <c r="N125" s="37" t="n">
        <v>10</v>
      </c>
      <c r="O125" s="41" t="n">
        <v>1119</v>
      </c>
    </row>
    <row r="126">
      <c r="A126" s="37">
        <f>MID(H126,3,2)</f>
        <v/>
      </c>
      <c r="B126" s="37" t="inlineStr">
        <is>
          <t>B331</t>
        </is>
      </c>
      <c r="C126" s="37" t="inlineStr">
        <is>
          <t>上海区域</t>
        </is>
      </c>
      <c r="D126" s="37" t="inlineStr">
        <is>
          <t>CMCF</t>
        </is>
      </c>
      <c r="E126" s="37" t="inlineStr">
        <is>
          <t>EE 上海七宝万科广场</t>
        </is>
      </c>
      <c r="F126" s="38" t="inlineStr">
        <is>
          <t>02</t>
        </is>
      </c>
      <c r="G126" s="37" t="inlineStr">
        <is>
          <t>购物中心</t>
        </is>
      </c>
      <c r="H126" s="42" t="inlineStr">
        <is>
          <t>EETJG23E06</t>
        </is>
      </c>
      <c r="I126" s="37" t="n">
        <v>799</v>
      </c>
      <c r="J126" s="37" t="n">
        <v>799</v>
      </c>
      <c r="K126" s="39" t="n">
        <v>46031</v>
      </c>
      <c r="L126" s="37" t="inlineStr">
        <is>
          <t>营业中</t>
        </is>
      </c>
      <c r="M126" s="37" t="n">
        <v>2</v>
      </c>
      <c r="N126" s="37" t="n">
        <v>6</v>
      </c>
      <c r="O126" s="37" t="n">
        <v>959</v>
      </c>
    </row>
    <row r="127">
      <c r="A127" s="37">
        <f>MID(H127,3,2)</f>
        <v/>
      </c>
      <c r="B127" s="37" t="inlineStr">
        <is>
          <t>B331</t>
        </is>
      </c>
      <c r="C127" s="37" t="inlineStr">
        <is>
          <t>上海区域</t>
        </is>
      </c>
      <c r="D127" s="37" t="inlineStr">
        <is>
          <t>CMCF</t>
        </is>
      </c>
      <c r="E127" s="37" t="inlineStr">
        <is>
          <t>EE 上海七宝万科广场</t>
        </is>
      </c>
      <c r="F127" s="38" t="inlineStr">
        <is>
          <t>02</t>
        </is>
      </c>
      <c r="G127" s="37" t="inlineStr">
        <is>
          <t>购物中心</t>
        </is>
      </c>
      <c r="H127" s="42" t="inlineStr">
        <is>
          <t>EETJG23E07</t>
        </is>
      </c>
      <c r="I127" s="37" t="n">
        <v>899</v>
      </c>
      <c r="J127" s="37" t="n">
        <v>899</v>
      </c>
      <c r="K127" s="39" t="n">
        <v>46045</v>
      </c>
      <c r="L127" s="37" t="inlineStr">
        <is>
          <t>营业中</t>
        </is>
      </c>
      <c r="M127" s="37" t="n">
        <v>1</v>
      </c>
      <c r="N127" s="37" t="n">
        <v>3</v>
      </c>
      <c r="O127" s="37" t="n">
        <v>270</v>
      </c>
    </row>
    <row r="128">
      <c r="A128" s="37">
        <f>MID(H128,3,2)</f>
        <v/>
      </c>
      <c r="B128" s="37" t="inlineStr">
        <is>
          <t>B331</t>
        </is>
      </c>
      <c r="C128" s="37" t="inlineStr">
        <is>
          <t>上海区域</t>
        </is>
      </c>
      <c r="D128" s="37" t="inlineStr">
        <is>
          <t>CMCF</t>
        </is>
      </c>
      <c r="E128" s="37" t="inlineStr">
        <is>
          <t>EE 上海七宝万科广场</t>
        </is>
      </c>
      <c r="F128" s="38" t="inlineStr">
        <is>
          <t>02</t>
        </is>
      </c>
      <c r="G128" s="37" t="inlineStr">
        <is>
          <t>购物中心</t>
        </is>
      </c>
      <c r="H128" s="42" t="inlineStr">
        <is>
          <t>EETJG24E01</t>
        </is>
      </c>
      <c r="I128" s="37" t="n">
        <v>799</v>
      </c>
      <c r="J128" s="37" t="n">
        <v>799</v>
      </c>
      <c r="K128" s="39" t="n">
        <v>46106</v>
      </c>
      <c r="L128" s="37" t="inlineStr">
        <is>
          <t>营业中</t>
        </is>
      </c>
      <c r="M128" s="37" t="n">
        <v>7</v>
      </c>
      <c r="N128" s="37" t="n">
        <v>18</v>
      </c>
      <c r="O128" s="41" t="n">
        <v>3076</v>
      </c>
    </row>
    <row r="129">
      <c r="A129" s="37">
        <f>MID(H129,3,2)</f>
        <v/>
      </c>
      <c r="B129" s="37" t="inlineStr">
        <is>
          <t>B331</t>
        </is>
      </c>
      <c r="C129" s="37" t="inlineStr">
        <is>
          <t>上海区域</t>
        </is>
      </c>
      <c r="D129" s="37" t="inlineStr">
        <is>
          <t>CMCF</t>
        </is>
      </c>
      <c r="E129" s="37" t="inlineStr">
        <is>
          <t>EE 上海七宝万科广场</t>
        </is>
      </c>
      <c r="F129" s="38" t="inlineStr">
        <is>
          <t>02</t>
        </is>
      </c>
      <c r="G129" s="37" t="inlineStr">
        <is>
          <t>购物中心</t>
        </is>
      </c>
      <c r="H129" s="42" t="inlineStr">
        <is>
          <t>EETJG24E02</t>
        </is>
      </c>
      <c r="I129" s="37" t="n">
        <v>699</v>
      </c>
      <c r="J129" s="37" t="n">
        <v>699</v>
      </c>
      <c r="K129" s="39" t="n">
        <v>46097</v>
      </c>
      <c r="L129" s="37" t="inlineStr">
        <is>
          <t>营业中</t>
        </is>
      </c>
      <c r="M129" s="37" t="n">
        <v>1</v>
      </c>
      <c r="N129" s="37" t="n">
        <v>14</v>
      </c>
      <c r="O129" s="37" t="n">
        <v>444</v>
      </c>
    </row>
    <row r="130">
      <c r="A130" s="37">
        <f>MID(H130,3,2)</f>
        <v/>
      </c>
      <c r="B130" s="37" t="inlineStr">
        <is>
          <t>B331</t>
        </is>
      </c>
      <c r="C130" s="37" t="inlineStr">
        <is>
          <t>上海区域</t>
        </is>
      </c>
      <c r="D130" s="37" t="inlineStr">
        <is>
          <t>CMCF</t>
        </is>
      </c>
      <c r="E130" s="37" t="inlineStr">
        <is>
          <t>EE 上海七宝万科广场</t>
        </is>
      </c>
      <c r="F130" s="38" t="inlineStr">
        <is>
          <t>02</t>
        </is>
      </c>
      <c r="G130" s="37" t="inlineStr">
        <is>
          <t>购物中心</t>
        </is>
      </c>
      <c r="H130" s="42" t="inlineStr">
        <is>
          <t>EETJG24E04</t>
        </is>
      </c>
      <c r="I130" s="37" t="n">
        <v>699</v>
      </c>
      <c r="J130" s="37" t="n">
        <v>699</v>
      </c>
      <c r="K130" s="39" t="n">
        <v>46101</v>
      </c>
      <c r="L130" s="37" t="inlineStr">
        <is>
          <t>营业中</t>
        </is>
      </c>
      <c r="M130" s="37" t="n">
        <v>1</v>
      </c>
      <c r="N130" s="37" t="n">
        <v>5</v>
      </c>
      <c r="O130" s="37" t="n">
        <v>210</v>
      </c>
    </row>
    <row r="131" hidden="1" s="49">
      <c r="A131" s="37">
        <f>MID(H131,3,2)</f>
        <v/>
      </c>
      <c r="B131" s="37" t="inlineStr">
        <is>
          <t>B331</t>
        </is>
      </c>
      <c r="C131" s="37" t="inlineStr">
        <is>
          <t>上海区域</t>
        </is>
      </c>
      <c r="D131" s="37" t="inlineStr">
        <is>
          <t>CMCF</t>
        </is>
      </c>
      <c r="E131" s="37" t="inlineStr">
        <is>
          <t>EE 上海七宝万科广场</t>
        </is>
      </c>
      <c r="F131" s="38" t="inlineStr">
        <is>
          <t>02</t>
        </is>
      </c>
      <c r="G131" s="37" t="inlineStr">
        <is>
          <t>购物中心</t>
        </is>
      </c>
      <c r="H131" s="40" t="inlineStr">
        <is>
          <t>EETKG25D01</t>
        </is>
      </c>
      <c r="I131" s="37" t="n">
        <v>799</v>
      </c>
      <c r="J131" s="37" t="n">
        <v>799</v>
      </c>
      <c r="K131" s="39" t="n">
        <v>46106</v>
      </c>
      <c r="L131" s="37" t="inlineStr">
        <is>
          <t>营业中</t>
        </is>
      </c>
      <c r="N131" s="37" t="n">
        <v>3</v>
      </c>
    </row>
    <row r="132" hidden="1" s="49">
      <c r="A132" s="37">
        <f>MID(H132,3,2)</f>
        <v/>
      </c>
      <c r="B132" s="37" t="inlineStr">
        <is>
          <t>B331</t>
        </is>
      </c>
      <c r="C132" s="37" t="inlineStr">
        <is>
          <t>上海区域</t>
        </is>
      </c>
      <c r="D132" s="37" t="inlineStr">
        <is>
          <t>CMCF</t>
        </is>
      </c>
      <c r="E132" s="37" t="inlineStr">
        <is>
          <t>EE 上海七宝万科广场</t>
        </is>
      </c>
      <c r="F132" s="38" t="inlineStr">
        <is>
          <t>02</t>
        </is>
      </c>
      <c r="G132" s="37" t="inlineStr">
        <is>
          <t>购物中心</t>
        </is>
      </c>
      <c r="H132" s="40" t="inlineStr">
        <is>
          <t>EETMG24E51</t>
        </is>
      </c>
      <c r="I132" s="37" t="n">
        <v>699</v>
      </c>
      <c r="J132" s="37" t="n">
        <v>699</v>
      </c>
      <c r="K132" s="39" t="n">
        <v>46104</v>
      </c>
      <c r="L132" s="37" t="inlineStr">
        <is>
          <t>营业中</t>
        </is>
      </c>
      <c r="M132" s="37" t="n">
        <v>0</v>
      </c>
      <c r="N132" s="37" t="n">
        <v>0</v>
      </c>
      <c r="O132" s="37" t="n">
        <v>0</v>
      </c>
    </row>
    <row r="133">
      <c r="A133" s="37">
        <f>MID(H133,3,2)</f>
        <v/>
      </c>
      <c r="B133" s="37" t="inlineStr">
        <is>
          <t>B331</t>
        </is>
      </c>
      <c r="C133" s="37" t="inlineStr">
        <is>
          <t>上海区域</t>
        </is>
      </c>
      <c r="D133" s="37" t="inlineStr">
        <is>
          <t>CMCF</t>
        </is>
      </c>
      <c r="E133" s="37" t="inlineStr">
        <is>
          <t>EE 上海七宝万科广场</t>
        </is>
      </c>
      <c r="F133" s="38" t="inlineStr">
        <is>
          <t>02</t>
        </is>
      </c>
      <c r="G133" s="37" t="inlineStr">
        <is>
          <t>购物中心</t>
        </is>
      </c>
      <c r="H133" s="42" t="inlineStr">
        <is>
          <t>EETJG24E05</t>
        </is>
      </c>
      <c r="I133" s="37" t="n">
        <v>699</v>
      </c>
      <c r="J133" s="37" t="n">
        <v>599</v>
      </c>
      <c r="K133" s="39" t="n">
        <v>46106</v>
      </c>
      <c r="L133" s="37" t="inlineStr">
        <is>
          <t>营业中</t>
        </is>
      </c>
      <c r="M133" s="37" t="n">
        <v>2</v>
      </c>
      <c r="N133" s="37" t="n">
        <v>15</v>
      </c>
      <c r="O133" s="37" t="n">
        <v>817</v>
      </c>
    </row>
    <row r="134" hidden="1" s="49">
      <c r="A134" s="37">
        <f>MID(H134,3,2)</f>
        <v/>
      </c>
      <c r="B134" s="37" t="inlineStr">
        <is>
          <t>B331</t>
        </is>
      </c>
      <c r="C134" s="37" t="inlineStr">
        <is>
          <t>上海区域</t>
        </is>
      </c>
      <c r="D134" s="37" t="inlineStr">
        <is>
          <t>CMCF</t>
        </is>
      </c>
      <c r="E134" s="37" t="inlineStr">
        <is>
          <t>EE 上海七宝万科广场</t>
        </is>
      </c>
      <c r="F134" s="38" t="inlineStr">
        <is>
          <t>02</t>
        </is>
      </c>
      <c r="G134" s="37" t="inlineStr">
        <is>
          <t>购物中心</t>
        </is>
      </c>
      <c r="H134" s="37" t="inlineStr">
        <is>
          <t>EEVJG23D01</t>
        </is>
      </c>
      <c r="I134" s="37" t="n">
        <v>799</v>
      </c>
      <c r="J134" s="37" t="n">
        <v>799</v>
      </c>
      <c r="K134" s="39" t="n">
        <v>46063</v>
      </c>
      <c r="L134" s="37" t="inlineStr">
        <is>
          <t>营业中</t>
        </is>
      </c>
      <c r="N134" s="37" t="n">
        <v>2</v>
      </c>
    </row>
    <row r="135" hidden="1" s="49">
      <c r="A135" s="37">
        <f>MID(H135,3,2)</f>
        <v/>
      </c>
      <c r="B135" s="37" t="inlineStr">
        <is>
          <t>B331</t>
        </is>
      </c>
      <c r="C135" s="37" t="inlineStr">
        <is>
          <t>上海区域</t>
        </is>
      </c>
      <c r="D135" s="37" t="inlineStr">
        <is>
          <t>CMCF</t>
        </is>
      </c>
      <c r="E135" s="37" t="inlineStr">
        <is>
          <t>EE 上海七宝万科广场</t>
        </is>
      </c>
      <c r="F135" s="38" t="inlineStr">
        <is>
          <t>02</t>
        </is>
      </c>
      <c r="G135" s="37" t="inlineStr">
        <is>
          <t>购物中心</t>
        </is>
      </c>
      <c r="H135" s="37" t="inlineStr">
        <is>
          <t>EEVKG23B02</t>
        </is>
      </c>
      <c r="I135" s="37" t="n">
        <v>599</v>
      </c>
      <c r="J135" s="37" t="n">
        <v>699</v>
      </c>
      <c r="K135" s="39" t="n">
        <v>46048</v>
      </c>
      <c r="L135" s="37" t="inlineStr">
        <is>
          <t>营业中</t>
        </is>
      </c>
      <c r="N135" s="37" t="n">
        <v>0</v>
      </c>
    </row>
    <row r="136" hidden="1" s="49">
      <c r="A136" s="37">
        <f>MID(H136,3,2)</f>
        <v/>
      </c>
      <c r="B136" s="37" t="inlineStr">
        <is>
          <t>B331</t>
        </is>
      </c>
      <c r="C136" s="37" t="inlineStr">
        <is>
          <t>上海区域</t>
        </is>
      </c>
      <c r="D136" s="37" t="inlineStr">
        <is>
          <t>CMCF</t>
        </is>
      </c>
      <c r="E136" s="37" t="inlineStr">
        <is>
          <t>EE 上海七宝万科广场</t>
        </is>
      </c>
      <c r="F136" s="38" t="inlineStr">
        <is>
          <t>02</t>
        </is>
      </c>
      <c r="G136" s="37" t="inlineStr">
        <is>
          <t>购物中心</t>
        </is>
      </c>
      <c r="H136" s="37" t="inlineStr">
        <is>
          <t>EEVKG23B03</t>
        </is>
      </c>
      <c r="I136" s="37" t="n">
        <v>499</v>
      </c>
      <c r="J136" s="37" t="n">
        <v>499</v>
      </c>
      <c r="K136" s="39" t="n">
        <v>46048</v>
      </c>
      <c r="L136" s="37" t="inlineStr">
        <is>
          <t>营业中</t>
        </is>
      </c>
      <c r="M136" s="37" t="n">
        <v>0</v>
      </c>
      <c r="N136" s="37" t="n">
        <v>2</v>
      </c>
      <c r="O136" s="37" t="n">
        <v>0</v>
      </c>
    </row>
    <row r="137">
      <c r="A137" s="37">
        <f>MID(H137,3,2)</f>
        <v/>
      </c>
      <c r="B137" s="37" t="inlineStr">
        <is>
          <t>B331</t>
        </is>
      </c>
      <c r="C137" s="37" t="inlineStr">
        <is>
          <t>上海区域</t>
        </is>
      </c>
      <c r="D137" s="37" t="inlineStr">
        <is>
          <t>CMCF</t>
        </is>
      </c>
      <c r="E137" s="37" t="inlineStr">
        <is>
          <t>EE 上海七宝万科广场</t>
        </is>
      </c>
      <c r="F137" s="38" t="inlineStr">
        <is>
          <t>02</t>
        </is>
      </c>
      <c r="G137" s="37" t="inlineStr">
        <is>
          <t>购物中心</t>
        </is>
      </c>
      <c r="H137" s="42" t="inlineStr">
        <is>
          <t>EETJG24E06</t>
        </is>
      </c>
      <c r="I137" s="37" t="n">
        <v>599</v>
      </c>
      <c r="J137" s="37" t="n">
        <v>599</v>
      </c>
      <c r="K137" s="39" t="n">
        <v>46106</v>
      </c>
      <c r="L137" s="37" t="inlineStr">
        <is>
          <t>营业中</t>
        </is>
      </c>
      <c r="M137" s="37" t="n">
        <v>1</v>
      </c>
      <c r="N137" s="37" t="n">
        <v>7</v>
      </c>
      <c r="O137" s="37" t="n">
        <v>377</v>
      </c>
    </row>
    <row r="138">
      <c r="A138" s="37">
        <f>MID(H138,3,2)</f>
        <v/>
      </c>
      <c r="B138" s="37" t="inlineStr">
        <is>
          <t>B331</t>
        </is>
      </c>
      <c r="C138" s="37" t="inlineStr">
        <is>
          <t>上海区域</t>
        </is>
      </c>
      <c r="D138" s="37" t="inlineStr">
        <is>
          <t>CMCF</t>
        </is>
      </c>
      <c r="E138" s="37" t="inlineStr">
        <is>
          <t>EE 上海七宝万科广场</t>
        </is>
      </c>
      <c r="F138" s="38" t="inlineStr">
        <is>
          <t>02</t>
        </is>
      </c>
      <c r="G138" s="37" t="inlineStr">
        <is>
          <t>购物中心</t>
        </is>
      </c>
      <c r="H138" s="42" t="inlineStr">
        <is>
          <t>EETJG25B03</t>
        </is>
      </c>
      <c r="I138" s="37" t="n">
        <v>999</v>
      </c>
      <c r="J138" s="37" t="n">
        <v>999</v>
      </c>
      <c r="K138" s="39" t="n">
        <v>46132</v>
      </c>
      <c r="L138" s="37" t="inlineStr">
        <is>
          <t>营业中</t>
        </is>
      </c>
      <c r="M138" s="37" t="n">
        <v>1</v>
      </c>
      <c r="N138" s="37" t="n">
        <v>2</v>
      </c>
      <c r="O138" s="37" t="n">
        <v>635</v>
      </c>
    </row>
    <row r="139" hidden="1" s="49">
      <c r="A139" s="37">
        <f>MID(H139,3,2)</f>
        <v/>
      </c>
      <c r="B139" s="37" t="inlineStr">
        <is>
          <t>B331</t>
        </is>
      </c>
      <c r="C139" s="37" t="inlineStr">
        <is>
          <t>上海区域</t>
        </is>
      </c>
      <c r="D139" s="37" t="inlineStr">
        <is>
          <t>CMCF</t>
        </is>
      </c>
      <c r="E139" s="37" t="inlineStr">
        <is>
          <t>EE 上海七宝万科广场</t>
        </is>
      </c>
      <c r="F139" s="38" t="inlineStr">
        <is>
          <t>02</t>
        </is>
      </c>
      <c r="G139" s="37" t="inlineStr">
        <is>
          <t>购物中心</t>
        </is>
      </c>
      <c r="H139" s="37" t="inlineStr">
        <is>
          <t>EEVKG25B02</t>
        </is>
      </c>
      <c r="I139" s="37" t="n">
        <v>599</v>
      </c>
      <c r="J139" s="37" t="n">
        <v>699</v>
      </c>
      <c r="K139" s="39" t="n">
        <v>46106</v>
      </c>
      <c r="L139" s="37" t="inlineStr">
        <is>
          <t>营业中</t>
        </is>
      </c>
      <c r="N139" s="37" t="n">
        <v>3</v>
      </c>
    </row>
    <row r="140" hidden="1" s="49">
      <c r="A140" s="37">
        <f>MID(H140,3,2)</f>
        <v/>
      </c>
      <c r="B140" s="37" t="inlineStr">
        <is>
          <t>B331</t>
        </is>
      </c>
      <c r="C140" s="37" t="inlineStr">
        <is>
          <t>上海区域</t>
        </is>
      </c>
      <c r="D140" s="37" t="inlineStr">
        <is>
          <t>CMCF</t>
        </is>
      </c>
      <c r="E140" s="37" t="inlineStr">
        <is>
          <t>EE 上海七宝万科广场</t>
        </is>
      </c>
      <c r="F140" s="38" t="inlineStr">
        <is>
          <t>02</t>
        </is>
      </c>
      <c r="G140" s="37" t="inlineStr">
        <is>
          <t>购物中心</t>
        </is>
      </c>
      <c r="H140" s="37" t="inlineStr">
        <is>
          <t>EEVKG25B03</t>
        </is>
      </c>
      <c r="I140" s="37" t="n">
        <v>699</v>
      </c>
      <c r="J140" s="37" t="n">
        <v>699</v>
      </c>
      <c r="K140" s="39" t="n">
        <v>46106</v>
      </c>
      <c r="L140" s="37" t="inlineStr">
        <is>
          <t>营业中</t>
        </is>
      </c>
      <c r="N140" s="37" t="n">
        <v>4</v>
      </c>
    </row>
    <row r="141" hidden="1" s="49">
      <c r="A141" s="37">
        <f>MID(H141,3,2)</f>
        <v/>
      </c>
      <c r="B141" s="37" t="inlineStr">
        <is>
          <t>B331</t>
        </is>
      </c>
      <c r="C141" s="37" t="inlineStr">
        <is>
          <t>上海区域</t>
        </is>
      </c>
      <c r="D141" s="37" t="inlineStr">
        <is>
          <t>CMCF</t>
        </is>
      </c>
      <c r="E141" s="37" t="inlineStr">
        <is>
          <t>EE 上海七宝万科广场</t>
        </is>
      </c>
      <c r="F141" s="38" t="inlineStr">
        <is>
          <t>02</t>
        </is>
      </c>
      <c r="G141" s="37" t="inlineStr">
        <is>
          <t>购物中心</t>
        </is>
      </c>
      <c r="H141" s="37" t="inlineStr">
        <is>
          <t>EEVKG25B04</t>
        </is>
      </c>
      <c r="I141" s="37" t="n">
        <v>699</v>
      </c>
      <c r="J141" s="37" t="n">
        <v>699</v>
      </c>
      <c r="K141" s="39" t="n">
        <v>46106</v>
      </c>
      <c r="L141" s="37" t="inlineStr">
        <is>
          <t>营业中</t>
        </is>
      </c>
      <c r="N141" s="37" t="n">
        <v>3</v>
      </c>
    </row>
    <row r="142">
      <c r="A142" s="37">
        <f>MID(H142,3,2)</f>
        <v/>
      </c>
      <c r="B142" s="37" t="inlineStr">
        <is>
          <t>B331</t>
        </is>
      </c>
      <c r="C142" s="37" t="inlineStr">
        <is>
          <t>上海区域</t>
        </is>
      </c>
      <c r="D142" s="37" t="inlineStr">
        <is>
          <t>CMCF</t>
        </is>
      </c>
      <c r="E142" s="37" t="inlineStr">
        <is>
          <t>EE 上海七宝万科广场</t>
        </is>
      </c>
      <c r="F142" s="38" t="inlineStr">
        <is>
          <t>02</t>
        </is>
      </c>
      <c r="G142" s="37" t="inlineStr">
        <is>
          <t>购物中心</t>
        </is>
      </c>
      <c r="H142" s="42" t="inlineStr">
        <is>
          <t>EETMG25B51</t>
        </is>
      </c>
      <c r="I142" s="37" t="n">
        <v>699</v>
      </c>
      <c r="J142" s="37" t="n">
        <v>699</v>
      </c>
      <c r="K142" s="39" t="n">
        <v>46142</v>
      </c>
      <c r="L142" s="37" t="inlineStr">
        <is>
          <t>营业中</t>
        </is>
      </c>
      <c r="M142" s="37" t="n">
        <v>1</v>
      </c>
      <c r="N142" s="37" t="n">
        <v>9</v>
      </c>
      <c r="O142" s="37" t="n">
        <v>210</v>
      </c>
    </row>
    <row r="143">
      <c r="A143" s="37">
        <f>MID(H143,3,2)</f>
        <v/>
      </c>
      <c r="B143" s="37" t="inlineStr">
        <is>
          <t>B331</t>
        </is>
      </c>
      <c r="C143" s="37" t="inlineStr">
        <is>
          <t>上海区域</t>
        </is>
      </c>
      <c r="D143" s="37" t="inlineStr">
        <is>
          <t>CMCF</t>
        </is>
      </c>
      <c r="E143" s="37" t="inlineStr">
        <is>
          <t>EE 上海七宝万科广场</t>
        </is>
      </c>
      <c r="F143" s="38" t="inlineStr">
        <is>
          <t>02</t>
        </is>
      </c>
      <c r="G143" s="37" t="inlineStr">
        <is>
          <t>购物中心</t>
        </is>
      </c>
      <c r="H143" s="42" t="inlineStr">
        <is>
          <t>EEVKG23E01</t>
        </is>
      </c>
      <c r="I143" s="37" t="n">
        <v>599</v>
      </c>
      <c r="J143" s="37" t="n">
        <v>599</v>
      </c>
      <c r="K143" s="39" t="n">
        <v>46048</v>
      </c>
      <c r="L143" s="37" t="inlineStr">
        <is>
          <t>营业中</t>
        </is>
      </c>
      <c r="M143" s="37" t="n">
        <v>1</v>
      </c>
      <c r="N143" s="37" t="n">
        <v>3</v>
      </c>
      <c r="O143" s="37" t="n">
        <v>419</v>
      </c>
    </row>
    <row r="144">
      <c r="A144" s="37">
        <f>MID(H144,3,2)</f>
        <v/>
      </c>
      <c r="B144" s="37" t="inlineStr">
        <is>
          <t>B331</t>
        </is>
      </c>
      <c r="C144" s="37" t="inlineStr">
        <is>
          <t>上海区域</t>
        </is>
      </c>
      <c r="D144" s="37" t="inlineStr">
        <is>
          <t>CMCF</t>
        </is>
      </c>
      <c r="E144" s="37" t="inlineStr">
        <is>
          <t>EE 上海七宝万科广场</t>
        </is>
      </c>
      <c r="F144" s="38" t="inlineStr">
        <is>
          <t>02</t>
        </is>
      </c>
      <c r="G144" s="37" t="inlineStr">
        <is>
          <t>购物中心</t>
        </is>
      </c>
      <c r="H144" s="42" t="inlineStr">
        <is>
          <t>EEVKG24E01</t>
        </is>
      </c>
      <c r="I144" s="37" t="n">
        <v>699</v>
      </c>
      <c r="J144" s="37" t="n">
        <v>599</v>
      </c>
      <c r="K144" s="39" t="n">
        <v>46078</v>
      </c>
      <c r="L144" s="37" t="inlineStr">
        <is>
          <t>营业中</t>
        </is>
      </c>
      <c r="M144" s="37" t="n">
        <v>2</v>
      </c>
      <c r="N144" s="37" t="n">
        <v>8</v>
      </c>
      <c r="O144" s="37" t="n">
        <v>584</v>
      </c>
    </row>
    <row r="145" hidden="1" s="49">
      <c r="A145" s="37">
        <f>MID(H145,3,2)</f>
        <v/>
      </c>
      <c r="B145" s="37" t="inlineStr">
        <is>
          <t>B331</t>
        </is>
      </c>
      <c r="C145" s="37" t="inlineStr">
        <is>
          <t>上海区域</t>
        </is>
      </c>
      <c r="D145" s="37" t="inlineStr">
        <is>
          <t>CMCF</t>
        </is>
      </c>
      <c r="E145" s="37" t="inlineStr">
        <is>
          <t>EE 上海七宝万科广场</t>
        </is>
      </c>
      <c r="F145" s="38" t="inlineStr">
        <is>
          <t>02</t>
        </is>
      </c>
      <c r="G145" s="37" t="inlineStr">
        <is>
          <t>购物中心</t>
        </is>
      </c>
      <c r="H145" s="37" t="inlineStr">
        <is>
          <t>EEVWG25B01</t>
        </is>
      </c>
      <c r="I145" s="37" t="n">
        <v>999</v>
      </c>
      <c r="J145" s="37" t="n">
        <v>999</v>
      </c>
      <c r="K145" s="39" t="n">
        <v>46125</v>
      </c>
      <c r="L145" s="37" t="inlineStr">
        <is>
          <t>营业中</t>
        </is>
      </c>
      <c r="N145" s="37" t="n">
        <v>2</v>
      </c>
    </row>
    <row r="146">
      <c r="A146" s="37">
        <f>MID(H146,3,2)</f>
        <v/>
      </c>
      <c r="B146" s="37" t="inlineStr">
        <is>
          <t>B331</t>
        </is>
      </c>
      <c r="C146" s="37" t="inlineStr">
        <is>
          <t>上海区域</t>
        </is>
      </c>
      <c r="D146" s="37" t="inlineStr">
        <is>
          <t>CMCF</t>
        </is>
      </c>
      <c r="E146" s="37" t="inlineStr">
        <is>
          <t>EE 上海七宝万科广场</t>
        </is>
      </c>
      <c r="F146" s="38" t="inlineStr">
        <is>
          <t>02</t>
        </is>
      </c>
      <c r="G146" s="37" t="inlineStr">
        <is>
          <t>购物中心</t>
        </is>
      </c>
      <c r="H146" s="42" t="inlineStr">
        <is>
          <t>EEVKG25D05</t>
        </is>
      </c>
      <c r="I146" s="37" t="n">
        <v>899</v>
      </c>
      <c r="J146" s="37" t="n">
        <v>899</v>
      </c>
      <c r="K146" s="39" t="n">
        <v>46106</v>
      </c>
      <c r="L146" s="37" t="inlineStr">
        <is>
          <t>营业中</t>
        </is>
      </c>
      <c r="M146" s="37" t="n">
        <v>1</v>
      </c>
      <c r="N146" s="37" t="n">
        <v>2</v>
      </c>
      <c r="O146" s="37" t="n">
        <v>270</v>
      </c>
    </row>
    <row r="147" hidden="1" s="49">
      <c r="A147" s="37">
        <f>MID(H147,3,2)</f>
        <v/>
      </c>
      <c r="B147" s="37" t="inlineStr">
        <is>
          <t>B331</t>
        </is>
      </c>
      <c r="C147" s="37" t="inlineStr">
        <is>
          <t>上海区域</t>
        </is>
      </c>
      <c r="D147" s="37" t="inlineStr">
        <is>
          <t>CMCF</t>
        </is>
      </c>
      <c r="E147" s="37" t="inlineStr">
        <is>
          <t>EE 上海七宝万科广场</t>
        </is>
      </c>
      <c r="F147" s="38" t="inlineStr">
        <is>
          <t>02</t>
        </is>
      </c>
      <c r="G147" s="37" t="inlineStr">
        <is>
          <t>购物中心</t>
        </is>
      </c>
      <c r="H147" s="37" t="inlineStr">
        <is>
          <t>EEWHG23E01</t>
        </is>
      </c>
      <c r="I147" s="37" t="n">
        <v>799</v>
      </c>
      <c r="J147" s="37" t="n">
        <v>799</v>
      </c>
      <c r="K147" s="39" t="n">
        <v>46045</v>
      </c>
      <c r="L147" s="37" t="inlineStr">
        <is>
          <t>营业中</t>
        </is>
      </c>
      <c r="N147" s="37" t="n">
        <v>6</v>
      </c>
    </row>
    <row r="148">
      <c r="A148" s="37">
        <f>MID(H148,3,2)</f>
        <v/>
      </c>
      <c r="B148" s="37" t="inlineStr">
        <is>
          <t>B331</t>
        </is>
      </c>
      <c r="C148" s="37" t="inlineStr">
        <is>
          <t>上海区域</t>
        </is>
      </c>
      <c r="D148" s="37" t="inlineStr">
        <is>
          <t>CMCF</t>
        </is>
      </c>
      <c r="E148" s="37" t="inlineStr">
        <is>
          <t>EE 上海七宝万科广场</t>
        </is>
      </c>
      <c r="F148" s="38" t="inlineStr">
        <is>
          <t>02</t>
        </is>
      </c>
      <c r="G148" s="37" t="inlineStr">
        <is>
          <t>购物中心</t>
        </is>
      </c>
      <c r="H148" s="42" t="inlineStr">
        <is>
          <t>EEVKG25E01</t>
        </is>
      </c>
      <c r="I148" s="37" t="n">
        <v>599</v>
      </c>
      <c r="J148" s="37" t="n">
        <v>499</v>
      </c>
      <c r="K148" s="39" t="n">
        <v>46106</v>
      </c>
      <c r="L148" s="37" t="inlineStr">
        <is>
          <t>营业中</t>
        </is>
      </c>
      <c r="M148" s="37" t="n">
        <v>6</v>
      </c>
      <c r="N148" s="37" t="n">
        <v>16</v>
      </c>
      <c r="O148" s="41" t="n">
        <v>1201</v>
      </c>
    </row>
    <row r="149" hidden="1" s="49">
      <c r="A149" s="37">
        <f>MID(H149,3,2)</f>
        <v/>
      </c>
      <c r="B149" s="37" t="inlineStr">
        <is>
          <t>B331</t>
        </is>
      </c>
      <c r="C149" s="37" t="inlineStr">
        <is>
          <t>上海区域</t>
        </is>
      </c>
      <c r="D149" s="37" t="inlineStr">
        <is>
          <t>CMCF</t>
        </is>
      </c>
      <c r="E149" s="37" t="inlineStr">
        <is>
          <t>EE 上海七宝万科广场</t>
        </is>
      </c>
      <c r="F149" s="38" t="inlineStr">
        <is>
          <t>02</t>
        </is>
      </c>
      <c r="G149" s="37" t="inlineStr">
        <is>
          <t>购物中心</t>
        </is>
      </c>
      <c r="H149" s="37" t="inlineStr">
        <is>
          <t>EEWHG23E52</t>
        </is>
      </c>
      <c r="I149" s="37" t="n">
        <v>699</v>
      </c>
      <c r="J149" s="37" t="n">
        <v>699</v>
      </c>
      <c r="K149" s="39" t="n">
        <v>46086</v>
      </c>
      <c r="L149" s="37" t="inlineStr">
        <is>
          <t>营业中</t>
        </is>
      </c>
      <c r="N149" s="37" t="n">
        <v>1</v>
      </c>
    </row>
    <row r="150" hidden="1" s="49">
      <c r="A150" s="37">
        <f>MID(H150,3,2)</f>
        <v/>
      </c>
      <c r="B150" s="37" t="inlineStr">
        <is>
          <t>B331</t>
        </is>
      </c>
      <c r="C150" s="37" t="inlineStr">
        <is>
          <t>上海区域</t>
        </is>
      </c>
      <c r="D150" s="37" t="inlineStr">
        <is>
          <t>CMCF</t>
        </is>
      </c>
      <c r="E150" s="37" t="inlineStr">
        <is>
          <t>EE 上海七宝万科广场</t>
        </is>
      </c>
      <c r="F150" s="38" t="inlineStr">
        <is>
          <t>02</t>
        </is>
      </c>
      <c r="G150" s="37" t="inlineStr">
        <is>
          <t>购物中心</t>
        </is>
      </c>
      <c r="H150" s="37" t="inlineStr">
        <is>
          <t>EEWHG23R31</t>
        </is>
      </c>
      <c r="I150" s="37" t="n">
        <v>799</v>
      </c>
      <c r="J150" s="37" t="n">
        <v>799</v>
      </c>
      <c r="K150" s="39" t="n">
        <v>46059</v>
      </c>
      <c r="L150" s="37" t="inlineStr">
        <is>
          <t>营业中</t>
        </is>
      </c>
      <c r="N150" s="37" t="n">
        <v>0</v>
      </c>
    </row>
    <row r="151">
      <c r="A151" s="37">
        <f>MID(H151,3,2)</f>
        <v/>
      </c>
      <c r="B151" s="37" t="inlineStr">
        <is>
          <t>B331</t>
        </is>
      </c>
      <c r="C151" s="37" t="inlineStr">
        <is>
          <t>上海区域</t>
        </is>
      </c>
      <c r="D151" s="37" t="inlineStr">
        <is>
          <t>CMCF</t>
        </is>
      </c>
      <c r="E151" s="37" t="inlineStr">
        <is>
          <t>EE 上海七宝万科广场</t>
        </is>
      </c>
      <c r="F151" s="38" t="inlineStr">
        <is>
          <t>02</t>
        </is>
      </c>
      <c r="G151" s="37" t="inlineStr">
        <is>
          <t>购物中心</t>
        </is>
      </c>
      <c r="H151" s="42" t="inlineStr">
        <is>
          <t>EEVWG24E01</t>
        </is>
      </c>
      <c r="I151" s="37" t="n">
        <v>899</v>
      </c>
      <c r="J151" s="37" t="n">
        <v>899</v>
      </c>
      <c r="K151" s="39" t="n">
        <v>46125</v>
      </c>
      <c r="L151" s="37" t="inlineStr">
        <is>
          <t>营业中</t>
        </is>
      </c>
      <c r="M151" s="37" t="n">
        <v>1</v>
      </c>
      <c r="N151" s="37" t="n">
        <v>8</v>
      </c>
      <c r="O151" s="37" t="n">
        <v>270</v>
      </c>
    </row>
    <row r="152">
      <c r="A152" s="37">
        <f>MID(H152,3,2)</f>
        <v/>
      </c>
      <c r="B152" s="37" t="inlineStr">
        <is>
          <t>B331</t>
        </is>
      </c>
      <c r="C152" s="37" t="inlineStr">
        <is>
          <t>上海区域</t>
        </is>
      </c>
      <c r="D152" s="37" t="inlineStr">
        <is>
          <t>CMCF</t>
        </is>
      </c>
      <c r="E152" s="37" t="inlineStr">
        <is>
          <t>EE 上海七宝万科广场</t>
        </is>
      </c>
      <c r="F152" s="38" t="inlineStr">
        <is>
          <t>02</t>
        </is>
      </c>
      <c r="G152" s="37" t="inlineStr">
        <is>
          <t>购物中心</t>
        </is>
      </c>
      <c r="H152" s="42" t="inlineStr">
        <is>
          <t>EEWHG23E03</t>
        </is>
      </c>
      <c r="I152" s="37" t="n">
        <v>699</v>
      </c>
      <c r="J152" s="37" t="n">
        <v>699</v>
      </c>
      <c r="K152" s="39" t="n">
        <v>46048</v>
      </c>
      <c r="L152" s="37" t="inlineStr">
        <is>
          <t>营业中</t>
        </is>
      </c>
      <c r="M152" s="37" t="n">
        <v>1</v>
      </c>
      <c r="N152" s="37" t="n">
        <v>1</v>
      </c>
      <c r="O152" s="37" t="n">
        <v>440</v>
      </c>
    </row>
    <row r="153">
      <c r="A153" s="37">
        <f>MID(H153,3,2)</f>
        <v/>
      </c>
      <c r="B153" s="37" t="inlineStr">
        <is>
          <t>B331</t>
        </is>
      </c>
      <c r="C153" s="37" t="inlineStr">
        <is>
          <t>上海区域</t>
        </is>
      </c>
      <c r="D153" s="37" t="inlineStr">
        <is>
          <t>CMCF</t>
        </is>
      </c>
      <c r="E153" s="37" t="inlineStr">
        <is>
          <t>EE 上海七宝万科广场</t>
        </is>
      </c>
      <c r="F153" s="38" t="inlineStr">
        <is>
          <t>02</t>
        </is>
      </c>
      <c r="G153" s="37" t="inlineStr">
        <is>
          <t>购物中心</t>
        </is>
      </c>
      <c r="H153" s="42" t="inlineStr">
        <is>
          <t>EEWHG24E01</t>
        </is>
      </c>
      <c r="I153" s="37" t="n">
        <v>799</v>
      </c>
      <c r="J153" s="37" t="n">
        <v>799</v>
      </c>
      <c r="K153" s="39" t="n">
        <v>46091</v>
      </c>
      <c r="L153" s="37" t="inlineStr">
        <is>
          <t>营业中</t>
        </is>
      </c>
      <c r="M153" s="37" t="n">
        <v>2</v>
      </c>
      <c r="N153" s="37" t="n">
        <v>10</v>
      </c>
      <c r="O153" s="37" t="n">
        <v>749</v>
      </c>
    </row>
    <row r="154">
      <c r="A154" s="37">
        <f>MID(H154,3,2)</f>
        <v/>
      </c>
      <c r="B154" s="37" t="inlineStr">
        <is>
          <t>B331</t>
        </is>
      </c>
      <c r="C154" s="37" t="inlineStr">
        <is>
          <t>上海区域</t>
        </is>
      </c>
      <c r="D154" s="37" t="inlineStr">
        <is>
          <t>CMCF</t>
        </is>
      </c>
      <c r="E154" s="37" t="inlineStr">
        <is>
          <t>EE 上海七宝万科广场</t>
        </is>
      </c>
      <c r="F154" s="38" t="inlineStr">
        <is>
          <t>02</t>
        </is>
      </c>
      <c r="G154" s="37" t="inlineStr">
        <is>
          <t>购物中心</t>
        </is>
      </c>
      <c r="H154" s="42" t="inlineStr">
        <is>
          <t>EEWHG24E02</t>
        </is>
      </c>
      <c r="I154" s="37" t="n">
        <v>899</v>
      </c>
      <c r="J154" s="37" t="n">
        <v>899</v>
      </c>
      <c r="K154" s="39" t="n">
        <v>46127</v>
      </c>
      <c r="L154" s="37" t="inlineStr">
        <is>
          <t>营业中</t>
        </is>
      </c>
      <c r="M154" s="37" t="n">
        <v>1</v>
      </c>
      <c r="N154" s="37" t="n">
        <v>14</v>
      </c>
      <c r="O154" s="37" t="n">
        <v>569</v>
      </c>
    </row>
    <row r="155">
      <c r="A155" s="37">
        <f>MID(H155,3,2)</f>
        <v/>
      </c>
      <c r="B155" s="37" t="inlineStr">
        <is>
          <t>B331</t>
        </is>
      </c>
      <c r="C155" s="37" t="inlineStr">
        <is>
          <t>上海区域</t>
        </is>
      </c>
      <c r="D155" s="37" t="inlineStr">
        <is>
          <t>CMCF</t>
        </is>
      </c>
      <c r="E155" s="37" t="inlineStr">
        <is>
          <t>EE 上海七宝万科广场</t>
        </is>
      </c>
      <c r="F155" s="38" t="inlineStr">
        <is>
          <t>02</t>
        </is>
      </c>
      <c r="G155" s="37" t="inlineStr">
        <is>
          <t>购物中心</t>
        </is>
      </c>
      <c r="H155" s="42" t="inlineStr">
        <is>
          <t>EEWHG24E03</t>
        </is>
      </c>
      <c r="I155" s="37" t="n">
        <v>799</v>
      </c>
      <c r="J155" s="37" t="n">
        <v>699</v>
      </c>
      <c r="K155" s="39" t="n">
        <v>46091</v>
      </c>
      <c r="L155" s="37" t="inlineStr">
        <is>
          <t>营业中</t>
        </is>
      </c>
      <c r="M155" s="37" t="n">
        <v>3</v>
      </c>
      <c r="N155" s="37" t="n">
        <v>4</v>
      </c>
      <c r="O155" s="41" t="n">
        <v>1133</v>
      </c>
    </row>
    <row r="156">
      <c r="A156" s="37">
        <f>MID(H156,3,2)</f>
        <v/>
      </c>
      <c r="B156" s="37" t="inlineStr">
        <is>
          <t>B331</t>
        </is>
      </c>
      <c r="C156" s="37" t="inlineStr">
        <is>
          <t>上海区域</t>
        </is>
      </c>
      <c r="D156" s="37" t="inlineStr">
        <is>
          <t>CMCF</t>
        </is>
      </c>
      <c r="E156" s="37" t="inlineStr">
        <is>
          <t>EE 上海七宝万科广场</t>
        </is>
      </c>
      <c r="F156" s="38" t="inlineStr">
        <is>
          <t>02</t>
        </is>
      </c>
      <c r="G156" s="37" t="inlineStr">
        <is>
          <t>购物中心</t>
        </is>
      </c>
      <c r="H156" s="42" t="inlineStr">
        <is>
          <t>EEWHG24E04</t>
        </is>
      </c>
      <c r="I156" s="37" t="n">
        <v>799</v>
      </c>
      <c r="J156" s="37" t="n">
        <v>799</v>
      </c>
      <c r="K156" s="39" t="n">
        <v>46078</v>
      </c>
      <c r="L156" s="37" t="inlineStr">
        <is>
          <t>营业中</t>
        </is>
      </c>
      <c r="M156" s="37" t="n">
        <v>1</v>
      </c>
      <c r="N156" s="37" t="n">
        <v>10</v>
      </c>
      <c r="O156" s="37" t="n">
        <v>509</v>
      </c>
    </row>
    <row r="157">
      <c r="A157" s="37">
        <f>MID(H157,3,2)</f>
        <v/>
      </c>
      <c r="B157" s="37" t="inlineStr">
        <is>
          <t>B331</t>
        </is>
      </c>
      <c r="C157" s="37" t="inlineStr">
        <is>
          <t>上海区域</t>
        </is>
      </c>
      <c r="D157" s="37" t="inlineStr">
        <is>
          <t>CMCF</t>
        </is>
      </c>
      <c r="E157" s="37" t="inlineStr">
        <is>
          <t>EE 上海七宝万科广场</t>
        </is>
      </c>
      <c r="F157" s="38" t="inlineStr">
        <is>
          <t>02</t>
        </is>
      </c>
      <c r="G157" s="37" t="inlineStr">
        <is>
          <t>购物中心</t>
        </is>
      </c>
      <c r="H157" s="42" t="inlineStr">
        <is>
          <t>EEWHG24E05</t>
        </is>
      </c>
      <c r="I157" s="37" t="n">
        <v>699</v>
      </c>
      <c r="J157" s="37" t="n">
        <v>699</v>
      </c>
      <c r="K157" s="39" t="n">
        <v>46078</v>
      </c>
      <c r="L157" s="37" t="inlineStr">
        <is>
          <t>营业中</t>
        </is>
      </c>
      <c r="M157" s="37" t="n">
        <v>2</v>
      </c>
      <c r="N157" s="37" t="n">
        <v>8</v>
      </c>
      <c r="O157" s="37" t="n">
        <v>914</v>
      </c>
    </row>
    <row r="158" hidden="1" s="49">
      <c r="A158" s="37">
        <f>MID(H158,3,2)</f>
        <v/>
      </c>
      <c r="B158" s="37" t="inlineStr">
        <is>
          <t>B331</t>
        </is>
      </c>
      <c r="C158" s="37" t="inlineStr">
        <is>
          <t>上海区域</t>
        </is>
      </c>
      <c r="D158" s="37" t="inlineStr">
        <is>
          <t>CMCF</t>
        </is>
      </c>
      <c r="E158" s="37" t="inlineStr">
        <is>
          <t>EE 上海七宝万科广场</t>
        </is>
      </c>
      <c r="F158" s="38" t="inlineStr">
        <is>
          <t>02</t>
        </is>
      </c>
      <c r="G158" s="37" t="inlineStr">
        <is>
          <t>购物中心</t>
        </is>
      </c>
      <c r="H158" s="37" t="inlineStr">
        <is>
          <t>EEWHG25B08</t>
        </is>
      </c>
      <c r="I158" s="37" t="n">
        <v>999</v>
      </c>
      <c r="J158" s="37" t="n">
        <v>999</v>
      </c>
      <c r="K158" s="39" t="n">
        <v>46106</v>
      </c>
      <c r="L158" s="37" t="inlineStr">
        <is>
          <t>营业中</t>
        </is>
      </c>
      <c r="N158" s="37" t="n">
        <v>6</v>
      </c>
    </row>
    <row r="159">
      <c r="A159" s="37">
        <f>MID(H159,3,2)</f>
        <v/>
      </c>
      <c r="B159" s="37" t="inlineStr">
        <is>
          <t>B331</t>
        </is>
      </c>
      <c r="C159" s="37" t="inlineStr">
        <is>
          <t>上海区域</t>
        </is>
      </c>
      <c r="D159" s="37" t="inlineStr">
        <is>
          <t>CMCF</t>
        </is>
      </c>
      <c r="E159" s="37" t="inlineStr">
        <is>
          <t>EE 上海七宝万科广场</t>
        </is>
      </c>
      <c r="F159" s="38" t="inlineStr">
        <is>
          <t>02</t>
        </is>
      </c>
      <c r="G159" s="37" t="inlineStr">
        <is>
          <t>购物中心</t>
        </is>
      </c>
      <c r="H159" s="42" t="inlineStr">
        <is>
          <t>EEWHG24E56</t>
        </is>
      </c>
      <c r="I159" s="37" t="n">
        <v>799</v>
      </c>
      <c r="J159" s="37" t="n">
        <v>799</v>
      </c>
      <c r="K159" s="39" t="n">
        <v>46078</v>
      </c>
      <c r="L159" s="37" t="inlineStr">
        <is>
          <t>营业中</t>
        </is>
      </c>
      <c r="M159" s="37" t="n">
        <v>2</v>
      </c>
      <c r="N159" s="37" t="n">
        <v>9</v>
      </c>
      <c r="O159" s="37" t="n">
        <v>919</v>
      </c>
    </row>
    <row r="160" hidden="1" s="49">
      <c r="A160" s="37">
        <f>MID(H160,3,2)</f>
        <v/>
      </c>
      <c r="B160" s="37" t="inlineStr">
        <is>
          <t>B331</t>
        </is>
      </c>
      <c r="C160" s="37" t="inlineStr">
        <is>
          <t>上海区域</t>
        </is>
      </c>
      <c r="D160" s="37" t="inlineStr">
        <is>
          <t>CMCF</t>
        </is>
      </c>
      <c r="E160" s="37" t="inlineStr">
        <is>
          <t>EE 上海七宝万科广场</t>
        </is>
      </c>
      <c r="F160" s="38" t="inlineStr">
        <is>
          <t>02</t>
        </is>
      </c>
      <c r="G160" s="37" t="inlineStr">
        <is>
          <t>购物中心</t>
        </is>
      </c>
      <c r="H160" s="37" t="inlineStr">
        <is>
          <t>EEWHG25E03</t>
        </is>
      </c>
      <c r="I160" s="37" t="n">
        <v>699</v>
      </c>
      <c r="J160" s="37" t="n">
        <v>699</v>
      </c>
      <c r="K160" s="39" t="n">
        <v>46106</v>
      </c>
      <c r="L160" s="37" t="inlineStr">
        <is>
          <t>营业中</t>
        </is>
      </c>
      <c r="N160" s="37" t="n">
        <v>9</v>
      </c>
    </row>
    <row r="161" hidden="1" s="49">
      <c r="A161" s="37">
        <f>MID(H161,3,2)</f>
        <v/>
      </c>
      <c r="B161" s="37" t="inlineStr">
        <is>
          <t>B331</t>
        </is>
      </c>
      <c r="C161" s="37" t="inlineStr">
        <is>
          <t>上海区域</t>
        </is>
      </c>
      <c r="D161" s="37" t="inlineStr">
        <is>
          <t>CMCF</t>
        </is>
      </c>
      <c r="E161" s="37" t="inlineStr">
        <is>
          <t>EE 上海七宝万科广场</t>
        </is>
      </c>
      <c r="F161" s="38" t="inlineStr">
        <is>
          <t>02</t>
        </is>
      </c>
      <c r="G161" s="37" t="inlineStr">
        <is>
          <t>购物中心</t>
        </is>
      </c>
      <c r="H161" s="37" t="inlineStr">
        <is>
          <t>EEWHG25E52</t>
        </is>
      </c>
      <c r="I161" s="37" t="n">
        <v>799</v>
      </c>
      <c r="J161" s="37" t="n">
        <v>799</v>
      </c>
      <c r="K161" s="39" t="n">
        <v>46125</v>
      </c>
      <c r="L161" s="37" t="inlineStr">
        <is>
          <t>营业中</t>
        </is>
      </c>
      <c r="N161" s="37" t="n">
        <v>3</v>
      </c>
    </row>
    <row r="162">
      <c r="A162" s="37">
        <f>MID(H162,3,2)</f>
        <v/>
      </c>
      <c r="B162" s="37" t="inlineStr">
        <is>
          <t>B331</t>
        </is>
      </c>
      <c r="C162" s="37" t="inlineStr">
        <is>
          <t>上海区域</t>
        </is>
      </c>
      <c r="D162" s="37" t="inlineStr">
        <is>
          <t>CMCF</t>
        </is>
      </c>
      <c r="E162" s="37" t="inlineStr">
        <is>
          <t>EE 上海七宝万科广场</t>
        </is>
      </c>
      <c r="F162" s="38" t="inlineStr">
        <is>
          <t>02</t>
        </is>
      </c>
      <c r="G162" s="37" t="inlineStr">
        <is>
          <t>购物中心</t>
        </is>
      </c>
      <c r="H162" s="42" t="inlineStr">
        <is>
          <t>EEWHG25B06</t>
        </is>
      </c>
      <c r="I162" s="37" t="n">
        <v>999</v>
      </c>
      <c r="J162" s="37" t="n">
        <v>899</v>
      </c>
      <c r="K162" s="39" t="n">
        <v>46106</v>
      </c>
      <c r="L162" s="37" t="inlineStr">
        <is>
          <t>营业中</t>
        </is>
      </c>
      <c r="M162" s="37" t="n">
        <v>1</v>
      </c>
      <c r="N162" s="37" t="n">
        <v>4</v>
      </c>
      <c r="O162" s="37" t="n">
        <v>270</v>
      </c>
    </row>
    <row r="163" hidden="1" s="49">
      <c r="A163" s="37">
        <f>MID(H163,3,2)</f>
        <v/>
      </c>
      <c r="B163" s="37" t="inlineStr">
        <is>
          <t>B331</t>
        </is>
      </c>
      <c r="C163" s="37" t="inlineStr">
        <is>
          <t>上海区域</t>
        </is>
      </c>
      <c r="D163" s="37" t="inlineStr">
        <is>
          <t>CMCF</t>
        </is>
      </c>
      <c r="E163" s="37" t="inlineStr">
        <is>
          <t>EE 上海七宝万科广场</t>
        </is>
      </c>
      <c r="F163" s="38" t="inlineStr">
        <is>
          <t>02</t>
        </is>
      </c>
      <c r="G163" s="37" t="inlineStr">
        <is>
          <t>购物中心</t>
        </is>
      </c>
      <c r="H163" s="37" t="inlineStr">
        <is>
          <t>EEWJG23B02</t>
        </is>
      </c>
      <c r="I163" s="37" t="n">
        <v>799</v>
      </c>
      <c r="J163" s="37" t="n">
        <v>799</v>
      </c>
      <c r="K163" s="39" t="n">
        <v>46045</v>
      </c>
      <c r="L163" s="37" t="inlineStr">
        <is>
          <t>营业中</t>
        </is>
      </c>
      <c r="M163" s="37" t="n">
        <v>0</v>
      </c>
      <c r="N163" s="37" t="n">
        <v>0</v>
      </c>
      <c r="O163" s="37" t="n">
        <v>0</v>
      </c>
    </row>
    <row r="164">
      <c r="A164" s="37">
        <f>MID(H164,3,2)</f>
        <v/>
      </c>
      <c r="B164" s="37" t="inlineStr">
        <is>
          <t>B331</t>
        </is>
      </c>
      <c r="C164" s="37" t="inlineStr">
        <is>
          <t>上海区域</t>
        </is>
      </c>
      <c r="D164" s="37" t="inlineStr">
        <is>
          <t>CMCF</t>
        </is>
      </c>
      <c r="E164" s="37" t="inlineStr">
        <is>
          <t>EE 上海七宝万科广场</t>
        </is>
      </c>
      <c r="F164" s="38" t="inlineStr">
        <is>
          <t>02</t>
        </is>
      </c>
      <c r="G164" s="37" t="inlineStr">
        <is>
          <t>购物中心</t>
        </is>
      </c>
      <c r="H164" s="42" t="inlineStr">
        <is>
          <t>EEWHG25E01</t>
        </is>
      </c>
      <c r="I164" s="37" t="n">
        <v>999</v>
      </c>
      <c r="J164" s="37" t="n">
        <v>899</v>
      </c>
      <c r="K164" s="39" t="n">
        <v>46106</v>
      </c>
      <c r="L164" s="37" t="inlineStr">
        <is>
          <t>营业中</t>
        </is>
      </c>
      <c r="M164" s="37" t="n">
        <v>1</v>
      </c>
      <c r="N164" s="37" t="n">
        <v>15</v>
      </c>
      <c r="O164" s="37" t="n">
        <v>270</v>
      </c>
    </row>
    <row r="165" hidden="1" s="49">
      <c r="A165" s="37">
        <f>MID(H165,3,2)</f>
        <v/>
      </c>
      <c r="B165" s="37" t="inlineStr">
        <is>
          <t>B331</t>
        </is>
      </c>
      <c r="C165" s="37" t="inlineStr">
        <is>
          <t>上海区域</t>
        </is>
      </c>
      <c r="D165" s="37" t="inlineStr">
        <is>
          <t>CMCF</t>
        </is>
      </c>
      <c r="E165" s="37" t="inlineStr">
        <is>
          <t>EE 上海七宝万科广场</t>
        </is>
      </c>
      <c r="F165" s="38" t="inlineStr">
        <is>
          <t>02</t>
        </is>
      </c>
      <c r="G165" s="37" t="inlineStr">
        <is>
          <t>购物中心</t>
        </is>
      </c>
      <c r="H165" s="37" t="inlineStr">
        <is>
          <t>EEYAG24B02</t>
        </is>
      </c>
      <c r="I165" s="37" t="n">
        <v>699</v>
      </c>
      <c r="J165" s="37" t="n">
        <v>699</v>
      </c>
      <c r="K165" s="39" t="n">
        <v>46083</v>
      </c>
      <c r="L165" s="37" t="inlineStr">
        <is>
          <t>营业中</t>
        </is>
      </c>
      <c r="N165" s="37" t="n">
        <v>5</v>
      </c>
    </row>
    <row r="166">
      <c r="A166" s="37">
        <f>MID(H166,3,2)</f>
        <v/>
      </c>
      <c r="B166" s="37" t="inlineStr">
        <is>
          <t>B331</t>
        </is>
      </c>
      <c r="C166" s="37" t="inlineStr">
        <is>
          <t>上海区域</t>
        </is>
      </c>
      <c r="D166" s="37" t="inlineStr">
        <is>
          <t>CMCF</t>
        </is>
      </c>
      <c r="E166" s="37" t="inlineStr">
        <is>
          <t>EE 上海七宝万科广场</t>
        </is>
      </c>
      <c r="F166" s="38" t="inlineStr">
        <is>
          <t>02</t>
        </is>
      </c>
      <c r="G166" s="37" t="inlineStr">
        <is>
          <t>购物中心</t>
        </is>
      </c>
      <c r="H166" s="42" t="inlineStr">
        <is>
          <t>EEWJG23B01</t>
        </is>
      </c>
      <c r="I166" s="37" t="n">
        <v>899</v>
      </c>
      <c r="J166" s="37" t="n">
        <v>999</v>
      </c>
      <c r="K166" s="39" t="n">
        <v>46063</v>
      </c>
      <c r="L166" s="37" t="inlineStr">
        <is>
          <t>营业中</t>
        </is>
      </c>
      <c r="M166" s="37" t="n">
        <v>1</v>
      </c>
      <c r="N166" s="37" t="n">
        <v>4</v>
      </c>
      <c r="O166" s="37" t="n">
        <v>670</v>
      </c>
    </row>
    <row r="167" hidden="1" s="49">
      <c r="A167" s="37">
        <f>MID(H167,3,2)</f>
        <v/>
      </c>
      <c r="B167" s="37" t="inlineStr">
        <is>
          <t>B331</t>
        </is>
      </c>
      <c r="C167" s="37" t="inlineStr">
        <is>
          <t>上海区域</t>
        </is>
      </c>
      <c r="D167" s="37" t="inlineStr">
        <is>
          <t>CMCF</t>
        </is>
      </c>
      <c r="E167" s="37" t="inlineStr">
        <is>
          <t>EE 上海七宝万科广场</t>
        </is>
      </c>
      <c r="F167" s="38" t="inlineStr">
        <is>
          <t>02</t>
        </is>
      </c>
      <c r="G167" s="37" t="inlineStr">
        <is>
          <t>购物中心</t>
        </is>
      </c>
      <c r="H167" s="37" t="inlineStr">
        <is>
          <t>EEYAG25B04</t>
        </is>
      </c>
      <c r="I167" s="37" t="n">
        <v>599</v>
      </c>
      <c r="J167" s="37" t="n">
        <v>599</v>
      </c>
      <c r="K167" s="39" t="n">
        <v>46106</v>
      </c>
      <c r="L167" s="37" t="inlineStr">
        <is>
          <t>营业中</t>
        </is>
      </c>
      <c r="N167" s="37" t="n">
        <v>4</v>
      </c>
    </row>
    <row r="168" hidden="1" s="49">
      <c r="A168" s="37">
        <f>MID(H168,3,2)</f>
        <v/>
      </c>
      <c r="B168" s="37" t="inlineStr">
        <is>
          <t>B331</t>
        </is>
      </c>
      <c r="C168" s="37" t="inlineStr">
        <is>
          <t>上海区域</t>
        </is>
      </c>
      <c r="D168" s="37" t="inlineStr">
        <is>
          <t>CMCF</t>
        </is>
      </c>
      <c r="E168" s="37" t="inlineStr">
        <is>
          <t>EE 上海七宝万科广场</t>
        </is>
      </c>
      <c r="F168" s="38" t="inlineStr">
        <is>
          <t>02</t>
        </is>
      </c>
      <c r="G168" s="37" t="inlineStr">
        <is>
          <t>购物中心</t>
        </is>
      </c>
      <c r="H168" s="37" t="inlineStr">
        <is>
          <t>EEYAG26B03</t>
        </is>
      </c>
      <c r="I168" s="37" t="n">
        <v>699</v>
      </c>
      <c r="J168" s="37" t="n">
        <v>699</v>
      </c>
      <c r="K168" s="39" t="n">
        <v>46127</v>
      </c>
      <c r="L168" s="37" t="inlineStr">
        <is>
          <t>营业中</t>
        </is>
      </c>
      <c r="N168" s="37" t="n">
        <v>3</v>
      </c>
    </row>
    <row r="169" hidden="1" s="49">
      <c r="A169" s="37">
        <f>MID(H169,3,2)</f>
        <v/>
      </c>
      <c r="B169" s="37" t="inlineStr">
        <is>
          <t>B331</t>
        </is>
      </c>
      <c r="C169" s="37" t="inlineStr">
        <is>
          <t>上海区域</t>
        </is>
      </c>
      <c r="D169" s="37" t="inlineStr">
        <is>
          <t>CMCF</t>
        </is>
      </c>
      <c r="E169" s="37" t="inlineStr">
        <is>
          <t>EE 上海七宝万科广场</t>
        </is>
      </c>
      <c r="F169" s="38" t="inlineStr">
        <is>
          <t>02</t>
        </is>
      </c>
      <c r="G169" s="37" t="inlineStr">
        <is>
          <t>购物中心</t>
        </is>
      </c>
      <c r="H169" s="37" t="inlineStr">
        <is>
          <t>EEYAG26B04</t>
        </is>
      </c>
      <c r="I169" s="37" t="n">
        <v>699</v>
      </c>
      <c r="J169" s="37" t="n">
        <v>699</v>
      </c>
      <c r="K169" s="39" t="n">
        <v>46139</v>
      </c>
      <c r="L169" s="37" t="inlineStr">
        <is>
          <t>营业中</t>
        </is>
      </c>
      <c r="N169" s="37" t="n">
        <v>3</v>
      </c>
    </row>
    <row r="170" hidden="1" s="49">
      <c r="A170" s="37">
        <f>MID(H170,3,2)</f>
        <v/>
      </c>
      <c r="B170" s="37" t="inlineStr">
        <is>
          <t>B331</t>
        </is>
      </c>
      <c r="C170" s="37" t="inlineStr">
        <is>
          <t>上海区域</t>
        </is>
      </c>
      <c r="D170" s="37" t="inlineStr">
        <is>
          <t>CMCF</t>
        </is>
      </c>
      <c r="E170" s="37" t="inlineStr">
        <is>
          <t>EE 上海七宝万科广场</t>
        </is>
      </c>
      <c r="F170" s="38" t="inlineStr">
        <is>
          <t>02</t>
        </is>
      </c>
      <c r="G170" s="37" t="inlineStr">
        <is>
          <t>购物中心</t>
        </is>
      </c>
      <c r="H170" s="37" t="inlineStr">
        <is>
          <t>EEYCG23E01</t>
        </is>
      </c>
      <c r="I170" s="37" t="n">
        <v>799</v>
      </c>
      <c r="J170" s="37" t="n">
        <v>799</v>
      </c>
      <c r="K170" s="39" t="n">
        <v>46021</v>
      </c>
      <c r="L170" s="37" t="inlineStr">
        <is>
          <t>营业中</t>
        </is>
      </c>
      <c r="N170" s="37" t="n">
        <v>0</v>
      </c>
    </row>
    <row r="171" hidden="1" s="49">
      <c r="A171" s="37">
        <f>MID(H171,3,2)</f>
        <v/>
      </c>
      <c r="B171" s="37" t="inlineStr">
        <is>
          <t>B331</t>
        </is>
      </c>
      <c r="C171" s="37" t="inlineStr">
        <is>
          <t>上海区域</t>
        </is>
      </c>
      <c r="D171" s="37" t="inlineStr">
        <is>
          <t>CMCF</t>
        </is>
      </c>
      <c r="E171" s="37" t="inlineStr">
        <is>
          <t>EE 上海七宝万科广场</t>
        </is>
      </c>
      <c r="F171" s="38" t="inlineStr">
        <is>
          <t>02</t>
        </is>
      </c>
      <c r="G171" s="37" t="inlineStr">
        <is>
          <t>购物中心</t>
        </is>
      </c>
      <c r="H171" s="37" t="inlineStr">
        <is>
          <t>EEYCG24E01</t>
        </is>
      </c>
      <c r="I171" s="37" t="n">
        <v>699</v>
      </c>
      <c r="J171" s="37" t="n">
        <v>699</v>
      </c>
      <c r="K171" s="39" t="n">
        <v>46104</v>
      </c>
      <c r="L171" s="37" t="inlineStr">
        <is>
          <t>营业中</t>
        </is>
      </c>
      <c r="N171" s="37" t="n">
        <v>3</v>
      </c>
    </row>
    <row r="172">
      <c r="A172" s="37">
        <f>MID(H172,3,2)</f>
        <v/>
      </c>
      <c r="B172" s="37" t="inlineStr">
        <is>
          <t>B331</t>
        </is>
      </c>
      <c r="C172" s="37" t="inlineStr">
        <is>
          <t>上海区域</t>
        </is>
      </c>
      <c r="D172" s="37" t="inlineStr">
        <is>
          <t>CMCF</t>
        </is>
      </c>
      <c r="E172" s="37" t="inlineStr">
        <is>
          <t>EE 上海七宝万科广场</t>
        </is>
      </c>
      <c r="F172" s="38" t="inlineStr">
        <is>
          <t>02</t>
        </is>
      </c>
      <c r="G172" s="37" t="inlineStr">
        <is>
          <t>购物中心</t>
        </is>
      </c>
      <c r="H172" s="42" t="inlineStr">
        <is>
          <t>EEWJG24E01</t>
        </is>
      </c>
      <c r="I172" s="37" t="n">
        <v>699</v>
      </c>
      <c r="J172" s="37" t="n">
        <v>699</v>
      </c>
      <c r="K172" s="39" t="n">
        <v>46078</v>
      </c>
      <c r="L172" s="37" t="inlineStr">
        <is>
          <t>营业中</t>
        </is>
      </c>
      <c r="M172" s="37" t="n">
        <v>2</v>
      </c>
      <c r="N172" s="37" t="n">
        <v>4</v>
      </c>
      <c r="O172" s="37" t="n">
        <v>664</v>
      </c>
    </row>
    <row r="173">
      <c r="A173" s="37">
        <f>MID(H173,3,2)</f>
        <v/>
      </c>
      <c r="B173" s="37" t="inlineStr">
        <is>
          <t>B331</t>
        </is>
      </c>
      <c r="C173" s="37" t="inlineStr">
        <is>
          <t>上海区域</t>
        </is>
      </c>
      <c r="D173" s="37" t="inlineStr">
        <is>
          <t>CMCF</t>
        </is>
      </c>
      <c r="E173" s="37" t="inlineStr">
        <is>
          <t>EE 上海七宝万科广场</t>
        </is>
      </c>
      <c r="F173" s="38" t="inlineStr">
        <is>
          <t>02</t>
        </is>
      </c>
      <c r="G173" s="37" t="inlineStr">
        <is>
          <t>购物中心</t>
        </is>
      </c>
      <c r="H173" s="42" t="inlineStr">
        <is>
          <t>EEYAG25B01</t>
        </is>
      </c>
      <c r="I173" s="37" t="n">
        <v>699</v>
      </c>
      <c r="J173" s="37" t="n">
        <v>699</v>
      </c>
      <c r="K173" s="39" t="n">
        <v>46106</v>
      </c>
      <c r="L173" s="37" t="inlineStr">
        <is>
          <t>营业中</t>
        </is>
      </c>
      <c r="M173" s="37" t="n">
        <v>4</v>
      </c>
      <c r="N173" s="37" t="n">
        <v>4</v>
      </c>
      <c r="O173" s="41" t="n">
        <v>2120</v>
      </c>
    </row>
    <row r="174" hidden="1" s="49">
      <c r="A174" s="37">
        <f>MID(H174,3,2)</f>
        <v/>
      </c>
      <c r="B174" s="37" t="inlineStr">
        <is>
          <t>B331</t>
        </is>
      </c>
      <c r="C174" s="37" t="inlineStr">
        <is>
          <t>上海区域</t>
        </is>
      </c>
      <c r="D174" s="37" t="inlineStr">
        <is>
          <t>CMCF</t>
        </is>
      </c>
      <c r="E174" s="37" t="inlineStr">
        <is>
          <t>EE 上海七宝万科广场</t>
        </is>
      </c>
      <c r="F174" s="38" t="inlineStr">
        <is>
          <t>02</t>
        </is>
      </c>
      <c r="G174" s="37" t="inlineStr">
        <is>
          <t>购物中心</t>
        </is>
      </c>
      <c r="H174" s="37" t="inlineStr">
        <is>
          <t>EEYPG23E01</t>
        </is>
      </c>
      <c r="I174" s="37" t="n">
        <v>699</v>
      </c>
      <c r="J174" s="37" t="n">
        <v>699</v>
      </c>
      <c r="K174" s="39" t="n">
        <v>46371</v>
      </c>
      <c r="L174" s="37" t="inlineStr">
        <is>
          <t>营业中</t>
        </is>
      </c>
      <c r="N174" s="37" t="n">
        <v>0</v>
      </c>
    </row>
    <row r="175">
      <c r="A175" s="37">
        <f>MID(H175,3,2)</f>
        <v/>
      </c>
      <c r="B175" s="37" t="inlineStr">
        <is>
          <t>B331</t>
        </is>
      </c>
      <c r="C175" s="37" t="inlineStr">
        <is>
          <t>上海区域</t>
        </is>
      </c>
      <c r="D175" s="37" t="inlineStr">
        <is>
          <t>CMCF</t>
        </is>
      </c>
      <c r="E175" s="37" t="inlineStr">
        <is>
          <t>EE 上海七宝万科广场</t>
        </is>
      </c>
      <c r="F175" s="38" t="inlineStr">
        <is>
          <t>02</t>
        </is>
      </c>
      <c r="G175" s="37" t="inlineStr">
        <is>
          <t>购物中心</t>
        </is>
      </c>
      <c r="H175" s="42" t="inlineStr">
        <is>
          <t>EEYCG24E02</t>
        </is>
      </c>
      <c r="I175" s="37" t="n">
        <v>799</v>
      </c>
      <c r="J175" s="37" t="n">
        <v>799</v>
      </c>
      <c r="K175" s="39" t="n">
        <v>46136</v>
      </c>
      <c r="L175" s="37" t="inlineStr">
        <is>
          <t>营业中</t>
        </is>
      </c>
      <c r="M175" s="37" t="n">
        <v>1</v>
      </c>
      <c r="N175" s="37" t="n">
        <v>4</v>
      </c>
      <c r="O175" s="37" t="n">
        <v>509</v>
      </c>
    </row>
    <row r="176">
      <c r="A176" s="37">
        <f>MID(H176,3,2)</f>
        <v/>
      </c>
      <c r="B176" s="37" t="inlineStr">
        <is>
          <t>B331</t>
        </is>
      </c>
      <c r="C176" s="37" t="inlineStr">
        <is>
          <t>上海区域</t>
        </is>
      </c>
      <c r="D176" s="37" t="inlineStr">
        <is>
          <t>CMCF</t>
        </is>
      </c>
      <c r="E176" s="37" t="inlineStr">
        <is>
          <t>EE 上海七宝万科广场</t>
        </is>
      </c>
      <c r="F176" s="38" t="inlineStr">
        <is>
          <t>02</t>
        </is>
      </c>
      <c r="G176" s="37" t="inlineStr">
        <is>
          <t>购物中心</t>
        </is>
      </c>
      <c r="H176" s="42" t="inlineStr">
        <is>
          <t>EEYCG26E01</t>
        </is>
      </c>
      <c r="I176" s="37" t="n">
        <v>799</v>
      </c>
      <c r="J176" s="37" t="n">
        <v>799</v>
      </c>
      <c r="K176" s="39" t="n">
        <v>46154</v>
      </c>
      <c r="L176" s="37" t="inlineStr">
        <is>
          <t>营业中</t>
        </is>
      </c>
      <c r="M176" s="37" t="n">
        <v>1</v>
      </c>
      <c r="N176" s="37" t="n">
        <v>4</v>
      </c>
      <c r="O176" s="37" t="n">
        <v>623</v>
      </c>
    </row>
    <row r="177">
      <c r="A177" s="37">
        <f>MID(H177,3,2)</f>
        <v/>
      </c>
      <c r="B177" s="37" t="inlineStr">
        <is>
          <t>B331</t>
        </is>
      </c>
      <c r="C177" s="37" t="inlineStr">
        <is>
          <t>上海区域</t>
        </is>
      </c>
      <c r="D177" s="37" t="inlineStr">
        <is>
          <t>CMCF</t>
        </is>
      </c>
      <c r="E177" s="37" t="inlineStr">
        <is>
          <t>EE 上海七宝万科广场</t>
        </is>
      </c>
      <c r="F177" s="38" t="inlineStr">
        <is>
          <t>02</t>
        </is>
      </c>
      <c r="G177" s="37" t="inlineStr">
        <is>
          <t>购物中心</t>
        </is>
      </c>
      <c r="H177" s="42" t="inlineStr">
        <is>
          <t>EEYPG24E01</t>
        </is>
      </c>
      <c r="I177" s="37" t="n">
        <v>599</v>
      </c>
      <c r="J177" s="37" t="n">
        <v>599</v>
      </c>
      <c r="K177" s="39" t="n">
        <v>46097</v>
      </c>
      <c r="L177" s="37" t="inlineStr">
        <is>
          <t>营业中</t>
        </is>
      </c>
      <c r="M177" s="37" t="n">
        <v>1</v>
      </c>
      <c r="N177" s="37" t="n">
        <v>10</v>
      </c>
      <c r="O177" s="37" t="n">
        <v>389</v>
      </c>
    </row>
    <row r="178">
      <c r="A178" s="37">
        <f>MID(H178,3,2)</f>
        <v/>
      </c>
      <c r="B178" s="37" t="inlineStr">
        <is>
          <t>B331</t>
        </is>
      </c>
      <c r="C178" s="37" t="inlineStr">
        <is>
          <t>上海区域</t>
        </is>
      </c>
      <c r="D178" s="37" t="inlineStr">
        <is>
          <t>CMCF</t>
        </is>
      </c>
      <c r="E178" s="37" t="inlineStr">
        <is>
          <t>EE 上海七宝万科广场</t>
        </is>
      </c>
      <c r="F178" s="38" t="inlineStr">
        <is>
          <t>02</t>
        </is>
      </c>
      <c r="G178" s="37" t="inlineStr">
        <is>
          <t>购物中心</t>
        </is>
      </c>
      <c r="H178" s="42" t="inlineStr">
        <is>
          <t>EEYSG23E01</t>
        </is>
      </c>
      <c r="I178" s="37" t="n">
        <v>799</v>
      </c>
      <c r="J178" s="37" t="n">
        <v>799</v>
      </c>
      <c r="K178" s="39" t="n">
        <v>45989</v>
      </c>
      <c r="L178" s="37" t="inlineStr">
        <is>
          <t>营业中</t>
        </is>
      </c>
      <c r="M178" s="37" t="n">
        <v>1</v>
      </c>
      <c r="N178" s="37" t="n">
        <v>3</v>
      </c>
      <c r="O178" s="37" t="n">
        <v>459</v>
      </c>
    </row>
    <row r="179">
      <c r="A179" s="37">
        <f>MID(H179,3,2)</f>
        <v/>
      </c>
      <c r="B179" s="37" t="inlineStr">
        <is>
          <t>B331</t>
        </is>
      </c>
      <c r="C179" s="37" t="inlineStr">
        <is>
          <t>上海区域</t>
        </is>
      </c>
      <c r="D179" s="37" t="inlineStr">
        <is>
          <t>CMCF</t>
        </is>
      </c>
      <c r="E179" s="37" t="inlineStr">
        <is>
          <t>EE 上海七宝万科广场</t>
        </is>
      </c>
      <c r="F179" s="38" t="inlineStr">
        <is>
          <t>02</t>
        </is>
      </c>
      <c r="G179" s="37" t="inlineStr">
        <is>
          <t>购物中心</t>
        </is>
      </c>
      <c r="H179" s="42" t="inlineStr">
        <is>
          <t>EEYWG23E01</t>
        </is>
      </c>
      <c r="I179" s="37" t="n">
        <v>799</v>
      </c>
      <c r="J179" s="37" t="n">
        <v>799</v>
      </c>
      <c r="K179" s="39" t="n">
        <v>46011</v>
      </c>
      <c r="L179" s="37" t="inlineStr">
        <is>
          <t>营业中</t>
        </is>
      </c>
      <c r="M179" s="37" t="n">
        <v>13</v>
      </c>
      <c r="N179" s="37" t="n">
        <v>27</v>
      </c>
      <c r="O179" s="41" t="n">
        <v>4514</v>
      </c>
    </row>
    <row r="180" hidden="1" s="49">
      <c r="A180" s="37">
        <f>MID(H180,3,2)</f>
        <v/>
      </c>
      <c r="B180" s="37" t="inlineStr">
        <is>
          <t>B331</t>
        </is>
      </c>
      <c r="C180" s="37" t="inlineStr">
        <is>
          <t>上海区域</t>
        </is>
      </c>
      <c r="D180" s="37" t="inlineStr">
        <is>
          <t>CMCF</t>
        </is>
      </c>
      <c r="E180" s="37" t="inlineStr">
        <is>
          <t>EE 上海七宝万科广场</t>
        </is>
      </c>
      <c r="F180" s="38" t="inlineStr">
        <is>
          <t>02</t>
        </is>
      </c>
      <c r="G180" s="37" t="inlineStr">
        <is>
          <t>购物中心</t>
        </is>
      </c>
      <c r="H180" s="37" t="inlineStr">
        <is>
          <t>EEYWG23E51</t>
        </is>
      </c>
      <c r="I180" s="37" t="n">
        <v>699</v>
      </c>
      <c r="J180" s="37" t="n">
        <v>599</v>
      </c>
      <c r="K180" s="39" t="n">
        <v>46140</v>
      </c>
      <c r="L180" s="37" t="inlineStr">
        <is>
          <t>营业中</t>
        </is>
      </c>
      <c r="N180" s="37" t="n">
        <v>3</v>
      </c>
    </row>
    <row r="181">
      <c r="A181" s="37">
        <f>MID(H181,3,2)</f>
        <v/>
      </c>
      <c r="B181" s="37" t="inlineStr">
        <is>
          <t>B331</t>
        </is>
      </c>
      <c r="C181" s="37" t="inlineStr">
        <is>
          <t>上海区域</t>
        </is>
      </c>
      <c r="D181" s="37" t="inlineStr">
        <is>
          <t>CMCF</t>
        </is>
      </c>
      <c r="E181" s="37" t="inlineStr">
        <is>
          <t>EE 上海七宝万科广场</t>
        </is>
      </c>
      <c r="F181" s="38" t="inlineStr">
        <is>
          <t>02</t>
        </is>
      </c>
      <c r="G181" s="37" t="inlineStr">
        <is>
          <t>购物中心</t>
        </is>
      </c>
      <c r="H181" s="42" t="inlineStr">
        <is>
          <t>EEYWG23E02</t>
        </is>
      </c>
      <c r="I181" s="37" t="n">
        <v>799</v>
      </c>
      <c r="J181" s="37" t="n">
        <v>599</v>
      </c>
      <c r="K181" s="39" t="n">
        <v>46011</v>
      </c>
      <c r="L181" s="37" t="inlineStr">
        <is>
          <t>营业中</t>
        </is>
      </c>
      <c r="M181" s="37" t="n">
        <v>7</v>
      </c>
      <c r="N181" s="37" t="n">
        <v>19</v>
      </c>
      <c r="O181" s="41" t="n">
        <v>2616</v>
      </c>
    </row>
    <row r="182">
      <c r="A182" s="37">
        <f>MID(H182,3,2)</f>
        <v/>
      </c>
      <c r="B182" s="37" t="inlineStr">
        <is>
          <t>B331</t>
        </is>
      </c>
      <c r="C182" s="37" t="inlineStr">
        <is>
          <t>上海区域</t>
        </is>
      </c>
      <c r="D182" s="37" t="inlineStr">
        <is>
          <t>CMCF</t>
        </is>
      </c>
      <c r="E182" s="37" t="inlineStr">
        <is>
          <t>EE 上海七宝万科广场</t>
        </is>
      </c>
      <c r="F182" s="38" t="inlineStr">
        <is>
          <t>02</t>
        </is>
      </c>
      <c r="G182" s="37" t="inlineStr">
        <is>
          <t>购物中心</t>
        </is>
      </c>
      <c r="H182" s="42" t="inlineStr">
        <is>
          <t>EEYWG24E01</t>
        </is>
      </c>
      <c r="I182" s="37" t="n">
        <v>799</v>
      </c>
      <c r="J182" s="37" t="n">
        <v>799</v>
      </c>
      <c r="K182" s="39" t="n">
        <v>46042</v>
      </c>
      <c r="L182" s="37" t="inlineStr">
        <is>
          <t>营业中</t>
        </is>
      </c>
      <c r="M182" s="37" t="n">
        <v>24</v>
      </c>
      <c r="N182" s="37" t="n">
        <v>29</v>
      </c>
      <c r="O182" s="41" t="n">
        <v>10741</v>
      </c>
    </row>
    <row r="183">
      <c r="A183" s="37">
        <f>MID(H183,3,2)</f>
        <v/>
      </c>
      <c r="B183" s="37" t="inlineStr">
        <is>
          <t>B331</t>
        </is>
      </c>
      <c r="C183" s="37" t="inlineStr">
        <is>
          <t>上海区域</t>
        </is>
      </c>
      <c r="D183" s="37" t="inlineStr">
        <is>
          <t>CMCF</t>
        </is>
      </c>
      <c r="E183" s="37" t="inlineStr">
        <is>
          <t>EE 上海七宝万科广场</t>
        </is>
      </c>
      <c r="F183" s="38" t="inlineStr">
        <is>
          <t>02</t>
        </is>
      </c>
      <c r="G183" s="37" t="inlineStr">
        <is>
          <t>购物中心</t>
        </is>
      </c>
      <c r="H183" s="42" t="inlineStr">
        <is>
          <t>EEYWG24E02</t>
        </is>
      </c>
      <c r="I183" s="37" t="n">
        <v>699</v>
      </c>
      <c r="J183" s="37" t="n">
        <v>699</v>
      </c>
      <c r="K183" s="39" t="n">
        <v>46087</v>
      </c>
      <c r="L183" s="37" t="inlineStr">
        <is>
          <t>营业中</t>
        </is>
      </c>
      <c r="M183" s="37" t="n">
        <v>4</v>
      </c>
      <c r="N183" s="37" t="n">
        <v>5</v>
      </c>
      <c r="O183" s="41" t="n">
        <v>1398</v>
      </c>
    </row>
    <row r="184">
      <c r="A184" s="37">
        <f>MID(H184,3,2)</f>
        <v/>
      </c>
      <c r="B184" s="37" t="inlineStr">
        <is>
          <t>B331</t>
        </is>
      </c>
      <c r="C184" s="37" t="inlineStr">
        <is>
          <t>上海区域</t>
        </is>
      </c>
      <c r="D184" s="37" t="inlineStr">
        <is>
          <t>CMCF</t>
        </is>
      </c>
      <c r="E184" s="37" t="inlineStr">
        <is>
          <t>EE 上海七宝万科广场</t>
        </is>
      </c>
      <c r="F184" s="38" t="inlineStr">
        <is>
          <t>02</t>
        </is>
      </c>
      <c r="G184" s="37" t="inlineStr">
        <is>
          <t>购物中心</t>
        </is>
      </c>
      <c r="H184" s="42" t="inlineStr">
        <is>
          <t>EEYWG24E03</t>
        </is>
      </c>
      <c r="I184" s="37" t="n">
        <v>699</v>
      </c>
      <c r="J184" s="37" t="n">
        <v>699</v>
      </c>
      <c r="K184" s="39" t="n">
        <v>46078</v>
      </c>
      <c r="L184" s="37" t="inlineStr">
        <is>
          <t>营业中</t>
        </is>
      </c>
      <c r="M184" s="37" t="n">
        <v>1</v>
      </c>
      <c r="N184" s="37" t="n">
        <v>6</v>
      </c>
      <c r="O184" s="37" t="n">
        <v>459</v>
      </c>
    </row>
    <row r="185">
      <c r="A185" s="37">
        <f>MID(H185,3,2)</f>
        <v/>
      </c>
      <c r="B185" s="37" t="inlineStr">
        <is>
          <t>B331</t>
        </is>
      </c>
      <c r="C185" s="37" t="inlineStr">
        <is>
          <t>上海区域</t>
        </is>
      </c>
      <c r="D185" s="37" t="inlineStr">
        <is>
          <t>CMCF</t>
        </is>
      </c>
      <c r="E185" s="37" t="inlineStr">
        <is>
          <t>EE 上海七宝万科广场</t>
        </is>
      </c>
      <c r="F185" s="38" t="inlineStr">
        <is>
          <t>02</t>
        </is>
      </c>
      <c r="G185" s="37" t="inlineStr">
        <is>
          <t>购物中心</t>
        </is>
      </c>
      <c r="H185" s="42" t="inlineStr">
        <is>
          <t>EEYWG25E01</t>
        </is>
      </c>
      <c r="I185" s="37" t="n">
        <v>699</v>
      </c>
      <c r="J185" s="37" t="n">
        <v>699</v>
      </c>
      <c r="K185" s="39" t="n">
        <v>46106</v>
      </c>
      <c r="L185" s="37" t="inlineStr">
        <is>
          <t>营业中</t>
        </is>
      </c>
      <c r="M185" s="37" t="n">
        <v>2</v>
      </c>
      <c r="N185" s="37" t="n">
        <v>22</v>
      </c>
      <c r="O185" s="37" t="n">
        <v>699</v>
      </c>
    </row>
    <row r="186">
      <c r="A186" s="37">
        <f>MID(H186,3,2)</f>
        <v/>
      </c>
      <c r="B186" s="37" t="inlineStr">
        <is>
          <t>B331</t>
        </is>
      </c>
      <c r="C186" s="37" t="inlineStr">
        <is>
          <t>上海区域</t>
        </is>
      </c>
      <c r="D186" s="37" t="inlineStr">
        <is>
          <t>CMCF</t>
        </is>
      </c>
      <c r="E186" s="37" t="inlineStr">
        <is>
          <t>EE 上海七宝万科广场</t>
        </is>
      </c>
      <c r="F186" s="38" t="inlineStr">
        <is>
          <t>02</t>
        </is>
      </c>
      <c r="G186" s="37" t="inlineStr">
        <is>
          <t>购物中心</t>
        </is>
      </c>
      <c r="H186" s="42" t="inlineStr">
        <is>
          <t>EEYWG25E02</t>
        </is>
      </c>
      <c r="I186" s="37" t="n">
        <v>699</v>
      </c>
      <c r="J186" s="37" t="n">
        <v>699</v>
      </c>
      <c r="K186" s="39" t="n">
        <v>46106</v>
      </c>
      <c r="L186" s="37" t="inlineStr">
        <is>
          <t>营业中</t>
        </is>
      </c>
      <c r="M186" s="37" t="n">
        <v>1</v>
      </c>
      <c r="N186" s="37" t="n">
        <v>4</v>
      </c>
      <c r="O186" s="37" t="n">
        <v>559</v>
      </c>
    </row>
    <row r="187">
      <c r="A187" s="37">
        <f>MID(H187,3,2)</f>
        <v/>
      </c>
      <c r="B187" s="37" t="inlineStr">
        <is>
          <t>B331</t>
        </is>
      </c>
      <c r="C187" s="37" t="inlineStr">
        <is>
          <t>上海区域</t>
        </is>
      </c>
      <c r="D187" s="37" t="inlineStr">
        <is>
          <t>CMCF</t>
        </is>
      </c>
      <c r="E187" s="37" t="inlineStr">
        <is>
          <t>EE 上海七宝万科广场</t>
        </is>
      </c>
      <c r="F187" s="38" t="inlineStr">
        <is>
          <t>02</t>
        </is>
      </c>
      <c r="G187" s="37" t="inlineStr">
        <is>
          <t>购物中心</t>
        </is>
      </c>
      <c r="H187" s="42" t="inlineStr">
        <is>
          <t>EEYWG25E03</t>
        </is>
      </c>
      <c r="I187" s="37" t="n">
        <v>599</v>
      </c>
      <c r="J187" s="37" t="n">
        <v>599</v>
      </c>
      <c r="K187" s="39" t="n">
        <v>46106</v>
      </c>
      <c r="L187" s="37" t="inlineStr">
        <is>
          <t>营业中</t>
        </is>
      </c>
      <c r="M187" s="37" t="n">
        <v>5</v>
      </c>
      <c r="N187" s="37" t="n">
        <v>23</v>
      </c>
      <c r="O187" s="41" t="n">
        <v>1907</v>
      </c>
    </row>
    <row r="188">
      <c r="A188" s="37">
        <f>MID(H188,3,2)</f>
        <v/>
      </c>
      <c r="B188" s="37" t="inlineStr">
        <is>
          <t>B331</t>
        </is>
      </c>
      <c r="C188" s="37" t="inlineStr">
        <is>
          <t>上海区域</t>
        </is>
      </c>
      <c r="D188" s="37" t="inlineStr">
        <is>
          <t>CMCF</t>
        </is>
      </c>
      <c r="E188" s="37" t="inlineStr">
        <is>
          <t>EE 上海七宝万科广场</t>
        </is>
      </c>
      <c r="F188" s="38" t="inlineStr">
        <is>
          <t>02</t>
        </is>
      </c>
      <c r="G188" s="37" t="inlineStr">
        <is>
          <t>购物中心</t>
        </is>
      </c>
      <c r="H188" s="42" t="inlineStr">
        <is>
          <t>EEYWG26B01</t>
        </is>
      </c>
      <c r="I188" s="37" t="n">
        <v>799</v>
      </c>
      <c r="J188" s="37" t="n">
        <v>899</v>
      </c>
      <c r="K188" s="39" t="n">
        <v>46132</v>
      </c>
      <c r="L188" s="37" t="inlineStr">
        <is>
          <t>营业中</t>
        </is>
      </c>
      <c r="M188" s="37" t="n">
        <v>1</v>
      </c>
      <c r="N188" s="37" t="n">
        <v>3</v>
      </c>
      <c r="O188" s="37" t="n">
        <v>270</v>
      </c>
    </row>
    <row r="189">
      <c r="M189" s="37">
        <f>SUBTOTAL(9,M13:M188)</f>
        <v/>
      </c>
      <c r="N189" s="37">
        <f>SUBTOTAL(9,N13:N188)</f>
        <v/>
      </c>
      <c r="O189" s="37">
        <f>SUBTOTAL(9,O13:O188)</f>
        <v/>
      </c>
    </row>
  </sheetData>
  <autoFilter ref="A3:T188">
    <filterColumn colId="12" hiddenButton="0" showButton="1">
      <filters>
        <filter val="1"/>
        <filter val="13"/>
        <filter val="2"/>
        <filter val="24"/>
        <filter val="3"/>
        <filter val="4"/>
        <filter val="5"/>
        <filter val="6"/>
        <filter val="7"/>
      </filters>
    </filterColumn>
    <sortState ref="A13:T188">
      <sortCondition sortBy="cellColor" ref="H3:H188" dxfId="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2026-05-13T03:00:56Z</dcterms:created>
  <dcterms:modified xmlns:dcterms="http://purl.org/dc/terms/" xmlns:xsi="http://www.w3.org/2001/XMLSchema-instance" xsi:type="dcterms:W3CDTF">2026-05-15T07:23:37Z</dcterms:modified>
  <cp:lastModifiedBy>소라(ELAND CHINA VMD部)</cp:lastModifiedBy>
</cp:coreProperties>
</file>