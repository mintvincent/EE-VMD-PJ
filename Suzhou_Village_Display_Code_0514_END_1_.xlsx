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563" firstSheet="1" activeTab="8" autoFilterDateGrouping="1"/>
  </bookViews>
  <sheets>
    <sheet xmlns:r="http://schemas.openxmlformats.org/officeDocument/2006/relationships" name="📦 진열 데이터" sheetId="1" state="visible" r:id="rId1"/>
    <sheet xmlns:r="http://schemas.openxmlformats.org/officeDocument/2006/relationships" name="💰 판매 실적" sheetId="2" state="visible" r:id="rId2"/>
    <sheet xmlns:r="http://schemas.openxmlformats.org/officeDocument/2006/relationships" name="📋 작성 가이드" sheetId="3" state="visible" r:id="rId3"/>
    <sheet xmlns:r="http://schemas.openxmlformats.org/officeDocument/2006/relationships" name="✅ 유효값" sheetId="4" state="visible" r:id="rId4"/>
    <sheet xmlns:r="http://schemas.openxmlformats.org/officeDocument/2006/relationships" name="LAYOUT0514" sheetId="5" state="visible" r:id="rId5"/>
    <sheet xmlns:r="http://schemas.openxmlformats.org/officeDocument/2006/relationships" name="卖场库存0422-0512" sheetId="6" state="visible" r:id="rId6"/>
    <sheet xmlns:r="http://schemas.openxmlformats.org/officeDocument/2006/relationships" name="top10" sheetId="7" state="visible" r:id="rId7"/>
    <sheet xmlns:r="http://schemas.openxmlformats.org/officeDocument/2006/relationships" name="color" sheetId="8" state="visible" r:id="rId8"/>
    <sheet xmlns:r="http://schemas.openxmlformats.org/officeDocument/2006/relationships" name="0销售位置" sheetId="9" state="visible" r:id="rId9"/>
  </sheets>
  <externalReferences>
    <externalReference xmlns:r="http://schemas.openxmlformats.org/officeDocument/2006/relationships" r:id="rId10"/>
  </externalReferences>
  <definedNames>
    <definedName name="_xlnm._FilterDatabase" localSheetId="4" hidden="1">'LAYOUT0514'!$A$1:$Q$555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等线"/>
      <charset val="134"/>
      <color theme="1"/>
      <sz val="10"/>
      <scheme val="minor"/>
    </font>
    <font>
      <name val="等线"/>
      <charset val="134"/>
      <sz val="10"/>
    </font>
    <font>
      <name val="等线"/>
      <charset val="134"/>
      <sz val="10"/>
    </font>
    <font>
      <name val="BatangChe"/>
      <charset val="134"/>
      <sz val="10"/>
    </font>
    <font>
      <name val="等线"/>
      <charset val="134"/>
      <b val="1"/>
      <sz val="11"/>
    </font>
    <font>
      <name val="等线"/>
      <charset val="134"/>
      <sz val="11"/>
    </font>
    <font>
      <name val="等线"/>
      <charset val="134"/>
      <b val="1"/>
      <sz val="10"/>
    </font>
    <font>
      <name val="等线"/>
      <charset val="134"/>
      <b val="1"/>
      <color rgb="FFFFFFFF"/>
      <sz val="13"/>
    </font>
    <font>
      <name val="等线"/>
      <charset val="134"/>
      <b val="1"/>
      <color rgb="FFFFFFFF"/>
      <sz val="11"/>
    </font>
    <font>
      <name val="等线"/>
      <charset val="134"/>
      <b val="1"/>
      <color rgb="FFFFFFFF"/>
      <sz val="10"/>
    </font>
    <font>
      <name val="等线"/>
      <charset val="134"/>
      <b val="1"/>
      <color rgb="FF1A1A1A"/>
      <sz val="10"/>
    </font>
    <font>
      <name val="等线"/>
      <charset val="134"/>
      <color rgb="FF1A1A1A"/>
      <sz val="10"/>
    </font>
    <font>
      <name val="等线"/>
      <charset val="134"/>
      <b val="1"/>
      <color rgb="FFFFFFFF"/>
      <sz val="14"/>
    </font>
    <font>
      <name val="等线"/>
      <charset val="134"/>
      <i val="1"/>
      <color rgb="FF0F6E56"/>
      <sz val="10"/>
    </font>
    <font>
      <name val="等线"/>
      <charset val="134"/>
      <color theme="1"/>
      <sz val="9"/>
      <scheme val="minor"/>
    </font>
    <font>
      <name val="等线"/>
      <charset val="134"/>
      <b val="1"/>
      <color rgb="FF7A3010"/>
      <sz val="9"/>
    </font>
    <font>
      <name val="等线"/>
      <charset val="134"/>
      <b val="1"/>
      <color rgb="FF0F6E56"/>
      <sz val="9"/>
    </font>
    <font>
      <name val="等线"/>
      <charset val="134"/>
      <b val="1"/>
      <color rgb="FF7A6010"/>
      <sz val="9"/>
    </font>
    <font>
      <name val="等线"/>
      <charset val="134"/>
      <b val="1"/>
      <sz val="9"/>
    </font>
    <font>
      <name val="等线"/>
      <charset val="134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000000"/>
      <sz val="11"/>
    </font>
    <font>
      <name val="微软雅黑"/>
      <charset val="134"/>
      <color rgb="FF000000"/>
      <sz val="11"/>
    </font>
  </fonts>
  <fills count="5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3EB"/>
        <bgColor rgb="FF000000"/>
      </patternFill>
    </fill>
    <fill>
      <patternFill patternType="solid">
        <fgColor rgb="FFEAFAF1"/>
        <bgColor rgb="FF000000"/>
      </patternFill>
    </fill>
    <fill>
      <patternFill patternType="solid">
        <fgColor rgb="FF0F6E56"/>
        <bgColor rgb="FF000000"/>
      </patternFill>
    </fill>
    <fill>
      <patternFill patternType="solid">
        <fgColor rgb="FF2C2C2A"/>
        <bgColor rgb="FF000000"/>
      </patternFill>
    </fill>
    <fill>
      <patternFill patternType="solid">
        <fgColor rgb="FF3A3A38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AFAF1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DE8C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1EFE8"/>
        <bgColor rgb="FF000000"/>
      </patternFill>
    </fill>
    <fill>
      <patternFill patternType="solid">
        <fgColor rgb="FF1A1A1A"/>
        <bgColor rgb="FF000000"/>
      </patternFill>
    </fill>
    <fill>
      <patternFill patternType="solid">
        <fgColor rgb="FF534AB7"/>
        <bgColor rgb="FF000000"/>
      </patternFill>
    </fill>
    <fill>
      <patternFill patternType="solid">
        <fgColor rgb="FF1D9E75"/>
        <bgColor rgb="FF000000"/>
      </patternFill>
    </fill>
    <fill>
      <patternFill patternType="solid">
        <fgColor rgb="FFE8FBF5"/>
        <bgColor rgb="FF000000"/>
      </patternFill>
    </fill>
    <fill>
      <patternFill patternType="solid">
        <fgColor rgb="FFE1F5EE"/>
        <bgColor rgb="FF000000"/>
      </patternFill>
    </fill>
    <fill>
      <patternFill patternType="solid">
        <fgColor rgb="FFFFF4E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0" fillId="25" borderId="8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9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8" fillId="0" borderId="0" applyAlignment="1">
      <alignment vertical="center"/>
    </xf>
    <xf numFmtId="0" fontId="29" fillId="26" borderId="1" applyAlignment="1">
      <alignment vertical="center"/>
    </xf>
    <xf numFmtId="0" fontId="30" fillId="27" borderId="11" applyAlignment="1">
      <alignment vertical="center"/>
    </xf>
    <xf numFmtId="0" fontId="31" fillId="27" borderId="1" applyAlignment="1">
      <alignment vertical="center"/>
    </xf>
    <xf numFmtId="0" fontId="32" fillId="28" borderId="12" applyAlignment="1">
      <alignment vertical="center"/>
    </xf>
    <xf numFmtId="0" fontId="33" fillId="0" borderId="13" applyAlignment="1">
      <alignment vertical="center"/>
    </xf>
    <xf numFmtId="0" fontId="34" fillId="0" borderId="14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7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9" fillId="37" borderId="0" applyAlignment="1">
      <alignment vertical="center"/>
    </xf>
    <xf numFmtId="0" fontId="39" fillId="38" borderId="0" applyAlignment="1">
      <alignment vertical="center"/>
    </xf>
    <xf numFmtId="0" fontId="38" fillId="39" borderId="0" applyAlignment="1">
      <alignment vertical="center"/>
    </xf>
    <xf numFmtId="0" fontId="38" fillId="40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38" fillId="43" borderId="0" applyAlignment="1">
      <alignment vertical="center"/>
    </xf>
    <xf numFmtId="0" fontId="38" fillId="44" borderId="0" applyAlignment="1">
      <alignment vertical="center"/>
    </xf>
    <xf numFmtId="0" fontId="39" fillId="45" borderId="0" applyAlignment="1">
      <alignment vertical="center"/>
    </xf>
    <xf numFmtId="0" fontId="39" fillId="46" borderId="0" applyAlignment="1">
      <alignment vertical="center"/>
    </xf>
    <xf numFmtId="0" fontId="38" fillId="47" borderId="0" applyAlignment="1">
      <alignment vertical="center"/>
    </xf>
    <xf numFmtId="0" fontId="38" fillId="48" borderId="0" applyAlignment="1">
      <alignment vertical="center"/>
    </xf>
    <xf numFmtId="0" fontId="39" fillId="49" borderId="0" applyAlignment="1">
      <alignment vertical="center"/>
    </xf>
    <xf numFmtId="0" fontId="39" fillId="50" borderId="0" applyAlignment="1">
      <alignment vertical="center"/>
    </xf>
    <xf numFmtId="0" fontId="38" fillId="51" borderId="0" applyAlignment="1">
      <alignment vertical="center"/>
    </xf>
    <xf numFmtId="0" fontId="38" fillId="52" borderId="0" applyAlignment="1">
      <alignment vertical="center"/>
    </xf>
    <xf numFmtId="0" fontId="39" fillId="53" borderId="0" applyAlignment="1">
      <alignment vertical="center"/>
    </xf>
    <xf numFmtId="0" fontId="39" fillId="54" borderId="0" applyAlignment="1">
      <alignment vertical="center"/>
    </xf>
    <xf numFmtId="0" fontId="38" fillId="55" borderId="0" applyAlignment="1">
      <alignment vertical="center"/>
    </xf>
    <xf numFmtId="0" fontId="0" fillId="0" borderId="0" applyAlignment="1">
      <alignment vertical="center"/>
    </xf>
  </cellStyleXfs>
  <cellXfs count="10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horizontal="center" vertical="center"/>
    </xf>
    <xf numFmtId="0" fontId="5" fillId="2" borderId="0" applyAlignment="1" pivotButton="0" quotePrefix="0" xfId="49">
      <alignment horizontal="center" vertical="center"/>
    </xf>
    <xf numFmtId="0" fontId="5" fillId="0" borderId="0" applyAlignment="1" pivotButton="0" quotePrefix="0" xfId="49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0" fontId="8" fillId="7" borderId="0" applyAlignment="1" pivotButton="0" quotePrefix="0" xfId="0">
      <alignment vertical="center"/>
    </xf>
    <xf numFmtId="0" fontId="9" fillId="8" borderId="4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1" fillId="9" borderId="7" applyAlignment="1" pivotButton="0" quotePrefix="0" xfId="0">
      <alignment vertical="center"/>
    </xf>
    <xf numFmtId="0" fontId="11" fillId="0" borderId="5" applyAlignment="1" pivotButton="0" quotePrefix="0" xfId="0">
      <alignment vertical="center"/>
    </xf>
    <xf numFmtId="0" fontId="10" fillId="10" borderId="7" applyAlignment="1" pivotButton="0" quotePrefix="0" xfId="0">
      <alignment horizontal="center" vertical="center"/>
    </xf>
    <xf numFmtId="0" fontId="11" fillId="10" borderId="7" applyAlignment="1" pivotButton="0" quotePrefix="0" xfId="0">
      <alignment vertical="center"/>
    </xf>
    <xf numFmtId="0" fontId="11" fillId="1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11" borderId="6" applyAlignment="1" pivotButton="0" quotePrefix="0" xfId="0">
      <alignment horizontal="center" vertical="center"/>
    </xf>
    <xf numFmtId="0" fontId="11" fillId="11" borderId="7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0" fillId="12" borderId="7" applyAlignment="1" pivotButton="0" quotePrefix="0" xfId="0">
      <alignment horizontal="center" vertical="center"/>
    </xf>
    <xf numFmtId="0" fontId="11" fillId="12" borderId="7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0" fillId="13" borderId="7" applyAlignment="1" pivotButton="0" quotePrefix="0" xfId="0">
      <alignment horizontal="center" vertical="center"/>
    </xf>
    <xf numFmtId="0" fontId="11" fillId="13" borderId="7" applyAlignment="1" pivotButton="0" quotePrefix="0" xfId="0">
      <alignment vertical="center"/>
    </xf>
    <xf numFmtId="0" fontId="10" fillId="12" borderId="6" applyAlignment="1" pivotButton="0" quotePrefix="0" xfId="0">
      <alignment horizontal="center" vertical="center"/>
    </xf>
    <xf numFmtId="0" fontId="10" fillId="11" borderId="7" applyAlignment="1" pivotButton="0" quotePrefix="0" xfId="0">
      <alignment horizontal="center" vertical="center"/>
    </xf>
    <xf numFmtId="0" fontId="10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vertical="center"/>
    </xf>
    <xf numFmtId="0" fontId="10" fillId="10" borderId="6" applyAlignment="1" pivotButton="0" quotePrefix="0" xfId="0">
      <alignment horizontal="center" vertical="center"/>
    </xf>
    <xf numFmtId="0" fontId="10" fillId="16" borderId="6" applyAlignment="1" pivotButton="0" quotePrefix="0" xfId="0">
      <alignment horizontal="center" vertical="center"/>
    </xf>
    <xf numFmtId="0" fontId="11" fillId="16" borderId="7" applyAlignment="1" pivotButton="0" quotePrefix="0" xfId="0">
      <alignment vertical="center"/>
    </xf>
    <xf numFmtId="0" fontId="12" fillId="17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9" fillId="8" borderId="4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1" fillId="16" borderId="6" applyAlignment="1" pivotButton="0" quotePrefix="0" xfId="0">
      <alignment vertical="center" wrapText="1"/>
    </xf>
    <xf numFmtId="0" fontId="11" fillId="16" borderId="7" applyAlignment="1" pivotButton="0" quotePrefix="0" xfId="0">
      <alignment vertical="center" wrapText="1"/>
    </xf>
    <xf numFmtId="0" fontId="11" fillId="11" borderId="6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horizontal="left" vertical="center" wrapText="1"/>
    </xf>
    <xf numFmtId="0" fontId="8" fillId="6" borderId="0" applyAlignment="1" pivotButton="0" quotePrefix="0" xfId="0">
      <alignment vertical="center"/>
    </xf>
    <xf numFmtId="0" fontId="11" fillId="16" borderId="7" applyAlignment="1" pivotButton="0" quotePrefix="0" xfId="0">
      <alignment horizontal="left" vertical="center" wrapText="1"/>
    </xf>
    <xf numFmtId="0" fontId="8" fillId="18" borderId="0" applyAlignment="1" pivotButton="0" quotePrefix="0" xfId="0">
      <alignment vertical="center"/>
    </xf>
    <xf numFmtId="0" fontId="9" fillId="19" borderId="0" applyAlignment="1" pivotButton="0" quotePrefix="0" xfId="0">
      <alignment horizontal="center" vertical="center"/>
    </xf>
    <xf numFmtId="0" fontId="13" fillId="20" borderId="0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" fillId="9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3" fontId="1" fillId="9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14" borderId="0" applyAlignment="1" pivotButton="0" quotePrefix="0" xfId="0">
      <alignment horizontal="center" vertical="center"/>
    </xf>
    <xf numFmtId="0" fontId="16" fillId="21" borderId="0" applyAlignment="1" pivotButton="0" quotePrefix="0" xfId="0">
      <alignment horizontal="center" vertical="center"/>
    </xf>
    <xf numFmtId="0" fontId="17" fillId="22" borderId="0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center" vertical="center"/>
    </xf>
    <xf numFmtId="0" fontId="19" fillId="23" borderId="0" applyAlignment="1" pivotButton="0" quotePrefix="0" xfId="0">
      <alignment horizontal="center" vertical="center"/>
    </xf>
    <xf numFmtId="0" fontId="18" fillId="22" borderId="0" applyAlignment="1" pivotButton="0" quotePrefix="0" xfId="0">
      <alignment horizontal="center" vertical="center"/>
    </xf>
    <xf numFmtId="0" fontId="18" fillId="24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13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20225;&#24494;\WXWork\1688857381430699\Cache\File\2026-05\Suzhou%20Village%20Display%20Code_05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📦 진열 데이터"/>
      <sheetName val="💰 판매 실적"/>
      <sheetName val="📋 작성 가이드"/>
      <sheetName val="LAYOUT"/>
      <sheetName val="卖场库存"/>
      <sheetName val="✅ 유효값"/>
      <sheetName val="color"/>
    </sheetNames>
    <sheetDataSet>
      <sheetData sheetId="0"/>
      <sheetData sheetId="1"/>
      <sheetData sheetId="2"/>
      <sheetData sheetId="3">
        <row r="2">
          <cell r="B2" t="str">
            <v>스타일번호 Style No.</v>
          </cell>
          <cell r="C2" t="str">
            <v>id+B317I116B2:C2:C543</v>
          </cell>
        </row>
        <row r="3">
          <cell r="B3" t="str">
            <v>EEVWG24E01</v>
          </cell>
          <cell r="C3" t="str">
            <v>F001</v>
          </cell>
        </row>
        <row r="4">
          <cell r="B4" t="str">
            <v>EEVWG24E01</v>
          </cell>
          <cell r="C4" t="str">
            <v>F001</v>
          </cell>
        </row>
        <row r="5">
          <cell r="B5" t="str">
            <v>EEYWG25E03</v>
          </cell>
          <cell r="C5" t="str">
            <v>F001</v>
          </cell>
        </row>
        <row r="6">
          <cell r="B6" t="str">
            <v>EEWHG24E02</v>
          </cell>
          <cell r="C6" t="str">
            <v>F001</v>
          </cell>
        </row>
        <row r="7">
          <cell r="B7" t="str">
            <v>EERAG24E04</v>
          </cell>
          <cell r="C7" t="str">
            <v>F001</v>
          </cell>
        </row>
        <row r="8">
          <cell r="B8" t="str">
            <v>EEYWG25E01</v>
          </cell>
          <cell r="C8" t="str">
            <v>F001</v>
          </cell>
        </row>
        <row r="9">
          <cell r="B9" t="str">
            <v>EETAG24E02</v>
          </cell>
          <cell r="C9" t="str">
            <v>F001</v>
          </cell>
        </row>
        <row r="10">
          <cell r="B10" t="str">
            <v>EEYWG25E01</v>
          </cell>
          <cell r="C10" t="str">
            <v>F001</v>
          </cell>
        </row>
        <row r="11">
          <cell r="B11" t="str">
            <v>EEYWG25E03</v>
          </cell>
          <cell r="C11" t="str">
            <v>F001</v>
          </cell>
        </row>
        <row r="12">
          <cell r="B12" t="str">
            <v>EEWHG24E02</v>
          </cell>
          <cell r="C12" t="str">
            <v>F001</v>
          </cell>
        </row>
        <row r="13">
          <cell r="B13" t="str">
            <v>EEYWG25E03</v>
          </cell>
          <cell r="C13" t="str">
            <v>F001</v>
          </cell>
        </row>
        <row r="14">
          <cell r="B14" t="str">
            <v>EEYWG25E03</v>
          </cell>
          <cell r="C14" t="str">
            <v>F001</v>
          </cell>
        </row>
        <row r="15">
          <cell r="B15" t="str">
            <v>EEWHG24E02</v>
          </cell>
          <cell r="C15" t="str">
            <v>F001</v>
          </cell>
        </row>
        <row r="16">
          <cell r="B16" t="str">
            <v>EEVWG24E01</v>
          </cell>
          <cell r="C16" t="str">
            <v>F002</v>
          </cell>
        </row>
        <row r="17">
          <cell r="B17" t="str">
            <v>EERAG24E04</v>
          </cell>
          <cell r="C17" t="str">
            <v>F002</v>
          </cell>
        </row>
        <row r="18">
          <cell r="B18" t="str">
            <v>EEWHG23B02</v>
          </cell>
          <cell r="C18" t="str">
            <v>F002</v>
          </cell>
        </row>
        <row r="19">
          <cell r="B19" t="str">
            <v>EECKG23B03</v>
          </cell>
          <cell r="C19" t="str">
            <v>F002</v>
          </cell>
        </row>
        <row r="20">
          <cell r="B20" t="str">
            <v>EEKWG25E02</v>
          </cell>
          <cell r="C20" t="str">
            <v>F002</v>
          </cell>
        </row>
        <row r="21">
          <cell r="B21" t="str">
            <v>EETJG24E01</v>
          </cell>
          <cell r="C21" t="str">
            <v>F002</v>
          </cell>
        </row>
        <row r="22">
          <cell r="B22" t="str">
            <v>EEKWG25E02</v>
          </cell>
          <cell r="C22" t="str">
            <v>F002</v>
          </cell>
        </row>
        <row r="23">
          <cell r="B23" t="str">
            <v>EETAG24E02</v>
          </cell>
          <cell r="C23" t="str">
            <v>F002</v>
          </cell>
        </row>
        <row r="24">
          <cell r="B24" t="str">
            <v>EETAG24E02</v>
          </cell>
          <cell r="C24" t="str">
            <v>F002</v>
          </cell>
        </row>
        <row r="25">
          <cell r="B25" t="str">
            <v>EEKWG25E01</v>
          </cell>
          <cell r="C25" t="str">
            <v>F002</v>
          </cell>
        </row>
        <row r="26">
          <cell r="B26" t="str">
            <v>EEKWG25E01</v>
          </cell>
          <cell r="C26" t="str">
            <v>F002</v>
          </cell>
        </row>
        <row r="27">
          <cell r="B27" t="str">
            <v>EEJAG23E01</v>
          </cell>
          <cell r="C27" t="str">
            <v>F002</v>
          </cell>
        </row>
        <row r="28">
          <cell r="B28" t="str">
            <v>EEJAG23E01</v>
          </cell>
          <cell r="C28" t="str">
            <v>F002</v>
          </cell>
        </row>
        <row r="29">
          <cell r="B29" t="str">
            <v>EEOWG25B04</v>
          </cell>
          <cell r="C29" t="str">
            <v>F002</v>
          </cell>
        </row>
        <row r="30">
          <cell r="B30" t="str">
            <v>EEOWG25B04</v>
          </cell>
          <cell r="C30" t="str">
            <v>F002</v>
          </cell>
        </row>
        <row r="31">
          <cell r="B31" t="str">
            <v>EEOWG25E02</v>
          </cell>
          <cell r="C31" t="str">
            <v>F002</v>
          </cell>
        </row>
        <row r="32">
          <cell r="B32" t="str">
            <v>EEOWG25E02</v>
          </cell>
          <cell r="C32" t="str">
            <v>F002</v>
          </cell>
        </row>
        <row r="33">
          <cell r="B33" t="str">
            <v>EEWHG25E01</v>
          </cell>
          <cell r="C33" t="str">
            <v>F002</v>
          </cell>
        </row>
        <row r="34">
          <cell r="B34" t="str">
            <v>EEHWG25B01</v>
          </cell>
          <cell r="C34" t="str">
            <v>F002</v>
          </cell>
        </row>
        <row r="35">
          <cell r="B35" t="str">
            <v>EEHWG25B01</v>
          </cell>
          <cell r="C35" t="str">
            <v>F002</v>
          </cell>
        </row>
        <row r="36">
          <cell r="B36" t="str">
            <v>EEWHG25B08</v>
          </cell>
          <cell r="C36" t="str">
            <v>F003</v>
          </cell>
        </row>
        <row r="37">
          <cell r="B37" t="str">
            <v>EEWHG23E01</v>
          </cell>
          <cell r="C37" t="str">
            <v>F003</v>
          </cell>
        </row>
        <row r="38">
          <cell r="B38" t="str">
            <v>EEWHG24E56</v>
          </cell>
          <cell r="C38" t="str">
            <v>F003</v>
          </cell>
        </row>
        <row r="39">
          <cell r="B39" t="str">
            <v>EEVWG24E01</v>
          </cell>
          <cell r="C39" t="str">
            <v>F003</v>
          </cell>
        </row>
        <row r="40">
          <cell r="B40" t="str">
            <v>EETHG25E04</v>
          </cell>
          <cell r="C40" t="str">
            <v>F003</v>
          </cell>
        </row>
        <row r="41">
          <cell r="B41" t="str">
            <v>EEYWG25E01</v>
          </cell>
          <cell r="C41" t="str">
            <v>F003</v>
          </cell>
        </row>
        <row r="42">
          <cell r="B42" t="str">
            <v>EECKG24E02</v>
          </cell>
          <cell r="C42" t="str">
            <v>F003</v>
          </cell>
        </row>
        <row r="43">
          <cell r="B43" t="str">
            <v>EECKG24E02</v>
          </cell>
          <cell r="C43" t="str">
            <v>F003</v>
          </cell>
        </row>
        <row r="44">
          <cell r="B44" t="str">
            <v>EEWHG24E01</v>
          </cell>
          <cell r="C44" t="str">
            <v>F003</v>
          </cell>
        </row>
        <row r="45">
          <cell r="B45" t="str">
            <v>EETHG25E04</v>
          </cell>
          <cell r="C45" t="str">
            <v>F003</v>
          </cell>
        </row>
        <row r="46">
          <cell r="B46" t="str">
            <v>EETHG25E04</v>
          </cell>
          <cell r="C46" t="str">
            <v>F003</v>
          </cell>
        </row>
        <row r="47">
          <cell r="B47" t="str">
            <v>EEYPG24E01</v>
          </cell>
          <cell r="C47" t="str">
            <v>F003</v>
          </cell>
        </row>
        <row r="48">
          <cell r="B48" t="str">
            <v>EEYPG24E01</v>
          </cell>
          <cell r="C48" t="str">
            <v>F003</v>
          </cell>
        </row>
        <row r="49">
          <cell r="B49" t="str">
            <v>EEVKG25B03</v>
          </cell>
          <cell r="C49" t="str">
            <v>F003</v>
          </cell>
        </row>
        <row r="50">
          <cell r="B50" t="str">
            <v>EEOWG25E02</v>
          </cell>
          <cell r="C50" t="str">
            <v>F003</v>
          </cell>
        </row>
        <row r="51">
          <cell r="B51" t="str">
            <v>EEOWG25E02</v>
          </cell>
          <cell r="C51" t="str">
            <v>F003</v>
          </cell>
        </row>
        <row r="52">
          <cell r="B52" t="str">
            <v>EEWHG24E02</v>
          </cell>
          <cell r="C52" t="str">
            <v>F003</v>
          </cell>
        </row>
        <row r="53">
          <cell r="B53" t="str">
            <v>EEWHG24E02</v>
          </cell>
          <cell r="C53" t="str">
            <v>F003</v>
          </cell>
        </row>
        <row r="54">
          <cell r="B54" t="str">
            <v>EEOWG25B05</v>
          </cell>
          <cell r="C54" t="str">
            <v>F003</v>
          </cell>
        </row>
        <row r="55">
          <cell r="B55" t="str">
            <v>EEOWG25B05</v>
          </cell>
          <cell r="C55" t="str">
            <v>F003</v>
          </cell>
        </row>
        <row r="56">
          <cell r="B56" t="str">
            <v>EETCG24E06</v>
          </cell>
          <cell r="C56" t="str">
            <v>F004</v>
          </cell>
        </row>
        <row r="57">
          <cell r="B57" t="str">
            <v>EEWHG25B06</v>
          </cell>
          <cell r="C57" t="str">
            <v>F004</v>
          </cell>
        </row>
        <row r="58">
          <cell r="B58" t="str">
            <v>EEOWG25B07</v>
          </cell>
          <cell r="C58" t="str">
            <v>F004</v>
          </cell>
        </row>
        <row r="59">
          <cell r="B59" t="str">
            <v>EEYWG24E01</v>
          </cell>
          <cell r="C59" t="str">
            <v>F004</v>
          </cell>
        </row>
        <row r="60">
          <cell r="B60" t="str">
            <v>EEOWG25B07</v>
          </cell>
          <cell r="C60" t="str">
            <v>F004</v>
          </cell>
        </row>
        <row r="61">
          <cell r="B61" t="str">
            <v>EEOWG25E01</v>
          </cell>
          <cell r="C61" t="str">
            <v>F004</v>
          </cell>
        </row>
        <row r="62">
          <cell r="B62" t="str">
            <v>EEOWG25E01</v>
          </cell>
          <cell r="C62" t="str">
            <v>F004</v>
          </cell>
        </row>
        <row r="63">
          <cell r="B63" t="str">
            <v>EEWHG25E01</v>
          </cell>
          <cell r="C63" t="str">
            <v>F004</v>
          </cell>
        </row>
        <row r="64">
          <cell r="B64" t="str">
            <v>EEWHG25E01</v>
          </cell>
          <cell r="C64" t="str">
            <v>F004</v>
          </cell>
        </row>
        <row r="65">
          <cell r="B65" t="str">
            <v>EEOWG25Q91</v>
          </cell>
          <cell r="C65" t="str">
            <v>F004</v>
          </cell>
        </row>
        <row r="66">
          <cell r="B66" t="str">
            <v>EEOWG25Q91</v>
          </cell>
          <cell r="C66" t="str">
            <v>F004</v>
          </cell>
        </row>
        <row r="67">
          <cell r="B67" t="str">
            <v>EEKWG25E01</v>
          </cell>
          <cell r="C67" t="str">
            <v>F004</v>
          </cell>
        </row>
        <row r="68">
          <cell r="B68" t="str">
            <v>EEVKG25B02</v>
          </cell>
          <cell r="C68" t="str">
            <v>F004</v>
          </cell>
        </row>
        <row r="69">
          <cell r="B69" t="str">
            <v>EEVKG25B02</v>
          </cell>
          <cell r="C69" t="str">
            <v>F004</v>
          </cell>
        </row>
        <row r="70">
          <cell r="B70" t="str">
            <v>EEVWG25B01</v>
          </cell>
          <cell r="C70" t="str">
            <v>F004</v>
          </cell>
        </row>
        <row r="71">
          <cell r="B71" t="str">
            <v>EEVWG25B01</v>
          </cell>
          <cell r="C71" t="str">
            <v>F004</v>
          </cell>
        </row>
        <row r="72">
          <cell r="B72" t="str">
            <v>EERNG23E01</v>
          </cell>
          <cell r="C72" t="str">
            <v>F005</v>
          </cell>
        </row>
        <row r="73">
          <cell r="B73" t="str">
            <v>EEYWG24E01</v>
          </cell>
          <cell r="C73" t="str">
            <v>F005</v>
          </cell>
        </row>
        <row r="74">
          <cell r="B74" t="str">
            <v>EERNG23E01</v>
          </cell>
          <cell r="C74" t="str">
            <v>F005</v>
          </cell>
        </row>
        <row r="75">
          <cell r="B75" t="str">
            <v>EEYWG23E01</v>
          </cell>
          <cell r="C75" t="str">
            <v>F005</v>
          </cell>
        </row>
        <row r="76">
          <cell r="B76" t="str">
            <v>EEYWG23E01</v>
          </cell>
          <cell r="C76" t="str">
            <v>F005</v>
          </cell>
        </row>
        <row r="77">
          <cell r="B77" t="str">
            <v>EEYWG24E01</v>
          </cell>
          <cell r="C77" t="str">
            <v>F005</v>
          </cell>
        </row>
        <row r="78">
          <cell r="B78" t="str">
            <v>EEYWG23E01</v>
          </cell>
          <cell r="C78" t="str">
            <v>F005</v>
          </cell>
        </row>
        <row r="79">
          <cell r="B79" t="str">
            <v>EERNG23E01</v>
          </cell>
          <cell r="C79" t="str">
            <v>F005</v>
          </cell>
        </row>
        <row r="80">
          <cell r="B80" t="str">
            <v>EEYWG24E01</v>
          </cell>
          <cell r="C80" t="str">
            <v>F005</v>
          </cell>
        </row>
        <row r="81">
          <cell r="B81" t="str">
            <v>EEYWG23E01</v>
          </cell>
          <cell r="C81" t="str">
            <v>F005</v>
          </cell>
        </row>
        <row r="82">
          <cell r="B82" t="str">
            <v>EEYWG24E01</v>
          </cell>
          <cell r="C82" t="str">
            <v>F005</v>
          </cell>
        </row>
        <row r="83">
          <cell r="B83" t="str">
            <v>EERNG23E01</v>
          </cell>
          <cell r="C83" t="str">
            <v>F005</v>
          </cell>
        </row>
        <row r="84">
          <cell r="B84" t="str">
            <v>EERNG23E01</v>
          </cell>
          <cell r="C84" t="str">
            <v>F005</v>
          </cell>
        </row>
        <row r="85">
          <cell r="B85" t="str">
            <v>EEYWG37E01</v>
          </cell>
          <cell r="C85" t="str">
            <v>F005</v>
          </cell>
        </row>
        <row r="86">
          <cell r="B86" t="str">
            <v>EEWHG25E03</v>
          </cell>
          <cell r="C86" t="str">
            <v>F006</v>
          </cell>
        </row>
        <row r="87">
          <cell r="B87" t="str">
            <v>EEYAG26B04</v>
          </cell>
          <cell r="C87" t="str">
            <v>F006</v>
          </cell>
        </row>
        <row r="88">
          <cell r="B88" t="str">
            <v>EEYAG26B04</v>
          </cell>
          <cell r="C88" t="str">
            <v>F006</v>
          </cell>
        </row>
        <row r="89">
          <cell r="B89" t="str">
            <v>EEWHG25E03</v>
          </cell>
          <cell r="C89" t="str">
            <v>F006</v>
          </cell>
        </row>
        <row r="90">
          <cell r="B90" t="str">
            <v>EEWHG25E03</v>
          </cell>
          <cell r="C90" t="str">
            <v>F006</v>
          </cell>
        </row>
        <row r="91">
          <cell r="B91" t="str">
            <v>EEWHG25E03</v>
          </cell>
          <cell r="C91" t="str">
            <v>F006</v>
          </cell>
        </row>
        <row r="92">
          <cell r="B92" t="str">
            <v>EEVKG25E01</v>
          </cell>
          <cell r="C92" t="str">
            <v>F006</v>
          </cell>
        </row>
        <row r="93">
          <cell r="B93" t="str">
            <v>EEVKG25E01</v>
          </cell>
          <cell r="C93" t="str">
            <v>F006</v>
          </cell>
        </row>
        <row r="94">
          <cell r="B94" t="str">
            <v>EEYWG25E03</v>
          </cell>
          <cell r="C94" t="str">
            <v>F006</v>
          </cell>
        </row>
        <row r="95">
          <cell r="B95" t="str">
            <v>EEYWG25E03</v>
          </cell>
          <cell r="C95" t="str">
            <v>F006</v>
          </cell>
        </row>
        <row r="96">
          <cell r="B96" t="str">
            <v>EEWHG64S03</v>
          </cell>
          <cell r="C96" t="str">
            <v>F006</v>
          </cell>
        </row>
        <row r="97">
          <cell r="B97" t="str">
            <v>EEWHG64S03</v>
          </cell>
          <cell r="C97" t="str">
            <v>F006</v>
          </cell>
        </row>
        <row r="98">
          <cell r="B98" t="str">
            <v>EEOWG25B13</v>
          </cell>
          <cell r="C98" t="str">
            <v>F006</v>
          </cell>
        </row>
        <row r="99">
          <cell r="B99" t="str">
            <v>EEOWG25B13</v>
          </cell>
          <cell r="C99" t="str">
            <v>F006</v>
          </cell>
        </row>
        <row r="100">
          <cell r="B100" t="str">
            <v>EEYAG24B02</v>
          </cell>
          <cell r="C100" t="str">
            <v>F006</v>
          </cell>
        </row>
        <row r="101">
          <cell r="B101" t="str">
            <v>EEYAG24B02</v>
          </cell>
          <cell r="C101" t="str">
            <v>F006</v>
          </cell>
        </row>
        <row r="102">
          <cell r="B102" t="str">
            <v>EEWJG23B01</v>
          </cell>
          <cell r="C102" t="str">
            <v>F006</v>
          </cell>
        </row>
        <row r="103">
          <cell r="B103" t="str">
            <v>EEWJG23B01</v>
          </cell>
          <cell r="C103" t="str">
            <v>F006</v>
          </cell>
        </row>
        <row r="104">
          <cell r="B104" t="str">
            <v>EEOWG25B13</v>
          </cell>
          <cell r="C104" t="str">
            <v>F006</v>
          </cell>
        </row>
        <row r="105">
          <cell r="B105" t="str">
            <v>EEOWG25B13</v>
          </cell>
          <cell r="C105" t="str">
            <v>F006</v>
          </cell>
        </row>
        <row r="106">
          <cell r="B106" t="str">
            <v>EEOWG25Q92</v>
          </cell>
          <cell r="C106" t="str">
            <v>F006</v>
          </cell>
        </row>
        <row r="107">
          <cell r="B107" t="str">
            <v>EEJAG24B02</v>
          </cell>
          <cell r="C107" t="str">
            <v>F007</v>
          </cell>
        </row>
        <row r="108">
          <cell r="B108" t="str">
            <v>EEOWG25Q91</v>
          </cell>
          <cell r="C108" t="str">
            <v>F007</v>
          </cell>
        </row>
        <row r="109">
          <cell r="B109" t="str">
            <v>EEOWG25Q91</v>
          </cell>
          <cell r="C109" t="str">
            <v>F007</v>
          </cell>
        </row>
        <row r="110">
          <cell r="B110" t="str">
            <v>EEYAG23B03</v>
          </cell>
          <cell r="C110" t="str">
            <v>F007</v>
          </cell>
        </row>
        <row r="111">
          <cell r="B111" t="str">
            <v>EEYAG25B01</v>
          </cell>
          <cell r="C111" t="str">
            <v>F007</v>
          </cell>
        </row>
        <row r="112">
          <cell r="B112" t="str">
            <v>EEJAG24B02</v>
          </cell>
          <cell r="C112" t="str">
            <v>F007</v>
          </cell>
        </row>
        <row r="113">
          <cell r="B113" t="str">
            <v>EECKG23B04</v>
          </cell>
          <cell r="C113" t="str">
            <v>F007</v>
          </cell>
        </row>
        <row r="114">
          <cell r="B114" t="str">
            <v>EECKG23B04</v>
          </cell>
          <cell r="C114" t="str">
            <v>F007</v>
          </cell>
        </row>
        <row r="115">
          <cell r="B115" t="str">
            <v>EETCG24E06</v>
          </cell>
          <cell r="C115" t="str">
            <v>F007</v>
          </cell>
        </row>
        <row r="116">
          <cell r="B116" t="str">
            <v>EETCG24E06</v>
          </cell>
          <cell r="C116" t="str">
            <v>F007</v>
          </cell>
        </row>
        <row r="117">
          <cell r="B117" t="str">
            <v>EEOWG25B02</v>
          </cell>
          <cell r="C117" t="str">
            <v>F007</v>
          </cell>
        </row>
        <row r="118">
          <cell r="B118" t="str">
            <v>EEOWG25B02</v>
          </cell>
          <cell r="C118" t="str">
            <v>F007</v>
          </cell>
        </row>
        <row r="119">
          <cell r="B119" t="str">
            <v>EEJAG24B04</v>
          </cell>
          <cell r="C119" t="str">
            <v>F007</v>
          </cell>
        </row>
        <row r="120">
          <cell r="B120" t="str">
            <v>EETHG24E03</v>
          </cell>
          <cell r="C120" t="str">
            <v>F007</v>
          </cell>
        </row>
        <row r="121">
          <cell r="B121" t="str">
            <v>EEYAG25B04</v>
          </cell>
          <cell r="C121" t="str">
            <v>F007</v>
          </cell>
        </row>
        <row r="122">
          <cell r="B122" t="str">
            <v>EEYAG25B04</v>
          </cell>
          <cell r="C122" t="str">
            <v>F007</v>
          </cell>
        </row>
        <row r="123">
          <cell r="B123" t="str">
            <v>EEOMG26B01</v>
          </cell>
          <cell r="C123" t="str">
            <v>F007</v>
          </cell>
        </row>
        <row r="124">
          <cell r="B124" t="str">
            <v>EEOMG26B01</v>
          </cell>
          <cell r="C124" t="str">
            <v>F007</v>
          </cell>
        </row>
        <row r="125">
          <cell r="B125" t="str">
            <v>EETCG24E06</v>
          </cell>
          <cell r="C125" t="str">
            <v>F008</v>
          </cell>
        </row>
        <row r="126">
          <cell r="B126" t="str">
            <v>EEYWG25E03</v>
          </cell>
          <cell r="C126" t="str">
            <v>F008</v>
          </cell>
        </row>
        <row r="127">
          <cell r="B127" t="str">
            <v>EETCG24E06</v>
          </cell>
          <cell r="C127" t="str">
            <v>F008</v>
          </cell>
        </row>
        <row r="128">
          <cell r="B128" t="str">
            <v>EEYWG25E03</v>
          </cell>
          <cell r="C128" t="str">
            <v>F008</v>
          </cell>
        </row>
        <row r="129">
          <cell r="B129" t="str">
            <v>EEJAG23E01</v>
          </cell>
          <cell r="C129" t="str">
            <v>F008</v>
          </cell>
        </row>
        <row r="130">
          <cell r="B130" t="str">
            <v>EEJAG23E01</v>
          </cell>
          <cell r="C130" t="str">
            <v>F008</v>
          </cell>
        </row>
        <row r="131">
          <cell r="B131" t="str">
            <v>EEOWG24E02</v>
          </cell>
          <cell r="C131" t="str">
            <v>F008</v>
          </cell>
        </row>
        <row r="132">
          <cell r="B132" t="str">
            <v>EEOWG24E02</v>
          </cell>
          <cell r="C132" t="str">
            <v>F008</v>
          </cell>
        </row>
        <row r="133">
          <cell r="B133" t="str">
            <v>EEBWG23B01</v>
          </cell>
          <cell r="C133" t="str">
            <v>F008</v>
          </cell>
        </row>
        <row r="134">
          <cell r="B134" t="str">
            <v>EEWHG25E01</v>
          </cell>
          <cell r="C134" t="str">
            <v>F008</v>
          </cell>
        </row>
        <row r="135">
          <cell r="B135" t="str">
            <v>EEWHG25E01</v>
          </cell>
          <cell r="C135" t="str">
            <v>F008</v>
          </cell>
        </row>
        <row r="136">
          <cell r="B136" t="str">
            <v>EEOWG25Q92</v>
          </cell>
          <cell r="C136" t="str">
            <v>F008</v>
          </cell>
        </row>
        <row r="137">
          <cell r="B137" t="str">
            <v>EEOWG25Q92</v>
          </cell>
          <cell r="C137" t="str">
            <v>F008</v>
          </cell>
        </row>
        <row r="138">
          <cell r="B138" t="str">
            <v>EEYWG25E02</v>
          </cell>
          <cell r="C138" t="str">
            <v>F008</v>
          </cell>
        </row>
        <row r="139">
          <cell r="B139" t="str">
            <v>EEYWG25E02</v>
          </cell>
          <cell r="C139" t="str">
            <v>F008</v>
          </cell>
        </row>
        <row r="140">
          <cell r="B140" t="str">
            <v>EEOWG24B02</v>
          </cell>
          <cell r="C140" t="str">
            <v>F008</v>
          </cell>
        </row>
        <row r="141">
          <cell r="B141" t="str">
            <v>EEOWG24B02</v>
          </cell>
          <cell r="C141" t="str">
            <v>F008</v>
          </cell>
        </row>
        <row r="142">
          <cell r="B142" t="str">
            <v>EEASG24Q1S</v>
          </cell>
          <cell r="C142" t="str">
            <v>F009</v>
          </cell>
        </row>
        <row r="143">
          <cell r="B143" t="str">
            <v>EEOWG26B01</v>
          </cell>
          <cell r="C143" t="str">
            <v>F009</v>
          </cell>
        </row>
        <row r="144">
          <cell r="B144" t="str">
            <v>EEOWG26B01</v>
          </cell>
          <cell r="C144" t="str">
            <v>F009</v>
          </cell>
        </row>
        <row r="145">
          <cell r="B145" t="str">
            <v>EEOWG26B03</v>
          </cell>
          <cell r="C145" t="str">
            <v>F009</v>
          </cell>
        </row>
        <row r="146">
          <cell r="B146" t="str">
            <v>EEOWG26B03</v>
          </cell>
          <cell r="C146" t="str">
            <v>F009</v>
          </cell>
        </row>
        <row r="147">
          <cell r="B147" t="str">
            <v>EEVKG25B04</v>
          </cell>
          <cell r="C147" t="str">
            <v>F009</v>
          </cell>
        </row>
        <row r="148">
          <cell r="B148" t="str">
            <v>EEKWG25E01</v>
          </cell>
          <cell r="C148" t="str">
            <v>F009</v>
          </cell>
        </row>
        <row r="149">
          <cell r="B149" t="str">
            <v>EEKWG25E01</v>
          </cell>
          <cell r="C149" t="str">
            <v>F009</v>
          </cell>
        </row>
        <row r="150">
          <cell r="B150" t="str">
            <v>EEWJG23B02</v>
          </cell>
          <cell r="C150" t="str">
            <v>F009</v>
          </cell>
        </row>
        <row r="151">
          <cell r="B151" t="str">
            <v>EEWJG23B02</v>
          </cell>
          <cell r="C151" t="str">
            <v>F009</v>
          </cell>
        </row>
        <row r="152">
          <cell r="B152" t="str">
            <v>EECKG25D03</v>
          </cell>
          <cell r="C152" t="str">
            <v>F009</v>
          </cell>
        </row>
        <row r="153">
          <cell r="B153" t="str">
            <v>EECKG25D03</v>
          </cell>
          <cell r="C153" t="str">
            <v>F009</v>
          </cell>
        </row>
        <row r="154">
          <cell r="B154" t="str">
            <v>EEYCG26E01</v>
          </cell>
          <cell r="C154" t="str">
            <v>F009</v>
          </cell>
        </row>
        <row r="155">
          <cell r="B155" t="str">
            <v>EEYCG26E01</v>
          </cell>
          <cell r="C155" t="str">
            <v>F009</v>
          </cell>
        </row>
        <row r="156">
          <cell r="B156" t="str">
            <v>EETJG24B58</v>
          </cell>
          <cell r="C156" t="str">
            <v>F009</v>
          </cell>
        </row>
        <row r="157">
          <cell r="B157" t="str">
            <v>EETJG24B58</v>
          </cell>
          <cell r="C157" t="str">
            <v>F009</v>
          </cell>
        </row>
        <row r="158">
          <cell r="B158" t="str">
            <v>EECKG23B03</v>
          </cell>
          <cell r="C158" t="str">
            <v>F009</v>
          </cell>
        </row>
        <row r="159">
          <cell r="B159" t="str">
            <v>EECKG23B03</v>
          </cell>
          <cell r="C159" t="str">
            <v>F009</v>
          </cell>
        </row>
        <row r="160">
          <cell r="B160" t="str">
            <v>EEYSG24E04</v>
          </cell>
          <cell r="C160" t="str">
            <v>F009</v>
          </cell>
        </row>
        <row r="161">
          <cell r="B161" t="str">
            <v>EEYSG24E04</v>
          </cell>
          <cell r="C161" t="str">
            <v>F009</v>
          </cell>
        </row>
        <row r="162">
          <cell r="B162" t="str">
            <v>EERAG23E01</v>
          </cell>
          <cell r="C162" t="str">
            <v>F010</v>
          </cell>
        </row>
        <row r="163">
          <cell r="B163" t="str">
            <v>EEVKG23B02</v>
          </cell>
          <cell r="C163" t="str">
            <v>F010</v>
          </cell>
        </row>
        <row r="164">
          <cell r="B164" t="str">
            <v>EERAG23E02</v>
          </cell>
          <cell r="C164" t="str">
            <v>F010</v>
          </cell>
        </row>
        <row r="165">
          <cell r="B165" t="str">
            <v>EEVKG23B02</v>
          </cell>
          <cell r="C165" t="str">
            <v>F010</v>
          </cell>
        </row>
        <row r="166">
          <cell r="B166" t="str">
            <v>EETJG25B03</v>
          </cell>
          <cell r="C166" t="str">
            <v>F010</v>
          </cell>
        </row>
        <row r="167">
          <cell r="B167" t="str">
            <v>EERNG25B01</v>
          </cell>
          <cell r="C167" t="str">
            <v>F010</v>
          </cell>
        </row>
        <row r="168">
          <cell r="B168" t="str">
            <v>EERNG25B01</v>
          </cell>
          <cell r="C168" t="str">
            <v>F010</v>
          </cell>
        </row>
        <row r="169">
          <cell r="B169" t="str">
            <v>EERNG25B01</v>
          </cell>
          <cell r="C169" t="str">
            <v>F010</v>
          </cell>
        </row>
        <row r="170">
          <cell r="B170" t="str">
            <v>EERNG25B01</v>
          </cell>
          <cell r="C170" t="str">
            <v>F010</v>
          </cell>
        </row>
        <row r="171">
          <cell r="B171" t="str">
            <v>EERNG25B01</v>
          </cell>
          <cell r="C171" t="str">
            <v>F010</v>
          </cell>
        </row>
        <row r="172">
          <cell r="B172" t="str">
            <v>EERNG25B01</v>
          </cell>
          <cell r="C172" t="str">
            <v>F010</v>
          </cell>
        </row>
        <row r="173">
          <cell r="B173" t="str">
            <v>EERNG23E01</v>
          </cell>
          <cell r="C173" t="str">
            <v>F010</v>
          </cell>
        </row>
        <row r="174">
          <cell r="B174" t="str">
            <v>EETJG25B03</v>
          </cell>
          <cell r="C174" t="str">
            <v>F010</v>
          </cell>
        </row>
        <row r="175">
          <cell r="B175" t="str">
            <v>EEOJG23B01</v>
          </cell>
          <cell r="C175" t="str">
            <v>F010</v>
          </cell>
        </row>
        <row r="176">
          <cell r="B176" t="str">
            <v>EEOJG23B01</v>
          </cell>
          <cell r="C176" t="str">
            <v>F010</v>
          </cell>
        </row>
        <row r="177">
          <cell r="B177" t="str">
            <v>EERAG26B03</v>
          </cell>
          <cell r="C177" t="str">
            <v>F010</v>
          </cell>
        </row>
        <row r="178">
          <cell r="B178" t="str">
            <v>EERAG26B03</v>
          </cell>
          <cell r="C178" t="str">
            <v>F010</v>
          </cell>
        </row>
        <row r="179">
          <cell r="B179" t="str">
            <v>EETJG23E01</v>
          </cell>
          <cell r="C179" t="str">
            <v>F010</v>
          </cell>
        </row>
        <row r="180">
          <cell r="B180" t="str">
            <v>EETJG23E01</v>
          </cell>
          <cell r="C180" t="str">
            <v>F010</v>
          </cell>
        </row>
        <row r="181">
          <cell r="B181" t="str">
            <v>EEYPG23E01</v>
          </cell>
          <cell r="C181" t="str">
            <v>F010</v>
          </cell>
        </row>
        <row r="182">
          <cell r="B182" t="str">
            <v>EEYWG24E02</v>
          </cell>
          <cell r="C182" t="str">
            <v>F010</v>
          </cell>
        </row>
        <row r="183">
          <cell r="B183" t="str">
            <v>EEYCG24E02</v>
          </cell>
          <cell r="C183" t="str">
            <v>F010</v>
          </cell>
        </row>
        <row r="184">
          <cell r="B184" t="str">
            <v>EEYCG24E02</v>
          </cell>
          <cell r="C184" t="str">
            <v>F010</v>
          </cell>
        </row>
        <row r="185">
          <cell r="B185" t="str">
            <v>EETJG23E07</v>
          </cell>
          <cell r="C185" t="str">
            <v>F010</v>
          </cell>
        </row>
        <row r="186">
          <cell r="B186" t="str">
            <v>EETJG23E07</v>
          </cell>
          <cell r="C186" t="str">
            <v>F010</v>
          </cell>
        </row>
        <row r="187">
          <cell r="B187" t="str">
            <v>EERAG23B04</v>
          </cell>
          <cell r="C187" t="str">
            <v>F010</v>
          </cell>
        </row>
        <row r="188">
          <cell r="B188" t="str">
            <v>EETCG23E1G</v>
          </cell>
          <cell r="C188" t="str">
            <v>F010</v>
          </cell>
        </row>
        <row r="189">
          <cell r="B189" t="str">
            <v>EEYWG25E2G</v>
          </cell>
          <cell r="C189" t="str">
            <v>F011</v>
          </cell>
        </row>
        <row r="190">
          <cell r="B190" t="str">
            <v>EEYWG25E1G</v>
          </cell>
          <cell r="C190" t="str">
            <v>F011</v>
          </cell>
        </row>
        <row r="191">
          <cell r="B191" t="str">
            <v>EEYWG25E3G</v>
          </cell>
          <cell r="C191" t="str">
            <v>F011</v>
          </cell>
        </row>
        <row r="192">
          <cell r="B192" t="str">
            <v>EETCG23E1G</v>
          </cell>
          <cell r="C192" t="str">
            <v>F011</v>
          </cell>
        </row>
        <row r="193">
          <cell r="B193" t="str">
            <v>EETCG23E1G</v>
          </cell>
          <cell r="C193" t="str">
            <v>F011</v>
          </cell>
        </row>
        <row r="194">
          <cell r="B194" t="str">
            <v>EEYCG25B1G</v>
          </cell>
          <cell r="C194" t="str">
            <v>F011</v>
          </cell>
        </row>
        <row r="195">
          <cell r="B195" t="str">
            <v>EERAG25B1G</v>
          </cell>
          <cell r="C195" t="str">
            <v>F011</v>
          </cell>
        </row>
        <row r="196">
          <cell r="B196" t="str">
            <v>EEHWG23E1G</v>
          </cell>
          <cell r="C196" t="str">
            <v>F011</v>
          </cell>
        </row>
        <row r="197">
          <cell r="B197" t="str">
            <v>EERAG25B1G</v>
          </cell>
          <cell r="C197" t="str">
            <v>F011</v>
          </cell>
        </row>
        <row r="198">
          <cell r="B198" t="str">
            <v>EEHWG23E1G</v>
          </cell>
          <cell r="C198" t="str">
            <v>F011</v>
          </cell>
        </row>
        <row r="199">
          <cell r="B199" t="str">
            <v>EEHWG23E1G</v>
          </cell>
          <cell r="C199" t="str">
            <v>F011</v>
          </cell>
        </row>
        <row r="200">
          <cell r="B200" t="str">
            <v>EEYWG25E3G</v>
          </cell>
          <cell r="C200" t="str">
            <v>F011</v>
          </cell>
        </row>
        <row r="201">
          <cell r="B201" t="str">
            <v>EEYSG25B1G</v>
          </cell>
          <cell r="C201" t="str">
            <v>F011</v>
          </cell>
        </row>
        <row r="202">
          <cell r="B202" t="str">
            <v>EEYWG25E1G</v>
          </cell>
          <cell r="C202" t="str">
            <v>F011</v>
          </cell>
        </row>
        <row r="203">
          <cell r="B203" t="str">
            <v>EEYWG25E1G</v>
          </cell>
          <cell r="C203" t="str">
            <v>F011</v>
          </cell>
        </row>
        <row r="204">
          <cell r="B204" t="str">
            <v>EEYSG25B1G</v>
          </cell>
          <cell r="C204" t="str">
            <v>F011</v>
          </cell>
        </row>
        <row r="205">
          <cell r="B205" t="str">
            <v>EERSG25B1G</v>
          </cell>
          <cell r="C205" t="str">
            <v>F011</v>
          </cell>
        </row>
        <row r="206">
          <cell r="B206" t="str">
            <v>EERSG25B1G</v>
          </cell>
          <cell r="C206" t="str">
            <v>F011</v>
          </cell>
        </row>
        <row r="207">
          <cell r="B207" t="str">
            <v>EEHWG23E1G</v>
          </cell>
          <cell r="C207" t="str">
            <v>F011</v>
          </cell>
        </row>
        <row r="208">
          <cell r="B208" t="str">
            <v>EEHWG25D2G</v>
          </cell>
          <cell r="C208" t="str">
            <v>F011</v>
          </cell>
        </row>
        <row r="209">
          <cell r="B209" t="str">
            <v>EEYSG12E1G</v>
          </cell>
          <cell r="C209" t="str">
            <v>F011</v>
          </cell>
        </row>
        <row r="210">
          <cell r="B210" t="str">
            <v>EERAG25B2G</v>
          </cell>
          <cell r="C210" t="str">
            <v>F011</v>
          </cell>
        </row>
        <row r="211">
          <cell r="B211" t="str">
            <v>EEHWG23E1G</v>
          </cell>
          <cell r="C211" t="str">
            <v>F011</v>
          </cell>
        </row>
        <row r="212">
          <cell r="B212" t="str">
            <v>EEYWG25E3G</v>
          </cell>
          <cell r="C212" t="str">
            <v>F011</v>
          </cell>
        </row>
        <row r="213">
          <cell r="B213" t="str">
            <v>EEHWG23E1G</v>
          </cell>
          <cell r="C213" t="str">
            <v>F011</v>
          </cell>
        </row>
        <row r="214">
          <cell r="B214" t="str">
            <v>EETCG23E1G</v>
          </cell>
          <cell r="C214" t="str">
            <v>F011</v>
          </cell>
        </row>
        <row r="215">
          <cell r="B215" t="str">
            <v>EETCG23E1G</v>
          </cell>
          <cell r="C215" t="str">
            <v>F011</v>
          </cell>
        </row>
        <row r="216">
          <cell r="B216" t="str">
            <v>EEYWG25E1G</v>
          </cell>
          <cell r="C216" t="str">
            <v>F011</v>
          </cell>
        </row>
        <row r="217">
          <cell r="B217" t="str">
            <v>EEYWG25E1G</v>
          </cell>
          <cell r="C217" t="str">
            <v>F011</v>
          </cell>
        </row>
        <row r="218">
          <cell r="B218" t="str">
            <v>EEYWG25E2G</v>
          </cell>
          <cell r="C218" t="str">
            <v>F011</v>
          </cell>
        </row>
        <row r="219">
          <cell r="B219" t="str">
            <v>EEKWG23E2G</v>
          </cell>
          <cell r="C219" t="str">
            <v>F012</v>
          </cell>
        </row>
        <row r="220">
          <cell r="B220" t="str">
            <v>EEKWG23E2G</v>
          </cell>
          <cell r="C220" t="str">
            <v>F012</v>
          </cell>
        </row>
        <row r="221">
          <cell r="B221" t="str">
            <v>EEKWG23E2G</v>
          </cell>
          <cell r="C221" t="str">
            <v>F012</v>
          </cell>
        </row>
        <row r="222">
          <cell r="B222" t="str">
            <v>EEKWG23E2G</v>
          </cell>
          <cell r="C222" t="str">
            <v>F012</v>
          </cell>
        </row>
        <row r="223">
          <cell r="B223" t="str">
            <v>EEHWG25B1G</v>
          </cell>
          <cell r="C223" t="str">
            <v>F012</v>
          </cell>
        </row>
        <row r="224">
          <cell r="B224" t="str">
            <v>EERAG23B2G</v>
          </cell>
          <cell r="C224" t="str">
            <v>F012</v>
          </cell>
        </row>
        <row r="225">
          <cell r="B225" t="str">
            <v>EETJG23E1G</v>
          </cell>
          <cell r="C225" t="str">
            <v>F012</v>
          </cell>
        </row>
        <row r="226">
          <cell r="B226" t="str">
            <v>EEYPG25B1G</v>
          </cell>
          <cell r="C226" t="str">
            <v>F012</v>
          </cell>
        </row>
        <row r="227">
          <cell r="B227" t="str">
            <v>EERAG23B2G</v>
          </cell>
          <cell r="C227" t="str">
            <v>F012</v>
          </cell>
        </row>
        <row r="228">
          <cell r="B228" t="str">
            <v>EEYPG12E1G</v>
          </cell>
          <cell r="C228" t="str">
            <v>F012</v>
          </cell>
        </row>
        <row r="229">
          <cell r="B229" t="str">
            <v>EETJG23E1G</v>
          </cell>
          <cell r="C229" t="str">
            <v>F012</v>
          </cell>
        </row>
        <row r="230">
          <cell r="B230" t="str">
            <v>EEHWG23B1G</v>
          </cell>
          <cell r="C230" t="str">
            <v>F012</v>
          </cell>
        </row>
        <row r="231">
          <cell r="B231" t="str">
            <v>EETJG23B1G</v>
          </cell>
          <cell r="C231" t="str">
            <v>F012</v>
          </cell>
        </row>
        <row r="232">
          <cell r="B232" t="str">
            <v>EETJG23B1G</v>
          </cell>
          <cell r="C232" t="str">
            <v>F012</v>
          </cell>
        </row>
        <row r="233">
          <cell r="B233" t="str">
            <v>EEYWG25E3G</v>
          </cell>
          <cell r="C233" t="str">
            <v>F012</v>
          </cell>
        </row>
        <row r="234">
          <cell r="B234" t="str">
            <v>EEJKG23B1G</v>
          </cell>
          <cell r="C234" t="str">
            <v>F012</v>
          </cell>
        </row>
        <row r="235">
          <cell r="B235" t="str">
            <v>EERAG25B2G</v>
          </cell>
          <cell r="C235" t="str">
            <v>F012</v>
          </cell>
        </row>
        <row r="236">
          <cell r="B236" t="str">
            <v>EERAG25E1G</v>
          </cell>
          <cell r="C236" t="str">
            <v>F012</v>
          </cell>
        </row>
        <row r="237">
          <cell r="B237" t="str">
            <v>EEHWG25B2G</v>
          </cell>
          <cell r="C237" t="str">
            <v>F012</v>
          </cell>
        </row>
        <row r="238">
          <cell r="B238" t="str">
            <v>EERAG25E1G</v>
          </cell>
          <cell r="C238" t="str">
            <v>F012</v>
          </cell>
        </row>
        <row r="239">
          <cell r="B239" t="str">
            <v>EERAG25E1G</v>
          </cell>
          <cell r="C239" t="str">
            <v>F012</v>
          </cell>
        </row>
        <row r="240">
          <cell r="B240" t="str">
            <v>EERSG23E1G</v>
          </cell>
          <cell r="C240" t="str">
            <v>F012</v>
          </cell>
        </row>
        <row r="241">
          <cell r="B241" t="str">
            <v>EEHWG25B2G</v>
          </cell>
          <cell r="C241" t="str">
            <v>F012</v>
          </cell>
        </row>
        <row r="242">
          <cell r="B242" t="str">
            <v>EERAG23B1G</v>
          </cell>
          <cell r="C242" t="str">
            <v>F012</v>
          </cell>
        </row>
        <row r="243">
          <cell r="B243" t="str">
            <v>EEHWG25B1G</v>
          </cell>
          <cell r="C243" t="str">
            <v>F012</v>
          </cell>
        </row>
        <row r="244">
          <cell r="B244" t="str">
            <v>EEHWG23E1G</v>
          </cell>
          <cell r="C244" t="str">
            <v>F012</v>
          </cell>
        </row>
        <row r="245">
          <cell r="B245" t="str">
            <v>EERSG23E1G</v>
          </cell>
          <cell r="C245" t="str">
            <v>F012</v>
          </cell>
        </row>
        <row r="246">
          <cell r="B246" t="str">
            <v>EEYWG25E1G</v>
          </cell>
          <cell r="C246" t="str">
            <v>F012</v>
          </cell>
        </row>
        <row r="247">
          <cell r="B247" t="str">
            <v>EEKWG24E03</v>
          </cell>
          <cell r="C247" t="str">
            <v>T001</v>
          </cell>
        </row>
        <row r="248">
          <cell r="B248" t="str">
            <v>EEKWG24E03</v>
          </cell>
          <cell r="C248" t="str">
            <v>T001</v>
          </cell>
        </row>
        <row r="249">
          <cell r="B249" t="str">
            <v>EEKWG24E03</v>
          </cell>
          <cell r="C249" t="str">
            <v>T001</v>
          </cell>
        </row>
        <row r="250">
          <cell r="B250" t="str">
            <v>EEKWG24E03</v>
          </cell>
          <cell r="C250" t="str">
            <v>T001</v>
          </cell>
        </row>
        <row r="251">
          <cell r="B251" t="str">
            <v>EEYWG25E03</v>
          </cell>
          <cell r="C251" t="str">
            <v>T001</v>
          </cell>
        </row>
        <row r="252">
          <cell r="B252" t="str">
            <v>EEYWG25E03</v>
          </cell>
          <cell r="C252" t="str">
            <v>T001</v>
          </cell>
        </row>
        <row r="253">
          <cell r="B253" t="str">
            <v>EEYWG25E03</v>
          </cell>
          <cell r="C253" t="str">
            <v>T001</v>
          </cell>
        </row>
        <row r="254">
          <cell r="B254" t="str">
            <v>EECKG25B04</v>
          </cell>
          <cell r="C254" t="str">
            <v>T001</v>
          </cell>
        </row>
        <row r="255">
          <cell r="B255" t="str">
            <v>EECKG25B04</v>
          </cell>
          <cell r="C255" t="str">
            <v>T001</v>
          </cell>
        </row>
        <row r="256">
          <cell r="B256" t="str">
            <v>EECKG25B04</v>
          </cell>
          <cell r="C256" t="str">
            <v>T001</v>
          </cell>
        </row>
        <row r="257">
          <cell r="B257" t="str">
            <v>EEABG23B1G</v>
          </cell>
          <cell r="C257" t="str">
            <v>T001</v>
          </cell>
        </row>
        <row r="258">
          <cell r="B258" t="str">
            <v>EEJKG24B01</v>
          </cell>
          <cell r="C258" t="str">
            <v>T001</v>
          </cell>
        </row>
        <row r="259">
          <cell r="B259" t="str">
            <v>EEJKG24B01</v>
          </cell>
          <cell r="C259" t="str">
            <v>T001</v>
          </cell>
        </row>
        <row r="260">
          <cell r="B260" t="str">
            <v>EETHG25E04</v>
          </cell>
          <cell r="C260" t="str">
            <v>T001</v>
          </cell>
        </row>
        <row r="261">
          <cell r="B261" t="str">
            <v>EETHG25E04</v>
          </cell>
          <cell r="C261" t="str">
            <v>T001</v>
          </cell>
        </row>
        <row r="262">
          <cell r="B262" t="str">
            <v>EETHG25E04</v>
          </cell>
          <cell r="C262" t="str">
            <v>T001</v>
          </cell>
        </row>
        <row r="263">
          <cell r="B263" t="str">
            <v>EERNG23E01</v>
          </cell>
          <cell r="C263" t="str">
            <v>T001</v>
          </cell>
        </row>
        <row r="264">
          <cell r="B264" t="str">
            <v>EERNG23E01</v>
          </cell>
          <cell r="C264" t="str">
            <v>T001</v>
          </cell>
        </row>
        <row r="265">
          <cell r="B265" t="str">
            <v>EERNG23E01</v>
          </cell>
          <cell r="C265" t="str">
            <v>T001</v>
          </cell>
        </row>
        <row r="266">
          <cell r="B266" t="str">
            <v>EEKWG24E02</v>
          </cell>
          <cell r="C266" t="str">
            <v>T001</v>
          </cell>
        </row>
        <row r="267">
          <cell r="B267" t="str">
            <v>EEKWG24E02</v>
          </cell>
          <cell r="C267" t="str">
            <v>T001</v>
          </cell>
        </row>
        <row r="268">
          <cell r="B268" t="str">
            <v>EEKWG24E02</v>
          </cell>
          <cell r="C268" t="str">
            <v>T001</v>
          </cell>
        </row>
        <row r="269">
          <cell r="B269" t="str">
            <v>EEAKF49M02</v>
          </cell>
          <cell r="C269" t="str">
            <v>T002</v>
          </cell>
        </row>
        <row r="270">
          <cell r="B270" t="str">
            <v>EEAKF49M03</v>
          </cell>
          <cell r="C270" t="str">
            <v>T002</v>
          </cell>
        </row>
        <row r="271">
          <cell r="B271" t="str">
            <v>EEYPG24E01</v>
          </cell>
          <cell r="C271" t="str">
            <v>T002</v>
          </cell>
        </row>
        <row r="272">
          <cell r="B272" t="str">
            <v>EEACG23E01</v>
          </cell>
          <cell r="C272" t="str">
            <v>T002</v>
          </cell>
        </row>
        <row r="273">
          <cell r="B273" t="str">
            <v>EERAG24E01</v>
          </cell>
          <cell r="C273" t="str">
            <v>T002</v>
          </cell>
        </row>
        <row r="274">
          <cell r="B274" t="str">
            <v>EERAG24E01</v>
          </cell>
          <cell r="C274" t="str">
            <v>T002</v>
          </cell>
        </row>
        <row r="275">
          <cell r="B275" t="str">
            <v>EERAG24E01</v>
          </cell>
          <cell r="C275" t="str">
            <v>T002</v>
          </cell>
        </row>
        <row r="276">
          <cell r="B276" t="str">
            <v>EERAG24E01</v>
          </cell>
          <cell r="C276" t="str">
            <v>T002</v>
          </cell>
        </row>
        <row r="277">
          <cell r="B277" t="str">
            <v>EEKWG24E01</v>
          </cell>
          <cell r="C277" t="str">
            <v>T002</v>
          </cell>
        </row>
        <row r="278">
          <cell r="B278" t="str">
            <v>EEKWG24E01</v>
          </cell>
          <cell r="C278" t="str">
            <v>T002</v>
          </cell>
        </row>
        <row r="279">
          <cell r="B279" t="str">
            <v>EEKWG24E01</v>
          </cell>
          <cell r="C279" t="str">
            <v>T002</v>
          </cell>
        </row>
        <row r="280">
          <cell r="B280" t="str">
            <v>EEKWG24E01</v>
          </cell>
          <cell r="C280" t="str">
            <v>T002</v>
          </cell>
        </row>
        <row r="281">
          <cell r="B281" t="str">
            <v>EEYPG23E01</v>
          </cell>
          <cell r="C281" t="str">
            <v>T002</v>
          </cell>
        </row>
        <row r="282">
          <cell r="B282" t="str">
            <v>EEYPG23E01</v>
          </cell>
          <cell r="C282" t="str">
            <v>T002</v>
          </cell>
        </row>
        <row r="283">
          <cell r="B283" t="str">
            <v>EEYPG23E01</v>
          </cell>
          <cell r="C283" t="str">
            <v>T002</v>
          </cell>
        </row>
        <row r="284">
          <cell r="B284" t="str">
            <v>EETJG24E01</v>
          </cell>
          <cell r="C284" t="str">
            <v>T002</v>
          </cell>
        </row>
        <row r="285">
          <cell r="B285" t="str">
            <v>EETJG24E01</v>
          </cell>
          <cell r="C285" t="str">
            <v>T002</v>
          </cell>
        </row>
        <row r="286">
          <cell r="B286" t="str">
            <v>EETJG24E01</v>
          </cell>
          <cell r="C286" t="str">
            <v>T003</v>
          </cell>
        </row>
        <row r="287">
          <cell r="B287" t="str">
            <v>EETJG24E01</v>
          </cell>
          <cell r="C287" t="str">
            <v>T003</v>
          </cell>
        </row>
        <row r="288">
          <cell r="B288" t="str">
            <v>EETJG24E01</v>
          </cell>
          <cell r="C288" t="str">
            <v>T003</v>
          </cell>
        </row>
        <row r="289">
          <cell r="B289" t="str">
            <v>EEVKG25E01</v>
          </cell>
          <cell r="C289" t="str">
            <v>T003</v>
          </cell>
        </row>
        <row r="290">
          <cell r="B290" t="str">
            <v>EEVKG25E01</v>
          </cell>
          <cell r="C290" t="str">
            <v>T003</v>
          </cell>
        </row>
        <row r="291">
          <cell r="B291" t="str">
            <v>EEVKG24E01</v>
          </cell>
          <cell r="C291" t="str">
            <v>T003</v>
          </cell>
        </row>
        <row r="292">
          <cell r="B292" t="str">
            <v>EEVKG24E01</v>
          </cell>
          <cell r="C292" t="str">
            <v>T003</v>
          </cell>
        </row>
        <row r="293">
          <cell r="B293" t="str">
            <v>EEVKG24E01</v>
          </cell>
          <cell r="C293" t="str">
            <v>T003</v>
          </cell>
        </row>
        <row r="294">
          <cell r="B294" t="str">
            <v>EEWHG25B08</v>
          </cell>
          <cell r="C294" t="str">
            <v>T003</v>
          </cell>
        </row>
        <row r="295">
          <cell r="B295" t="str">
            <v>EEYWG25E03</v>
          </cell>
          <cell r="C295" t="str">
            <v>T003</v>
          </cell>
        </row>
        <row r="296">
          <cell r="B296" t="str">
            <v>EERAG25B1G</v>
          </cell>
          <cell r="C296" t="str">
            <v>T003</v>
          </cell>
        </row>
        <row r="297">
          <cell r="B297" t="str">
            <v>EERAG25B1G</v>
          </cell>
          <cell r="C297" t="str">
            <v>T003</v>
          </cell>
        </row>
        <row r="298">
          <cell r="B298" t="str">
            <v>EERAG25B1G</v>
          </cell>
          <cell r="C298" t="str">
            <v>T003</v>
          </cell>
        </row>
        <row r="299">
          <cell r="B299" t="str">
            <v>EERAG25B1G</v>
          </cell>
          <cell r="C299" t="str">
            <v>T003</v>
          </cell>
        </row>
        <row r="300">
          <cell r="B300" t="str">
            <v>EERAG25B1G</v>
          </cell>
          <cell r="C300" t="str">
            <v>T003</v>
          </cell>
        </row>
        <row r="301">
          <cell r="B301" t="str">
            <v>EERAG12E1G</v>
          </cell>
          <cell r="C301" t="str">
            <v>T003</v>
          </cell>
        </row>
        <row r="302">
          <cell r="B302" t="str">
            <v>EERAG12E1G</v>
          </cell>
          <cell r="C302" t="str">
            <v>T003</v>
          </cell>
        </row>
        <row r="303">
          <cell r="B303" t="str">
            <v>EEACG23E01</v>
          </cell>
          <cell r="C303" t="str">
            <v>T003</v>
          </cell>
        </row>
        <row r="304">
          <cell r="B304" t="str">
            <v>EEACG23E01</v>
          </cell>
          <cell r="C304" t="str">
            <v>T003</v>
          </cell>
        </row>
        <row r="305">
          <cell r="B305" t="str">
            <v>EEACG23E01</v>
          </cell>
          <cell r="C305" t="str">
            <v>T003</v>
          </cell>
        </row>
        <row r="306">
          <cell r="B306" t="str">
            <v>EEACG23E01</v>
          </cell>
          <cell r="C306" t="str">
            <v>T003</v>
          </cell>
        </row>
        <row r="307">
          <cell r="B307" t="str">
            <v>EEOJG24E01</v>
          </cell>
          <cell r="C307" t="str">
            <v>H001</v>
          </cell>
        </row>
        <row r="308">
          <cell r="B308" t="str">
            <v>EEYWG25E02</v>
          </cell>
          <cell r="C308" t="str">
            <v>H001</v>
          </cell>
        </row>
        <row r="309">
          <cell r="B309" t="str">
            <v>EEWHG23B02</v>
          </cell>
          <cell r="C309" t="str">
            <v>H001</v>
          </cell>
        </row>
        <row r="310">
          <cell r="B310" t="str">
            <v>EEYWG25E01</v>
          </cell>
          <cell r="C310" t="str">
            <v>H001</v>
          </cell>
        </row>
        <row r="311">
          <cell r="B311" t="str">
            <v>EEYWG26B01</v>
          </cell>
          <cell r="C311" t="str">
            <v>H001</v>
          </cell>
        </row>
        <row r="312">
          <cell r="B312" t="str">
            <v>EEWHG64S02</v>
          </cell>
          <cell r="C312" t="str">
            <v>H001</v>
          </cell>
        </row>
        <row r="313">
          <cell r="B313" t="str">
            <v>EEYWG24E02</v>
          </cell>
          <cell r="C313" t="str">
            <v>H001</v>
          </cell>
        </row>
        <row r="314">
          <cell r="B314" t="str">
            <v>EEOJG24E01</v>
          </cell>
          <cell r="C314" t="str">
            <v>H001</v>
          </cell>
        </row>
        <row r="315">
          <cell r="B315" t="str">
            <v>EEWHG24E56</v>
          </cell>
          <cell r="C315" t="str">
            <v>H001</v>
          </cell>
        </row>
        <row r="316">
          <cell r="B316" t="str">
            <v>EEYPG24E01</v>
          </cell>
          <cell r="C316" t="str">
            <v>H001</v>
          </cell>
        </row>
        <row r="317">
          <cell r="B317" t="str">
            <v>EETAG24E02</v>
          </cell>
          <cell r="C317" t="str">
            <v>H002</v>
          </cell>
        </row>
        <row r="318">
          <cell r="B318" t="str">
            <v>EETAG24E02</v>
          </cell>
          <cell r="C318" t="str">
            <v>H002</v>
          </cell>
        </row>
        <row r="319">
          <cell r="B319" t="str">
            <v>EETHG25E04</v>
          </cell>
          <cell r="C319" t="str">
            <v>H002</v>
          </cell>
        </row>
        <row r="320">
          <cell r="B320" t="str">
            <v>EETHG25E04</v>
          </cell>
          <cell r="C320" t="str">
            <v>H002</v>
          </cell>
        </row>
        <row r="321">
          <cell r="B321" t="str">
            <v>EETAG24E02</v>
          </cell>
          <cell r="C321" t="str">
            <v>H002</v>
          </cell>
        </row>
        <row r="322">
          <cell r="B322" t="str">
            <v>EETAG24E02</v>
          </cell>
          <cell r="C322" t="str">
            <v>H002</v>
          </cell>
        </row>
        <row r="323">
          <cell r="B323" t="str">
            <v>EEWHG24E03</v>
          </cell>
          <cell r="C323" t="str">
            <v>H002</v>
          </cell>
        </row>
        <row r="324">
          <cell r="B324" t="str">
            <v>EEWHG24E03</v>
          </cell>
          <cell r="C324" t="str">
            <v>H002</v>
          </cell>
        </row>
        <row r="325">
          <cell r="B325" t="str">
            <v>EETCG23E01</v>
          </cell>
          <cell r="C325" t="str">
            <v>H002</v>
          </cell>
        </row>
        <row r="326">
          <cell r="B326" t="str">
            <v>EETCG24E01</v>
          </cell>
          <cell r="C326" t="str">
            <v>H002</v>
          </cell>
        </row>
        <row r="327">
          <cell r="B327" t="str">
            <v>EETCG23E01</v>
          </cell>
          <cell r="C327" t="str">
            <v>H002</v>
          </cell>
        </row>
        <row r="328">
          <cell r="B328" t="str">
            <v>EETCG23E01</v>
          </cell>
          <cell r="C328" t="str">
            <v>H002</v>
          </cell>
        </row>
        <row r="329">
          <cell r="B329" t="str">
            <v>EEWHG24E04</v>
          </cell>
          <cell r="C329" t="str">
            <v>H002</v>
          </cell>
        </row>
        <row r="330">
          <cell r="B330" t="str">
            <v>EEWHG24E04</v>
          </cell>
          <cell r="C330" t="str">
            <v>H002</v>
          </cell>
        </row>
        <row r="331">
          <cell r="B331" t="str">
            <v>EETAG24B03</v>
          </cell>
          <cell r="C331" t="str">
            <v>H002</v>
          </cell>
        </row>
        <row r="332">
          <cell r="B332" t="str">
            <v>EETAG24E04</v>
          </cell>
          <cell r="C332" t="str">
            <v>H002</v>
          </cell>
        </row>
        <row r="333">
          <cell r="B333" t="str">
            <v>EEWHG24E56</v>
          </cell>
          <cell r="C333" t="str">
            <v>H002</v>
          </cell>
        </row>
        <row r="334">
          <cell r="B334" t="str">
            <v>EETAG24E04</v>
          </cell>
          <cell r="C334" t="str">
            <v>H002</v>
          </cell>
        </row>
        <row r="335">
          <cell r="B335" t="str">
            <v>EETAG24E04</v>
          </cell>
          <cell r="C335" t="str">
            <v>H002</v>
          </cell>
        </row>
        <row r="336">
          <cell r="B336" t="str">
            <v>EETMG25B51</v>
          </cell>
          <cell r="C336" t="str">
            <v>H002</v>
          </cell>
        </row>
        <row r="337">
          <cell r="B337" t="str">
            <v>EETCG64S01</v>
          </cell>
          <cell r="C337" t="str">
            <v>H002</v>
          </cell>
        </row>
        <row r="338">
          <cell r="B338" t="str">
            <v>EEWHG23R31</v>
          </cell>
          <cell r="C338" t="str">
            <v>H002</v>
          </cell>
        </row>
        <row r="339">
          <cell r="B339" t="str">
            <v>EEWHG24E04</v>
          </cell>
          <cell r="C339" t="str">
            <v>H002</v>
          </cell>
        </row>
        <row r="340">
          <cell r="B340" t="str">
            <v>EEWHG24E04</v>
          </cell>
          <cell r="C340" t="str">
            <v>H002</v>
          </cell>
        </row>
        <row r="341">
          <cell r="B341" t="str">
            <v>EETAG24B03</v>
          </cell>
          <cell r="C341" t="str">
            <v>H002</v>
          </cell>
        </row>
        <row r="342">
          <cell r="B342" t="str">
            <v>EETAG24B03</v>
          </cell>
          <cell r="C342" t="str">
            <v>H002</v>
          </cell>
        </row>
        <row r="343">
          <cell r="B343" t="str">
            <v>EETCG23E02</v>
          </cell>
          <cell r="C343" t="str">
            <v>H002</v>
          </cell>
        </row>
        <row r="344">
          <cell r="B344" t="str">
            <v>EETAG24E02</v>
          </cell>
          <cell r="C344" t="str">
            <v>H002</v>
          </cell>
        </row>
        <row r="345">
          <cell r="B345" t="str">
            <v>EEWHG23E01</v>
          </cell>
          <cell r="C345" t="str">
            <v>H002</v>
          </cell>
        </row>
        <row r="346">
          <cell r="B346" t="str">
            <v>EETJG24E01</v>
          </cell>
          <cell r="C346" t="str">
            <v>H002</v>
          </cell>
        </row>
        <row r="347">
          <cell r="B347" t="str">
            <v>EETJG24E01</v>
          </cell>
          <cell r="C347" t="str">
            <v>H002</v>
          </cell>
        </row>
        <row r="348">
          <cell r="B348" t="str">
            <v>EETJG24E02</v>
          </cell>
          <cell r="C348" t="str">
            <v>H002</v>
          </cell>
        </row>
        <row r="349">
          <cell r="B349" t="str">
            <v>EETJG24E02</v>
          </cell>
          <cell r="C349" t="str">
            <v>H002</v>
          </cell>
        </row>
        <row r="350">
          <cell r="B350" t="str">
            <v>EETMG25B51</v>
          </cell>
          <cell r="C350" t="str">
            <v>H002</v>
          </cell>
        </row>
        <row r="351">
          <cell r="B351" t="str">
            <v>EETMG25B51</v>
          </cell>
          <cell r="C351" t="str">
            <v>H002</v>
          </cell>
        </row>
        <row r="352">
          <cell r="B352" t="str">
            <v>EETJG23E04</v>
          </cell>
          <cell r="C352" t="str">
            <v>H002</v>
          </cell>
        </row>
        <row r="353">
          <cell r="B353" t="str">
            <v>EETCG64S01</v>
          </cell>
          <cell r="C353" t="str">
            <v>H002</v>
          </cell>
        </row>
        <row r="354">
          <cell r="B354" t="str">
            <v>EETCG24E01</v>
          </cell>
          <cell r="C354" t="str">
            <v>H002</v>
          </cell>
        </row>
        <row r="355">
          <cell r="B355" t="str">
            <v>EETCG24E01</v>
          </cell>
          <cell r="C355" t="str">
            <v>H002</v>
          </cell>
        </row>
        <row r="356">
          <cell r="B356" t="str">
            <v>EETJG24B57</v>
          </cell>
          <cell r="C356" t="str">
            <v>H002</v>
          </cell>
        </row>
        <row r="357">
          <cell r="B357" t="str">
            <v>EETJG24B57</v>
          </cell>
          <cell r="C357" t="str">
            <v>H002</v>
          </cell>
        </row>
        <row r="358">
          <cell r="B358" t="str">
            <v>EETJG23E06</v>
          </cell>
          <cell r="C358" t="str">
            <v>H002</v>
          </cell>
        </row>
        <row r="359">
          <cell r="B359" t="str">
            <v>EETJG23E01</v>
          </cell>
          <cell r="C359" t="str">
            <v>H002</v>
          </cell>
        </row>
        <row r="360">
          <cell r="B360" t="str">
            <v>EETJG23E01</v>
          </cell>
          <cell r="C360" t="str">
            <v>H002</v>
          </cell>
        </row>
        <row r="361">
          <cell r="B361" t="str">
            <v>EETJG24E01</v>
          </cell>
          <cell r="C361" t="str">
            <v>H002</v>
          </cell>
        </row>
        <row r="362">
          <cell r="B362" t="str">
            <v>EETJG24E01</v>
          </cell>
          <cell r="C362" t="str">
            <v>H002</v>
          </cell>
        </row>
        <row r="363">
          <cell r="B363" t="str">
            <v>EETJG23E02</v>
          </cell>
          <cell r="C363" t="str">
            <v>H002</v>
          </cell>
        </row>
        <row r="364">
          <cell r="B364" t="str">
            <v>EETJG23B08</v>
          </cell>
          <cell r="C364" t="str">
            <v>H002</v>
          </cell>
        </row>
        <row r="365">
          <cell r="B365" t="str">
            <v>EETJG23E02</v>
          </cell>
          <cell r="C365" t="str">
            <v>H002</v>
          </cell>
        </row>
        <row r="366">
          <cell r="B366" t="str">
            <v>EETJG23E06</v>
          </cell>
          <cell r="C366" t="str">
            <v>H002</v>
          </cell>
        </row>
        <row r="367">
          <cell r="B367" t="str">
            <v>EETJG23E06</v>
          </cell>
          <cell r="C367" t="str">
            <v>H002</v>
          </cell>
        </row>
        <row r="368">
          <cell r="B368" t="str">
            <v>EETJG24B57</v>
          </cell>
          <cell r="C368" t="str">
            <v>H002</v>
          </cell>
        </row>
        <row r="369">
          <cell r="B369" t="str">
            <v>EETJG23E07</v>
          </cell>
          <cell r="C369" t="str">
            <v>H002</v>
          </cell>
        </row>
        <row r="370">
          <cell r="B370" t="str">
            <v>EETJG23E07</v>
          </cell>
          <cell r="C370" t="str">
            <v>H002</v>
          </cell>
        </row>
        <row r="371">
          <cell r="B371" t="str">
            <v>EETJG23E04</v>
          </cell>
          <cell r="C371" t="str">
            <v>H002</v>
          </cell>
        </row>
        <row r="372">
          <cell r="B372" t="str">
            <v>EETJG23E04</v>
          </cell>
          <cell r="C372" t="str">
            <v>H002</v>
          </cell>
        </row>
        <row r="373">
          <cell r="B373" t="str">
            <v>EEKWG24E02</v>
          </cell>
          <cell r="C373" t="str">
            <v>H003</v>
          </cell>
        </row>
        <row r="374">
          <cell r="B374" t="str">
            <v>EEOWG64S02</v>
          </cell>
          <cell r="C374" t="str">
            <v>H003</v>
          </cell>
        </row>
        <row r="375">
          <cell r="B375" t="str">
            <v>EEOWG64S02</v>
          </cell>
          <cell r="C375" t="str">
            <v>H003</v>
          </cell>
        </row>
        <row r="376">
          <cell r="B376" t="str">
            <v>EEOWG24E01</v>
          </cell>
          <cell r="C376" t="str">
            <v>H003</v>
          </cell>
        </row>
        <row r="377">
          <cell r="B377" t="str">
            <v>EEOWG24E01</v>
          </cell>
          <cell r="C377" t="str">
            <v>H003</v>
          </cell>
        </row>
        <row r="378">
          <cell r="B378" t="str">
            <v>EEOWG24B02</v>
          </cell>
          <cell r="C378" t="str">
            <v>H003</v>
          </cell>
        </row>
        <row r="379">
          <cell r="B379" t="str">
            <v>EEOWG24B02</v>
          </cell>
          <cell r="C379" t="str">
            <v>H003</v>
          </cell>
        </row>
        <row r="380">
          <cell r="B380" t="str">
            <v>EEOWG24E02</v>
          </cell>
          <cell r="C380" t="str">
            <v>H003</v>
          </cell>
        </row>
        <row r="381">
          <cell r="B381" t="str">
            <v>EEOWG24E02</v>
          </cell>
          <cell r="C381" t="str">
            <v>H003</v>
          </cell>
        </row>
        <row r="382">
          <cell r="B382" t="str">
            <v>EEOWG24E01</v>
          </cell>
          <cell r="C382" t="str">
            <v>H003</v>
          </cell>
        </row>
        <row r="383">
          <cell r="B383" t="str">
            <v>EEOWG24E01</v>
          </cell>
          <cell r="C383" t="str">
            <v>H003</v>
          </cell>
        </row>
        <row r="384">
          <cell r="B384" t="str">
            <v>EEYAG26B03</v>
          </cell>
          <cell r="C384" t="str">
            <v>H003</v>
          </cell>
        </row>
        <row r="385">
          <cell r="B385" t="str">
            <v>EEOWG25B09</v>
          </cell>
          <cell r="C385" t="str">
            <v>H003</v>
          </cell>
        </row>
        <row r="386">
          <cell r="B386" t="str">
            <v>EEYAG26B03</v>
          </cell>
          <cell r="C386" t="str">
            <v>H003</v>
          </cell>
        </row>
        <row r="387">
          <cell r="B387" t="str">
            <v>EEKWG24E03</v>
          </cell>
          <cell r="C387" t="str">
            <v>H003</v>
          </cell>
        </row>
        <row r="388">
          <cell r="B388" t="str">
            <v>EEKWG24E03</v>
          </cell>
          <cell r="C388" t="str">
            <v>H003</v>
          </cell>
        </row>
        <row r="389">
          <cell r="B389" t="str">
            <v>EEKWG24E03</v>
          </cell>
          <cell r="C389" t="str">
            <v>H003</v>
          </cell>
        </row>
        <row r="390">
          <cell r="B390" t="str">
            <v>EEKWG24E03</v>
          </cell>
          <cell r="C390" t="str">
            <v>H003</v>
          </cell>
        </row>
        <row r="391">
          <cell r="B391" t="str">
            <v>EEKWG24E03</v>
          </cell>
          <cell r="C391" t="str">
            <v>H003</v>
          </cell>
        </row>
        <row r="392">
          <cell r="B392" t="str">
            <v>EEKWG24E03</v>
          </cell>
          <cell r="C392" t="str">
            <v>H003</v>
          </cell>
        </row>
        <row r="393">
          <cell r="B393" t="str">
            <v>EEKWG24B51</v>
          </cell>
          <cell r="C393" t="str">
            <v>H003</v>
          </cell>
        </row>
        <row r="394">
          <cell r="B394" t="str">
            <v>EEKWG24B51</v>
          </cell>
          <cell r="C394" t="str">
            <v>H003</v>
          </cell>
        </row>
        <row r="395">
          <cell r="B395" t="str">
            <v>EEKWG24B51</v>
          </cell>
          <cell r="C395" t="str">
            <v>H003</v>
          </cell>
        </row>
        <row r="396">
          <cell r="B396" t="str">
            <v>EEKWG24B51</v>
          </cell>
          <cell r="C396" t="str">
            <v>H003</v>
          </cell>
        </row>
        <row r="397">
          <cell r="B397" t="str">
            <v>EEKWG24B51</v>
          </cell>
          <cell r="C397" t="str">
            <v>H003</v>
          </cell>
        </row>
        <row r="398">
          <cell r="B398" t="str">
            <v>EEVKG24E01</v>
          </cell>
          <cell r="C398" t="str">
            <v>H003</v>
          </cell>
        </row>
        <row r="399">
          <cell r="B399" t="str">
            <v>EEVKG24E01</v>
          </cell>
          <cell r="C399" t="str">
            <v>H003</v>
          </cell>
        </row>
        <row r="400">
          <cell r="B400" t="str">
            <v>EEVKG24E01</v>
          </cell>
          <cell r="C400" t="str">
            <v>H003</v>
          </cell>
        </row>
        <row r="401">
          <cell r="B401" t="str">
            <v>EEVKG24E01</v>
          </cell>
          <cell r="C401" t="str">
            <v>H003</v>
          </cell>
        </row>
        <row r="402">
          <cell r="B402" t="str">
            <v>EEKWG24E02</v>
          </cell>
          <cell r="C402" t="str">
            <v>H003</v>
          </cell>
        </row>
        <row r="403">
          <cell r="B403" t="str">
            <v>EEKWG24E02</v>
          </cell>
          <cell r="C403" t="str">
            <v>H003</v>
          </cell>
        </row>
        <row r="404">
          <cell r="B404" t="str">
            <v>EEKWG24E01</v>
          </cell>
          <cell r="C404" t="str">
            <v>H003</v>
          </cell>
        </row>
        <row r="405">
          <cell r="B405" t="str">
            <v>EEKWG24E01</v>
          </cell>
          <cell r="C405" t="str">
            <v>H003</v>
          </cell>
        </row>
        <row r="406">
          <cell r="B406" t="str">
            <v>EEKWG24E02</v>
          </cell>
          <cell r="C406" t="str">
            <v>H003</v>
          </cell>
        </row>
        <row r="407">
          <cell r="B407" t="str">
            <v>EEKWG24E02</v>
          </cell>
          <cell r="C407" t="str">
            <v>H003</v>
          </cell>
        </row>
        <row r="408">
          <cell r="B408" t="str">
            <v>EEKWG24E02</v>
          </cell>
          <cell r="C408" t="str">
            <v>H003</v>
          </cell>
        </row>
        <row r="409">
          <cell r="B409" t="str">
            <v>EEKWG24E02</v>
          </cell>
          <cell r="C409" t="str">
            <v>H003</v>
          </cell>
        </row>
        <row r="410">
          <cell r="B410" t="str">
            <v>EEKWG24E02</v>
          </cell>
          <cell r="C410" t="str">
            <v>H003</v>
          </cell>
        </row>
        <row r="411">
          <cell r="B411" t="str">
            <v>EEKWG24E02</v>
          </cell>
          <cell r="C411" t="str">
            <v>H003</v>
          </cell>
        </row>
        <row r="412">
          <cell r="B412" t="str">
            <v>EEWHG23E03</v>
          </cell>
          <cell r="C412" t="str">
            <v>H004</v>
          </cell>
        </row>
        <row r="413">
          <cell r="B413" t="str">
            <v>EEWHG23E03</v>
          </cell>
          <cell r="C413" t="str">
            <v>H004</v>
          </cell>
        </row>
        <row r="414">
          <cell r="B414" t="str">
            <v>EEWJG24E01</v>
          </cell>
          <cell r="C414" t="str">
            <v>H004</v>
          </cell>
        </row>
        <row r="415">
          <cell r="B415" t="str">
            <v>EEWJG24E01</v>
          </cell>
          <cell r="C415" t="str">
            <v>H004</v>
          </cell>
        </row>
        <row r="416">
          <cell r="B416" t="str">
            <v>EEWJG23B01</v>
          </cell>
          <cell r="C416" t="str">
            <v>H004</v>
          </cell>
        </row>
        <row r="417">
          <cell r="B417" t="str">
            <v>EETHG25E01</v>
          </cell>
          <cell r="C417" t="str">
            <v>H004</v>
          </cell>
        </row>
        <row r="418">
          <cell r="B418" t="str">
            <v>EETHG25E01</v>
          </cell>
          <cell r="C418" t="str">
            <v>H004</v>
          </cell>
        </row>
        <row r="419">
          <cell r="B419" t="str">
            <v>EETHG24E02</v>
          </cell>
          <cell r="C419" t="str">
            <v>H004</v>
          </cell>
        </row>
        <row r="420">
          <cell r="B420" t="str">
            <v>EETHG24E02</v>
          </cell>
          <cell r="C420" t="str">
            <v>H004</v>
          </cell>
        </row>
        <row r="421">
          <cell r="B421" t="str">
            <v>EETJG24E05</v>
          </cell>
          <cell r="C421" t="str">
            <v>H004</v>
          </cell>
        </row>
        <row r="422">
          <cell r="B422" t="str">
            <v>EETJG24E05</v>
          </cell>
          <cell r="C422" t="str">
            <v>H004</v>
          </cell>
        </row>
        <row r="423">
          <cell r="B423" t="str">
            <v>EETJG24E06</v>
          </cell>
          <cell r="C423" t="str">
            <v>H004</v>
          </cell>
        </row>
        <row r="424">
          <cell r="B424" t="str">
            <v>EETJG24E06</v>
          </cell>
          <cell r="C424" t="str">
            <v>H004</v>
          </cell>
        </row>
        <row r="425">
          <cell r="B425" t="str">
            <v>EETJG24E05</v>
          </cell>
          <cell r="C425" t="str">
            <v>H004</v>
          </cell>
        </row>
        <row r="426">
          <cell r="B426" t="str">
            <v>EEWHG25E52</v>
          </cell>
          <cell r="C426" t="str">
            <v>H004</v>
          </cell>
        </row>
        <row r="427">
          <cell r="B427" t="str">
            <v>EEWHG25E52</v>
          </cell>
          <cell r="C427" t="str">
            <v>H004</v>
          </cell>
        </row>
        <row r="428">
          <cell r="B428" t="str">
            <v>EEVKG25E01</v>
          </cell>
          <cell r="C428" t="str">
            <v>H004</v>
          </cell>
        </row>
        <row r="429">
          <cell r="B429" t="str">
            <v>EEVKG25E01</v>
          </cell>
          <cell r="C429" t="str">
            <v>H004</v>
          </cell>
        </row>
        <row r="430">
          <cell r="B430" t="str">
            <v>EEKWG24B52</v>
          </cell>
          <cell r="C430" t="str">
            <v>H004</v>
          </cell>
        </row>
        <row r="431">
          <cell r="B431" t="str">
            <v>EEKWG25E02</v>
          </cell>
          <cell r="C431" t="str">
            <v>H004</v>
          </cell>
        </row>
        <row r="432">
          <cell r="B432" t="str">
            <v>EEKWG25E02</v>
          </cell>
          <cell r="C432" t="str">
            <v>H004</v>
          </cell>
        </row>
        <row r="433">
          <cell r="B433" t="str">
            <v>EECKG23E02</v>
          </cell>
          <cell r="C433" t="str">
            <v>H004</v>
          </cell>
        </row>
        <row r="434">
          <cell r="B434" t="str">
            <v>EECKG23E02</v>
          </cell>
          <cell r="C434" t="str">
            <v>H004</v>
          </cell>
        </row>
        <row r="435">
          <cell r="B435" t="str">
            <v>EECKG23E02</v>
          </cell>
          <cell r="C435" t="str">
            <v>H004</v>
          </cell>
        </row>
        <row r="436">
          <cell r="B436" t="str">
            <v>EECKG23E02</v>
          </cell>
          <cell r="C436" t="str">
            <v>H004</v>
          </cell>
        </row>
        <row r="437">
          <cell r="B437" t="str">
            <v>EEKWG24B52</v>
          </cell>
          <cell r="C437" t="str">
            <v>H004</v>
          </cell>
        </row>
        <row r="438">
          <cell r="B438" t="str">
            <v>EEKWG24B52</v>
          </cell>
          <cell r="C438" t="str">
            <v>H004</v>
          </cell>
        </row>
        <row r="439">
          <cell r="B439" t="str">
            <v>EECKG23E02</v>
          </cell>
          <cell r="C439" t="str">
            <v>H004</v>
          </cell>
        </row>
        <row r="440">
          <cell r="B440" t="str">
            <v>EECKG23E02</v>
          </cell>
          <cell r="C440" t="str">
            <v>H004</v>
          </cell>
        </row>
        <row r="441">
          <cell r="B441" t="str">
            <v>EECKG23E02</v>
          </cell>
          <cell r="C441" t="str">
            <v>H004</v>
          </cell>
        </row>
        <row r="442">
          <cell r="B442" t="str">
            <v>EECKG23E02</v>
          </cell>
          <cell r="C442" t="str">
            <v>H004</v>
          </cell>
        </row>
        <row r="443">
          <cell r="B443" t="str">
            <v>EEYSG63S02</v>
          </cell>
          <cell r="C443" t="str">
            <v>H005</v>
          </cell>
        </row>
        <row r="444">
          <cell r="B444" t="str">
            <v>EEYSG63S02</v>
          </cell>
          <cell r="C444" t="str">
            <v>H005</v>
          </cell>
        </row>
        <row r="445">
          <cell r="B445" t="str">
            <v>EEYCG63S01</v>
          </cell>
          <cell r="C445" t="str">
            <v>H005</v>
          </cell>
        </row>
        <row r="446">
          <cell r="B446" t="str">
            <v>EEYSG23E01</v>
          </cell>
          <cell r="C446" t="str">
            <v>H005</v>
          </cell>
        </row>
        <row r="447">
          <cell r="B447" t="str">
            <v>EEYSG63S01</v>
          </cell>
          <cell r="C447" t="str">
            <v>H005</v>
          </cell>
        </row>
        <row r="448">
          <cell r="B448" t="str">
            <v>EEYSG23E01</v>
          </cell>
          <cell r="C448" t="str">
            <v>H005</v>
          </cell>
        </row>
        <row r="449">
          <cell r="B449" t="str">
            <v>EEYSG23E01</v>
          </cell>
          <cell r="C449" t="str">
            <v>H005</v>
          </cell>
        </row>
        <row r="450">
          <cell r="B450" t="str">
            <v>EEYSG23E01</v>
          </cell>
          <cell r="C450" t="str">
            <v>H005</v>
          </cell>
        </row>
        <row r="451">
          <cell r="B451" t="str">
            <v>EEYSG23E01</v>
          </cell>
          <cell r="C451" t="str">
            <v>H005</v>
          </cell>
        </row>
        <row r="452">
          <cell r="B452" t="str">
            <v>EEYSG63S02</v>
          </cell>
          <cell r="C452" t="str">
            <v>H005</v>
          </cell>
        </row>
        <row r="453">
          <cell r="B453" t="str">
            <v>EEYSG63S02</v>
          </cell>
          <cell r="C453" t="str">
            <v>H005</v>
          </cell>
        </row>
        <row r="454">
          <cell r="B454" t="str">
            <v>EEYSG63S02</v>
          </cell>
          <cell r="C454" t="str">
            <v>H005</v>
          </cell>
        </row>
        <row r="455">
          <cell r="B455" t="str">
            <v>EEYSG63S02</v>
          </cell>
          <cell r="C455" t="str">
            <v>H005</v>
          </cell>
        </row>
        <row r="456">
          <cell r="B456" t="str">
            <v>EEYCG63S01</v>
          </cell>
          <cell r="C456" t="str">
            <v>H005</v>
          </cell>
        </row>
        <row r="457">
          <cell r="B457" t="str">
            <v>EEYCG63S01</v>
          </cell>
          <cell r="C457" t="str">
            <v>H005</v>
          </cell>
        </row>
        <row r="458">
          <cell r="B458" t="str">
            <v>EEJAG24B03</v>
          </cell>
          <cell r="C458" t="str">
            <v>H005</v>
          </cell>
        </row>
        <row r="459">
          <cell r="B459" t="str">
            <v>EEJAG24B03</v>
          </cell>
          <cell r="C459" t="str">
            <v>H005</v>
          </cell>
        </row>
        <row r="460">
          <cell r="B460" t="str">
            <v>EEJAG24B03</v>
          </cell>
          <cell r="C460" t="str">
            <v>H005</v>
          </cell>
        </row>
        <row r="461">
          <cell r="B461" t="str">
            <v>EEJAG24B03</v>
          </cell>
          <cell r="C461" t="str">
            <v>H005</v>
          </cell>
        </row>
        <row r="462">
          <cell r="B462" t="str">
            <v>EEJAG24B01</v>
          </cell>
          <cell r="C462" t="str">
            <v>H005</v>
          </cell>
        </row>
        <row r="463">
          <cell r="B463" t="str">
            <v>EEJAG24B01</v>
          </cell>
          <cell r="C463" t="str">
            <v>H005</v>
          </cell>
        </row>
        <row r="464">
          <cell r="B464" t="str">
            <v>EETKG25D01</v>
          </cell>
          <cell r="C464" t="str">
            <v>H005</v>
          </cell>
        </row>
        <row r="465">
          <cell r="B465" t="str">
            <v>EETKG25D01</v>
          </cell>
          <cell r="C465" t="str">
            <v>H005</v>
          </cell>
        </row>
        <row r="466">
          <cell r="B466" t="str">
            <v>EEOWG25B10</v>
          </cell>
          <cell r="C466" t="str">
            <v>H005</v>
          </cell>
        </row>
        <row r="467">
          <cell r="B467" t="str">
            <v>EEOWG25B10</v>
          </cell>
          <cell r="C467" t="str">
            <v>H005</v>
          </cell>
        </row>
        <row r="468">
          <cell r="B468" t="str">
            <v>EEYCG24E01</v>
          </cell>
          <cell r="C468" t="str">
            <v>H005</v>
          </cell>
        </row>
        <row r="469">
          <cell r="B469" t="str">
            <v>EEKWG24B08</v>
          </cell>
          <cell r="C469" t="str">
            <v>H005</v>
          </cell>
        </row>
        <row r="470">
          <cell r="B470" t="str">
            <v>EEKWG24B08</v>
          </cell>
          <cell r="C470" t="str">
            <v>H005</v>
          </cell>
        </row>
        <row r="471">
          <cell r="B471" t="str">
            <v>EEHWG24E02</v>
          </cell>
          <cell r="C471" t="str">
            <v>H005</v>
          </cell>
        </row>
        <row r="472">
          <cell r="B472" t="str">
            <v>EEKWG24Q93</v>
          </cell>
          <cell r="C472" t="str">
            <v>H005</v>
          </cell>
        </row>
        <row r="473">
          <cell r="B473" t="str">
            <v>EEKWG24Q93</v>
          </cell>
          <cell r="C473" t="str">
            <v>H005</v>
          </cell>
        </row>
        <row r="474">
          <cell r="B474" t="str">
            <v>EEKWG23E01</v>
          </cell>
          <cell r="C474" t="str">
            <v>H005</v>
          </cell>
        </row>
        <row r="475">
          <cell r="B475" t="str">
            <v>EEKWG23E01</v>
          </cell>
          <cell r="C475" t="str">
            <v>H005</v>
          </cell>
        </row>
        <row r="476">
          <cell r="B476" t="str">
            <v>EEKWG62S01</v>
          </cell>
          <cell r="C476" t="str">
            <v>H005</v>
          </cell>
        </row>
        <row r="477">
          <cell r="B477" t="str">
            <v>EEKWG23E01</v>
          </cell>
          <cell r="C477" t="str">
            <v>H005</v>
          </cell>
        </row>
        <row r="478">
          <cell r="B478" t="str">
            <v>EEKWG23E01</v>
          </cell>
          <cell r="C478" t="str">
            <v>H005</v>
          </cell>
        </row>
        <row r="479">
          <cell r="B479" t="str">
            <v>EEKWG64L03</v>
          </cell>
          <cell r="C479" t="str">
            <v>H005</v>
          </cell>
        </row>
        <row r="480">
          <cell r="B480" t="str">
            <v>EEKWG64L03</v>
          </cell>
          <cell r="C480" t="str">
            <v>H005</v>
          </cell>
        </row>
        <row r="481">
          <cell r="B481" t="str">
            <v>EEKWG64L03</v>
          </cell>
          <cell r="C481" t="str">
            <v>H005</v>
          </cell>
        </row>
        <row r="482">
          <cell r="B482" t="str">
            <v>EEKWG62S01</v>
          </cell>
          <cell r="C482" t="str">
            <v>H005</v>
          </cell>
        </row>
        <row r="483">
          <cell r="B483" t="str">
            <v>EEKWG62S01</v>
          </cell>
          <cell r="C483" t="str">
            <v>H005</v>
          </cell>
        </row>
        <row r="484">
          <cell r="B484" t="str">
            <v>EEKWG24E01</v>
          </cell>
          <cell r="C484" t="str">
            <v>H005</v>
          </cell>
        </row>
        <row r="485">
          <cell r="B485" t="str">
            <v>EEKWG64S02</v>
          </cell>
          <cell r="C485" t="str">
            <v>H005</v>
          </cell>
        </row>
        <row r="486">
          <cell r="B486" t="str">
            <v>EEKWG24E01</v>
          </cell>
          <cell r="C486" t="str">
            <v>H005</v>
          </cell>
        </row>
        <row r="487">
          <cell r="B487" t="str">
            <v>EEKWG24E01</v>
          </cell>
          <cell r="C487" t="str">
            <v>H005</v>
          </cell>
        </row>
        <row r="488">
          <cell r="B488" t="str">
            <v>EERAG24E04</v>
          </cell>
          <cell r="C488" t="str">
            <v>H009</v>
          </cell>
        </row>
        <row r="489">
          <cell r="B489" t="str">
            <v>EEWJG24E01</v>
          </cell>
          <cell r="C489" t="str">
            <v>H009</v>
          </cell>
        </row>
        <row r="490">
          <cell r="B490" t="str">
            <v>EEYCG23E01</v>
          </cell>
          <cell r="C490" t="str">
            <v>H009</v>
          </cell>
        </row>
        <row r="491">
          <cell r="B491" t="str">
            <v>EEYCG23E01</v>
          </cell>
          <cell r="C491" t="str">
            <v>H009</v>
          </cell>
        </row>
        <row r="492">
          <cell r="B492" t="str">
            <v>EECKG23E01</v>
          </cell>
          <cell r="C492" t="str">
            <v>H009</v>
          </cell>
        </row>
        <row r="493">
          <cell r="B493" t="str">
            <v>EECKG23E01</v>
          </cell>
          <cell r="C493" t="str">
            <v>H009</v>
          </cell>
        </row>
        <row r="494">
          <cell r="B494" t="str">
            <v>EECKG23E01</v>
          </cell>
          <cell r="C494" t="str">
            <v>H009</v>
          </cell>
        </row>
        <row r="495">
          <cell r="B495" t="str">
            <v>EECKG23E01</v>
          </cell>
          <cell r="C495" t="str">
            <v>H009</v>
          </cell>
        </row>
        <row r="496">
          <cell r="B496" t="str">
            <v>EELAG64S01</v>
          </cell>
          <cell r="C496" t="str">
            <v>H009</v>
          </cell>
        </row>
        <row r="497">
          <cell r="B497" t="str">
            <v>EEKWG24B09</v>
          </cell>
          <cell r="C497" t="str">
            <v>H009</v>
          </cell>
        </row>
        <row r="498">
          <cell r="B498" t="str">
            <v>EELAG23E01</v>
          </cell>
          <cell r="C498" t="str">
            <v>H009</v>
          </cell>
        </row>
        <row r="499">
          <cell r="B499" t="str">
            <v>EELAG23E01</v>
          </cell>
          <cell r="C499" t="str">
            <v>H009</v>
          </cell>
        </row>
        <row r="500">
          <cell r="B500" t="str">
            <v>EEKWG23E01</v>
          </cell>
          <cell r="C500" t="str">
            <v>H009</v>
          </cell>
        </row>
        <row r="501">
          <cell r="B501" t="str">
            <v>EERAG23E01</v>
          </cell>
          <cell r="C501" t="str">
            <v>H009</v>
          </cell>
        </row>
        <row r="502">
          <cell r="B502" t="str">
            <v>EERAG23E01</v>
          </cell>
          <cell r="C502" t="str">
            <v>H009</v>
          </cell>
        </row>
        <row r="503">
          <cell r="B503" t="str">
            <v>EERAG64S01</v>
          </cell>
          <cell r="C503" t="str">
            <v>H009</v>
          </cell>
        </row>
        <row r="504">
          <cell r="B504" t="str">
            <v>EELAG23E01</v>
          </cell>
          <cell r="C504" t="str">
            <v>H009</v>
          </cell>
        </row>
        <row r="505">
          <cell r="B505" t="str">
            <v>EERAG24E01</v>
          </cell>
          <cell r="C505" t="str">
            <v>H009</v>
          </cell>
        </row>
        <row r="506">
          <cell r="B506" t="str">
            <v>EERAG64S01</v>
          </cell>
          <cell r="C506" t="str">
            <v>H009</v>
          </cell>
        </row>
        <row r="507">
          <cell r="B507" t="str">
            <v>EERSG23E01</v>
          </cell>
          <cell r="C507" t="str">
            <v>H009</v>
          </cell>
        </row>
        <row r="508">
          <cell r="B508" t="str">
            <v>EERSG23E01</v>
          </cell>
          <cell r="C508" t="str">
            <v>H009</v>
          </cell>
        </row>
        <row r="509">
          <cell r="B509" t="str">
            <v>EERSG23E01</v>
          </cell>
          <cell r="C509" t="str">
            <v>H009</v>
          </cell>
        </row>
        <row r="510">
          <cell r="B510" t="str">
            <v>EERAG23E01</v>
          </cell>
          <cell r="C510" t="str">
            <v>H009</v>
          </cell>
        </row>
        <row r="511">
          <cell r="B511" t="str">
            <v>EERAG23E01</v>
          </cell>
          <cell r="C511" t="str">
            <v>H009</v>
          </cell>
        </row>
        <row r="512">
          <cell r="B512" t="str">
            <v>EERAG25E01</v>
          </cell>
          <cell r="C512" t="str">
            <v>H009</v>
          </cell>
        </row>
        <row r="513">
          <cell r="B513" t="str">
            <v>EERSG64S01</v>
          </cell>
          <cell r="C513" t="str">
            <v>H009</v>
          </cell>
        </row>
        <row r="514">
          <cell r="B514" t="str">
            <v>EERAG23E02</v>
          </cell>
          <cell r="C514" t="str">
            <v>H009</v>
          </cell>
        </row>
        <row r="515">
          <cell r="B515" t="str">
            <v>EERAG24B06</v>
          </cell>
          <cell r="C515" t="str">
            <v>H009</v>
          </cell>
        </row>
        <row r="516">
          <cell r="B516" t="str">
            <v>EERAG24B06</v>
          </cell>
          <cell r="C516" t="str">
            <v>H009</v>
          </cell>
        </row>
        <row r="517">
          <cell r="B517" t="str">
            <v>EERAG25E03</v>
          </cell>
          <cell r="C517" t="str">
            <v>H009</v>
          </cell>
        </row>
        <row r="518">
          <cell r="B518" t="str">
            <v>EERAG25E03</v>
          </cell>
          <cell r="C518" t="str">
            <v>H009</v>
          </cell>
        </row>
        <row r="519">
          <cell r="B519" t="str">
            <v>EERAG23B04</v>
          </cell>
          <cell r="C519" t="str">
            <v>H009</v>
          </cell>
        </row>
        <row r="520">
          <cell r="B520" t="str">
            <v>EERAG23E02</v>
          </cell>
          <cell r="C520" t="str">
            <v>H009</v>
          </cell>
        </row>
        <row r="521">
          <cell r="B521" t="str">
            <v>EERAG23E02</v>
          </cell>
          <cell r="C521" t="str">
            <v>H009</v>
          </cell>
        </row>
        <row r="522">
          <cell r="B522" t="str">
            <v>EERAG26B02</v>
          </cell>
          <cell r="C522" t="str">
            <v>H009</v>
          </cell>
        </row>
        <row r="523">
          <cell r="B523" t="str">
            <v>EERAG26B02</v>
          </cell>
          <cell r="C523" t="str">
            <v>H009</v>
          </cell>
        </row>
        <row r="524">
          <cell r="B524" t="str">
            <v>EERAG24E04</v>
          </cell>
          <cell r="C524" t="str">
            <v>H009</v>
          </cell>
        </row>
        <row r="525">
          <cell r="B525" t="str">
            <v>EERAG24E04</v>
          </cell>
          <cell r="C525" t="str">
            <v>H009</v>
          </cell>
        </row>
        <row r="526">
          <cell r="B526" t="str">
            <v>EERAG26B02</v>
          </cell>
          <cell r="C526" t="str">
            <v>H009</v>
          </cell>
        </row>
        <row r="527">
          <cell r="B527" t="str">
            <v>EETJG24E06</v>
          </cell>
          <cell r="C527" t="str">
            <v>H009</v>
          </cell>
        </row>
        <row r="528">
          <cell r="B528" t="str">
            <v>EERAG25E01</v>
          </cell>
          <cell r="C528" t="str">
            <v>H009</v>
          </cell>
        </row>
        <row r="529">
          <cell r="B529" t="str">
            <v>EEVWG24E01</v>
          </cell>
          <cell r="C529" t="str">
            <v>M001</v>
          </cell>
        </row>
        <row r="530">
          <cell r="B530" t="str">
            <v>EEWHG24E02</v>
          </cell>
          <cell r="C530" t="str">
            <v>M001</v>
          </cell>
        </row>
        <row r="531">
          <cell r="B531" t="str">
            <v>EEYPG24E01</v>
          </cell>
          <cell r="C531" t="str">
            <v>M002</v>
          </cell>
        </row>
        <row r="532">
          <cell r="B532" t="str">
            <v>EETJG24E01</v>
          </cell>
          <cell r="C532" t="str">
            <v>M002</v>
          </cell>
        </row>
        <row r="533">
          <cell r="B533" t="str">
            <v>EEYWG25E1G</v>
          </cell>
          <cell r="C533" t="str">
            <v>M004</v>
          </cell>
        </row>
        <row r="534">
          <cell r="B534" t="str">
            <v>EEKWG23E2G</v>
          </cell>
          <cell r="C534" t="str">
            <v>M004</v>
          </cell>
        </row>
        <row r="535">
          <cell r="B535" t="str">
            <v>EETHG23B1G</v>
          </cell>
          <cell r="C535" t="str">
            <v>M004</v>
          </cell>
        </row>
        <row r="536">
          <cell r="B536" t="str">
            <v>EEAKG25B01</v>
          </cell>
          <cell r="C536" t="str">
            <v>M005</v>
          </cell>
        </row>
        <row r="537">
          <cell r="B537" t="str">
            <v>EETCG24E06</v>
          </cell>
          <cell r="C537" t="str">
            <v>M005</v>
          </cell>
        </row>
        <row r="538">
          <cell r="B538" t="str">
            <v>EEVKG25E01</v>
          </cell>
          <cell r="C538" t="str">
            <v>M005</v>
          </cell>
        </row>
        <row r="539">
          <cell r="B539" t="str">
            <v>EEOWG25B04</v>
          </cell>
          <cell r="C539" t="str">
            <v>M006</v>
          </cell>
        </row>
        <row r="540">
          <cell r="B540" t="str">
            <v>EEOWG25B13</v>
          </cell>
          <cell r="C540" t="str">
            <v>M008</v>
          </cell>
        </row>
        <row r="541">
          <cell r="B541" t="str">
            <v>EERNG23E01</v>
          </cell>
          <cell r="C541" t="str">
            <v>M009</v>
          </cell>
        </row>
        <row r="542">
          <cell r="B542" t="str">
            <v>EEYWG24E01</v>
          </cell>
          <cell r="C542" t="str">
            <v>M009</v>
          </cell>
        </row>
        <row r="543">
          <cell r="B543" t="str">
            <v>EETHG25E04</v>
          </cell>
          <cell r="C543" t="str">
            <v>M009</v>
          </cell>
        </row>
        <row r="544">
          <cell r="B544" t="str">
            <v>EEKWG25E02</v>
          </cell>
          <cell r="C544" t="str">
            <v>M010</v>
          </cell>
        </row>
        <row r="545">
          <cell r="B545" t="str">
            <v>EEWHG25E01</v>
          </cell>
          <cell r="C545" t="str">
            <v>M010</v>
          </cell>
        </row>
        <row r="546">
          <cell r="B546" t="str">
            <v>EEYWG25E3G</v>
          </cell>
          <cell r="C546" t="str">
            <v>M011</v>
          </cell>
        </row>
        <row r="547">
          <cell r="B547" t="str">
            <v>EERAG25B1G</v>
          </cell>
          <cell r="C547" t="str">
            <v>M011</v>
          </cell>
        </row>
        <row r="548">
          <cell r="B548" t="str">
            <v>EETJG23B1G</v>
          </cell>
          <cell r="C548" t="str">
            <v>M011</v>
          </cell>
        </row>
        <row r="549">
          <cell r="B549" t="str">
            <v>EERAG23B2G</v>
          </cell>
          <cell r="C549" t="str">
            <v>M012</v>
          </cell>
        </row>
        <row r="550">
          <cell r="B550" t="str">
            <v>EEHWG23B1G</v>
          </cell>
          <cell r="C550" t="str">
            <v>M012</v>
          </cell>
        </row>
        <row r="551">
          <cell r="B551" t="str">
            <v>EETJG25E1G</v>
          </cell>
          <cell r="C551" t="str">
            <v>M012</v>
          </cell>
        </row>
        <row r="552">
          <cell r="B552" t="str">
            <v>EEYPG25B1G</v>
          </cell>
          <cell r="C552" t="str">
            <v>M013</v>
          </cell>
        </row>
        <row r="553">
          <cell r="B553" t="str">
            <v>EERSG23E1G</v>
          </cell>
          <cell r="C553" t="str">
            <v>M013</v>
          </cell>
        </row>
        <row r="554">
          <cell r="B554" t="str">
            <v>EEABG23B1G</v>
          </cell>
          <cell r="C554" t="str">
            <v>M013</v>
          </cell>
        </row>
        <row r="555">
          <cell r="B555" t="str">
            <v>EETHG23B1G</v>
          </cell>
          <cell r="C555" t="str">
            <v>M013</v>
          </cell>
        </row>
        <row r="556">
          <cell r="B556" t="str"/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📦 진열 데이터">
    <outlinePr summaryBelow="1" summaryRight="1"/>
    <pageSetUpPr/>
  </sheetPr>
  <dimension ref="A1:E555"/>
  <sheetViews>
    <sheetView topLeftCell="A550" workbookViewId="0">
      <selection activeCell="G557" sqref="G557"/>
    </sheetView>
  </sheetViews>
  <sheetFormatPr baseColWidth="8" defaultColWidth="13.7142857142857" defaultRowHeight="18" customHeight="1"/>
  <cols>
    <col width="10.7142857142857" customWidth="1" style="103" min="1" max="1"/>
    <col width="23.4285714285714" customWidth="1" style="103" min="2" max="2"/>
    <col width="24.7142857142857" customWidth="1" style="103" min="3" max="3"/>
    <col width="12.4285714285714" customWidth="1" style="103" min="4" max="4"/>
  </cols>
  <sheetData>
    <row r="1" ht="15" customHeight="1" s="103">
      <c r="A1" s="88" t="inlineStr">
        <is>
          <t>← 수동 입력</t>
        </is>
      </c>
      <c r="C1" s="89" t="inlineStr">
        <is>
          <t>← 바코드 스캔</t>
        </is>
      </c>
      <c r="D1" s="90" t="inlineStr">
        <is>
          <t>← 직접 카운트</t>
        </is>
      </c>
      <c r="E1" s="46" t="inlineStr">
        <is>
          <t>← 자동 매핑</t>
        </is>
      </c>
    </row>
    <row r="2" ht="27.75" customHeight="1" s="103">
      <c r="A2" s="91" t="inlineStr">
        <is>
          <t>집기 ID</t>
        </is>
      </c>
      <c r="B2" s="92" t="inlineStr">
        <is>
          <t>집기 종류</t>
        </is>
      </c>
      <c r="C2" s="92" t="inlineStr">
        <is>
          <t>바코드 (상품코드)</t>
        </is>
      </c>
      <c r="D2" s="92" t="inlineStr">
        <is>
          <t>진열수량</t>
        </is>
      </c>
      <c r="E2" s="46" t="inlineStr">
        <is>
          <t>존 (Zone)</t>
        </is>
      </c>
    </row>
    <row r="3" ht="18.75" customFormat="1" customHeight="1" s="98">
      <c r="A3" s="93" t="inlineStr">
        <is>
          <t>F001</t>
        </is>
      </c>
      <c r="B3" s="94" t="inlineStr">
        <is>
          <t>FACE</t>
        </is>
      </c>
      <c r="C3" s="93" t="inlineStr">
        <is>
          <t>EEVWG24E0159165</t>
        </is>
      </c>
      <c r="D3" s="95" t="n">
        <v>1</v>
      </c>
      <c r="E3" s="46" t="inlineStr">
        <is>
          <t>여성존</t>
        </is>
      </c>
    </row>
    <row r="4" ht="18.75" customFormat="1" customHeight="1" s="98">
      <c r="A4" s="93" t="inlineStr">
        <is>
          <t>F001</t>
        </is>
      </c>
      <c r="B4" s="94" t="inlineStr">
        <is>
          <t>FACE</t>
        </is>
      </c>
      <c r="C4" s="93" t="inlineStr">
        <is>
          <t>EEVWG24E0139165</t>
        </is>
      </c>
      <c r="D4" s="95" t="n">
        <v>1</v>
      </c>
      <c r="E4" s="46" t="inlineStr">
        <is>
          <t>여성존</t>
        </is>
      </c>
    </row>
    <row r="5" ht="18.75" customFormat="1" customHeight="1" s="98">
      <c r="A5" s="93" t="inlineStr">
        <is>
          <t>F001</t>
        </is>
      </c>
      <c r="B5" s="94" t="inlineStr">
        <is>
          <t>FACE</t>
        </is>
      </c>
      <c r="C5" s="93" t="inlineStr">
        <is>
          <t>EEYWG25E0339160</t>
        </is>
      </c>
      <c r="D5" s="95" t="n">
        <v>1</v>
      </c>
      <c r="E5" s="46" t="inlineStr">
        <is>
          <t>여성존</t>
        </is>
      </c>
    </row>
    <row r="6" ht="18.75" customFormat="1" customHeight="1" s="98">
      <c r="A6" s="93" t="inlineStr">
        <is>
          <t>F001</t>
        </is>
      </c>
      <c r="B6" s="94" t="inlineStr">
        <is>
          <t>FACE</t>
        </is>
      </c>
      <c r="C6" s="93" t="inlineStr">
        <is>
          <t>EEWHG24E0239160</t>
        </is>
      </c>
      <c r="D6" s="95" t="n">
        <v>1</v>
      </c>
      <c r="E6" s="46" t="inlineStr">
        <is>
          <t>여성존</t>
        </is>
      </c>
    </row>
    <row r="7" ht="18.75" customFormat="1" customHeight="1" s="98">
      <c r="A7" s="93" t="inlineStr">
        <is>
          <t>F001</t>
        </is>
      </c>
      <c r="B7" s="94" t="inlineStr">
        <is>
          <t>FACE</t>
        </is>
      </c>
      <c r="C7" s="93" t="inlineStr">
        <is>
          <t>EERAG24E0439170</t>
        </is>
      </c>
      <c r="D7" s="95" t="n">
        <v>1</v>
      </c>
      <c r="E7" s="46" t="inlineStr">
        <is>
          <t>여성존</t>
        </is>
      </c>
    </row>
    <row r="8" ht="18.75" customFormat="1" customHeight="1" s="98">
      <c r="A8" s="93" t="inlineStr">
        <is>
          <t>F001</t>
        </is>
      </c>
      <c r="B8" s="94" t="inlineStr">
        <is>
          <t>FACE</t>
        </is>
      </c>
      <c r="C8" s="93" t="inlineStr">
        <is>
          <t>EEYWG25E0159165</t>
        </is>
      </c>
      <c r="D8" s="95" t="n">
        <v>1</v>
      </c>
      <c r="E8" s="46" t="inlineStr">
        <is>
          <t>여성존</t>
        </is>
      </c>
    </row>
    <row r="9" ht="18.75" customFormat="1" customHeight="1" s="98">
      <c r="A9" s="93" t="inlineStr">
        <is>
          <t>F001</t>
        </is>
      </c>
      <c r="B9" s="94" t="inlineStr">
        <is>
          <t>FACE</t>
        </is>
      </c>
      <c r="C9" s="93" t="inlineStr">
        <is>
          <t>EETAG24E0259165</t>
        </is>
      </c>
      <c r="D9" s="95" t="n">
        <v>1</v>
      </c>
      <c r="E9" s="46" t="inlineStr">
        <is>
          <t>여성존</t>
        </is>
      </c>
    </row>
    <row r="10" ht="18.75" customFormat="1" customHeight="1" s="98">
      <c r="A10" s="93" t="inlineStr">
        <is>
          <t>F001</t>
        </is>
      </c>
      <c r="B10" s="94" t="inlineStr">
        <is>
          <t>FACE</t>
        </is>
      </c>
      <c r="C10" s="93" t="inlineStr">
        <is>
          <t>EEYWG25E0139160</t>
        </is>
      </c>
      <c r="D10" s="95" t="n">
        <v>1</v>
      </c>
      <c r="E10" s="46" t="inlineStr">
        <is>
          <t>여성존</t>
        </is>
      </c>
    </row>
    <row r="11" ht="18.75" customFormat="1" customHeight="1" s="98">
      <c r="A11" s="93" t="inlineStr">
        <is>
          <t>F001</t>
        </is>
      </c>
      <c r="B11" s="94" t="inlineStr">
        <is>
          <t>FACE</t>
        </is>
      </c>
      <c r="C11" s="93" t="inlineStr">
        <is>
          <t>EEWHG25B0839160</t>
        </is>
      </c>
      <c r="D11" s="95" t="n">
        <v>1</v>
      </c>
      <c r="E11" s="46" t="inlineStr">
        <is>
          <t>여성존</t>
        </is>
      </c>
    </row>
    <row r="12" ht="18.75" customFormat="1" customHeight="1" s="98">
      <c r="A12" s="93" t="inlineStr">
        <is>
          <t>F001</t>
        </is>
      </c>
      <c r="B12" s="94" t="inlineStr">
        <is>
          <t>FACE</t>
        </is>
      </c>
      <c r="C12" s="93" t="inlineStr">
        <is>
          <t>EEYWG25E0339165</t>
        </is>
      </c>
      <c r="D12" s="95" t="n">
        <v>1</v>
      </c>
      <c r="E12" s="46" t="inlineStr">
        <is>
          <t>여성존</t>
        </is>
      </c>
    </row>
    <row r="13" ht="18.75" customFormat="1" customHeight="1" s="98">
      <c r="A13" s="93" t="inlineStr">
        <is>
          <t>F001</t>
        </is>
      </c>
      <c r="B13" s="94" t="inlineStr">
        <is>
          <t>FACE</t>
        </is>
      </c>
      <c r="C13" s="93" t="inlineStr">
        <is>
          <t>EEWHG24E0239165</t>
        </is>
      </c>
      <c r="D13" s="95" t="n">
        <v>1</v>
      </c>
      <c r="E13" s="46" t="inlineStr">
        <is>
          <t>여성존</t>
        </is>
      </c>
    </row>
    <row r="14" ht="18.75" customFormat="1" customHeight="1" s="98">
      <c r="A14" s="93" t="inlineStr">
        <is>
          <t>F001</t>
        </is>
      </c>
      <c r="B14" s="94" t="inlineStr">
        <is>
          <t>FACE</t>
        </is>
      </c>
      <c r="C14" s="93" t="inlineStr">
        <is>
          <t>EEYWG25E0339165</t>
        </is>
      </c>
      <c r="D14" s="95" t="n">
        <v>1</v>
      </c>
      <c r="E14" s="46" t="inlineStr">
        <is>
          <t>여성존</t>
        </is>
      </c>
    </row>
    <row r="15" ht="18.75" customFormat="1" customHeight="1" s="98">
      <c r="A15" s="93" t="inlineStr">
        <is>
          <t>F001</t>
        </is>
      </c>
      <c r="B15" s="94" t="inlineStr">
        <is>
          <t>FACE</t>
        </is>
      </c>
      <c r="C15" s="93" t="inlineStr">
        <is>
          <t>EEWHG24E0239165</t>
        </is>
      </c>
      <c r="D15" s="95" t="n">
        <v>1</v>
      </c>
      <c r="E15" s="46" t="inlineStr">
        <is>
          <t>여성존</t>
        </is>
      </c>
    </row>
    <row r="16" ht="18.75" customFormat="1" customHeight="1" s="98">
      <c r="A16" s="93" t="inlineStr">
        <is>
          <t>F002</t>
        </is>
      </c>
      <c r="B16" s="94" t="inlineStr">
        <is>
          <t>FACE</t>
        </is>
      </c>
      <c r="C16" s="93" t="inlineStr">
        <is>
          <t>EEVWG24E0159160</t>
        </is>
      </c>
      <c r="D16" s="95" t="n">
        <v>1</v>
      </c>
      <c r="E16" s="46" t="inlineStr">
        <is>
          <t>여성존</t>
        </is>
      </c>
    </row>
    <row r="17" ht="18.75" customFormat="1" customHeight="1" s="98">
      <c r="A17" s="93" t="inlineStr">
        <is>
          <t>F002</t>
        </is>
      </c>
      <c r="B17" s="94" t="inlineStr">
        <is>
          <t>FACE</t>
        </is>
      </c>
      <c r="C17" s="93" t="inlineStr">
        <is>
          <t>EERAG24E0439160</t>
        </is>
      </c>
      <c r="D17" s="95" t="n">
        <v>1</v>
      </c>
      <c r="E17" s="46" t="inlineStr">
        <is>
          <t>여성존</t>
        </is>
      </c>
    </row>
    <row r="18" ht="18.75" customFormat="1" customHeight="1" s="98">
      <c r="A18" s="93" t="inlineStr">
        <is>
          <t>F002</t>
        </is>
      </c>
      <c r="B18" s="94" t="inlineStr">
        <is>
          <t>FACE</t>
        </is>
      </c>
      <c r="C18" s="93" t="inlineStr">
        <is>
          <t>EEWHG23B0250160</t>
        </is>
      </c>
      <c r="D18" s="95" t="n">
        <v>1</v>
      </c>
      <c r="E18" s="46" t="inlineStr">
        <is>
          <t>여성존</t>
        </is>
      </c>
    </row>
    <row r="19" ht="18.75" customFormat="1" customHeight="1" s="98">
      <c r="A19" s="93" t="inlineStr">
        <is>
          <t>F002</t>
        </is>
      </c>
      <c r="B19" s="94" t="inlineStr">
        <is>
          <t>FACE</t>
        </is>
      </c>
      <c r="C19" s="93" t="inlineStr">
        <is>
          <t>EECKG23B0359170</t>
        </is>
      </c>
      <c r="D19" s="95" t="n">
        <v>1</v>
      </c>
      <c r="E19" s="46" t="inlineStr">
        <is>
          <t>여성존</t>
        </is>
      </c>
    </row>
    <row r="20" ht="18.75" customFormat="1" customHeight="1" s="98">
      <c r="A20" s="93" t="inlineStr">
        <is>
          <t>F002</t>
        </is>
      </c>
      <c r="B20" s="94" t="inlineStr">
        <is>
          <t>FACE</t>
        </is>
      </c>
      <c r="C20" s="93" t="inlineStr">
        <is>
          <t>EEKWG25E0259170</t>
        </is>
      </c>
      <c r="D20" s="95" t="n">
        <v>1</v>
      </c>
      <c r="E20" s="46" t="inlineStr">
        <is>
          <t>여성존</t>
        </is>
      </c>
    </row>
    <row r="21" ht="18.75" customFormat="1" customHeight="1" s="98">
      <c r="A21" s="93" t="inlineStr">
        <is>
          <t>F002</t>
        </is>
      </c>
      <c r="B21" s="94" t="inlineStr">
        <is>
          <t>FACE</t>
        </is>
      </c>
      <c r="C21" s="93" t="inlineStr">
        <is>
          <t>EETJG24E0157028</t>
        </is>
      </c>
      <c r="D21" s="95" t="n">
        <v>1</v>
      </c>
      <c r="E21" s="46" t="inlineStr">
        <is>
          <t>여성존</t>
        </is>
      </c>
    </row>
    <row r="22" ht="18.75" customFormat="1" customHeight="1" s="98">
      <c r="A22" s="93" t="inlineStr">
        <is>
          <t>F002</t>
        </is>
      </c>
      <c r="B22" s="94" t="inlineStr">
        <is>
          <t>FACE</t>
        </is>
      </c>
      <c r="C22" s="93" t="inlineStr">
        <is>
          <t>EEKWG25E0259160</t>
        </is>
      </c>
      <c r="D22" s="95" t="n">
        <v>1</v>
      </c>
      <c r="E22" s="46" t="inlineStr">
        <is>
          <t>여성존</t>
        </is>
      </c>
    </row>
    <row r="23" ht="18.75" customFormat="1" customHeight="1" s="98">
      <c r="A23" s="93" t="inlineStr">
        <is>
          <t>F002</t>
        </is>
      </c>
      <c r="B23" s="94" t="inlineStr">
        <is>
          <t>FACE</t>
        </is>
      </c>
      <c r="C23" s="93" t="inlineStr">
        <is>
          <t>EETAG24E0259160</t>
        </is>
      </c>
      <c r="D23" s="95" t="n">
        <v>1</v>
      </c>
      <c r="E23" s="46" t="inlineStr">
        <is>
          <t>여성존</t>
        </is>
      </c>
    </row>
    <row r="24" ht="18.75" customFormat="1" customHeight="1" s="98">
      <c r="A24" s="93" t="inlineStr">
        <is>
          <t>F002</t>
        </is>
      </c>
      <c r="B24" s="94" t="inlineStr">
        <is>
          <t>FACE</t>
        </is>
      </c>
      <c r="C24" s="93" t="inlineStr">
        <is>
          <t>EETAG24E0259165</t>
        </is>
      </c>
      <c r="D24" s="95" t="n">
        <v>1</v>
      </c>
      <c r="E24" s="46" t="inlineStr">
        <is>
          <t>여성존</t>
        </is>
      </c>
    </row>
    <row r="25" ht="18.75" customFormat="1" customHeight="1" s="98">
      <c r="A25" s="93" t="inlineStr">
        <is>
          <t>F002</t>
        </is>
      </c>
      <c r="B25" s="94" t="inlineStr">
        <is>
          <t>FACE</t>
        </is>
      </c>
      <c r="C25" s="93" t="inlineStr">
        <is>
          <t>EEKWG25E0159165</t>
        </is>
      </c>
      <c r="D25" s="95" t="n">
        <v>1</v>
      </c>
      <c r="E25" s="46" t="inlineStr">
        <is>
          <t>여성존</t>
        </is>
      </c>
    </row>
    <row r="26" ht="18.75" customFormat="1" customHeight="1" s="98">
      <c r="A26" s="93" t="inlineStr">
        <is>
          <t>F002</t>
        </is>
      </c>
      <c r="B26" s="94" t="inlineStr">
        <is>
          <t>FACE</t>
        </is>
      </c>
      <c r="C26" s="93" t="inlineStr">
        <is>
          <t>EEKWG25E0159160</t>
        </is>
      </c>
      <c r="D26" s="95" t="n">
        <v>1</v>
      </c>
      <c r="E26" s="46" t="inlineStr">
        <is>
          <t>여성존</t>
        </is>
      </c>
    </row>
    <row r="27" ht="18.75" customFormat="1" customHeight="1" s="98">
      <c r="A27" s="93" t="inlineStr">
        <is>
          <t>F002</t>
        </is>
      </c>
      <c r="B27" s="94" t="inlineStr">
        <is>
          <t>FACE</t>
        </is>
      </c>
      <c r="C27" s="93" t="inlineStr">
        <is>
          <t>EEJAG23E0139170</t>
        </is>
      </c>
      <c r="D27" s="95" t="n">
        <v>1</v>
      </c>
      <c r="E27" s="46" t="inlineStr">
        <is>
          <t>여성존</t>
        </is>
      </c>
    </row>
    <row r="28" ht="18.75" customFormat="1" customHeight="1" s="98">
      <c r="A28" s="93" t="inlineStr">
        <is>
          <t>F002</t>
        </is>
      </c>
      <c r="B28" s="94" t="inlineStr">
        <is>
          <t>FACE</t>
        </is>
      </c>
      <c r="C28" s="93" t="inlineStr">
        <is>
          <t>EEJAG23E0139160</t>
        </is>
      </c>
      <c r="D28" s="95" t="n">
        <v>1</v>
      </c>
      <c r="E28" s="46" t="inlineStr">
        <is>
          <t>여성존</t>
        </is>
      </c>
    </row>
    <row r="29" ht="18.75" customFormat="1" customHeight="1" s="98">
      <c r="A29" s="93" t="inlineStr">
        <is>
          <t>F002</t>
        </is>
      </c>
      <c r="B29" s="94" t="inlineStr">
        <is>
          <t>FACE</t>
        </is>
      </c>
      <c r="C29" s="93" t="inlineStr">
        <is>
          <t>EEOWG25B0439160</t>
        </is>
      </c>
      <c r="D29" s="95" t="n">
        <v>1</v>
      </c>
      <c r="E29" s="46" t="inlineStr">
        <is>
          <t>여성존</t>
        </is>
      </c>
    </row>
    <row r="30" ht="18.75" customFormat="1" customHeight="1" s="98">
      <c r="A30" s="93" t="inlineStr">
        <is>
          <t>F002</t>
        </is>
      </c>
      <c r="B30" s="94" t="inlineStr">
        <is>
          <t>FACE</t>
        </is>
      </c>
      <c r="C30" s="93" t="inlineStr">
        <is>
          <t>EEOWG25B0439165</t>
        </is>
      </c>
      <c r="D30" s="95" t="n">
        <v>1</v>
      </c>
      <c r="E30" s="46" t="inlineStr">
        <is>
          <t>여성존</t>
        </is>
      </c>
    </row>
    <row r="31" ht="18.75" customFormat="1" customHeight="1" s="98">
      <c r="A31" s="93" t="inlineStr">
        <is>
          <t>F002</t>
        </is>
      </c>
      <c r="B31" s="94" t="inlineStr">
        <is>
          <t>FACE</t>
        </is>
      </c>
      <c r="C31" s="93" t="inlineStr">
        <is>
          <t>EEOWG25E0259165</t>
        </is>
      </c>
      <c r="D31" s="95" t="n">
        <v>1</v>
      </c>
      <c r="E31" s="46" t="inlineStr">
        <is>
          <t>여성존</t>
        </is>
      </c>
    </row>
    <row r="32" ht="18.75" customFormat="1" customHeight="1" s="98">
      <c r="A32" s="93" t="inlineStr">
        <is>
          <t>F002</t>
        </is>
      </c>
      <c r="B32" s="94" t="inlineStr">
        <is>
          <t>FACE</t>
        </is>
      </c>
      <c r="C32" s="93" t="inlineStr">
        <is>
          <t>EEOWG25E0259160</t>
        </is>
      </c>
      <c r="D32" s="95" t="n">
        <v>1</v>
      </c>
      <c r="E32" s="46" t="inlineStr">
        <is>
          <t>여성존</t>
        </is>
      </c>
    </row>
    <row r="33" ht="18.75" customFormat="1" customHeight="1" s="98">
      <c r="A33" s="93" t="inlineStr">
        <is>
          <t>F002</t>
        </is>
      </c>
      <c r="B33" s="94" t="inlineStr">
        <is>
          <t>FACE</t>
        </is>
      </c>
      <c r="C33" s="93" t="inlineStr">
        <is>
          <t>EEWHG25E0139155</t>
        </is>
      </c>
      <c r="D33" s="95" t="n">
        <v>1</v>
      </c>
      <c r="E33" s="46" t="inlineStr">
        <is>
          <t>여성존</t>
        </is>
      </c>
    </row>
    <row r="34" ht="18.75" customFormat="1" customHeight="1" s="98">
      <c r="A34" s="93" t="inlineStr">
        <is>
          <t>F002</t>
        </is>
      </c>
      <c r="B34" s="94" t="inlineStr">
        <is>
          <t>FACE</t>
        </is>
      </c>
      <c r="C34" s="93" t="inlineStr">
        <is>
          <t>EEHWG25B0139165</t>
        </is>
      </c>
      <c r="D34" s="95" t="n">
        <v>1</v>
      </c>
      <c r="E34" s="46" t="inlineStr">
        <is>
          <t>여성존</t>
        </is>
      </c>
    </row>
    <row r="35" ht="18.75" customFormat="1" customHeight="1" s="98">
      <c r="A35" s="93" t="inlineStr">
        <is>
          <t>F002</t>
        </is>
      </c>
      <c r="B35" s="94" t="inlineStr">
        <is>
          <t>FACE</t>
        </is>
      </c>
      <c r="C35" s="93" t="inlineStr">
        <is>
          <t>EEHWG25B0139160</t>
        </is>
      </c>
      <c r="D35" s="95" t="n">
        <v>1</v>
      </c>
      <c r="E35" s="46" t="inlineStr">
        <is>
          <t>여성존</t>
        </is>
      </c>
    </row>
    <row r="36" ht="18.75" customFormat="1" customHeight="1" s="98">
      <c r="A36" s="93" t="inlineStr">
        <is>
          <t>F003</t>
        </is>
      </c>
      <c r="B36" s="94" t="inlineStr">
        <is>
          <t>FACE</t>
        </is>
      </c>
      <c r="C36" s="93" t="inlineStr">
        <is>
          <t>EEWHG25B0839160</t>
        </is>
      </c>
      <c r="D36" s="95" t="n">
        <v>1</v>
      </c>
      <c r="E36" s="46" t="inlineStr">
        <is>
          <t>여성존</t>
        </is>
      </c>
    </row>
    <row r="37" ht="18.75" customFormat="1" customHeight="1" s="98">
      <c r="A37" s="93" t="inlineStr">
        <is>
          <t>F003</t>
        </is>
      </c>
      <c r="B37" s="94" t="inlineStr">
        <is>
          <t>FACE</t>
        </is>
      </c>
      <c r="C37" s="93" t="inlineStr">
        <is>
          <t>EEWHG23E0139160</t>
        </is>
      </c>
      <c r="D37" s="95" t="n">
        <v>1</v>
      </c>
      <c r="E37" s="46" t="inlineStr">
        <is>
          <t>여성존</t>
        </is>
      </c>
    </row>
    <row r="38" ht="18.75" customFormat="1" customHeight="1" s="98">
      <c r="A38" s="93" t="inlineStr">
        <is>
          <t>F003</t>
        </is>
      </c>
      <c r="B38" s="94" t="inlineStr">
        <is>
          <t>FACE</t>
        </is>
      </c>
      <c r="C38" s="93" t="inlineStr">
        <is>
          <t>EEWHG24E5639160</t>
        </is>
      </c>
      <c r="D38" s="95" t="n">
        <v>1</v>
      </c>
      <c r="E38" s="46" t="inlineStr">
        <is>
          <t>여성존</t>
        </is>
      </c>
    </row>
    <row r="39" ht="18.75" customFormat="1" customHeight="1" s="98">
      <c r="A39" s="93" t="inlineStr">
        <is>
          <t>F003</t>
        </is>
      </c>
      <c r="B39" s="94" t="inlineStr">
        <is>
          <t>FACE</t>
        </is>
      </c>
      <c r="C39" s="93" t="inlineStr">
        <is>
          <t>EEVWG24E0139160</t>
        </is>
      </c>
      <c r="D39" s="95" t="n">
        <v>1</v>
      </c>
      <c r="E39" s="46" t="inlineStr">
        <is>
          <t>여성존</t>
        </is>
      </c>
    </row>
    <row r="40" ht="18.75" customFormat="1" customHeight="1" s="98">
      <c r="A40" s="93" t="inlineStr">
        <is>
          <t>F003</t>
        </is>
      </c>
      <c r="B40" s="94" t="inlineStr">
        <is>
          <t>FACE</t>
        </is>
      </c>
      <c r="C40" s="93" t="inlineStr">
        <is>
          <t>EETHG25E0439160</t>
        </is>
      </c>
      <c r="D40" s="95" t="n">
        <v>1</v>
      </c>
      <c r="E40" s="46" t="inlineStr">
        <is>
          <t>여성존</t>
        </is>
      </c>
    </row>
    <row r="41" ht="18.75" customFormat="1" customHeight="1" s="98">
      <c r="A41" s="93" t="inlineStr">
        <is>
          <t>F003</t>
        </is>
      </c>
      <c r="B41" s="94" t="inlineStr">
        <is>
          <t>FACE</t>
        </is>
      </c>
      <c r="C41" s="93" t="inlineStr">
        <is>
          <t>EEYWG25E0139165</t>
        </is>
      </c>
      <c r="D41" s="95" t="n">
        <v>1</v>
      </c>
      <c r="E41" s="46" t="inlineStr">
        <is>
          <t>여성존</t>
        </is>
      </c>
    </row>
    <row r="42" ht="18.75" customFormat="1" customHeight="1" s="98">
      <c r="A42" s="93" t="inlineStr">
        <is>
          <t>F003</t>
        </is>
      </c>
      <c r="B42" s="94" t="inlineStr">
        <is>
          <t>FACE</t>
        </is>
      </c>
      <c r="C42" s="93" t="inlineStr">
        <is>
          <t>EECKG24E0239170</t>
        </is>
      </c>
      <c r="D42" s="95" t="n">
        <v>1</v>
      </c>
      <c r="E42" s="46" t="inlineStr">
        <is>
          <t>여성존</t>
        </is>
      </c>
    </row>
    <row r="43" ht="18.75" customFormat="1" customHeight="1" s="98">
      <c r="A43" s="93" t="inlineStr">
        <is>
          <t>F003</t>
        </is>
      </c>
      <c r="B43" s="94" t="inlineStr">
        <is>
          <t>FACE</t>
        </is>
      </c>
      <c r="C43" s="93" t="inlineStr">
        <is>
          <t>EECKG24E0239165</t>
        </is>
      </c>
      <c r="D43" s="95" t="n">
        <v>1</v>
      </c>
      <c r="E43" s="46" t="inlineStr">
        <is>
          <t>여성존</t>
        </is>
      </c>
    </row>
    <row r="44" ht="18.75" customFormat="1" customHeight="1" s="98">
      <c r="A44" s="93" t="inlineStr">
        <is>
          <t>F003</t>
        </is>
      </c>
      <c r="B44" s="94" t="inlineStr">
        <is>
          <t>FACE</t>
        </is>
      </c>
      <c r="C44" s="93" t="inlineStr">
        <is>
          <t>EEWHG24E0159160</t>
        </is>
      </c>
      <c r="D44" s="95" t="n">
        <v>1</v>
      </c>
      <c r="E44" s="46" t="inlineStr">
        <is>
          <t>여성존</t>
        </is>
      </c>
    </row>
    <row r="45" ht="18.75" customFormat="1" customHeight="1" s="98">
      <c r="A45" s="93" t="inlineStr">
        <is>
          <t>F003</t>
        </is>
      </c>
      <c r="B45" s="94" t="inlineStr">
        <is>
          <t>FACE</t>
        </is>
      </c>
      <c r="C45" s="93" t="inlineStr">
        <is>
          <t>EETHG25E0459165</t>
        </is>
      </c>
      <c r="D45" s="95" t="n">
        <v>1</v>
      </c>
      <c r="E45" s="46" t="inlineStr">
        <is>
          <t>여성존</t>
        </is>
      </c>
    </row>
    <row r="46" ht="18.75" customFormat="1" customHeight="1" s="98">
      <c r="A46" s="93" t="inlineStr">
        <is>
          <t>F003</t>
        </is>
      </c>
      <c r="B46" s="94" t="inlineStr">
        <is>
          <t>FACE</t>
        </is>
      </c>
      <c r="C46" s="93" t="inlineStr">
        <is>
          <t>EETHG25E0459160</t>
        </is>
      </c>
      <c r="D46" s="95" t="n">
        <v>1</v>
      </c>
      <c r="E46" s="46" t="inlineStr">
        <is>
          <t>여성존</t>
        </is>
      </c>
    </row>
    <row r="47" ht="18.75" customFormat="1" customHeight="1" s="98">
      <c r="A47" s="93" t="inlineStr">
        <is>
          <t>F003</t>
        </is>
      </c>
      <c r="B47" s="94" t="inlineStr">
        <is>
          <t>FACE</t>
        </is>
      </c>
      <c r="C47" s="93" t="inlineStr">
        <is>
          <t>EEYPG24E0101165</t>
        </is>
      </c>
      <c r="D47" s="95" t="n">
        <v>1</v>
      </c>
      <c r="E47" s="46" t="inlineStr">
        <is>
          <t>여성존</t>
        </is>
      </c>
    </row>
    <row r="48" ht="18.75" customFormat="1" customHeight="1" s="98">
      <c r="A48" s="93" t="inlineStr">
        <is>
          <t>F003</t>
        </is>
      </c>
      <c r="B48" s="94" t="inlineStr">
        <is>
          <t>FACE</t>
        </is>
      </c>
      <c r="C48" s="93" t="inlineStr">
        <is>
          <t>EEYPG24E0101160</t>
        </is>
      </c>
      <c r="D48" s="95" t="n">
        <v>1</v>
      </c>
      <c r="E48" s="46" t="inlineStr">
        <is>
          <t>여성존</t>
        </is>
      </c>
    </row>
    <row r="49" ht="18.75" customFormat="1" customHeight="1" s="98">
      <c r="A49" s="93" t="inlineStr">
        <is>
          <t>F003</t>
        </is>
      </c>
      <c r="B49" s="94" t="inlineStr">
        <is>
          <t>FACE</t>
        </is>
      </c>
      <c r="C49" s="93" t="inlineStr">
        <is>
          <t>EEVKG25B0339165</t>
        </is>
      </c>
      <c r="D49" s="95" t="n">
        <v>1</v>
      </c>
      <c r="E49" s="46" t="inlineStr">
        <is>
          <t>여성존</t>
        </is>
      </c>
    </row>
    <row r="50" ht="18.75" customFormat="1" customHeight="1" s="98">
      <c r="A50" s="93" t="inlineStr">
        <is>
          <t>F003</t>
        </is>
      </c>
      <c r="B50" s="94" t="inlineStr">
        <is>
          <t>FACE</t>
        </is>
      </c>
      <c r="C50" s="93" t="inlineStr">
        <is>
          <t>EEOWG25E0239160</t>
        </is>
      </c>
      <c r="D50" s="95" t="n">
        <v>1</v>
      </c>
      <c r="E50" s="46" t="inlineStr">
        <is>
          <t>여성존</t>
        </is>
      </c>
    </row>
    <row r="51" ht="18.75" customFormat="1" customHeight="1" s="98">
      <c r="A51" s="93" t="inlineStr">
        <is>
          <t>F003</t>
        </is>
      </c>
      <c r="B51" s="94" t="inlineStr">
        <is>
          <t>FACE</t>
        </is>
      </c>
      <c r="C51" s="93" t="inlineStr">
        <is>
          <t>EEOWG25E0239165</t>
        </is>
      </c>
      <c r="D51" s="95" t="n">
        <v>1</v>
      </c>
      <c r="E51" s="46" t="inlineStr">
        <is>
          <t>여성존</t>
        </is>
      </c>
    </row>
    <row r="52" ht="18.75" customFormat="1" customHeight="1" s="98">
      <c r="A52" s="93" t="inlineStr">
        <is>
          <t>F003</t>
        </is>
      </c>
      <c r="B52" s="94" t="inlineStr">
        <is>
          <t>FACE</t>
        </is>
      </c>
      <c r="C52" s="93" t="inlineStr">
        <is>
          <t>EEWHG24E0259165</t>
        </is>
      </c>
      <c r="D52" s="95" t="n">
        <v>1</v>
      </c>
      <c r="E52" s="46" t="inlineStr">
        <is>
          <t>여성존</t>
        </is>
      </c>
    </row>
    <row r="53" ht="18.75" customFormat="1" customHeight="1" s="98">
      <c r="A53" s="93" t="inlineStr">
        <is>
          <t>F003</t>
        </is>
      </c>
      <c r="B53" s="94" t="inlineStr">
        <is>
          <t>FACE</t>
        </is>
      </c>
      <c r="C53" s="93" t="inlineStr">
        <is>
          <t>EEWHG24E0259160</t>
        </is>
      </c>
      <c r="D53" s="95" t="n">
        <v>1</v>
      </c>
      <c r="E53" s="46" t="inlineStr">
        <is>
          <t>여성존</t>
        </is>
      </c>
    </row>
    <row r="54" ht="18.75" customFormat="1" customHeight="1" s="98">
      <c r="A54" s="93" t="inlineStr">
        <is>
          <t>F003</t>
        </is>
      </c>
      <c r="B54" s="94" t="inlineStr">
        <is>
          <t>FACE</t>
        </is>
      </c>
      <c r="C54" s="93" t="inlineStr">
        <is>
          <t>EEOWG25B0599165</t>
        </is>
      </c>
      <c r="D54" s="95" t="n">
        <v>1</v>
      </c>
      <c r="E54" s="46" t="inlineStr">
        <is>
          <t>여성존</t>
        </is>
      </c>
    </row>
    <row r="55" ht="18.75" customFormat="1" customHeight="1" s="98">
      <c r="A55" s="93" t="inlineStr">
        <is>
          <t>F003</t>
        </is>
      </c>
      <c r="B55" s="94" t="inlineStr">
        <is>
          <t>FACE</t>
        </is>
      </c>
      <c r="C55" s="93" t="inlineStr">
        <is>
          <t>EEOWG25B0599160</t>
        </is>
      </c>
      <c r="D55" s="95" t="n">
        <v>1</v>
      </c>
      <c r="E55" s="46" t="inlineStr">
        <is>
          <t>여성존</t>
        </is>
      </c>
    </row>
    <row r="56" ht="18.75" customFormat="1" customHeight="1" s="98">
      <c r="A56" s="93" t="inlineStr">
        <is>
          <t>F004</t>
        </is>
      </c>
      <c r="B56" s="94" t="inlineStr">
        <is>
          <t>FACE</t>
        </is>
      </c>
      <c r="C56" s="93" t="inlineStr">
        <is>
          <t>EETCG24E0619170</t>
        </is>
      </c>
      <c r="D56" s="95" t="n">
        <v>1</v>
      </c>
      <c r="E56" s="46" t="inlineStr">
        <is>
          <t>여성존</t>
        </is>
      </c>
    </row>
    <row r="57" ht="18.75" customFormat="1" customHeight="1" s="98">
      <c r="A57" s="93" t="inlineStr">
        <is>
          <t>F004</t>
        </is>
      </c>
      <c r="B57" s="94" t="inlineStr">
        <is>
          <t>FACE</t>
        </is>
      </c>
      <c r="C57" s="93" t="inlineStr">
        <is>
          <t>EEWHG25B0699160</t>
        </is>
      </c>
      <c r="D57" s="95" t="n">
        <v>1</v>
      </c>
      <c r="E57" s="46" t="inlineStr">
        <is>
          <t>여성존</t>
        </is>
      </c>
    </row>
    <row r="58" ht="18.75" customFormat="1" customHeight="1" s="98">
      <c r="A58" s="93" t="inlineStr">
        <is>
          <t>F004</t>
        </is>
      </c>
      <c r="B58" s="94" t="inlineStr">
        <is>
          <t>FACE</t>
        </is>
      </c>
      <c r="C58" s="93" t="inlineStr">
        <is>
          <t>EEOWG25B0799170</t>
        </is>
      </c>
      <c r="D58" s="95" t="n">
        <v>1</v>
      </c>
      <c r="E58" s="46" t="inlineStr">
        <is>
          <t>여성존</t>
        </is>
      </c>
    </row>
    <row r="59" ht="18.75" customFormat="1" customHeight="1" s="98">
      <c r="A59" s="93" t="inlineStr">
        <is>
          <t>F004</t>
        </is>
      </c>
      <c r="B59" s="94" t="inlineStr">
        <is>
          <t>FACE</t>
        </is>
      </c>
      <c r="C59" s="93" t="inlineStr">
        <is>
          <t>EEYWG24E0139165</t>
        </is>
      </c>
      <c r="D59" s="95" t="n">
        <v>1</v>
      </c>
      <c r="E59" s="46" t="inlineStr">
        <is>
          <t>여성존</t>
        </is>
      </c>
    </row>
    <row r="60" ht="18.75" customFormat="1" customHeight="1" s="98">
      <c r="A60" s="93" t="inlineStr">
        <is>
          <t>F004</t>
        </is>
      </c>
      <c r="B60" s="94" t="inlineStr">
        <is>
          <t>FACE</t>
        </is>
      </c>
      <c r="C60" s="93" t="inlineStr">
        <is>
          <t>EEOWG25B0799165</t>
        </is>
      </c>
      <c r="D60" s="95" t="n">
        <v>1</v>
      </c>
      <c r="E60" s="46" t="inlineStr">
        <is>
          <t>여성존</t>
        </is>
      </c>
    </row>
    <row r="61" ht="18.75" customFormat="1" customHeight="1" s="98">
      <c r="A61" s="93" t="inlineStr">
        <is>
          <t>F004</t>
        </is>
      </c>
      <c r="B61" s="94" t="inlineStr">
        <is>
          <t>FACE</t>
        </is>
      </c>
      <c r="C61" s="93" t="inlineStr">
        <is>
          <t>EEOWG25E0139160</t>
        </is>
      </c>
      <c r="D61" s="95" t="n">
        <v>1</v>
      </c>
      <c r="E61" s="46" t="inlineStr">
        <is>
          <t>여성존</t>
        </is>
      </c>
    </row>
    <row r="62" ht="18.75" customFormat="1" customHeight="1" s="98">
      <c r="A62" s="93" t="inlineStr">
        <is>
          <t>F004</t>
        </is>
      </c>
      <c r="B62" s="94" t="inlineStr">
        <is>
          <t>FACE</t>
        </is>
      </c>
      <c r="C62" s="93" t="inlineStr">
        <is>
          <t>EEOWG25E0139165</t>
        </is>
      </c>
      <c r="D62" s="95" t="n">
        <v>1</v>
      </c>
      <c r="E62" s="46" t="inlineStr">
        <is>
          <t>여성존</t>
        </is>
      </c>
    </row>
    <row r="63" ht="18.75" customFormat="1" customHeight="1" s="98">
      <c r="A63" s="93" t="inlineStr">
        <is>
          <t>F004</t>
        </is>
      </c>
      <c r="B63" s="94" t="inlineStr">
        <is>
          <t>FACE</t>
        </is>
      </c>
      <c r="C63" s="93" t="inlineStr">
        <is>
          <t>EEWHG25E0119165</t>
        </is>
      </c>
      <c r="D63" s="95" t="n">
        <v>1</v>
      </c>
      <c r="E63" s="46" t="inlineStr">
        <is>
          <t>여성존</t>
        </is>
      </c>
    </row>
    <row r="64" ht="18.75" customFormat="1" customHeight="1" s="98">
      <c r="A64" s="93" t="inlineStr">
        <is>
          <t>F004</t>
        </is>
      </c>
      <c r="B64" s="94" t="inlineStr">
        <is>
          <t>FACE</t>
        </is>
      </c>
      <c r="C64" s="93" t="inlineStr">
        <is>
          <t>EEWHG25E0119160</t>
        </is>
      </c>
      <c r="D64" s="95" t="n">
        <v>1</v>
      </c>
      <c r="E64" s="46" t="inlineStr">
        <is>
          <t>여성존</t>
        </is>
      </c>
    </row>
    <row r="65" ht="18.75" customFormat="1" customHeight="1" s="98">
      <c r="A65" s="93" t="inlineStr">
        <is>
          <t>F004</t>
        </is>
      </c>
      <c r="B65" s="94" t="inlineStr">
        <is>
          <t>FACE</t>
        </is>
      </c>
      <c r="C65" s="93" t="inlineStr">
        <is>
          <t>EEOWG25Q9119160</t>
        </is>
      </c>
      <c r="D65" s="95" t="n">
        <v>1</v>
      </c>
      <c r="E65" s="46" t="inlineStr">
        <is>
          <t>여성존</t>
        </is>
      </c>
    </row>
    <row r="66" ht="18.75" customFormat="1" customHeight="1" s="98">
      <c r="A66" s="93" t="inlineStr">
        <is>
          <t>F004</t>
        </is>
      </c>
      <c r="B66" s="94" t="inlineStr">
        <is>
          <t>FACE</t>
        </is>
      </c>
      <c r="C66" s="93" t="inlineStr">
        <is>
          <t>EEOWG25Q9119165</t>
        </is>
      </c>
      <c r="D66" s="95" t="n">
        <v>1</v>
      </c>
      <c r="E66" s="46" t="inlineStr">
        <is>
          <t>여성존</t>
        </is>
      </c>
    </row>
    <row r="67" ht="18.75" customFormat="1" customHeight="1" s="98">
      <c r="A67" s="93" t="inlineStr">
        <is>
          <t>F004</t>
        </is>
      </c>
      <c r="B67" s="94" t="inlineStr">
        <is>
          <t>FACE</t>
        </is>
      </c>
      <c r="C67" s="93" t="inlineStr">
        <is>
          <t>EEKWG25E0139160</t>
        </is>
      </c>
      <c r="D67" s="95" t="n">
        <v>1</v>
      </c>
      <c r="E67" s="46" t="inlineStr">
        <is>
          <t>여성존</t>
        </is>
      </c>
    </row>
    <row r="68" ht="18.75" customFormat="1" customHeight="1" s="98">
      <c r="A68" s="93" t="inlineStr">
        <is>
          <t>F004</t>
        </is>
      </c>
      <c r="B68" s="94" t="inlineStr">
        <is>
          <t>FACE</t>
        </is>
      </c>
      <c r="C68" s="93" t="inlineStr">
        <is>
          <t>EEVKG25B0299160</t>
        </is>
      </c>
      <c r="D68" s="95" t="n">
        <v>1</v>
      </c>
      <c r="E68" s="46" t="inlineStr">
        <is>
          <t>여성존</t>
        </is>
      </c>
    </row>
    <row r="69" ht="18.75" customFormat="1" customHeight="1" s="98">
      <c r="A69" s="93" t="inlineStr">
        <is>
          <t>F004</t>
        </is>
      </c>
      <c r="B69" s="94" t="inlineStr">
        <is>
          <t>FACE</t>
        </is>
      </c>
      <c r="C69" s="93" t="inlineStr">
        <is>
          <t>EEVKG25B0299170</t>
        </is>
      </c>
      <c r="D69" s="95" t="n">
        <v>1</v>
      </c>
      <c r="E69" s="46" t="inlineStr">
        <is>
          <t>여성존</t>
        </is>
      </c>
    </row>
    <row r="70" ht="18.75" customFormat="1" customHeight="1" s="98">
      <c r="A70" s="93" t="inlineStr">
        <is>
          <t>F004</t>
        </is>
      </c>
      <c r="B70" s="94" t="inlineStr">
        <is>
          <t>FACE</t>
        </is>
      </c>
      <c r="C70" s="93" t="inlineStr">
        <is>
          <t>EEVWG25B0119165</t>
        </is>
      </c>
      <c r="D70" s="95" t="n">
        <v>1</v>
      </c>
      <c r="E70" s="46" t="inlineStr">
        <is>
          <t>여성존</t>
        </is>
      </c>
    </row>
    <row r="71" ht="18.75" customFormat="1" customHeight="1" s="98">
      <c r="A71" s="93" t="inlineStr">
        <is>
          <t>F004</t>
        </is>
      </c>
      <c r="B71" s="94" t="inlineStr">
        <is>
          <t>FACE</t>
        </is>
      </c>
      <c r="C71" s="93" t="inlineStr">
        <is>
          <t>EEVWG25B0119165</t>
        </is>
      </c>
      <c r="D71" s="95" t="n">
        <v>1</v>
      </c>
      <c r="E71" s="46" t="inlineStr">
        <is>
          <t>여성존</t>
        </is>
      </c>
    </row>
    <row r="72" ht="18.75" customFormat="1" customHeight="1" s="98">
      <c r="A72" s="93" t="inlineStr">
        <is>
          <t>F005</t>
        </is>
      </c>
      <c r="B72" s="94" t="inlineStr">
        <is>
          <t>FACE</t>
        </is>
      </c>
      <c r="C72" s="93" t="inlineStr">
        <is>
          <t>EERNG23E0118160</t>
        </is>
      </c>
      <c r="D72" s="95" t="n">
        <v>1</v>
      </c>
      <c r="E72" s="46" t="inlineStr">
        <is>
          <t>여성존</t>
        </is>
      </c>
    </row>
    <row r="73" ht="18.75" customFormat="1" customHeight="1" s="98">
      <c r="A73" s="93" t="inlineStr">
        <is>
          <t>F005</t>
        </is>
      </c>
      <c r="B73" s="94" t="inlineStr">
        <is>
          <t>FACE</t>
        </is>
      </c>
      <c r="C73" s="93" t="inlineStr">
        <is>
          <t>EEYWG24E0130165</t>
        </is>
      </c>
      <c r="D73" s="95" t="n">
        <v>1</v>
      </c>
      <c r="E73" s="46" t="inlineStr">
        <is>
          <t>여성존</t>
        </is>
      </c>
    </row>
    <row r="74" ht="18.75" customFormat="1" customHeight="1" s="98">
      <c r="A74" s="93" t="inlineStr">
        <is>
          <t>F005</t>
        </is>
      </c>
      <c r="B74" s="94" t="inlineStr">
        <is>
          <t>FACE</t>
        </is>
      </c>
      <c r="C74" s="93" t="inlineStr">
        <is>
          <t>EERNG23E0118170</t>
        </is>
      </c>
      <c r="D74" s="95" t="n">
        <v>1</v>
      </c>
      <c r="E74" s="46" t="inlineStr">
        <is>
          <t>여성존</t>
        </is>
      </c>
    </row>
    <row r="75" ht="18.75" customFormat="1" customHeight="1" s="98">
      <c r="A75" s="93" t="inlineStr">
        <is>
          <t>F005</t>
        </is>
      </c>
      <c r="B75" s="94" t="inlineStr">
        <is>
          <t>FACE</t>
        </is>
      </c>
      <c r="C75" s="93" t="inlineStr">
        <is>
          <t>EEYWG23E0126160</t>
        </is>
      </c>
      <c r="D75" s="95" t="n">
        <v>1</v>
      </c>
      <c r="E75" s="46" t="inlineStr">
        <is>
          <t>여성존</t>
        </is>
      </c>
    </row>
    <row r="76" ht="18.75" customFormat="1" customHeight="1" s="98">
      <c r="A76" s="93" t="inlineStr">
        <is>
          <t>F005</t>
        </is>
      </c>
      <c r="B76" s="94" t="inlineStr">
        <is>
          <t>FACE</t>
        </is>
      </c>
      <c r="C76" s="93" t="inlineStr">
        <is>
          <t>EEYWG23E0139160</t>
        </is>
      </c>
      <c r="D76" s="95" t="n">
        <v>1</v>
      </c>
      <c r="E76" s="46" t="inlineStr">
        <is>
          <t>여성존</t>
        </is>
      </c>
    </row>
    <row r="77" ht="18.75" customFormat="1" customHeight="1" s="98">
      <c r="A77" s="93" t="inlineStr">
        <is>
          <t>F005</t>
        </is>
      </c>
      <c r="B77" s="94" t="inlineStr">
        <is>
          <t>FACE</t>
        </is>
      </c>
      <c r="C77" s="93" t="inlineStr">
        <is>
          <t>EEYWG24E0142165</t>
        </is>
      </c>
      <c r="D77" s="95" t="n">
        <v>1</v>
      </c>
      <c r="E77" s="46" t="inlineStr">
        <is>
          <t>여성존</t>
        </is>
      </c>
    </row>
    <row r="78" ht="18.75" customFormat="1" customHeight="1" s="98">
      <c r="A78" s="93" t="inlineStr">
        <is>
          <t>F005</t>
        </is>
      </c>
      <c r="B78" s="94" t="inlineStr">
        <is>
          <t>FACE</t>
        </is>
      </c>
      <c r="C78" s="93" t="inlineStr">
        <is>
          <t>EEYWG23E0188165</t>
        </is>
      </c>
      <c r="D78" s="95" t="n">
        <v>1</v>
      </c>
      <c r="E78" s="46" t="inlineStr">
        <is>
          <t>여성존</t>
        </is>
      </c>
    </row>
    <row r="79" ht="18.75" customFormat="1" customHeight="1" s="98">
      <c r="A79" s="93" t="inlineStr">
        <is>
          <t>F005</t>
        </is>
      </c>
      <c r="B79" s="94" t="inlineStr">
        <is>
          <t>FACE</t>
        </is>
      </c>
      <c r="C79" s="93" t="inlineStr">
        <is>
          <t>EERNG23E0139160</t>
        </is>
      </c>
      <c r="D79" s="95" t="n">
        <v>1</v>
      </c>
      <c r="E79" s="46" t="inlineStr">
        <is>
          <t>여성존</t>
        </is>
      </c>
    </row>
    <row r="80" ht="18.75" customFormat="1" customHeight="1" s="98">
      <c r="A80" s="93" t="inlineStr">
        <is>
          <t>F005</t>
        </is>
      </c>
      <c r="B80" s="94" t="inlineStr">
        <is>
          <t>FACE</t>
        </is>
      </c>
      <c r="C80" s="93" t="inlineStr">
        <is>
          <t>EEYWG24E0150165</t>
        </is>
      </c>
      <c r="D80" s="95" t="n">
        <v>1</v>
      </c>
      <c r="E80" s="46" t="inlineStr">
        <is>
          <t>여성존</t>
        </is>
      </c>
    </row>
    <row r="81" ht="18.75" customFormat="1" customHeight="1" s="98">
      <c r="A81" s="93" t="inlineStr">
        <is>
          <t>F005</t>
        </is>
      </c>
      <c r="B81" s="94" t="inlineStr">
        <is>
          <t>FACE</t>
        </is>
      </c>
      <c r="C81" s="93" t="inlineStr">
        <is>
          <t>EEYWG23E0151165</t>
        </is>
      </c>
      <c r="D81" s="95" t="n">
        <v>1</v>
      </c>
      <c r="E81" s="46" t="inlineStr">
        <is>
          <t>여성존</t>
        </is>
      </c>
    </row>
    <row r="82" ht="18.75" customFormat="1" customHeight="1" s="98">
      <c r="A82" s="93" t="inlineStr">
        <is>
          <t>F005</t>
        </is>
      </c>
      <c r="B82" s="94" t="inlineStr">
        <is>
          <t>FACE</t>
        </is>
      </c>
      <c r="C82" s="93" t="inlineStr">
        <is>
          <t>EEYWG24E0188165</t>
        </is>
      </c>
      <c r="D82" s="95" t="n">
        <v>1</v>
      </c>
      <c r="E82" s="46" t="inlineStr">
        <is>
          <t>여성존</t>
        </is>
      </c>
    </row>
    <row r="83" ht="18.75" customFormat="1" customHeight="1" s="98">
      <c r="A83" s="93" t="inlineStr">
        <is>
          <t>F005</t>
        </is>
      </c>
      <c r="B83" s="94" t="inlineStr">
        <is>
          <t>FACE</t>
        </is>
      </c>
      <c r="C83" s="93" t="inlineStr">
        <is>
          <t>EERNG23E0139160</t>
        </is>
      </c>
      <c r="D83" s="95" t="n">
        <v>1</v>
      </c>
      <c r="E83" s="46" t="inlineStr">
        <is>
          <t>여성존</t>
        </is>
      </c>
    </row>
    <row r="84" ht="18.75" customFormat="1" customHeight="1" s="98">
      <c r="A84" s="93" t="inlineStr">
        <is>
          <t>F005</t>
        </is>
      </c>
      <c r="B84" s="94" t="inlineStr">
        <is>
          <t>FACE</t>
        </is>
      </c>
      <c r="C84" s="93" t="inlineStr">
        <is>
          <t>EERNG23E0139165</t>
        </is>
      </c>
      <c r="D84" s="95" t="n">
        <v>1</v>
      </c>
      <c r="E84" s="46" t="inlineStr">
        <is>
          <t>여성존</t>
        </is>
      </c>
    </row>
    <row r="85" ht="18.75" customFormat="1" customHeight="1" s="98">
      <c r="A85" s="93" t="inlineStr">
        <is>
          <t>F005</t>
        </is>
      </c>
      <c r="B85" s="94" t="inlineStr">
        <is>
          <t>FACE</t>
        </is>
      </c>
      <c r="C85" s="93" t="inlineStr">
        <is>
          <t>EEYWG37E0185160</t>
        </is>
      </c>
      <c r="D85" s="95" t="n">
        <v>1</v>
      </c>
      <c r="E85" s="46" t="inlineStr">
        <is>
          <t>여성존</t>
        </is>
      </c>
    </row>
    <row r="86" ht="18.75" customFormat="1" customHeight="1" s="98">
      <c r="A86" s="93" t="inlineStr">
        <is>
          <t>F006</t>
        </is>
      </c>
      <c r="B86" s="94" t="inlineStr">
        <is>
          <t>FACE</t>
        </is>
      </c>
      <c r="C86" s="93" t="inlineStr">
        <is>
          <t>EEWHG25E0339160</t>
        </is>
      </c>
      <c r="D86" s="95" t="n">
        <v>1</v>
      </c>
      <c r="E86" s="46" t="inlineStr">
        <is>
          <t>여성존</t>
        </is>
      </c>
    </row>
    <row r="87" ht="18.75" customFormat="1" customHeight="1" s="98">
      <c r="A87" s="93" t="inlineStr">
        <is>
          <t>F006</t>
        </is>
      </c>
      <c r="B87" s="94" t="inlineStr">
        <is>
          <t>FACE</t>
        </is>
      </c>
      <c r="C87" s="93" t="inlineStr">
        <is>
          <t>EEYAG26B0439160</t>
        </is>
      </c>
      <c r="D87" s="95" t="n">
        <v>1</v>
      </c>
      <c r="E87" s="46" t="inlineStr">
        <is>
          <t>여성존</t>
        </is>
      </c>
    </row>
    <row r="88" ht="18.75" customFormat="1" customHeight="1" s="98">
      <c r="A88" s="93" t="inlineStr">
        <is>
          <t>F006</t>
        </is>
      </c>
      <c r="B88" s="94" t="inlineStr">
        <is>
          <t>FACE</t>
        </is>
      </c>
      <c r="C88" s="93" t="inlineStr">
        <is>
          <t>EEYAG26B0439165</t>
        </is>
      </c>
      <c r="D88" s="95" t="n">
        <v>1</v>
      </c>
      <c r="E88" s="46" t="inlineStr">
        <is>
          <t>여성존</t>
        </is>
      </c>
    </row>
    <row r="89" ht="18.75" customFormat="1" customHeight="1" s="98">
      <c r="A89" s="93" t="inlineStr">
        <is>
          <t>F006</t>
        </is>
      </c>
      <c r="B89" s="94" t="inlineStr">
        <is>
          <t>FACE</t>
        </is>
      </c>
      <c r="C89" s="93" t="inlineStr">
        <is>
          <t>EEWHG25E0339165</t>
        </is>
      </c>
      <c r="D89" s="95" t="n">
        <v>1</v>
      </c>
      <c r="E89" s="46" t="inlineStr">
        <is>
          <t>여성존</t>
        </is>
      </c>
    </row>
    <row r="90" ht="18.75" customFormat="1" customHeight="1" s="98">
      <c r="A90" s="93" t="inlineStr">
        <is>
          <t>F006</t>
        </is>
      </c>
      <c r="B90" s="94" t="inlineStr">
        <is>
          <t>FACE</t>
        </is>
      </c>
      <c r="C90" s="93" t="inlineStr">
        <is>
          <t>EEWHG25E0351160</t>
        </is>
      </c>
      <c r="D90" s="95" t="n">
        <v>1</v>
      </c>
      <c r="E90" s="46" t="inlineStr">
        <is>
          <t>여성존</t>
        </is>
      </c>
    </row>
    <row r="91" ht="18.75" customFormat="1" customHeight="1" s="98">
      <c r="A91" s="93" t="inlineStr">
        <is>
          <t>F006</t>
        </is>
      </c>
      <c r="B91" s="94" t="inlineStr">
        <is>
          <t>FACE</t>
        </is>
      </c>
      <c r="C91" s="93" t="inlineStr">
        <is>
          <t>EEWHG25E0351155</t>
        </is>
      </c>
      <c r="D91" s="95" t="n">
        <v>1</v>
      </c>
      <c r="E91" s="46" t="inlineStr">
        <is>
          <t>여성존</t>
        </is>
      </c>
    </row>
    <row r="92" ht="18.75" customFormat="1" customHeight="1" s="98">
      <c r="A92" s="93" t="inlineStr">
        <is>
          <t>F006</t>
        </is>
      </c>
      <c r="B92" s="94" t="inlineStr">
        <is>
          <t>FACE</t>
        </is>
      </c>
      <c r="C92" s="93" t="inlineStr">
        <is>
          <t>EEVKG25E0130170</t>
        </is>
      </c>
      <c r="D92" s="95" t="n">
        <v>1</v>
      </c>
      <c r="E92" s="46" t="inlineStr">
        <is>
          <t>여성존</t>
        </is>
      </c>
    </row>
    <row r="93" ht="18.75" customFormat="1" customHeight="1" s="98">
      <c r="A93" s="93" t="inlineStr">
        <is>
          <t>F006</t>
        </is>
      </c>
      <c r="B93" s="94" t="inlineStr">
        <is>
          <t>FACE</t>
        </is>
      </c>
      <c r="C93" s="93" t="inlineStr">
        <is>
          <t>EEVKG25E0130165</t>
        </is>
      </c>
      <c r="D93" s="95" t="n">
        <v>1</v>
      </c>
      <c r="E93" s="46" t="inlineStr">
        <is>
          <t>여성존</t>
        </is>
      </c>
    </row>
    <row r="94" ht="18.75" customFormat="1" customHeight="1" s="98">
      <c r="A94" s="93" t="inlineStr">
        <is>
          <t>F006</t>
        </is>
      </c>
      <c r="B94" s="94" t="inlineStr">
        <is>
          <t>FACE</t>
        </is>
      </c>
      <c r="C94" s="93" t="inlineStr">
        <is>
          <t>EEYWG25E0330165</t>
        </is>
      </c>
      <c r="D94" s="95" t="n">
        <v>1</v>
      </c>
      <c r="E94" s="46" t="inlineStr">
        <is>
          <t>여성존</t>
        </is>
      </c>
    </row>
    <row r="95" ht="18.75" customFormat="1" customHeight="1" s="98">
      <c r="A95" s="93" t="inlineStr">
        <is>
          <t>F006</t>
        </is>
      </c>
      <c r="B95" s="94" t="inlineStr">
        <is>
          <t>FACE</t>
        </is>
      </c>
      <c r="C95" s="93" t="inlineStr">
        <is>
          <t>EEYWG25E0330160</t>
        </is>
      </c>
      <c r="D95" s="95" t="n">
        <v>1</v>
      </c>
      <c r="E95" s="46" t="inlineStr">
        <is>
          <t>여성존</t>
        </is>
      </c>
    </row>
    <row r="96" ht="18.75" customFormat="1" customHeight="1" s="98">
      <c r="A96" s="93" t="inlineStr">
        <is>
          <t>F006</t>
        </is>
      </c>
      <c r="B96" s="94" t="inlineStr">
        <is>
          <t>FACE</t>
        </is>
      </c>
      <c r="C96" s="93" t="inlineStr">
        <is>
          <t>EEWHG64S0339160</t>
        </is>
      </c>
      <c r="D96" s="95" t="n">
        <v>1</v>
      </c>
      <c r="E96" s="46" t="inlineStr">
        <is>
          <t>여성존</t>
        </is>
      </c>
    </row>
    <row r="97" ht="18.75" customFormat="1" customHeight="1" s="98">
      <c r="A97" s="93" t="inlineStr">
        <is>
          <t>F006</t>
        </is>
      </c>
      <c r="B97" s="94" t="inlineStr">
        <is>
          <t>FACE</t>
        </is>
      </c>
      <c r="C97" s="93" t="inlineStr">
        <is>
          <t>EEWHG64S0339160</t>
        </is>
      </c>
      <c r="D97" s="95" t="n">
        <v>1</v>
      </c>
      <c r="E97" s="46" t="inlineStr">
        <is>
          <t>여성존</t>
        </is>
      </c>
    </row>
    <row r="98" ht="18.75" customFormat="1" customHeight="1" s="98">
      <c r="A98" s="93" t="inlineStr">
        <is>
          <t>F006</t>
        </is>
      </c>
      <c r="B98" s="94" t="inlineStr">
        <is>
          <t>FACE</t>
        </is>
      </c>
      <c r="C98" s="93" t="inlineStr">
        <is>
          <t>EEOWG25B1332160</t>
        </is>
      </c>
      <c r="D98" s="95" t="n">
        <v>1</v>
      </c>
      <c r="E98" s="46" t="inlineStr">
        <is>
          <t>여성존</t>
        </is>
      </c>
    </row>
    <row r="99" ht="18.75" customFormat="1" customHeight="1" s="98">
      <c r="A99" s="93" t="inlineStr">
        <is>
          <t>F006</t>
        </is>
      </c>
      <c r="B99" s="94" t="inlineStr">
        <is>
          <t>FACE</t>
        </is>
      </c>
      <c r="C99" s="93" t="inlineStr">
        <is>
          <t>EEOWG25B1332165</t>
        </is>
      </c>
      <c r="D99" s="95" t="n">
        <v>1</v>
      </c>
      <c r="E99" s="46" t="inlineStr">
        <is>
          <t>여성존</t>
        </is>
      </c>
    </row>
    <row r="100" ht="18.75" customFormat="1" customHeight="1" s="98">
      <c r="A100" s="93" t="inlineStr">
        <is>
          <t>F006</t>
        </is>
      </c>
      <c r="B100" s="94" t="inlineStr">
        <is>
          <t>FACE</t>
        </is>
      </c>
      <c r="C100" s="93" t="inlineStr">
        <is>
          <t>EEYAG24B0239160</t>
        </is>
      </c>
      <c r="D100" s="95" t="n">
        <v>1</v>
      </c>
      <c r="E100" s="46" t="inlineStr">
        <is>
          <t>여성존</t>
        </is>
      </c>
    </row>
    <row r="101" ht="18.75" customFormat="1" customHeight="1" s="98">
      <c r="A101" s="93" t="inlineStr">
        <is>
          <t>F006</t>
        </is>
      </c>
      <c r="B101" s="94" t="inlineStr">
        <is>
          <t>FACE</t>
        </is>
      </c>
      <c r="C101" s="93" t="inlineStr">
        <is>
          <t>EEYAG24B0239165</t>
        </is>
      </c>
      <c r="D101" s="95" t="n">
        <v>1</v>
      </c>
      <c r="E101" s="46" t="inlineStr">
        <is>
          <t>여성존</t>
        </is>
      </c>
    </row>
    <row r="102" ht="18.75" customFormat="1" customHeight="1" s="98">
      <c r="A102" s="93" t="inlineStr">
        <is>
          <t>F006</t>
        </is>
      </c>
      <c r="B102" s="94" t="inlineStr">
        <is>
          <t>FACE</t>
        </is>
      </c>
      <c r="C102" s="93" t="inlineStr">
        <is>
          <t>EEWJG23B0157160</t>
        </is>
      </c>
      <c r="D102" s="95" t="n">
        <v>1</v>
      </c>
      <c r="E102" s="46" t="inlineStr">
        <is>
          <t>여성존</t>
        </is>
      </c>
    </row>
    <row r="103" ht="18.75" customFormat="1" customHeight="1" s="98">
      <c r="A103" s="93" t="inlineStr">
        <is>
          <t>F006</t>
        </is>
      </c>
      <c r="B103" s="94" t="inlineStr">
        <is>
          <t>FACE</t>
        </is>
      </c>
      <c r="C103" s="93" t="inlineStr">
        <is>
          <t>EEWJG23B0157165</t>
        </is>
      </c>
      <c r="D103" s="95" t="n">
        <v>1</v>
      </c>
      <c r="E103" s="46" t="inlineStr">
        <is>
          <t>여성존</t>
        </is>
      </c>
    </row>
    <row r="104" ht="18.75" customFormat="1" customHeight="1" s="98">
      <c r="A104" s="93" t="inlineStr">
        <is>
          <t>F006</t>
        </is>
      </c>
      <c r="B104" s="94" t="inlineStr">
        <is>
          <t>FACE</t>
        </is>
      </c>
      <c r="C104" s="93" t="inlineStr">
        <is>
          <t>EEOWG25B1351160</t>
        </is>
      </c>
      <c r="D104" s="95" t="n">
        <v>1</v>
      </c>
      <c r="E104" s="46" t="inlineStr">
        <is>
          <t>여성존</t>
        </is>
      </c>
    </row>
    <row r="105" ht="18.75" customFormat="1" customHeight="1" s="98">
      <c r="A105" s="93" t="inlineStr">
        <is>
          <t>F006</t>
        </is>
      </c>
      <c r="B105" s="94" t="inlineStr">
        <is>
          <t>FACE</t>
        </is>
      </c>
      <c r="C105" s="93" t="inlineStr">
        <is>
          <t>EEOWG25B1351165</t>
        </is>
      </c>
      <c r="D105" s="95" t="n">
        <v>1</v>
      </c>
      <c r="E105" s="46" t="inlineStr">
        <is>
          <t>여성존</t>
        </is>
      </c>
    </row>
    <row r="106" ht="18.75" customFormat="1" customHeight="1" s="98">
      <c r="A106" s="93" t="inlineStr">
        <is>
          <t>F006</t>
        </is>
      </c>
      <c r="B106" s="94" t="inlineStr">
        <is>
          <t>FACE</t>
        </is>
      </c>
      <c r="C106" s="93" t="inlineStr">
        <is>
          <t>EEOWG25Q9231170</t>
        </is>
      </c>
      <c r="D106" s="95" t="n">
        <v>1</v>
      </c>
      <c r="E106" s="46" t="inlineStr">
        <is>
          <t>여성존</t>
        </is>
      </c>
    </row>
    <row r="107" ht="18.75" customFormat="1" customHeight="1" s="98">
      <c r="A107" s="93" t="inlineStr">
        <is>
          <t>F007</t>
        </is>
      </c>
      <c r="B107" s="94" t="inlineStr">
        <is>
          <t>FACE</t>
        </is>
      </c>
      <c r="C107" s="93" t="inlineStr">
        <is>
          <t>EEJAG24B0239160</t>
        </is>
      </c>
      <c r="D107" s="95" t="n">
        <v>1</v>
      </c>
      <c r="E107" s="46" t="inlineStr">
        <is>
          <t>여성존</t>
        </is>
      </c>
    </row>
    <row r="108" ht="18.75" customFormat="1" customHeight="1" s="98">
      <c r="A108" s="93" t="inlineStr">
        <is>
          <t>F007</t>
        </is>
      </c>
      <c r="B108" s="94" t="inlineStr">
        <is>
          <t>FACE</t>
        </is>
      </c>
      <c r="C108" s="93" t="inlineStr">
        <is>
          <t>EEOWG25Q9179160</t>
        </is>
      </c>
      <c r="D108" s="95" t="n">
        <v>1</v>
      </c>
      <c r="E108" s="46" t="inlineStr">
        <is>
          <t>여성존</t>
        </is>
      </c>
    </row>
    <row r="109" ht="18.75" customFormat="1" customHeight="1" s="98">
      <c r="A109" s="93" t="inlineStr">
        <is>
          <t>F007</t>
        </is>
      </c>
      <c r="B109" s="94" t="inlineStr">
        <is>
          <t>FACE</t>
        </is>
      </c>
      <c r="C109" s="93" t="inlineStr">
        <is>
          <t>EEOWG25Q9179165</t>
        </is>
      </c>
      <c r="D109" s="95" t="n">
        <v>1</v>
      </c>
      <c r="E109" s="46" t="inlineStr">
        <is>
          <t>여성존</t>
        </is>
      </c>
    </row>
    <row r="110" ht="18.75" customFormat="1" customHeight="1" s="98">
      <c r="A110" s="93" t="inlineStr">
        <is>
          <t>F007</t>
        </is>
      </c>
      <c r="B110" s="94" t="inlineStr">
        <is>
          <t>FACE</t>
        </is>
      </c>
      <c r="C110" s="93" t="inlineStr">
        <is>
          <t>EEYAG23B0339165</t>
        </is>
      </c>
      <c r="D110" s="95" t="n">
        <v>1</v>
      </c>
      <c r="E110" s="46" t="inlineStr">
        <is>
          <t>여성존</t>
        </is>
      </c>
    </row>
    <row r="111" ht="18.75" customFormat="1" customHeight="1" s="98">
      <c r="A111" s="93" t="inlineStr">
        <is>
          <t>F007</t>
        </is>
      </c>
      <c r="B111" s="94" t="inlineStr">
        <is>
          <t>FACE</t>
        </is>
      </c>
      <c r="C111" s="93" t="inlineStr">
        <is>
          <t>EEYAG25B0139165</t>
        </is>
      </c>
      <c r="D111" s="95" t="n">
        <v>1</v>
      </c>
      <c r="E111" s="46" t="inlineStr">
        <is>
          <t>여성존</t>
        </is>
      </c>
    </row>
    <row r="112" ht="18.75" customFormat="1" customHeight="1" s="98">
      <c r="A112" s="93" t="inlineStr">
        <is>
          <t>F007</t>
        </is>
      </c>
      <c r="B112" s="94" t="inlineStr">
        <is>
          <t>FACE</t>
        </is>
      </c>
      <c r="C112" s="93" t="inlineStr">
        <is>
          <t>EEJAG24B0239165</t>
        </is>
      </c>
      <c r="D112" s="95" t="n">
        <v>1</v>
      </c>
      <c r="E112" s="46" t="inlineStr">
        <is>
          <t>여성존</t>
        </is>
      </c>
    </row>
    <row r="113" ht="18.75" customFormat="1" customHeight="1" s="98">
      <c r="A113" s="93" t="inlineStr">
        <is>
          <t>F007</t>
        </is>
      </c>
      <c r="B113" s="94" t="inlineStr">
        <is>
          <t>FACE</t>
        </is>
      </c>
      <c r="C113" s="93" t="inlineStr">
        <is>
          <t>EECKG23B0464170</t>
        </is>
      </c>
      <c r="D113" s="95" t="n">
        <v>1</v>
      </c>
      <c r="E113" s="46" t="inlineStr">
        <is>
          <t>여성존</t>
        </is>
      </c>
    </row>
    <row r="114" ht="18.75" customFormat="1" customHeight="1" s="98">
      <c r="A114" s="93" t="inlineStr">
        <is>
          <t>F007</t>
        </is>
      </c>
      <c r="B114" s="94" t="inlineStr">
        <is>
          <t>FACE</t>
        </is>
      </c>
      <c r="C114" s="93" t="inlineStr">
        <is>
          <t>EECKG23B0464160</t>
        </is>
      </c>
      <c r="D114" s="95" t="n">
        <v>1</v>
      </c>
      <c r="E114" s="46" t="inlineStr">
        <is>
          <t>여성존</t>
        </is>
      </c>
    </row>
    <row r="115" ht="18.75" customFormat="1" customHeight="1" s="98">
      <c r="A115" s="93" t="inlineStr">
        <is>
          <t>F007</t>
        </is>
      </c>
      <c r="B115" s="94" t="inlineStr">
        <is>
          <t>FACE</t>
        </is>
      </c>
      <c r="C115" s="93" t="inlineStr">
        <is>
          <t>EETCG24E0641165</t>
        </is>
      </c>
      <c r="D115" s="95" t="n">
        <v>1</v>
      </c>
      <c r="E115" s="46" t="inlineStr">
        <is>
          <t>여성존</t>
        </is>
      </c>
    </row>
    <row r="116" ht="18.75" customFormat="1" customHeight="1" s="98">
      <c r="A116" s="93" t="inlineStr">
        <is>
          <t>F007</t>
        </is>
      </c>
      <c r="B116" s="94" t="inlineStr">
        <is>
          <t>FACE</t>
        </is>
      </c>
      <c r="C116" s="93" t="inlineStr">
        <is>
          <t>EETCG24E0641155</t>
        </is>
      </c>
      <c r="D116" s="95" t="n">
        <v>1</v>
      </c>
      <c r="E116" s="46" t="inlineStr">
        <is>
          <t>여성존</t>
        </is>
      </c>
    </row>
    <row r="117" ht="18.75" customFormat="1" customHeight="1" s="98">
      <c r="A117" s="93" t="inlineStr">
        <is>
          <t>F007</t>
        </is>
      </c>
      <c r="B117" s="94" t="inlineStr">
        <is>
          <t>FACE</t>
        </is>
      </c>
      <c r="C117" s="93" t="inlineStr">
        <is>
          <t>EEOWG25B0239160</t>
        </is>
      </c>
      <c r="D117" s="95" t="n">
        <v>1</v>
      </c>
      <c r="E117" s="46" t="inlineStr">
        <is>
          <t>여성존</t>
        </is>
      </c>
    </row>
    <row r="118" ht="18.75" customFormat="1" customHeight="1" s="98">
      <c r="A118" s="93" t="inlineStr">
        <is>
          <t>F007</t>
        </is>
      </c>
      <c r="B118" s="94" t="inlineStr">
        <is>
          <t>FACE</t>
        </is>
      </c>
      <c r="C118" s="93" t="inlineStr">
        <is>
          <t>EEOWG25B0239165</t>
        </is>
      </c>
      <c r="D118" s="95" t="n">
        <v>1</v>
      </c>
      <c r="E118" s="46" t="inlineStr">
        <is>
          <t>여성존</t>
        </is>
      </c>
    </row>
    <row r="119" ht="18.75" customFormat="1" customHeight="1" s="98">
      <c r="A119" s="93" t="inlineStr">
        <is>
          <t>F007</t>
        </is>
      </c>
      <c r="B119" s="94" t="inlineStr">
        <is>
          <t>FACE</t>
        </is>
      </c>
      <c r="C119" s="93" t="inlineStr">
        <is>
          <t>EEJAG24B0449170</t>
        </is>
      </c>
      <c r="D119" s="95" t="n">
        <v>1</v>
      </c>
      <c r="E119" s="46" t="inlineStr">
        <is>
          <t>여성존</t>
        </is>
      </c>
    </row>
    <row r="120" ht="18.75" customFormat="1" customHeight="1" s="98">
      <c r="A120" s="93" t="inlineStr">
        <is>
          <t>F007</t>
        </is>
      </c>
      <c r="B120" s="94" t="inlineStr">
        <is>
          <t>FACE</t>
        </is>
      </c>
      <c r="C120" s="93" t="inlineStr">
        <is>
          <t>EETHG24E0349165</t>
        </is>
      </c>
      <c r="D120" s="95" t="n">
        <v>1</v>
      </c>
      <c r="E120" s="46" t="inlineStr">
        <is>
          <t>여성존</t>
        </is>
      </c>
    </row>
    <row r="121" ht="18.75" customFormat="1" customHeight="1" s="98">
      <c r="A121" s="93" t="inlineStr">
        <is>
          <t>F007</t>
        </is>
      </c>
      <c r="B121" s="94" t="inlineStr">
        <is>
          <t>FACE</t>
        </is>
      </c>
      <c r="C121" s="93" t="inlineStr">
        <is>
          <t>EEYAG25B0439160</t>
        </is>
      </c>
      <c r="D121" s="95" t="n">
        <v>1</v>
      </c>
      <c r="E121" s="46" t="inlineStr">
        <is>
          <t>여성존</t>
        </is>
      </c>
    </row>
    <row r="122" ht="18.75" customFormat="1" customHeight="1" s="98">
      <c r="A122" s="93" t="inlineStr">
        <is>
          <t>F007</t>
        </is>
      </c>
      <c r="B122" s="94" t="inlineStr">
        <is>
          <t>FACE</t>
        </is>
      </c>
      <c r="C122" s="93" t="inlineStr">
        <is>
          <t>EEYAG25B0439165</t>
        </is>
      </c>
      <c r="D122" s="95" t="n">
        <v>1</v>
      </c>
      <c r="E122" s="46" t="inlineStr">
        <is>
          <t>여성존</t>
        </is>
      </c>
    </row>
    <row r="123" ht="18.75" customFormat="1" customHeight="1" s="98">
      <c r="A123" s="93" t="inlineStr">
        <is>
          <t>F007</t>
        </is>
      </c>
      <c r="B123" s="94" t="inlineStr">
        <is>
          <t>FACE</t>
        </is>
      </c>
      <c r="C123" s="93" t="inlineStr">
        <is>
          <t>EEOMG26B0164165</t>
        </is>
      </c>
      <c r="D123" s="95" t="n">
        <v>1</v>
      </c>
      <c r="E123" s="46" t="inlineStr">
        <is>
          <t>여성존</t>
        </is>
      </c>
    </row>
    <row r="124" ht="18.75" customFormat="1" customHeight="1" s="98">
      <c r="A124" s="93" t="inlineStr">
        <is>
          <t>F007</t>
        </is>
      </c>
      <c r="B124" s="94" t="inlineStr">
        <is>
          <t>FACE</t>
        </is>
      </c>
      <c r="C124" s="93" t="inlineStr">
        <is>
          <t>EEOMG26B0164160</t>
        </is>
      </c>
      <c r="D124" s="95" t="n">
        <v>1</v>
      </c>
      <c r="E124" s="46" t="inlineStr">
        <is>
          <t>여성존</t>
        </is>
      </c>
    </row>
    <row r="125" ht="18.75" customFormat="1" customHeight="1" s="98">
      <c r="A125" s="93" t="inlineStr">
        <is>
          <t>F008</t>
        </is>
      </c>
      <c r="B125" s="94" t="inlineStr">
        <is>
          <t>FACE</t>
        </is>
      </c>
      <c r="C125" s="93" t="inlineStr">
        <is>
          <t>EETCG24E0636170</t>
        </is>
      </c>
      <c r="D125" s="95" t="n">
        <v>1</v>
      </c>
      <c r="E125" s="46" t="inlineStr">
        <is>
          <t>여성존</t>
        </is>
      </c>
    </row>
    <row r="126" ht="18.75" customFormat="1" customHeight="1" s="98">
      <c r="A126" s="93" t="inlineStr">
        <is>
          <t>F008</t>
        </is>
      </c>
      <c r="B126" s="94" t="inlineStr">
        <is>
          <t>FACE</t>
        </is>
      </c>
      <c r="C126" s="93" t="inlineStr">
        <is>
          <t>EEYWG25E0337165</t>
        </is>
      </c>
      <c r="D126" s="95" t="n">
        <v>1</v>
      </c>
      <c r="E126" s="46" t="inlineStr">
        <is>
          <t>여성존</t>
        </is>
      </c>
    </row>
    <row r="127" ht="18.75" customFormat="1" customHeight="1" s="98">
      <c r="A127" s="93" t="inlineStr">
        <is>
          <t>F008</t>
        </is>
      </c>
      <c r="B127" s="94" t="inlineStr">
        <is>
          <t>FACE</t>
        </is>
      </c>
      <c r="C127" s="93" t="inlineStr">
        <is>
          <t>EETCG24E0636165</t>
        </is>
      </c>
      <c r="D127" s="95" t="n">
        <v>1</v>
      </c>
      <c r="E127" s="46" t="inlineStr">
        <is>
          <t>여성존</t>
        </is>
      </c>
    </row>
    <row r="128" ht="18.75" customFormat="1" customHeight="1" s="98">
      <c r="A128" s="93" t="inlineStr">
        <is>
          <t>F008</t>
        </is>
      </c>
      <c r="B128" s="94" t="inlineStr">
        <is>
          <t>FACE</t>
        </is>
      </c>
      <c r="C128" s="93" t="inlineStr">
        <is>
          <t>EEYWG25E0337160</t>
        </is>
      </c>
      <c r="D128" s="95" t="n">
        <v>1</v>
      </c>
      <c r="E128" s="46" t="inlineStr">
        <is>
          <t>여성존</t>
        </is>
      </c>
    </row>
    <row r="129" ht="18.75" customFormat="1" customHeight="1" s="98">
      <c r="A129" s="93" t="inlineStr">
        <is>
          <t>F008</t>
        </is>
      </c>
      <c r="B129" s="94" t="inlineStr">
        <is>
          <t>FACE</t>
        </is>
      </c>
      <c r="C129" s="93" t="inlineStr">
        <is>
          <t>EEJAG23E0131160</t>
        </is>
      </c>
      <c r="D129" s="95" t="n">
        <v>1</v>
      </c>
      <c r="E129" s="46" t="inlineStr">
        <is>
          <t>여성존</t>
        </is>
      </c>
    </row>
    <row r="130" ht="18.75" customFormat="1" customHeight="1" s="98">
      <c r="A130" s="93" t="inlineStr">
        <is>
          <t>F008</t>
        </is>
      </c>
      <c r="B130" s="94" t="inlineStr">
        <is>
          <t>FACE</t>
        </is>
      </c>
      <c r="C130" s="93" t="inlineStr">
        <is>
          <t>EEJAG23E0131170</t>
        </is>
      </c>
      <c r="D130" s="95" t="n">
        <v>1</v>
      </c>
      <c r="E130" s="46" t="inlineStr">
        <is>
          <t>여성존</t>
        </is>
      </c>
    </row>
    <row r="131" ht="18.75" customFormat="1" customHeight="1" s="98">
      <c r="A131" s="93" t="inlineStr">
        <is>
          <t>F008</t>
        </is>
      </c>
      <c r="B131" s="94" t="inlineStr">
        <is>
          <t>FACE</t>
        </is>
      </c>
      <c r="C131" s="93" t="inlineStr">
        <is>
          <t>EEOWG24E0236160</t>
        </is>
      </c>
      <c r="D131" s="95" t="n">
        <v>1</v>
      </c>
      <c r="E131" s="46" t="inlineStr">
        <is>
          <t>여성존</t>
        </is>
      </c>
    </row>
    <row r="132" ht="18.75" customFormat="1" customHeight="1" s="98">
      <c r="A132" s="93" t="inlineStr">
        <is>
          <t>F008</t>
        </is>
      </c>
      <c r="B132" s="94" t="inlineStr">
        <is>
          <t>FACE</t>
        </is>
      </c>
      <c r="C132" s="93" t="inlineStr">
        <is>
          <t>EEOWG24E0236165</t>
        </is>
      </c>
      <c r="D132" s="95" t="n">
        <v>1</v>
      </c>
      <c r="E132" s="46" t="inlineStr">
        <is>
          <t>여성존</t>
        </is>
      </c>
    </row>
    <row r="133" ht="18.75" customFormat="1" customHeight="1" s="98">
      <c r="A133" s="93" t="inlineStr">
        <is>
          <t>F008</t>
        </is>
      </c>
      <c r="B133" s="94" t="inlineStr">
        <is>
          <t>FACE</t>
        </is>
      </c>
      <c r="C133" s="93" t="inlineStr">
        <is>
          <t>EEBWG23B0136165</t>
        </is>
      </c>
      <c r="D133" s="95" t="n">
        <v>1</v>
      </c>
      <c r="E133" s="46" t="inlineStr">
        <is>
          <t>여성존</t>
        </is>
      </c>
    </row>
    <row r="134" ht="18.75" customFormat="1" customHeight="1" s="98">
      <c r="A134" s="93" t="inlineStr">
        <is>
          <t>F008</t>
        </is>
      </c>
      <c r="B134" s="94" t="inlineStr">
        <is>
          <t>FACE</t>
        </is>
      </c>
      <c r="C134" s="93" t="inlineStr">
        <is>
          <t>EEWHG25E0137170</t>
        </is>
      </c>
      <c r="D134" s="95" t="n">
        <v>1</v>
      </c>
      <c r="E134" s="46" t="inlineStr">
        <is>
          <t>여성존</t>
        </is>
      </c>
    </row>
    <row r="135" ht="18.75" customFormat="1" customHeight="1" s="98">
      <c r="A135" s="93" t="inlineStr">
        <is>
          <t>F008</t>
        </is>
      </c>
      <c r="B135" s="94" t="inlineStr">
        <is>
          <t>FACE</t>
        </is>
      </c>
      <c r="C135" s="93" t="inlineStr">
        <is>
          <t>EEWHG25E0137165</t>
        </is>
      </c>
      <c r="D135" s="95" t="n">
        <v>1</v>
      </c>
      <c r="E135" s="46" t="inlineStr">
        <is>
          <t>여성존</t>
        </is>
      </c>
    </row>
    <row r="136" ht="18.75" customFormat="1" customHeight="1" s="98">
      <c r="A136" s="93" t="inlineStr">
        <is>
          <t>F008</t>
        </is>
      </c>
      <c r="B136" s="94" t="inlineStr">
        <is>
          <t>FACE</t>
        </is>
      </c>
      <c r="C136" s="93" t="inlineStr">
        <is>
          <t>EEOWG25Q9285165</t>
        </is>
      </c>
      <c r="D136" s="95" t="n">
        <v>1</v>
      </c>
      <c r="E136" s="46" t="inlineStr">
        <is>
          <t>여성존</t>
        </is>
      </c>
    </row>
    <row r="137" ht="18.75" customFormat="1" customHeight="1" s="98">
      <c r="A137" s="93" t="inlineStr">
        <is>
          <t>F008</t>
        </is>
      </c>
      <c r="B137" s="94" t="inlineStr">
        <is>
          <t>FACE</t>
        </is>
      </c>
      <c r="C137" s="93" t="inlineStr">
        <is>
          <t>EEOWG25Q9285165</t>
        </is>
      </c>
      <c r="D137" s="95" t="n">
        <v>1</v>
      </c>
      <c r="E137" s="46" t="inlineStr">
        <is>
          <t>여성존</t>
        </is>
      </c>
    </row>
    <row r="138" ht="18.75" customFormat="1" customHeight="1" s="98">
      <c r="A138" s="93" t="inlineStr">
        <is>
          <t>F008</t>
        </is>
      </c>
      <c r="B138" s="94" t="inlineStr">
        <is>
          <t>FACE</t>
        </is>
      </c>
      <c r="C138" s="93" t="inlineStr">
        <is>
          <t>EEYWG25E0236160</t>
        </is>
      </c>
      <c r="D138" s="95" t="n">
        <v>1</v>
      </c>
      <c r="E138" s="46" t="inlineStr">
        <is>
          <t>여성존</t>
        </is>
      </c>
    </row>
    <row r="139" ht="18.75" customFormat="1" customHeight="1" s="98">
      <c r="A139" s="93" t="inlineStr">
        <is>
          <t>F008</t>
        </is>
      </c>
      <c r="B139" s="94" t="inlineStr">
        <is>
          <t>FACE</t>
        </is>
      </c>
      <c r="C139" s="93" t="inlineStr">
        <is>
          <t>EEYWG25E0236165</t>
        </is>
      </c>
      <c r="D139" s="95" t="n">
        <v>1</v>
      </c>
      <c r="E139" s="46" t="inlineStr">
        <is>
          <t>여성존</t>
        </is>
      </c>
    </row>
    <row r="140" ht="18.75" customFormat="1" customHeight="1" s="98">
      <c r="A140" s="93" t="inlineStr">
        <is>
          <t>F008</t>
        </is>
      </c>
      <c r="B140" s="94" t="inlineStr">
        <is>
          <t>FACE</t>
        </is>
      </c>
      <c r="C140" s="93" t="inlineStr">
        <is>
          <t>EEOWG24B0237160</t>
        </is>
      </c>
      <c r="D140" s="95" t="n">
        <v>1</v>
      </c>
      <c r="E140" s="46" t="inlineStr">
        <is>
          <t>여성존</t>
        </is>
      </c>
    </row>
    <row r="141" ht="18.75" customFormat="1" customHeight="1" s="98">
      <c r="A141" s="93" t="inlineStr">
        <is>
          <t>F008</t>
        </is>
      </c>
      <c r="B141" s="94" t="inlineStr">
        <is>
          <t>FACE</t>
        </is>
      </c>
      <c r="C141" s="93" t="inlineStr">
        <is>
          <t>EEOWG24B0237165</t>
        </is>
      </c>
      <c r="D141" s="95" t="n">
        <v>1</v>
      </c>
      <c r="E141" s="46" t="inlineStr">
        <is>
          <t>여성존</t>
        </is>
      </c>
    </row>
    <row r="142" ht="18.75" customFormat="1" customHeight="1" s="98">
      <c r="A142" s="93" t="inlineStr">
        <is>
          <t>F009</t>
        </is>
      </c>
      <c r="B142" s="94" t="inlineStr">
        <is>
          <t>FACE</t>
        </is>
      </c>
      <c r="C142" s="93" t="inlineStr">
        <is>
          <t>EEASG24Q1S39FRE</t>
        </is>
      </c>
      <c r="D142" s="95" t="n">
        <v>1</v>
      </c>
      <c r="E142" s="46" t="inlineStr">
        <is>
          <t>여성존</t>
        </is>
      </c>
    </row>
    <row r="143" ht="18.75" customFormat="1" customHeight="1" s="98">
      <c r="A143" s="93" t="inlineStr">
        <is>
          <t>F009</t>
        </is>
      </c>
      <c r="B143" s="94" t="inlineStr">
        <is>
          <t>FACE</t>
        </is>
      </c>
      <c r="C143" s="93" t="inlineStr">
        <is>
          <t>EEOWG26B0199165</t>
        </is>
      </c>
      <c r="D143" s="95" t="n">
        <v>1</v>
      </c>
      <c r="E143" s="46" t="inlineStr">
        <is>
          <t>여성존</t>
        </is>
      </c>
    </row>
    <row r="144" ht="18.75" customFormat="1" customHeight="1" s="98">
      <c r="A144" s="93" t="inlineStr">
        <is>
          <t>F009</t>
        </is>
      </c>
      <c r="B144" s="94" t="inlineStr">
        <is>
          <t>FACE</t>
        </is>
      </c>
      <c r="C144" s="93" t="inlineStr">
        <is>
          <t>EEOWG26B0199160</t>
        </is>
      </c>
      <c r="D144" s="95" t="n">
        <v>1</v>
      </c>
      <c r="E144" s="46" t="inlineStr">
        <is>
          <t>여성존</t>
        </is>
      </c>
    </row>
    <row r="145" ht="18.75" customFormat="1" customHeight="1" s="98">
      <c r="A145" s="93" t="inlineStr">
        <is>
          <t>F009</t>
        </is>
      </c>
      <c r="B145" s="94" t="inlineStr">
        <is>
          <t>FACE</t>
        </is>
      </c>
      <c r="C145" s="93" t="inlineStr">
        <is>
          <t>EEOWG26B0351160</t>
        </is>
      </c>
      <c r="D145" s="95" t="n">
        <v>1</v>
      </c>
      <c r="E145" s="46" t="inlineStr">
        <is>
          <t>여성존</t>
        </is>
      </c>
    </row>
    <row r="146" ht="18.75" customFormat="1" customHeight="1" s="98">
      <c r="A146" s="93" t="inlineStr">
        <is>
          <t>F009</t>
        </is>
      </c>
      <c r="B146" s="94" t="inlineStr">
        <is>
          <t>FACE</t>
        </is>
      </c>
      <c r="C146" s="93" t="inlineStr">
        <is>
          <t>EEOWG26B0351165</t>
        </is>
      </c>
      <c r="D146" s="95" t="n">
        <v>1</v>
      </c>
      <c r="E146" s="46" t="inlineStr">
        <is>
          <t>여성존</t>
        </is>
      </c>
    </row>
    <row r="147" ht="18.75" customFormat="1" customHeight="1" s="98">
      <c r="A147" s="93" t="inlineStr">
        <is>
          <t>F009</t>
        </is>
      </c>
      <c r="B147" s="94" t="inlineStr">
        <is>
          <t>FACE</t>
        </is>
      </c>
      <c r="C147" s="93" t="inlineStr">
        <is>
          <t>EEVKG25B0439160</t>
        </is>
      </c>
      <c r="D147" s="95" t="n">
        <v>1</v>
      </c>
      <c r="E147" s="46" t="inlineStr">
        <is>
          <t>여성존</t>
        </is>
      </c>
    </row>
    <row r="148" ht="18.75" customFormat="1" customHeight="1" s="98">
      <c r="A148" s="93" t="inlineStr">
        <is>
          <t>F009</t>
        </is>
      </c>
      <c r="B148" s="94" t="inlineStr">
        <is>
          <t>FACE</t>
        </is>
      </c>
      <c r="C148" s="93" t="inlineStr">
        <is>
          <t>EEKWG25E0151160</t>
        </is>
      </c>
      <c r="D148" s="95" t="n">
        <v>1</v>
      </c>
      <c r="E148" s="46" t="inlineStr">
        <is>
          <t>여성존</t>
        </is>
      </c>
    </row>
    <row r="149" ht="18.75" customFormat="1" customHeight="1" s="98">
      <c r="A149" s="93" t="inlineStr">
        <is>
          <t>F009</t>
        </is>
      </c>
      <c r="B149" s="94" t="inlineStr">
        <is>
          <t>FACE</t>
        </is>
      </c>
      <c r="C149" s="93" t="inlineStr">
        <is>
          <t>EEKWG25E0151165</t>
        </is>
      </c>
      <c r="D149" s="95" t="n">
        <v>1</v>
      </c>
      <c r="E149" s="46" t="inlineStr">
        <is>
          <t>여성존</t>
        </is>
      </c>
    </row>
    <row r="150" ht="18.75" customFormat="1" customHeight="1" s="98">
      <c r="A150" s="93" t="inlineStr">
        <is>
          <t>F009</t>
        </is>
      </c>
      <c r="B150" s="94" t="inlineStr">
        <is>
          <t>FACE</t>
        </is>
      </c>
      <c r="C150" s="93" t="inlineStr">
        <is>
          <t>EEWJG23B0255155</t>
        </is>
      </c>
      <c r="D150" s="95" t="n">
        <v>1</v>
      </c>
      <c r="E150" s="46" t="inlineStr">
        <is>
          <t>여성존</t>
        </is>
      </c>
    </row>
    <row r="151" ht="18.75" customFormat="1" customHeight="1" s="98">
      <c r="A151" s="93" t="inlineStr">
        <is>
          <t>F009</t>
        </is>
      </c>
      <c r="B151" s="94" t="inlineStr">
        <is>
          <t>FACE</t>
        </is>
      </c>
      <c r="C151" s="93" t="inlineStr">
        <is>
          <t>EEWJG23B0255165</t>
        </is>
      </c>
      <c r="D151" s="95" t="n">
        <v>1</v>
      </c>
      <c r="E151" s="46" t="inlineStr">
        <is>
          <t>여성존</t>
        </is>
      </c>
    </row>
    <row r="152" ht="18.75" customFormat="1" customHeight="1" s="98">
      <c r="A152" s="93" t="inlineStr">
        <is>
          <t>F009</t>
        </is>
      </c>
      <c r="B152" s="94" t="inlineStr">
        <is>
          <t>FACE</t>
        </is>
      </c>
      <c r="C152" s="93" t="inlineStr">
        <is>
          <t>EECKG25D0339170</t>
        </is>
      </c>
      <c r="D152" s="95" t="n">
        <v>1</v>
      </c>
      <c r="E152" s="46" t="inlineStr">
        <is>
          <t>여성존</t>
        </is>
      </c>
    </row>
    <row r="153" ht="18.75" customFormat="1" customHeight="1" s="98">
      <c r="A153" s="93" t="inlineStr">
        <is>
          <t>F009</t>
        </is>
      </c>
      <c r="B153" s="94" t="inlineStr">
        <is>
          <t>FACE</t>
        </is>
      </c>
      <c r="C153" s="93" t="inlineStr">
        <is>
          <t>EECKG25D0339170</t>
        </is>
      </c>
      <c r="D153" s="95" t="n">
        <v>1</v>
      </c>
      <c r="E153" s="46" t="inlineStr">
        <is>
          <t>여성존</t>
        </is>
      </c>
    </row>
    <row r="154" ht="18.75" customFormat="1" customHeight="1" s="98">
      <c r="A154" s="93" t="inlineStr">
        <is>
          <t>F009</t>
        </is>
      </c>
      <c r="B154" s="94" t="inlineStr">
        <is>
          <t>FACE</t>
        </is>
      </c>
      <c r="C154" s="93" t="inlineStr">
        <is>
          <t>EEYCG26E0199165</t>
        </is>
      </c>
      <c r="D154" s="95" t="n">
        <v>1</v>
      </c>
      <c r="E154" s="46" t="inlineStr">
        <is>
          <t>여성존</t>
        </is>
      </c>
    </row>
    <row r="155" ht="18.75" customFormat="1" customHeight="1" s="98">
      <c r="A155" s="93" t="inlineStr">
        <is>
          <t>F009</t>
        </is>
      </c>
      <c r="B155" s="94" t="inlineStr">
        <is>
          <t>FACE</t>
        </is>
      </c>
      <c r="C155" s="93" t="inlineStr">
        <is>
          <t>EEYCG26E0199165</t>
        </is>
      </c>
      <c r="D155" s="95" t="n">
        <v>1</v>
      </c>
      <c r="E155" s="46" t="inlineStr">
        <is>
          <t>여성존</t>
        </is>
      </c>
    </row>
    <row r="156" ht="18.75" customFormat="1" customHeight="1" s="98">
      <c r="A156" s="93" t="inlineStr">
        <is>
          <t>F009</t>
        </is>
      </c>
      <c r="B156" s="94" t="inlineStr">
        <is>
          <t>FACE</t>
        </is>
      </c>
      <c r="C156" s="93" t="inlineStr">
        <is>
          <t>EETJG24B5856025</t>
        </is>
      </c>
      <c r="D156" s="95" t="n">
        <v>1</v>
      </c>
      <c r="E156" s="46" t="inlineStr">
        <is>
          <t>여성존</t>
        </is>
      </c>
    </row>
    <row r="157" ht="18.75" customFormat="1" customHeight="1" s="98">
      <c r="A157" s="93" t="inlineStr">
        <is>
          <t>F009</t>
        </is>
      </c>
      <c r="B157" s="94" t="inlineStr">
        <is>
          <t>FACE</t>
        </is>
      </c>
      <c r="C157" s="93" t="inlineStr">
        <is>
          <t>EETJG24B5856028</t>
        </is>
      </c>
      <c r="D157" s="95" t="n">
        <v>1</v>
      </c>
      <c r="E157" s="46" t="inlineStr">
        <is>
          <t>여성존</t>
        </is>
      </c>
    </row>
    <row r="158" ht="18.75" customFormat="1" customHeight="1" s="98">
      <c r="A158" s="93" t="inlineStr">
        <is>
          <t>F009</t>
        </is>
      </c>
      <c r="B158" s="94" t="inlineStr">
        <is>
          <t>FACE</t>
        </is>
      </c>
      <c r="C158" s="93" t="inlineStr">
        <is>
          <t>EECKG23B0351170</t>
        </is>
      </c>
      <c r="D158" s="95" t="n">
        <v>1</v>
      </c>
      <c r="E158" s="46" t="inlineStr">
        <is>
          <t>여성존</t>
        </is>
      </c>
    </row>
    <row r="159" ht="18.75" customFormat="1" customHeight="1" s="98">
      <c r="A159" s="93" t="inlineStr">
        <is>
          <t>F009</t>
        </is>
      </c>
      <c r="B159" s="94" t="inlineStr">
        <is>
          <t>FACE</t>
        </is>
      </c>
      <c r="C159" s="93" t="inlineStr">
        <is>
          <t>EECKG23B0351170</t>
        </is>
      </c>
      <c r="D159" s="95" t="n">
        <v>1</v>
      </c>
      <c r="E159" s="46" t="inlineStr">
        <is>
          <t>여성존</t>
        </is>
      </c>
    </row>
    <row r="160" ht="18.75" customFormat="1" customHeight="1" s="98">
      <c r="A160" s="93" t="inlineStr">
        <is>
          <t>F009</t>
        </is>
      </c>
      <c r="B160" s="94" t="inlineStr">
        <is>
          <t>FACE</t>
        </is>
      </c>
      <c r="C160" s="93" t="inlineStr">
        <is>
          <t>EEYSG24E0450160</t>
        </is>
      </c>
      <c r="D160" s="95" t="n">
        <v>1</v>
      </c>
      <c r="E160" s="46" t="inlineStr">
        <is>
          <t>여성존</t>
        </is>
      </c>
    </row>
    <row r="161" ht="18.75" customFormat="1" customHeight="1" s="98">
      <c r="A161" s="93" t="inlineStr">
        <is>
          <t>F009</t>
        </is>
      </c>
      <c r="B161" s="94" t="inlineStr">
        <is>
          <t>FACE</t>
        </is>
      </c>
      <c r="C161" s="93" t="inlineStr">
        <is>
          <t>EEYSG24E0450165</t>
        </is>
      </c>
      <c r="D161" s="95" t="n">
        <v>1</v>
      </c>
      <c r="E161" s="46" t="inlineStr">
        <is>
          <t>여성존</t>
        </is>
      </c>
    </row>
    <row r="162" ht="18.75" customFormat="1" customHeight="1" s="98">
      <c r="A162" s="93" t="inlineStr">
        <is>
          <t>F010</t>
        </is>
      </c>
      <c r="B162" s="94" t="inlineStr">
        <is>
          <t>FACE</t>
        </is>
      </c>
      <c r="C162" s="93" t="inlineStr">
        <is>
          <t>EERAG23E0139160</t>
        </is>
      </c>
      <c r="D162" s="95" t="n">
        <v>1</v>
      </c>
      <c r="E162" s="46" t="inlineStr">
        <is>
          <t>여성존</t>
        </is>
      </c>
    </row>
    <row r="163" ht="18.75" customFormat="1" customHeight="1" s="98">
      <c r="A163" s="93" t="inlineStr">
        <is>
          <t>F010</t>
        </is>
      </c>
      <c r="B163" s="94" t="inlineStr">
        <is>
          <t>FACE</t>
        </is>
      </c>
      <c r="C163" s="93" t="inlineStr">
        <is>
          <t>EEVKG23B0255160</t>
        </is>
      </c>
      <c r="D163" s="95" t="n">
        <v>1</v>
      </c>
      <c r="E163" s="46" t="inlineStr">
        <is>
          <t>여성존</t>
        </is>
      </c>
    </row>
    <row r="164" ht="18.75" customFormat="1" customHeight="1" s="98">
      <c r="A164" s="93" t="inlineStr">
        <is>
          <t>F010</t>
        </is>
      </c>
      <c r="B164" s="94" t="inlineStr">
        <is>
          <t>FACE</t>
        </is>
      </c>
      <c r="C164" s="93" t="inlineStr">
        <is>
          <t>EERAG23E0239160</t>
        </is>
      </c>
      <c r="D164" s="95" t="n">
        <v>1</v>
      </c>
      <c r="E164" s="46" t="inlineStr">
        <is>
          <t>여성존</t>
        </is>
      </c>
    </row>
    <row r="165" ht="18.75" customFormat="1" customHeight="1" s="98">
      <c r="A165" s="93" t="inlineStr">
        <is>
          <t>F010</t>
        </is>
      </c>
      <c r="B165" s="94" t="inlineStr">
        <is>
          <t>FACE</t>
        </is>
      </c>
      <c r="C165" s="93" t="inlineStr">
        <is>
          <t>EEVKG23B0255165</t>
        </is>
      </c>
      <c r="D165" s="95" t="n">
        <v>1</v>
      </c>
      <c r="E165" s="46" t="inlineStr">
        <is>
          <t>여성존</t>
        </is>
      </c>
    </row>
    <row r="166" ht="18.75" customFormat="1" customHeight="1" s="98">
      <c r="A166" s="93" t="inlineStr">
        <is>
          <t>F010</t>
        </is>
      </c>
      <c r="B166" s="94" t="inlineStr">
        <is>
          <t>FACE</t>
        </is>
      </c>
      <c r="C166" s="93" t="inlineStr">
        <is>
          <t>EETJG25B0355027</t>
        </is>
      </c>
      <c r="D166" s="95" t="n">
        <v>1</v>
      </c>
      <c r="E166" s="46" t="inlineStr">
        <is>
          <t>여성존</t>
        </is>
      </c>
    </row>
    <row r="167" ht="18.75" customFormat="1" customHeight="1" s="98">
      <c r="A167" s="93" t="inlineStr">
        <is>
          <t>F010</t>
        </is>
      </c>
      <c r="B167" s="94" t="inlineStr">
        <is>
          <t>FACE</t>
        </is>
      </c>
      <c r="C167" s="93" t="inlineStr">
        <is>
          <t>EERNG25B0139165</t>
        </is>
      </c>
      <c r="D167" s="95" t="n">
        <v>1</v>
      </c>
      <c r="E167" s="46" t="inlineStr">
        <is>
          <t>여성존</t>
        </is>
      </c>
    </row>
    <row r="168" ht="18.75" customFormat="1" customHeight="1" s="98">
      <c r="A168" s="93" t="inlineStr">
        <is>
          <t>F010</t>
        </is>
      </c>
      <c r="B168" s="94" t="inlineStr">
        <is>
          <t>FACE</t>
        </is>
      </c>
      <c r="C168" s="93" t="inlineStr">
        <is>
          <t>EERNG25B0139160</t>
        </is>
      </c>
      <c r="D168" s="95" t="n">
        <v>1</v>
      </c>
      <c r="E168" s="46" t="inlineStr">
        <is>
          <t>여성존</t>
        </is>
      </c>
    </row>
    <row r="169" ht="18.75" customFormat="1" customHeight="1" s="98">
      <c r="A169" s="93" t="inlineStr">
        <is>
          <t>F010</t>
        </is>
      </c>
      <c r="B169" s="94" t="inlineStr">
        <is>
          <t>FACE</t>
        </is>
      </c>
      <c r="C169" s="93" t="inlineStr">
        <is>
          <t>EERNG25B0117160</t>
        </is>
      </c>
      <c r="D169" s="95" t="n">
        <v>1</v>
      </c>
      <c r="E169" s="46" t="inlineStr">
        <is>
          <t>여성존</t>
        </is>
      </c>
    </row>
    <row r="170" ht="18.75" customFormat="1" customHeight="1" s="98">
      <c r="A170" s="93" t="inlineStr">
        <is>
          <t>F010</t>
        </is>
      </c>
      <c r="B170" s="94" t="inlineStr">
        <is>
          <t>FACE</t>
        </is>
      </c>
      <c r="C170" s="93" t="inlineStr">
        <is>
          <t>EERNG25B0117165</t>
        </is>
      </c>
      <c r="D170" s="95" t="n">
        <v>1</v>
      </c>
      <c r="E170" s="46" t="inlineStr">
        <is>
          <t>여성존</t>
        </is>
      </c>
    </row>
    <row r="171" ht="18.75" customFormat="1" customHeight="1" s="98">
      <c r="A171" s="93" t="inlineStr">
        <is>
          <t>F010</t>
        </is>
      </c>
      <c r="B171" s="94" t="inlineStr">
        <is>
          <t>FACE</t>
        </is>
      </c>
      <c r="C171" s="93" t="inlineStr">
        <is>
          <t>EERNG25B0188165</t>
        </is>
      </c>
      <c r="D171" s="95" t="n">
        <v>1</v>
      </c>
      <c r="E171" s="46" t="inlineStr">
        <is>
          <t>여성존</t>
        </is>
      </c>
    </row>
    <row r="172" ht="18.75" customFormat="1" customHeight="1" s="98">
      <c r="A172" s="93" t="inlineStr">
        <is>
          <t>F010</t>
        </is>
      </c>
      <c r="B172" s="94" t="inlineStr">
        <is>
          <t>FACE</t>
        </is>
      </c>
      <c r="C172" s="93" t="inlineStr">
        <is>
          <t>EERNG25B0188170</t>
        </is>
      </c>
      <c r="D172" s="95" t="n">
        <v>1</v>
      </c>
      <c r="E172" s="46" t="inlineStr">
        <is>
          <t>여성존</t>
        </is>
      </c>
    </row>
    <row r="173" ht="18.75" customFormat="1" customHeight="1" s="98">
      <c r="A173" s="93" t="inlineStr">
        <is>
          <t>F010</t>
        </is>
      </c>
      <c r="B173" s="94" t="inlineStr">
        <is>
          <t>FACE</t>
        </is>
      </c>
      <c r="C173" s="93" t="inlineStr">
        <is>
          <t>EERNG23E0118170</t>
        </is>
      </c>
      <c r="D173" s="95" t="n">
        <v>1</v>
      </c>
      <c r="E173" s="46" t="inlineStr">
        <is>
          <t>여성존</t>
        </is>
      </c>
    </row>
    <row r="174" ht="18.75" customFormat="1" customHeight="1" s="98">
      <c r="A174" s="93" t="inlineStr">
        <is>
          <t>F010</t>
        </is>
      </c>
      <c r="B174" s="94" t="inlineStr">
        <is>
          <t>FACE</t>
        </is>
      </c>
      <c r="C174" s="93" t="inlineStr">
        <is>
          <t>EETJG25B0355026</t>
        </is>
      </c>
      <c r="D174" s="95" t="n">
        <v>1</v>
      </c>
      <c r="E174" s="46" t="inlineStr">
        <is>
          <t>여성존</t>
        </is>
      </c>
    </row>
    <row r="175" ht="18.75" customFormat="1" customHeight="1" s="98">
      <c r="A175" s="93" t="inlineStr">
        <is>
          <t>F010</t>
        </is>
      </c>
      <c r="B175" s="94" t="inlineStr">
        <is>
          <t>FACE</t>
        </is>
      </c>
      <c r="C175" s="93" t="inlineStr">
        <is>
          <t>EEOJG23B0156170</t>
        </is>
      </c>
      <c r="D175" s="95" t="n">
        <v>1</v>
      </c>
      <c r="E175" s="46" t="inlineStr">
        <is>
          <t>여성존</t>
        </is>
      </c>
    </row>
    <row r="176" ht="18.75" customFormat="1" customHeight="1" s="98">
      <c r="A176" s="93" t="inlineStr">
        <is>
          <t>F010</t>
        </is>
      </c>
      <c r="B176" s="94" t="inlineStr">
        <is>
          <t>FACE</t>
        </is>
      </c>
      <c r="C176" s="93" t="inlineStr">
        <is>
          <t>EEOJG23B0156160</t>
        </is>
      </c>
      <c r="D176" s="95" t="n">
        <v>1</v>
      </c>
      <c r="E176" s="46" t="inlineStr">
        <is>
          <t>여성존</t>
        </is>
      </c>
    </row>
    <row r="177" ht="18.75" customFormat="1" customHeight="1" s="98">
      <c r="A177" s="93" t="inlineStr">
        <is>
          <t>F010</t>
        </is>
      </c>
      <c r="B177" s="94" t="inlineStr">
        <is>
          <t>FACE</t>
        </is>
      </c>
      <c r="C177" s="93" t="inlineStr">
        <is>
          <t>EERAG26B0364170</t>
        </is>
      </c>
      <c r="D177" s="95" t="n">
        <v>1</v>
      </c>
      <c r="E177" s="46" t="inlineStr">
        <is>
          <t>여성존</t>
        </is>
      </c>
    </row>
    <row r="178" ht="18.75" customFormat="1" customHeight="1" s="98">
      <c r="A178" s="93" t="inlineStr">
        <is>
          <t>F010</t>
        </is>
      </c>
      <c r="B178" s="94" t="inlineStr">
        <is>
          <t>FACE</t>
        </is>
      </c>
      <c r="C178" s="93" t="inlineStr">
        <is>
          <t>EERAG26B0364165</t>
        </is>
      </c>
      <c r="D178" s="95" t="n">
        <v>1</v>
      </c>
      <c r="E178" s="46" t="inlineStr">
        <is>
          <t>여성존</t>
        </is>
      </c>
    </row>
    <row r="179" ht="18.75" customFormat="1" customHeight="1" s="98">
      <c r="A179" s="93" t="inlineStr">
        <is>
          <t>F010</t>
        </is>
      </c>
      <c r="B179" s="94" t="inlineStr">
        <is>
          <t>FACE</t>
        </is>
      </c>
      <c r="C179" s="93" t="inlineStr">
        <is>
          <t>EETJG23E0139026</t>
        </is>
      </c>
      <c r="D179" s="95" t="n">
        <v>1</v>
      </c>
      <c r="E179" s="46" t="inlineStr">
        <is>
          <t>여성존</t>
        </is>
      </c>
    </row>
    <row r="180" ht="18.75" customFormat="1" customHeight="1" s="98">
      <c r="A180" s="93" t="inlineStr">
        <is>
          <t>F010</t>
        </is>
      </c>
      <c r="B180" s="94" t="inlineStr">
        <is>
          <t>FACE</t>
        </is>
      </c>
      <c r="C180" s="93" t="inlineStr">
        <is>
          <t>EETJG23E0139027</t>
        </is>
      </c>
      <c r="D180" s="95" t="n">
        <v>1</v>
      </c>
      <c r="E180" s="46" t="inlineStr">
        <is>
          <t>여성존</t>
        </is>
      </c>
    </row>
    <row r="181" ht="18.75" customFormat="1" customHeight="1" s="98">
      <c r="A181" s="93" t="inlineStr">
        <is>
          <t>F010</t>
        </is>
      </c>
      <c r="B181" s="94" t="inlineStr">
        <is>
          <t>FACE</t>
        </is>
      </c>
      <c r="C181" s="93" t="inlineStr">
        <is>
          <t>EEYPG23E0155160</t>
        </is>
      </c>
      <c r="D181" s="95" t="n">
        <v>1</v>
      </c>
      <c r="E181" s="46" t="inlineStr">
        <is>
          <t>여성존</t>
        </is>
      </c>
    </row>
    <row r="182" ht="18.75" customFormat="1" customHeight="1" s="98">
      <c r="A182" s="93" t="inlineStr">
        <is>
          <t>F010</t>
        </is>
      </c>
      <c r="B182" s="94" t="inlineStr">
        <is>
          <t>FACE</t>
        </is>
      </c>
      <c r="C182" s="93" t="inlineStr">
        <is>
          <t>EEYWG24E0220170</t>
        </is>
      </c>
      <c r="D182" s="95" t="n">
        <v>1</v>
      </c>
      <c r="E182" s="46" t="inlineStr">
        <is>
          <t>여성존</t>
        </is>
      </c>
    </row>
    <row r="183" ht="18.75" customFormat="1" customHeight="1" s="98">
      <c r="A183" s="93" t="inlineStr">
        <is>
          <t>F010</t>
        </is>
      </c>
      <c r="B183" s="94" t="inlineStr">
        <is>
          <t>FACE</t>
        </is>
      </c>
      <c r="C183" s="93" t="inlineStr">
        <is>
          <t>EEYCG24E0250160</t>
        </is>
      </c>
      <c r="D183" s="95" t="n">
        <v>1</v>
      </c>
      <c r="E183" s="46" t="inlineStr">
        <is>
          <t>여성존</t>
        </is>
      </c>
    </row>
    <row r="184" ht="18.75" customFormat="1" customHeight="1" s="98">
      <c r="A184" s="93" t="inlineStr">
        <is>
          <t>F010</t>
        </is>
      </c>
      <c r="B184" s="94" t="inlineStr">
        <is>
          <t>FACE</t>
        </is>
      </c>
      <c r="C184" s="93" t="inlineStr">
        <is>
          <t>EEYCG24E0250165</t>
        </is>
      </c>
      <c r="D184" s="95" t="n">
        <v>1</v>
      </c>
      <c r="E184" s="46" t="inlineStr">
        <is>
          <t>여성존</t>
        </is>
      </c>
    </row>
    <row r="185" ht="18.75" customFormat="1" customHeight="1" s="98">
      <c r="A185" s="93" t="inlineStr">
        <is>
          <t>F010</t>
        </is>
      </c>
      <c r="B185" s="94" t="inlineStr">
        <is>
          <t>FACE</t>
        </is>
      </c>
      <c r="C185" s="93" t="inlineStr">
        <is>
          <t>EETJG23E0755025</t>
        </is>
      </c>
      <c r="D185" s="95" t="n">
        <v>1</v>
      </c>
      <c r="E185" s="46" t="inlineStr">
        <is>
          <t>여성존</t>
        </is>
      </c>
    </row>
    <row r="186" ht="18.75" customFormat="1" customHeight="1" s="98">
      <c r="A186" s="93" t="inlineStr">
        <is>
          <t>F010</t>
        </is>
      </c>
      <c r="B186" s="94" t="inlineStr">
        <is>
          <t>FACE</t>
        </is>
      </c>
      <c r="C186" s="93" t="inlineStr">
        <is>
          <t>EETJG23E0755027</t>
        </is>
      </c>
      <c r="D186" s="95" t="n">
        <v>1</v>
      </c>
      <c r="E186" s="46" t="inlineStr">
        <is>
          <t>여성존</t>
        </is>
      </c>
    </row>
    <row r="187" ht="18.75" customFormat="1" customHeight="1" s="98">
      <c r="A187" s="93" t="inlineStr">
        <is>
          <t>F010</t>
        </is>
      </c>
      <c r="B187" s="94" t="inlineStr">
        <is>
          <t>FACE</t>
        </is>
      </c>
      <c r="C187" s="93" t="inlineStr">
        <is>
          <t>EERAG23B0451160</t>
        </is>
      </c>
      <c r="D187" s="95" t="n">
        <v>1</v>
      </c>
      <c r="E187" s="46" t="inlineStr">
        <is>
          <t>여성존</t>
        </is>
      </c>
    </row>
    <row r="188" ht="18.75" customFormat="1" customHeight="1" s="98">
      <c r="A188" s="93" t="inlineStr">
        <is>
          <t>F010</t>
        </is>
      </c>
      <c r="B188" s="94" t="inlineStr">
        <is>
          <t>FACE</t>
        </is>
      </c>
      <c r="C188" s="93" t="inlineStr">
        <is>
          <t>EETCG23E1G49030</t>
        </is>
      </c>
      <c r="D188" s="95" t="n">
        <v>1</v>
      </c>
      <c r="E188" s="46" t="inlineStr">
        <is>
          <t>여성존</t>
        </is>
      </c>
    </row>
    <row r="189" ht="18.75" customFormat="1" customHeight="1" s="98">
      <c r="A189" s="93" t="inlineStr">
        <is>
          <t>F011</t>
        </is>
      </c>
      <c r="B189" s="94" t="inlineStr">
        <is>
          <t>FACE</t>
        </is>
      </c>
      <c r="C189" s="93" t="inlineStr">
        <is>
          <t>EEYWG25E2G10170</t>
        </is>
      </c>
      <c r="D189" s="95" t="n">
        <v>1</v>
      </c>
      <c r="E189" s="46" t="inlineStr">
        <is>
          <t>남성존</t>
        </is>
      </c>
    </row>
    <row r="190" ht="18.75" customFormat="1" customHeight="1" s="98">
      <c r="A190" s="93" t="inlineStr">
        <is>
          <t>F011</t>
        </is>
      </c>
      <c r="B190" s="94" t="inlineStr">
        <is>
          <t>FACE</t>
        </is>
      </c>
      <c r="C190" s="93" t="inlineStr">
        <is>
          <t>EEYWG25E1G35175</t>
        </is>
      </c>
      <c r="D190" s="95" t="n">
        <v>1</v>
      </c>
      <c r="E190" s="46" t="inlineStr">
        <is>
          <t>남성존</t>
        </is>
      </c>
    </row>
    <row r="191" ht="18.75" customFormat="1" customHeight="1" s="98">
      <c r="A191" s="93" t="inlineStr">
        <is>
          <t>F011</t>
        </is>
      </c>
      <c r="B191" s="94" t="inlineStr">
        <is>
          <t>FACE</t>
        </is>
      </c>
      <c r="C191" s="93" t="inlineStr">
        <is>
          <t>EEYWG25E3G59170</t>
        </is>
      </c>
      <c r="D191" s="95" t="n">
        <v>1</v>
      </c>
      <c r="E191" s="46" t="inlineStr">
        <is>
          <t>남성존</t>
        </is>
      </c>
    </row>
    <row r="192" ht="18.75" customFormat="1" customHeight="1" s="98">
      <c r="A192" s="93" t="inlineStr">
        <is>
          <t>F011</t>
        </is>
      </c>
      <c r="B192" s="94" t="inlineStr">
        <is>
          <t>FACE</t>
        </is>
      </c>
      <c r="C192" s="93" t="inlineStr">
        <is>
          <t>EETCG23E1G59032</t>
        </is>
      </c>
      <c r="D192" s="95" t="n">
        <v>1</v>
      </c>
      <c r="E192" s="46" t="inlineStr">
        <is>
          <t>남성존</t>
        </is>
      </c>
    </row>
    <row r="193" ht="18.75" customFormat="1" customHeight="1" s="98">
      <c r="A193" s="93" t="inlineStr">
        <is>
          <t>F011</t>
        </is>
      </c>
      <c r="B193" s="94" t="inlineStr">
        <is>
          <t>FACE</t>
        </is>
      </c>
      <c r="C193" s="93" t="inlineStr">
        <is>
          <t>EETCG23E1G59030</t>
        </is>
      </c>
      <c r="D193" s="95" t="n">
        <v>1</v>
      </c>
      <c r="E193" s="46" t="inlineStr">
        <is>
          <t>남성존</t>
        </is>
      </c>
    </row>
    <row r="194" ht="18.75" customFormat="1" customHeight="1" s="98">
      <c r="A194" s="93" t="inlineStr">
        <is>
          <t>F011</t>
        </is>
      </c>
      <c r="B194" s="94" t="inlineStr">
        <is>
          <t>FACE</t>
        </is>
      </c>
      <c r="C194" s="93" t="inlineStr">
        <is>
          <t>EEYCG25B1G20170</t>
        </is>
      </c>
      <c r="D194" s="95" t="n">
        <v>1</v>
      </c>
      <c r="E194" s="46" t="inlineStr">
        <is>
          <t>남성존</t>
        </is>
      </c>
    </row>
    <row r="195" ht="18.75" customFormat="1" customHeight="1" s="98">
      <c r="A195" s="93" t="inlineStr">
        <is>
          <t>F011</t>
        </is>
      </c>
      <c r="B195" s="94" t="inlineStr">
        <is>
          <t>FACE</t>
        </is>
      </c>
      <c r="C195" s="93" t="inlineStr">
        <is>
          <t>EERAG25B1G49170</t>
        </is>
      </c>
      <c r="D195" s="95" t="n">
        <v>1</v>
      </c>
      <c r="E195" s="46" t="inlineStr">
        <is>
          <t>남성존</t>
        </is>
      </c>
    </row>
    <row r="196" ht="18.75" customFormat="1" customHeight="1" s="98">
      <c r="A196" s="93" t="inlineStr">
        <is>
          <t>F011</t>
        </is>
      </c>
      <c r="B196" s="94" t="inlineStr">
        <is>
          <t>FACE</t>
        </is>
      </c>
      <c r="C196" s="93" t="inlineStr">
        <is>
          <t>EEHWG23E1G10175</t>
        </is>
      </c>
      <c r="D196" s="95" t="n">
        <v>1</v>
      </c>
      <c r="E196" s="46" t="inlineStr">
        <is>
          <t>남성존</t>
        </is>
      </c>
    </row>
    <row r="197" ht="18.75" customFormat="1" customHeight="1" s="98">
      <c r="A197" s="93" t="inlineStr">
        <is>
          <t>F011</t>
        </is>
      </c>
      <c r="B197" s="94" t="inlineStr">
        <is>
          <t>FACE</t>
        </is>
      </c>
      <c r="C197" s="93" t="inlineStr">
        <is>
          <t>EERAG25B1G49175</t>
        </is>
      </c>
      <c r="D197" s="95" t="n">
        <v>1</v>
      </c>
      <c r="E197" s="46" t="inlineStr">
        <is>
          <t>남성존</t>
        </is>
      </c>
    </row>
    <row r="198" ht="18.75" customFormat="1" customHeight="1" s="98">
      <c r="A198" s="93" t="inlineStr">
        <is>
          <t>F011</t>
        </is>
      </c>
      <c r="B198" s="94" t="inlineStr">
        <is>
          <t>FACE</t>
        </is>
      </c>
      <c r="C198" s="93" t="inlineStr">
        <is>
          <t>EEHWG23E1G59175</t>
        </is>
      </c>
      <c r="D198" s="95" t="n">
        <v>1</v>
      </c>
      <c r="E198" s="46" t="inlineStr">
        <is>
          <t>남성존</t>
        </is>
      </c>
    </row>
    <row r="199" ht="18.75" customFormat="1" customHeight="1" s="98">
      <c r="A199" s="93" t="inlineStr">
        <is>
          <t>F011</t>
        </is>
      </c>
      <c r="B199" s="94" t="inlineStr">
        <is>
          <t>FACE</t>
        </is>
      </c>
      <c r="C199" s="93" t="inlineStr">
        <is>
          <t>EEHWG23E1G25175</t>
        </is>
      </c>
      <c r="D199" s="95" t="n">
        <v>1</v>
      </c>
      <c r="E199" s="46" t="inlineStr">
        <is>
          <t>남성존</t>
        </is>
      </c>
    </row>
    <row r="200" ht="18.75" customFormat="1" customHeight="1" s="98">
      <c r="A200" s="93" t="inlineStr">
        <is>
          <t>F011</t>
        </is>
      </c>
      <c r="B200" s="94" t="inlineStr">
        <is>
          <t>FACE</t>
        </is>
      </c>
      <c r="C200" s="93" t="inlineStr">
        <is>
          <t>EEYWG25E3G25175</t>
        </is>
      </c>
      <c r="D200" s="95" t="n">
        <v>1</v>
      </c>
      <c r="E200" s="46" t="inlineStr">
        <is>
          <t>남성존</t>
        </is>
      </c>
    </row>
    <row r="201" ht="18.75" customFormat="1" customHeight="1" s="98">
      <c r="A201" s="93" t="inlineStr">
        <is>
          <t>F011</t>
        </is>
      </c>
      <c r="B201" s="94" t="inlineStr">
        <is>
          <t>FACE</t>
        </is>
      </c>
      <c r="C201" s="93" t="inlineStr">
        <is>
          <t>EEYSG25B1G25175</t>
        </is>
      </c>
      <c r="D201" s="95" t="n">
        <v>1</v>
      </c>
      <c r="E201" s="46" t="inlineStr">
        <is>
          <t>남성존</t>
        </is>
      </c>
    </row>
    <row r="202" ht="18.75" customFormat="1" customHeight="1" s="98">
      <c r="A202" s="93" t="inlineStr">
        <is>
          <t>F011</t>
        </is>
      </c>
      <c r="B202" s="94" t="inlineStr">
        <is>
          <t>FACE</t>
        </is>
      </c>
      <c r="C202" s="93" t="inlineStr">
        <is>
          <t>EEYWG25E1G50175</t>
        </is>
      </c>
      <c r="D202" s="95" t="n">
        <v>1</v>
      </c>
      <c r="E202" s="46" t="inlineStr">
        <is>
          <t>남성존</t>
        </is>
      </c>
    </row>
    <row r="203" ht="18.75" customFormat="1" customHeight="1" s="98">
      <c r="A203" s="93" t="inlineStr">
        <is>
          <t>F011</t>
        </is>
      </c>
      <c r="B203" s="94" t="inlineStr">
        <is>
          <t>FACE</t>
        </is>
      </c>
      <c r="C203" s="93" t="inlineStr">
        <is>
          <t>EEYWG25E1G50170</t>
        </is>
      </c>
      <c r="D203" s="95" t="n">
        <v>1</v>
      </c>
      <c r="E203" s="46" t="inlineStr">
        <is>
          <t>남성존</t>
        </is>
      </c>
    </row>
    <row r="204" ht="18.75" customFormat="1" customHeight="1" s="98">
      <c r="A204" s="93" t="inlineStr">
        <is>
          <t>F011</t>
        </is>
      </c>
      <c r="B204" s="94" t="inlineStr">
        <is>
          <t>FACE</t>
        </is>
      </c>
      <c r="C204" s="93" t="inlineStr">
        <is>
          <t>EEYSG25B1G50180</t>
        </is>
      </c>
      <c r="D204" s="95" t="n">
        <v>1</v>
      </c>
      <c r="E204" s="46" t="inlineStr">
        <is>
          <t>남성존</t>
        </is>
      </c>
    </row>
    <row r="205" ht="18.75" customFormat="1" customHeight="1" s="98">
      <c r="A205" s="93" t="inlineStr">
        <is>
          <t>F011</t>
        </is>
      </c>
      <c r="B205" s="94" t="inlineStr">
        <is>
          <t>FACE</t>
        </is>
      </c>
      <c r="C205" s="93" t="inlineStr">
        <is>
          <t>EERSG25B1G40170</t>
        </is>
      </c>
      <c r="D205" s="95" t="n">
        <v>1</v>
      </c>
      <c r="E205" s="46" t="inlineStr">
        <is>
          <t>남성존</t>
        </is>
      </c>
    </row>
    <row r="206" ht="18.75" customFormat="1" customHeight="1" s="98">
      <c r="A206" s="93" t="inlineStr">
        <is>
          <t>F011</t>
        </is>
      </c>
      <c r="B206" s="94" t="inlineStr">
        <is>
          <t>FACE</t>
        </is>
      </c>
      <c r="C206" s="93" t="inlineStr">
        <is>
          <t>EERSG25B1G40175</t>
        </is>
      </c>
      <c r="D206" s="95" t="n">
        <v>1</v>
      </c>
      <c r="E206" s="46" t="inlineStr">
        <is>
          <t>남성존</t>
        </is>
      </c>
    </row>
    <row r="207" ht="18.75" customFormat="1" customHeight="1" s="98">
      <c r="A207" s="93" t="inlineStr">
        <is>
          <t>F011</t>
        </is>
      </c>
      <c r="B207" s="94" t="inlineStr">
        <is>
          <t>FACE</t>
        </is>
      </c>
      <c r="C207" s="93" t="inlineStr">
        <is>
          <t>EEHWG23E1G85175</t>
        </is>
      </c>
      <c r="D207" s="95" t="n">
        <v>1</v>
      </c>
      <c r="E207" s="46" t="inlineStr">
        <is>
          <t>남성존</t>
        </is>
      </c>
    </row>
    <row r="208" ht="18.75" customFormat="1" customHeight="1" s="98">
      <c r="A208" s="93" t="inlineStr">
        <is>
          <t>F011</t>
        </is>
      </c>
      <c r="B208" s="94" t="inlineStr">
        <is>
          <t>FACE</t>
        </is>
      </c>
      <c r="C208" s="93" t="inlineStr">
        <is>
          <t>EEHWG25D2G85175</t>
        </is>
      </c>
      <c r="D208" s="95" t="n">
        <v>1</v>
      </c>
      <c r="E208" s="46" t="inlineStr">
        <is>
          <t>남성존</t>
        </is>
      </c>
    </row>
    <row r="209" ht="18.75" customFormat="1" customHeight="1" s="98">
      <c r="A209" s="93" t="inlineStr">
        <is>
          <t>F011</t>
        </is>
      </c>
      <c r="B209" s="94" t="inlineStr">
        <is>
          <t>FACE</t>
        </is>
      </c>
      <c r="C209" s="93" t="inlineStr">
        <is>
          <t>EEYSG12E1G35175</t>
        </is>
      </c>
      <c r="D209" s="95" t="n">
        <v>1</v>
      </c>
      <c r="E209" s="46" t="inlineStr">
        <is>
          <t>남성존</t>
        </is>
      </c>
    </row>
    <row r="210" ht="18.75" customFormat="1" customHeight="1" s="98">
      <c r="A210" s="93" t="inlineStr">
        <is>
          <t>F011</t>
        </is>
      </c>
      <c r="B210" s="94" t="inlineStr">
        <is>
          <t>FACE</t>
        </is>
      </c>
      <c r="C210" s="93" t="inlineStr">
        <is>
          <t>EERAG25B2G64175</t>
        </is>
      </c>
      <c r="D210" s="95" t="n">
        <v>1</v>
      </c>
      <c r="E210" s="46" t="inlineStr">
        <is>
          <t>남성존</t>
        </is>
      </c>
    </row>
    <row r="211" ht="18.75" customFormat="1" customHeight="1" s="98">
      <c r="A211" s="93" t="inlineStr">
        <is>
          <t>F011</t>
        </is>
      </c>
      <c r="B211" s="94" t="inlineStr">
        <is>
          <t>FACE</t>
        </is>
      </c>
      <c r="C211" s="93" t="inlineStr">
        <is>
          <t>EEHWG23E1G40175</t>
        </is>
      </c>
      <c r="D211" s="95" t="n">
        <v>1</v>
      </c>
      <c r="E211" s="46" t="inlineStr">
        <is>
          <t>남성존</t>
        </is>
      </c>
    </row>
    <row r="212" ht="18.75" customFormat="1" customHeight="1" s="98">
      <c r="A212" s="93" t="inlineStr">
        <is>
          <t>F011</t>
        </is>
      </c>
      <c r="B212" s="94" t="inlineStr">
        <is>
          <t>FACE</t>
        </is>
      </c>
      <c r="C212" s="93" t="inlineStr">
        <is>
          <t>EEYWG25E3G40170</t>
        </is>
      </c>
      <c r="D212" s="95" t="n">
        <v>1</v>
      </c>
      <c r="E212" s="46" t="inlineStr">
        <is>
          <t>남성존</t>
        </is>
      </c>
    </row>
    <row r="213" ht="18.75" customFormat="1" customHeight="1" s="98">
      <c r="A213" s="93" t="inlineStr">
        <is>
          <t>F011</t>
        </is>
      </c>
      <c r="B213" s="94" t="inlineStr">
        <is>
          <t>FACE</t>
        </is>
      </c>
      <c r="C213" s="93" t="inlineStr">
        <is>
          <t>EEHWG23E1G10175</t>
        </is>
      </c>
      <c r="D213" s="95" t="n">
        <v>1</v>
      </c>
      <c r="E213" s="46" t="inlineStr">
        <is>
          <t>남성존</t>
        </is>
      </c>
    </row>
    <row r="214" ht="18.75" customFormat="1" customHeight="1" s="98">
      <c r="A214" s="93" t="inlineStr">
        <is>
          <t>F011</t>
        </is>
      </c>
      <c r="B214" s="94" t="inlineStr">
        <is>
          <t>FACE</t>
        </is>
      </c>
      <c r="C214" s="93" t="inlineStr">
        <is>
          <t>EETCG23E1G35032</t>
        </is>
      </c>
      <c r="D214" s="95" t="n">
        <v>1</v>
      </c>
      <c r="E214" s="46" t="inlineStr">
        <is>
          <t>남성존</t>
        </is>
      </c>
    </row>
    <row r="215" ht="18.75" customFormat="1" customHeight="1" s="98">
      <c r="A215" s="93" t="inlineStr">
        <is>
          <t>F011</t>
        </is>
      </c>
      <c r="B215" s="94" t="inlineStr">
        <is>
          <t>FACE</t>
        </is>
      </c>
      <c r="C215" s="93" t="inlineStr">
        <is>
          <t>EETCG23E1G35030</t>
        </is>
      </c>
      <c r="D215" s="95" t="n">
        <v>1</v>
      </c>
      <c r="E215" s="46" t="inlineStr">
        <is>
          <t>남성존</t>
        </is>
      </c>
    </row>
    <row r="216" ht="18.75" customFormat="1" customHeight="1" s="98">
      <c r="A216" s="93" t="inlineStr">
        <is>
          <t>F011</t>
        </is>
      </c>
      <c r="B216" s="94" t="inlineStr">
        <is>
          <t>FACE</t>
        </is>
      </c>
      <c r="C216" s="93" t="inlineStr">
        <is>
          <t>EEYWG25E1G84180</t>
        </is>
      </c>
      <c r="D216" s="95" t="n">
        <v>1</v>
      </c>
      <c r="E216" s="46" t="inlineStr">
        <is>
          <t>남성존</t>
        </is>
      </c>
    </row>
    <row r="217" ht="18.75" customFormat="1" customHeight="1" s="98">
      <c r="A217" s="93" t="inlineStr">
        <is>
          <t>F011</t>
        </is>
      </c>
      <c r="B217" s="94" t="inlineStr">
        <is>
          <t>FACE</t>
        </is>
      </c>
      <c r="C217" s="93" t="inlineStr">
        <is>
          <t>EEYWG25E1G35175</t>
        </is>
      </c>
      <c r="D217" s="95" t="n">
        <v>1</v>
      </c>
      <c r="E217" s="46" t="inlineStr">
        <is>
          <t>남성존</t>
        </is>
      </c>
    </row>
    <row r="218" ht="18.75" customFormat="1" customHeight="1" s="98">
      <c r="A218" s="93" t="inlineStr">
        <is>
          <t>F011</t>
        </is>
      </c>
      <c r="B218" s="94" t="inlineStr">
        <is>
          <t>FACE</t>
        </is>
      </c>
      <c r="C218" s="93" t="inlineStr">
        <is>
          <t>EEYWG25E2G10170</t>
        </is>
      </c>
      <c r="D218" s="95" t="n">
        <v>1</v>
      </c>
      <c r="E218" s="46" t="inlineStr">
        <is>
          <t>남성존</t>
        </is>
      </c>
    </row>
    <row r="219" ht="18.75" customFormat="1" customHeight="1" s="98">
      <c r="A219" s="93" t="inlineStr">
        <is>
          <t>F012</t>
        </is>
      </c>
      <c r="B219" s="94" t="inlineStr">
        <is>
          <t>FACE</t>
        </is>
      </c>
      <c r="C219" s="93" t="inlineStr">
        <is>
          <t>EEKWG23E2G49175</t>
        </is>
      </c>
      <c r="D219" s="95" t="n">
        <v>1</v>
      </c>
      <c r="E219" s="46" t="inlineStr">
        <is>
          <t>남성존</t>
        </is>
      </c>
    </row>
    <row r="220" ht="18.75" customFormat="1" customHeight="1" s="98">
      <c r="A220" s="93" t="inlineStr">
        <is>
          <t>F012</t>
        </is>
      </c>
      <c r="B220" s="94" t="inlineStr">
        <is>
          <t>FACE</t>
        </is>
      </c>
      <c r="C220" s="93" t="inlineStr">
        <is>
          <t>EEKWG23E2G03175</t>
        </is>
      </c>
      <c r="D220" s="95" t="n">
        <v>1</v>
      </c>
      <c r="E220" s="46" t="inlineStr">
        <is>
          <t>남성존</t>
        </is>
      </c>
    </row>
    <row r="221" ht="18.75" customFormat="1" customHeight="1" s="98">
      <c r="A221" s="93" t="inlineStr">
        <is>
          <t>F012</t>
        </is>
      </c>
      <c r="B221" s="94" t="inlineStr">
        <is>
          <t>FACE</t>
        </is>
      </c>
      <c r="C221" s="93" t="inlineStr">
        <is>
          <t>EEKWG23E2G10170</t>
        </is>
      </c>
      <c r="D221" s="95" t="n">
        <v>1</v>
      </c>
      <c r="E221" s="46" t="inlineStr">
        <is>
          <t>남성존</t>
        </is>
      </c>
    </row>
    <row r="222" ht="18.75" customFormat="1" customHeight="1" s="98">
      <c r="A222" s="93" t="inlineStr">
        <is>
          <t>F012</t>
        </is>
      </c>
      <c r="B222" s="94" t="inlineStr">
        <is>
          <t>FACE</t>
        </is>
      </c>
      <c r="C222" s="93" t="inlineStr">
        <is>
          <t>EEKWG23E2G50175</t>
        </is>
      </c>
      <c r="D222" s="95" t="n">
        <v>1</v>
      </c>
      <c r="E222" s="46" t="inlineStr">
        <is>
          <t>남성존</t>
        </is>
      </c>
    </row>
    <row r="223" ht="18.75" customFormat="1" customHeight="1" s="98">
      <c r="A223" s="93" t="inlineStr">
        <is>
          <t>F012</t>
        </is>
      </c>
      <c r="B223" s="94" t="inlineStr">
        <is>
          <t>FACE</t>
        </is>
      </c>
      <c r="C223" s="93" t="inlineStr">
        <is>
          <t>EEHWG25B1G10175</t>
        </is>
      </c>
      <c r="D223" s="95" t="n">
        <v>1</v>
      </c>
      <c r="E223" s="46" t="inlineStr">
        <is>
          <t>남성존</t>
        </is>
      </c>
    </row>
    <row r="224" ht="18.75" customFormat="1" customHeight="1" s="98">
      <c r="A224" s="93" t="inlineStr">
        <is>
          <t>F012</t>
        </is>
      </c>
      <c r="B224" s="94" t="inlineStr">
        <is>
          <t>FACE</t>
        </is>
      </c>
      <c r="C224" s="93" t="inlineStr">
        <is>
          <t>EERAG23B2G59175</t>
        </is>
      </c>
      <c r="D224" s="95" t="n">
        <v>1</v>
      </c>
      <c r="E224" s="46" t="inlineStr">
        <is>
          <t>남성존</t>
        </is>
      </c>
    </row>
    <row r="225" ht="18.75" customFormat="1" customHeight="1" s="98">
      <c r="A225" s="93" t="inlineStr">
        <is>
          <t>F012</t>
        </is>
      </c>
      <c r="B225" s="94" t="inlineStr">
        <is>
          <t>FACE</t>
        </is>
      </c>
      <c r="C225" s="93" t="inlineStr">
        <is>
          <t>EETJG23E1G56032</t>
        </is>
      </c>
      <c r="D225" s="95" t="n">
        <v>1</v>
      </c>
      <c r="E225" s="46" t="inlineStr">
        <is>
          <t>남성존</t>
        </is>
      </c>
    </row>
    <row r="226" ht="18.75" customFormat="1" customHeight="1" s="98">
      <c r="A226" s="93" t="inlineStr">
        <is>
          <t>F012</t>
        </is>
      </c>
      <c r="B226" s="94" t="inlineStr">
        <is>
          <t>FACE</t>
        </is>
      </c>
      <c r="C226" s="93" t="inlineStr">
        <is>
          <t>EEYPG25B1G55170</t>
        </is>
      </c>
      <c r="D226" s="95" t="n">
        <v>1</v>
      </c>
      <c r="E226" s="46" t="inlineStr">
        <is>
          <t>남성존</t>
        </is>
      </c>
    </row>
    <row r="227" ht="18.75" customFormat="1" customHeight="1" s="98">
      <c r="A227" s="93" t="inlineStr">
        <is>
          <t>F012</t>
        </is>
      </c>
      <c r="B227" s="94" t="inlineStr">
        <is>
          <t>FACE</t>
        </is>
      </c>
      <c r="C227" s="93" t="inlineStr">
        <is>
          <t>EERAG23B2G59180</t>
        </is>
      </c>
      <c r="D227" s="95" t="n">
        <v>1</v>
      </c>
      <c r="E227" s="46" t="inlineStr">
        <is>
          <t>남성존</t>
        </is>
      </c>
    </row>
    <row r="228" ht="18.75" customFormat="1" customHeight="1" s="98">
      <c r="A228" s="93" t="inlineStr">
        <is>
          <t>F012</t>
        </is>
      </c>
      <c r="B228" s="94" t="inlineStr">
        <is>
          <t>FACE</t>
        </is>
      </c>
      <c r="C228" s="93" t="inlineStr">
        <is>
          <t>EEYPG12E1G55170</t>
        </is>
      </c>
      <c r="D228" s="95" t="n">
        <v>1</v>
      </c>
      <c r="E228" s="46" t="inlineStr">
        <is>
          <t>남성존</t>
        </is>
      </c>
    </row>
    <row r="229" ht="18.75" customFormat="1" customHeight="1" s="98">
      <c r="A229" s="93" t="inlineStr">
        <is>
          <t>F012</t>
        </is>
      </c>
      <c r="B229" s="94" t="inlineStr">
        <is>
          <t>FACE</t>
        </is>
      </c>
      <c r="C229" s="93" t="inlineStr">
        <is>
          <t>EETJG23E1G55032</t>
        </is>
      </c>
      <c r="D229" s="95" t="n">
        <v>1</v>
      </c>
      <c r="E229" s="46" t="inlineStr">
        <is>
          <t>남성존</t>
        </is>
      </c>
    </row>
    <row r="230" ht="18.75" customFormat="1" customHeight="1" s="98">
      <c r="A230" s="93" t="inlineStr">
        <is>
          <t>F012</t>
        </is>
      </c>
      <c r="B230" s="94" t="inlineStr">
        <is>
          <t>FACE</t>
        </is>
      </c>
      <c r="C230" s="93" t="inlineStr">
        <is>
          <t>EEHWG23B1G59170</t>
        </is>
      </c>
      <c r="D230" s="95" t="n">
        <v>1</v>
      </c>
      <c r="E230" s="46" t="inlineStr">
        <is>
          <t>남성존</t>
        </is>
      </c>
    </row>
    <row r="231" ht="18.75" customFormat="1" customHeight="1" s="98">
      <c r="A231" s="93" t="inlineStr">
        <is>
          <t>F012</t>
        </is>
      </c>
      <c r="B231" s="94" t="inlineStr">
        <is>
          <t>FACE</t>
        </is>
      </c>
      <c r="C231" s="93" t="inlineStr">
        <is>
          <t>EETJG23B1G39030</t>
        </is>
      </c>
      <c r="D231" s="95" t="n">
        <v>1</v>
      </c>
      <c r="E231" s="46" t="inlineStr">
        <is>
          <t>남성존</t>
        </is>
      </c>
    </row>
    <row r="232" ht="18.75" customFormat="1" customHeight="1" s="98">
      <c r="A232" s="93" t="inlineStr">
        <is>
          <t>F012</t>
        </is>
      </c>
      <c r="B232" s="94" t="inlineStr">
        <is>
          <t>FACE</t>
        </is>
      </c>
      <c r="C232" s="93" t="inlineStr">
        <is>
          <t>EETJG23B1G39032</t>
        </is>
      </c>
      <c r="D232" s="95" t="n">
        <v>1</v>
      </c>
      <c r="E232" s="46" t="inlineStr">
        <is>
          <t>남성존</t>
        </is>
      </c>
    </row>
    <row r="233" ht="18.75" customFormat="1" customHeight="1" s="98">
      <c r="A233" s="93" t="inlineStr">
        <is>
          <t>F012</t>
        </is>
      </c>
      <c r="B233" s="94" t="inlineStr">
        <is>
          <t>FACE</t>
        </is>
      </c>
      <c r="C233" s="93" t="inlineStr">
        <is>
          <t>EEYWG25E3G59175</t>
        </is>
      </c>
      <c r="D233" s="95" t="n">
        <v>1</v>
      </c>
      <c r="E233" s="46" t="inlineStr">
        <is>
          <t>남성존</t>
        </is>
      </c>
    </row>
    <row r="234" ht="18.75" customFormat="1" customHeight="1" s="98">
      <c r="A234" s="93" t="inlineStr">
        <is>
          <t>F012</t>
        </is>
      </c>
      <c r="B234" s="94" t="inlineStr">
        <is>
          <t>FACE</t>
        </is>
      </c>
      <c r="C234" s="93" t="inlineStr">
        <is>
          <t>EEJKG23B1G59170</t>
        </is>
      </c>
      <c r="D234" s="95" t="n">
        <v>1</v>
      </c>
      <c r="E234" s="46" t="inlineStr">
        <is>
          <t>남성존</t>
        </is>
      </c>
    </row>
    <row r="235" ht="18.75" customFormat="1" customHeight="1" s="98">
      <c r="A235" s="93" t="inlineStr">
        <is>
          <t>F012</t>
        </is>
      </c>
      <c r="B235" s="94" t="inlineStr">
        <is>
          <t>FACE</t>
        </is>
      </c>
      <c r="C235" s="93" t="inlineStr">
        <is>
          <t>EERAG25B2G64170</t>
        </is>
      </c>
      <c r="D235" s="95" t="n">
        <v>1</v>
      </c>
      <c r="E235" s="46" t="inlineStr">
        <is>
          <t>남성존</t>
        </is>
      </c>
    </row>
    <row r="236" ht="18.75" customFormat="1" customHeight="1" s="98">
      <c r="A236" s="93" t="inlineStr">
        <is>
          <t>F012</t>
        </is>
      </c>
      <c r="B236" s="94" t="inlineStr">
        <is>
          <t>FACE</t>
        </is>
      </c>
      <c r="C236" s="93" t="inlineStr">
        <is>
          <t>EERAG25E1G10175</t>
        </is>
      </c>
      <c r="D236" s="95" t="n">
        <v>1</v>
      </c>
      <c r="E236" s="46" t="inlineStr">
        <is>
          <t>남성존</t>
        </is>
      </c>
    </row>
    <row r="237" ht="18.75" customFormat="1" customHeight="1" s="98">
      <c r="A237" s="93" t="inlineStr">
        <is>
          <t>F012</t>
        </is>
      </c>
      <c r="B237" s="94" t="inlineStr">
        <is>
          <t>FACE</t>
        </is>
      </c>
      <c r="C237" s="93" t="inlineStr">
        <is>
          <t>EEHWG25B2G59175</t>
        </is>
      </c>
      <c r="D237" s="95" t="n">
        <v>1</v>
      </c>
      <c r="E237" s="46" t="inlineStr">
        <is>
          <t>남성존</t>
        </is>
      </c>
    </row>
    <row r="238" ht="18.75" customFormat="1" customHeight="1" s="98">
      <c r="A238" s="93" t="inlineStr">
        <is>
          <t>F012</t>
        </is>
      </c>
      <c r="B238" s="94" t="inlineStr">
        <is>
          <t>FACE</t>
        </is>
      </c>
      <c r="C238" s="93" t="inlineStr">
        <is>
          <t>EERAG25E1G59170</t>
        </is>
      </c>
      <c r="D238" s="95" t="n">
        <v>1</v>
      </c>
      <c r="E238" s="46" t="inlineStr">
        <is>
          <t>남성존</t>
        </is>
      </c>
    </row>
    <row r="239" ht="18.75" customFormat="1" customHeight="1" s="98">
      <c r="A239" s="93" t="inlineStr">
        <is>
          <t>F012</t>
        </is>
      </c>
      <c r="B239" s="94" t="inlineStr">
        <is>
          <t>FACE</t>
        </is>
      </c>
      <c r="C239" s="93" t="inlineStr">
        <is>
          <t>EERAG25E1G59175</t>
        </is>
      </c>
      <c r="D239" s="95" t="n">
        <v>1</v>
      </c>
      <c r="E239" s="46" t="inlineStr">
        <is>
          <t>남성존</t>
        </is>
      </c>
    </row>
    <row r="240" ht="18.75" customFormat="1" customHeight="1" s="98">
      <c r="A240" s="93" t="inlineStr">
        <is>
          <t>F012</t>
        </is>
      </c>
      <c r="B240" s="94" t="inlineStr">
        <is>
          <t>FACE</t>
        </is>
      </c>
      <c r="C240" s="93" t="inlineStr">
        <is>
          <t>EERSG23E1G50175</t>
        </is>
      </c>
      <c r="D240" s="95" t="n">
        <v>1</v>
      </c>
      <c r="E240" s="46" t="inlineStr">
        <is>
          <t>남성존</t>
        </is>
      </c>
    </row>
    <row r="241" ht="18.75" customFormat="1" customHeight="1" s="98">
      <c r="A241" s="93" t="inlineStr">
        <is>
          <t>F012</t>
        </is>
      </c>
      <c r="B241" s="94" t="inlineStr">
        <is>
          <t>FACE</t>
        </is>
      </c>
      <c r="C241" s="93" t="inlineStr">
        <is>
          <t>EEHWG25B2G40170</t>
        </is>
      </c>
      <c r="D241" s="95" t="n">
        <v>1</v>
      </c>
      <c r="E241" s="46" t="inlineStr">
        <is>
          <t>남성존</t>
        </is>
      </c>
    </row>
    <row r="242" ht="18.75" customFormat="1" customHeight="1" s="98">
      <c r="A242" s="93" t="inlineStr">
        <is>
          <t>F012</t>
        </is>
      </c>
      <c r="B242" s="94" t="inlineStr">
        <is>
          <t>FACE</t>
        </is>
      </c>
      <c r="C242" s="93" t="inlineStr">
        <is>
          <t>EERAG23B1G59170</t>
        </is>
      </c>
      <c r="D242" s="95" t="n">
        <v>1</v>
      </c>
      <c r="E242" s="46" t="inlineStr">
        <is>
          <t>남성존</t>
        </is>
      </c>
    </row>
    <row r="243" ht="18.75" customFormat="1" customHeight="1" s="98">
      <c r="A243" s="93" t="inlineStr">
        <is>
          <t>F012</t>
        </is>
      </c>
      <c r="B243" s="94" t="inlineStr">
        <is>
          <t>FACE</t>
        </is>
      </c>
      <c r="C243" s="93" t="inlineStr">
        <is>
          <t>EEHWG25B1G59175</t>
        </is>
      </c>
      <c r="D243" s="95" t="n">
        <v>1</v>
      </c>
      <c r="E243" s="46" t="inlineStr">
        <is>
          <t>남성존</t>
        </is>
      </c>
    </row>
    <row r="244" ht="18.75" customFormat="1" customHeight="1" s="98">
      <c r="A244" s="93" t="inlineStr">
        <is>
          <t>F012</t>
        </is>
      </c>
      <c r="B244" s="94" t="inlineStr">
        <is>
          <t>FACE</t>
        </is>
      </c>
      <c r="C244" s="93" t="inlineStr">
        <is>
          <t>EEHWG23E1G15175</t>
        </is>
      </c>
      <c r="D244" s="95" t="n">
        <v>1</v>
      </c>
      <c r="E244" s="46" t="inlineStr">
        <is>
          <t>남성존</t>
        </is>
      </c>
    </row>
    <row r="245" ht="18.75" customFormat="1" customHeight="1" s="98">
      <c r="A245" s="93" t="inlineStr">
        <is>
          <t>F012</t>
        </is>
      </c>
      <c r="B245" s="94" t="inlineStr">
        <is>
          <t>FACE</t>
        </is>
      </c>
      <c r="C245" s="93" t="inlineStr">
        <is>
          <t>EERSG23E1G59175</t>
        </is>
      </c>
      <c r="D245" s="95" t="n">
        <v>1</v>
      </c>
      <c r="E245" s="46" t="inlineStr">
        <is>
          <t>남성존</t>
        </is>
      </c>
    </row>
    <row r="246" ht="18.75" customFormat="1" customHeight="1" s="98">
      <c r="A246" s="93" t="inlineStr">
        <is>
          <t>F012</t>
        </is>
      </c>
      <c r="B246" s="94" t="inlineStr">
        <is>
          <t>FACE</t>
        </is>
      </c>
      <c r="C246" s="93" t="inlineStr">
        <is>
          <t>EEYWG25E1G59175</t>
        </is>
      </c>
      <c r="D246" s="95" t="n">
        <v>1</v>
      </c>
      <c r="E246" s="46" t="inlineStr">
        <is>
          <t>남성존</t>
        </is>
      </c>
    </row>
    <row r="247" ht="18.75" customFormat="1" customHeight="1" s="98">
      <c r="A247" s="96" t="inlineStr">
        <is>
          <t>T001</t>
        </is>
      </c>
      <c r="B247" s="97" t="inlineStr">
        <is>
          <t>TABLE</t>
        </is>
      </c>
      <c r="C247" s="96" t="inlineStr">
        <is>
          <t>EEKWG24E0339175</t>
        </is>
      </c>
      <c r="D247" s="95" t="n">
        <v>1</v>
      </c>
      <c r="E247" s="46" t="inlineStr">
        <is>
          <t>여성존</t>
        </is>
      </c>
    </row>
    <row r="248" ht="18.75" customFormat="1" customHeight="1" s="98">
      <c r="A248" s="96" t="inlineStr">
        <is>
          <t>T001</t>
        </is>
      </c>
      <c r="B248" s="97" t="inlineStr">
        <is>
          <t>TABLE</t>
        </is>
      </c>
      <c r="C248" s="96" t="inlineStr">
        <is>
          <t>EEKWG24E0339160</t>
        </is>
      </c>
      <c r="D248" s="95" t="n">
        <v>1</v>
      </c>
      <c r="E248" s="46" t="inlineStr">
        <is>
          <t>여성존</t>
        </is>
      </c>
    </row>
    <row r="249" ht="18.75" customFormat="1" customHeight="1" s="98">
      <c r="A249" s="96" t="inlineStr">
        <is>
          <t>T001</t>
        </is>
      </c>
      <c r="B249" s="97" t="inlineStr">
        <is>
          <t>TABLE</t>
        </is>
      </c>
      <c r="C249" s="96" t="inlineStr">
        <is>
          <t>EEKWG24E0359160</t>
        </is>
      </c>
      <c r="D249" s="95" t="n">
        <v>1</v>
      </c>
      <c r="E249" s="46" t="inlineStr">
        <is>
          <t>여성존</t>
        </is>
      </c>
    </row>
    <row r="250" ht="18.75" customFormat="1" customHeight="1" s="98">
      <c r="A250" s="96" t="inlineStr">
        <is>
          <t>T001</t>
        </is>
      </c>
      <c r="B250" s="97" t="inlineStr">
        <is>
          <t>TABLE</t>
        </is>
      </c>
      <c r="C250" s="96" t="inlineStr">
        <is>
          <t>EEKWG24E0359160</t>
        </is>
      </c>
      <c r="D250" s="95" t="n">
        <v>1</v>
      </c>
      <c r="E250" s="46" t="inlineStr">
        <is>
          <t>여성존</t>
        </is>
      </c>
    </row>
    <row r="251" ht="18.75" customFormat="1" customHeight="1" s="98">
      <c r="A251" s="96" t="inlineStr">
        <is>
          <t>T001</t>
        </is>
      </c>
      <c r="B251" s="97" t="inlineStr">
        <is>
          <t>TABLE</t>
        </is>
      </c>
      <c r="C251" s="96" t="inlineStr">
        <is>
          <t>EEYWG25E0339165</t>
        </is>
      </c>
      <c r="D251" s="95" t="n">
        <v>1</v>
      </c>
      <c r="E251" s="46" t="inlineStr">
        <is>
          <t>여성존</t>
        </is>
      </c>
    </row>
    <row r="252" ht="18.75" customFormat="1" customHeight="1" s="98">
      <c r="A252" s="96" t="inlineStr">
        <is>
          <t>T001</t>
        </is>
      </c>
      <c r="B252" s="97" t="inlineStr">
        <is>
          <t>TABLE</t>
        </is>
      </c>
      <c r="C252" s="96" t="inlineStr">
        <is>
          <t>EEYWG25E0339165</t>
        </is>
      </c>
      <c r="D252" s="95" t="n">
        <v>1</v>
      </c>
      <c r="E252" s="46" t="inlineStr">
        <is>
          <t>여성존</t>
        </is>
      </c>
    </row>
    <row r="253" ht="18.75" customFormat="1" customHeight="1" s="98">
      <c r="A253" s="96" t="inlineStr">
        <is>
          <t>T001</t>
        </is>
      </c>
      <c r="B253" s="97" t="inlineStr">
        <is>
          <t>TABLE</t>
        </is>
      </c>
      <c r="C253" s="96" t="inlineStr">
        <is>
          <t>EEYWG25E0339170</t>
        </is>
      </c>
      <c r="D253" s="95" t="n">
        <v>1</v>
      </c>
      <c r="E253" s="46" t="inlineStr">
        <is>
          <t>여성존</t>
        </is>
      </c>
    </row>
    <row r="254" ht="18.75" customFormat="1" customHeight="1" s="98">
      <c r="A254" s="96" t="inlineStr">
        <is>
          <t>T001</t>
        </is>
      </c>
      <c r="B254" s="97" t="inlineStr">
        <is>
          <t>TABLE</t>
        </is>
      </c>
      <c r="C254" s="96" t="inlineStr">
        <is>
          <t>EECKG25B0439170</t>
        </is>
      </c>
      <c r="D254" s="95" t="n">
        <v>1</v>
      </c>
      <c r="E254" s="46" t="inlineStr">
        <is>
          <t>여성존</t>
        </is>
      </c>
    </row>
    <row r="255" ht="18.75" customFormat="1" customHeight="1" s="98">
      <c r="A255" s="96" t="inlineStr">
        <is>
          <t>T001</t>
        </is>
      </c>
      <c r="B255" s="97" t="inlineStr">
        <is>
          <t>TABLE</t>
        </is>
      </c>
      <c r="C255" s="96" t="inlineStr">
        <is>
          <t>EECKG25B0439170</t>
        </is>
      </c>
      <c r="D255" s="95" t="n">
        <v>1</v>
      </c>
      <c r="E255" s="46" t="inlineStr">
        <is>
          <t>여성존</t>
        </is>
      </c>
    </row>
    <row r="256" ht="18.75" customFormat="1" customHeight="1" s="98">
      <c r="A256" s="96" t="inlineStr">
        <is>
          <t>T001</t>
        </is>
      </c>
      <c r="B256" s="97" t="inlineStr">
        <is>
          <t>TABLE</t>
        </is>
      </c>
      <c r="C256" s="96" t="inlineStr">
        <is>
          <t>EECKG25B0439160</t>
        </is>
      </c>
      <c r="D256" s="95" t="n">
        <v>1</v>
      </c>
      <c r="E256" s="46" t="inlineStr">
        <is>
          <t>여성존</t>
        </is>
      </c>
    </row>
    <row r="257" ht="18.75" customFormat="1" customHeight="1" s="98">
      <c r="A257" s="96" t="inlineStr">
        <is>
          <t>T001</t>
        </is>
      </c>
      <c r="B257" s="97" t="inlineStr">
        <is>
          <t>TABLE</t>
        </is>
      </c>
      <c r="C257" s="96" t="inlineStr">
        <is>
          <t>EEABG23B1G19FRE</t>
        </is>
      </c>
      <c r="D257" s="95" t="n">
        <v>1</v>
      </c>
      <c r="E257" s="46" t="inlineStr">
        <is>
          <t>여성존</t>
        </is>
      </c>
    </row>
    <row r="258" ht="18.75" customFormat="1" customHeight="1" s="98">
      <c r="A258" s="96" t="inlineStr">
        <is>
          <t>T001</t>
        </is>
      </c>
      <c r="B258" s="97" t="inlineStr">
        <is>
          <t>TABLE</t>
        </is>
      </c>
      <c r="C258" s="96" t="inlineStr">
        <is>
          <t>EEJKG24B0136165</t>
        </is>
      </c>
      <c r="D258" s="95" t="n">
        <v>1</v>
      </c>
      <c r="E258" s="46" t="inlineStr">
        <is>
          <t>여성존</t>
        </is>
      </c>
    </row>
    <row r="259" ht="18.75" customFormat="1" customHeight="1" s="98">
      <c r="A259" s="96" t="inlineStr">
        <is>
          <t>T001</t>
        </is>
      </c>
      <c r="B259" s="97" t="inlineStr">
        <is>
          <t>TABLE</t>
        </is>
      </c>
      <c r="C259" s="96" t="inlineStr">
        <is>
          <t>EEJKG24B0136160</t>
        </is>
      </c>
      <c r="D259" s="95" t="n">
        <v>1</v>
      </c>
      <c r="E259" s="46" t="inlineStr">
        <is>
          <t>여성존</t>
        </is>
      </c>
    </row>
    <row r="260" ht="18.75" customFormat="1" customHeight="1" s="98">
      <c r="A260" s="96" t="inlineStr">
        <is>
          <t>T001</t>
        </is>
      </c>
      <c r="B260" s="97" t="inlineStr">
        <is>
          <t>TABLE</t>
        </is>
      </c>
      <c r="C260" s="96" t="inlineStr">
        <is>
          <t>EETHG25E0439170</t>
        </is>
      </c>
      <c r="D260" s="95" t="n">
        <v>1</v>
      </c>
      <c r="E260" s="46" t="inlineStr">
        <is>
          <t>여성존</t>
        </is>
      </c>
    </row>
    <row r="261" ht="18.75" customFormat="1" customHeight="1" s="98">
      <c r="A261" s="96" t="inlineStr">
        <is>
          <t>T001</t>
        </is>
      </c>
      <c r="B261" s="97" t="inlineStr">
        <is>
          <t>TABLE</t>
        </is>
      </c>
      <c r="C261" s="96" t="inlineStr">
        <is>
          <t>EETHG25E0439165</t>
        </is>
      </c>
      <c r="D261" s="95" t="n">
        <v>1</v>
      </c>
      <c r="E261" s="46" t="inlineStr">
        <is>
          <t>여성존</t>
        </is>
      </c>
    </row>
    <row r="262" ht="18.75" customFormat="1" customHeight="1" s="98">
      <c r="A262" s="96" t="inlineStr">
        <is>
          <t>T001</t>
        </is>
      </c>
      <c r="B262" s="97" t="inlineStr">
        <is>
          <t>TABLE</t>
        </is>
      </c>
      <c r="C262" s="96" t="inlineStr">
        <is>
          <t>EETHG25E0439155</t>
        </is>
      </c>
      <c r="D262" s="95" t="n">
        <v>1</v>
      </c>
      <c r="E262" s="46" t="inlineStr">
        <is>
          <t>여성존</t>
        </is>
      </c>
    </row>
    <row r="263" ht="18.75" customFormat="1" customHeight="1" s="98">
      <c r="A263" s="96" t="inlineStr">
        <is>
          <t>T001</t>
        </is>
      </c>
      <c r="B263" s="97" t="inlineStr">
        <is>
          <t>TABLE</t>
        </is>
      </c>
      <c r="C263" s="96" t="inlineStr">
        <is>
          <t>EERNG23E0195170</t>
        </is>
      </c>
      <c r="D263" s="95" t="n">
        <v>1</v>
      </c>
      <c r="E263" s="46" t="inlineStr">
        <is>
          <t>여성존</t>
        </is>
      </c>
    </row>
    <row r="264" ht="18.75" customFormat="1" customHeight="1" s="98">
      <c r="A264" s="96" t="inlineStr">
        <is>
          <t>T001</t>
        </is>
      </c>
      <c r="B264" s="97" t="inlineStr">
        <is>
          <t>TABLE</t>
        </is>
      </c>
      <c r="C264" s="96" t="inlineStr">
        <is>
          <t>EERNG23E0199165</t>
        </is>
      </c>
      <c r="D264" s="95" t="n">
        <v>1</v>
      </c>
      <c r="E264" s="46" t="inlineStr">
        <is>
          <t>여성존</t>
        </is>
      </c>
    </row>
    <row r="265" ht="18.75" customFormat="1" customHeight="1" s="98">
      <c r="A265" s="96" t="inlineStr">
        <is>
          <t>T001</t>
        </is>
      </c>
      <c r="B265" s="97" t="inlineStr">
        <is>
          <t>TABLE</t>
        </is>
      </c>
      <c r="C265" s="96" t="inlineStr">
        <is>
          <t>EERNG23E0195160</t>
        </is>
      </c>
      <c r="D265" s="95" t="n">
        <v>1</v>
      </c>
      <c r="E265" s="46" t="inlineStr">
        <is>
          <t>여성존</t>
        </is>
      </c>
    </row>
    <row r="266" ht="18.75" customFormat="1" customHeight="1" s="98">
      <c r="A266" s="96" t="inlineStr">
        <is>
          <t>T001</t>
        </is>
      </c>
      <c r="B266" s="97" t="inlineStr">
        <is>
          <t>TABLE</t>
        </is>
      </c>
      <c r="C266" s="96" t="inlineStr">
        <is>
          <t>EEKWG24E0239175</t>
        </is>
      </c>
      <c r="D266" s="95" t="n">
        <v>1</v>
      </c>
      <c r="E266" s="46" t="inlineStr">
        <is>
          <t>여성존</t>
        </is>
      </c>
    </row>
    <row r="267" ht="18.75" customFormat="1" customHeight="1" s="98">
      <c r="A267" s="96" t="inlineStr">
        <is>
          <t>T001</t>
        </is>
      </c>
      <c r="B267" s="97" t="inlineStr">
        <is>
          <t>TABLE</t>
        </is>
      </c>
      <c r="C267" s="96" t="inlineStr">
        <is>
          <t>EEKWG24E0239170</t>
        </is>
      </c>
      <c r="D267" s="95" t="n">
        <v>1</v>
      </c>
      <c r="E267" s="46" t="inlineStr">
        <is>
          <t>여성존</t>
        </is>
      </c>
    </row>
    <row r="268" ht="18.75" customFormat="1" customHeight="1" s="98">
      <c r="A268" s="96" t="inlineStr">
        <is>
          <t>T001</t>
        </is>
      </c>
      <c r="B268" s="97" t="inlineStr">
        <is>
          <t>TABLE</t>
        </is>
      </c>
      <c r="C268" s="96" t="inlineStr">
        <is>
          <t>EEKWG24E0239160</t>
        </is>
      </c>
      <c r="D268" s="95" t="n">
        <v>1</v>
      </c>
      <c r="E268" s="46" t="inlineStr">
        <is>
          <t>여성존</t>
        </is>
      </c>
    </row>
    <row r="269" ht="18.75" customFormat="1" customHeight="1" s="98">
      <c r="A269" s="96" t="inlineStr">
        <is>
          <t>T002</t>
        </is>
      </c>
      <c r="B269" s="97" t="inlineStr">
        <is>
          <t>TABLE</t>
        </is>
      </c>
      <c r="C269" s="96" t="inlineStr">
        <is>
          <t>EEAKF49M0256FRE</t>
        </is>
      </c>
      <c r="D269" s="95" t="n">
        <v>1</v>
      </c>
      <c r="E269" s="46" t="inlineStr">
        <is>
          <t>여성존</t>
        </is>
      </c>
    </row>
    <row r="270" ht="18.75" customFormat="1" customHeight="1" s="98">
      <c r="A270" s="96" t="inlineStr">
        <is>
          <t>T002</t>
        </is>
      </c>
      <c r="B270" s="97" t="inlineStr">
        <is>
          <t>TABLE</t>
        </is>
      </c>
      <c r="C270" s="96" t="inlineStr">
        <is>
          <t>EEAKF49M0337FRE</t>
        </is>
      </c>
      <c r="D270" s="95" t="n">
        <v>1</v>
      </c>
      <c r="E270" s="46" t="inlineStr">
        <is>
          <t>여성존</t>
        </is>
      </c>
    </row>
    <row r="271" ht="18.75" customFormat="1" customHeight="1" s="98">
      <c r="A271" s="96" t="inlineStr">
        <is>
          <t>T002</t>
        </is>
      </c>
      <c r="B271" s="97" t="inlineStr">
        <is>
          <t>TABLE</t>
        </is>
      </c>
      <c r="C271" s="96" t="inlineStr">
        <is>
          <t>EEYPG24E0156160</t>
        </is>
      </c>
      <c r="D271" s="95" t="n">
        <v>1</v>
      </c>
      <c r="E271" s="46" t="inlineStr">
        <is>
          <t>여성존</t>
        </is>
      </c>
    </row>
    <row r="272" ht="18.75" customFormat="1" customHeight="1" s="98">
      <c r="A272" s="96" t="inlineStr">
        <is>
          <t>T002</t>
        </is>
      </c>
      <c r="B272" s="97" t="inlineStr">
        <is>
          <t>TABLE</t>
        </is>
      </c>
      <c r="C272" s="96" t="inlineStr">
        <is>
          <t>EEACG23E0150FRE</t>
        </is>
      </c>
      <c r="D272" s="95" t="n">
        <v>1</v>
      </c>
      <c r="E272" s="46" t="inlineStr">
        <is>
          <t>여성존</t>
        </is>
      </c>
    </row>
    <row r="273" ht="18.75" customFormat="1" customHeight="1" s="98">
      <c r="A273" s="96" t="inlineStr">
        <is>
          <t>T002</t>
        </is>
      </c>
      <c r="B273" s="97" t="inlineStr">
        <is>
          <t>TABLE</t>
        </is>
      </c>
      <c r="C273" s="96" t="inlineStr">
        <is>
          <t>EERAG24E0151165</t>
        </is>
      </c>
      <c r="D273" s="95" t="n">
        <v>1</v>
      </c>
      <c r="E273" s="46" t="inlineStr">
        <is>
          <t>여성존</t>
        </is>
      </c>
    </row>
    <row r="274" ht="18.75" customFormat="1" customHeight="1" s="98">
      <c r="A274" s="96" t="inlineStr">
        <is>
          <t>T002</t>
        </is>
      </c>
      <c r="B274" s="97" t="inlineStr">
        <is>
          <t>TABLE</t>
        </is>
      </c>
      <c r="C274" s="96" t="inlineStr">
        <is>
          <t>EERAG24E0151160</t>
        </is>
      </c>
      <c r="D274" s="95" t="n">
        <v>1</v>
      </c>
      <c r="E274" s="46" t="inlineStr">
        <is>
          <t>여성존</t>
        </is>
      </c>
    </row>
    <row r="275" ht="18.75" customFormat="1" customHeight="1" s="98">
      <c r="A275" s="96" t="inlineStr">
        <is>
          <t>T002</t>
        </is>
      </c>
      <c r="B275" s="97" t="inlineStr">
        <is>
          <t>TABLE</t>
        </is>
      </c>
      <c r="C275" s="96" t="inlineStr">
        <is>
          <t>EERAG24E0139160</t>
        </is>
      </c>
      <c r="D275" s="95" t="n">
        <v>1</v>
      </c>
      <c r="E275" s="46" t="inlineStr">
        <is>
          <t>여성존</t>
        </is>
      </c>
    </row>
    <row r="276" ht="18.75" customFormat="1" customHeight="1" s="98">
      <c r="A276" s="96" t="inlineStr">
        <is>
          <t>T002</t>
        </is>
      </c>
      <c r="B276" s="97" t="inlineStr">
        <is>
          <t>TABLE</t>
        </is>
      </c>
      <c r="C276" s="96" t="inlineStr">
        <is>
          <t>EERAG24E0139165</t>
        </is>
      </c>
      <c r="D276" s="95" t="n">
        <v>1</v>
      </c>
      <c r="E276" s="46" t="inlineStr">
        <is>
          <t>여성존</t>
        </is>
      </c>
    </row>
    <row r="277" ht="18.75" customFormat="1" customHeight="1" s="98">
      <c r="A277" s="96" t="inlineStr">
        <is>
          <t>T002</t>
        </is>
      </c>
      <c r="B277" s="97" t="inlineStr">
        <is>
          <t>TABLE</t>
        </is>
      </c>
      <c r="C277" s="96" t="inlineStr">
        <is>
          <t>EEKWG24E0130175</t>
        </is>
      </c>
      <c r="D277" s="95" t="n">
        <v>1</v>
      </c>
      <c r="E277" s="46" t="inlineStr">
        <is>
          <t>여성존</t>
        </is>
      </c>
    </row>
    <row r="278" ht="18.75" customFormat="1" customHeight="1" s="98">
      <c r="A278" s="96" t="inlineStr">
        <is>
          <t>T002</t>
        </is>
      </c>
      <c r="B278" s="97" t="inlineStr">
        <is>
          <t>TABLE</t>
        </is>
      </c>
      <c r="C278" s="96" t="inlineStr">
        <is>
          <t>EEKWG24E0130175</t>
        </is>
      </c>
      <c r="D278" s="95" t="n">
        <v>1</v>
      </c>
      <c r="E278" s="98" t="inlineStr">
        <is>
          <t>여성존</t>
        </is>
      </c>
    </row>
    <row r="279" ht="18.75" customFormat="1" customHeight="1" s="98">
      <c r="A279" s="96" t="inlineStr">
        <is>
          <t>T002</t>
        </is>
      </c>
      <c r="B279" s="97" t="inlineStr">
        <is>
          <t>TABLE</t>
        </is>
      </c>
      <c r="C279" s="96" t="inlineStr">
        <is>
          <t>EEKWG24E0130160</t>
        </is>
      </c>
      <c r="D279" s="95" t="n">
        <v>1</v>
      </c>
      <c r="E279" s="98" t="inlineStr">
        <is>
          <t>여성존</t>
        </is>
      </c>
    </row>
    <row r="280" ht="18.75" customFormat="1" customHeight="1" s="98">
      <c r="A280" s="96" t="inlineStr">
        <is>
          <t>T002</t>
        </is>
      </c>
      <c r="B280" s="97" t="inlineStr">
        <is>
          <t>TABLE</t>
        </is>
      </c>
      <c r="C280" s="96" t="inlineStr">
        <is>
          <t>EEKWG24E0130160</t>
        </is>
      </c>
      <c r="D280" s="95" t="n">
        <v>1</v>
      </c>
      <c r="E280" s="98" t="inlineStr">
        <is>
          <t>여성존</t>
        </is>
      </c>
    </row>
    <row r="281" ht="18.75" customFormat="1" customHeight="1" s="98">
      <c r="A281" s="96" t="inlineStr">
        <is>
          <t>T002</t>
        </is>
      </c>
      <c r="B281" s="97" t="inlineStr">
        <is>
          <t>TABLE</t>
        </is>
      </c>
      <c r="C281" s="96" t="inlineStr">
        <is>
          <t>EEYPG23E0155170</t>
        </is>
      </c>
      <c r="D281" s="95" t="n">
        <v>1</v>
      </c>
      <c r="E281" s="98" t="inlineStr">
        <is>
          <t>여성존</t>
        </is>
      </c>
    </row>
    <row r="282" ht="18.75" customFormat="1" customHeight="1" s="98">
      <c r="A282" s="96" t="inlineStr">
        <is>
          <t>T002</t>
        </is>
      </c>
      <c r="B282" s="97" t="inlineStr">
        <is>
          <t>TABLE</t>
        </is>
      </c>
      <c r="C282" s="96" t="inlineStr">
        <is>
          <t>EEYPG23E0155165</t>
        </is>
      </c>
      <c r="D282" s="95" t="n">
        <v>1</v>
      </c>
      <c r="E282" s="98" t="inlineStr">
        <is>
          <t>여성존</t>
        </is>
      </c>
    </row>
    <row r="283" ht="18.75" customFormat="1" customHeight="1" s="98">
      <c r="A283" s="96" t="inlineStr">
        <is>
          <t>T002</t>
        </is>
      </c>
      <c r="B283" s="97" t="inlineStr">
        <is>
          <t>TABLE</t>
        </is>
      </c>
      <c r="C283" s="96" t="inlineStr">
        <is>
          <t>EEYPG23E0156160</t>
        </is>
      </c>
      <c r="D283" s="95" t="n">
        <v>1</v>
      </c>
      <c r="E283" s="98" t="inlineStr">
        <is>
          <t>여성존</t>
        </is>
      </c>
    </row>
    <row r="284" ht="18.75" customFormat="1" customHeight="1" s="98">
      <c r="A284" s="96" t="inlineStr">
        <is>
          <t>T002</t>
        </is>
      </c>
      <c r="B284" s="97" t="inlineStr">
        <is>
          <t>TABLE</t>
        </is>
      </c>
      <c r="C284" s="96" t="inlineStr">
        <is>
          <t>EETJG24E0157027</t>
        </is>
      </c>
      <c r="D284" s="95" t="n">
        <v>1</v>
      </c>
      <c r="E284" s="98" t="inlineStr">
        <is>
          <t>여성존</t>
        </is>
      </c>
    </row>
    <row r="285" ht="18.75" customFormat="1" customHeight="1" s="98">
      <c r="A285" s="96" t="inlineStr">
        <is>
          <t>T002</t>
        </is>
      </c>
      <c r="B285" s="97" t="inlineStr">
        <is>
          <t>TABLE</t>
        </is>
      </c>
      <c r="C285" s="96" t="inlineStr">
        <is>
          <t>EETJG24E0157027</t>
        </is>
      </c>
      <c r="D285" s="95" t="n">
        <v>1</v>
      </c>
      <c r="E285" s="98" t="inlineStr">
        <is>
          <t>여성존</t>
        </is>
      </c>
    </row>
    <row r="286" ht="18.75" customFormat="1" customHeight="1" s="98">
      <c r="A286" s="96" t="inlineStr">
        <is>
          <t>T003</t>
        </is>
      </c>
      <c r="B286" s="97" t="inlineStr">
        <is>
          <t>TABLE</t>
        </is>
      </c>
      <c r="C286" s="96" t="inlineStr">
        <is>
          <t>EETJG24E0155029</t>
        </is>
      </c>
      <c r="D286" s="95" t="n">
        <v>1</v>
      </c>
      <c r="E286" s="98" t="inlineStr">
        <is>
          <t>남성존</t>
        </is>
      </c>
    </row>
    <row r="287" ht="18.75" customFormat="1" customHeight="1" s="98">
      <c r="A287" s="96" t="inlineStr">
        <is>
          <t>T003</t>
        </is>
      </c>
      <c r="B287" s="97" t="inlineStr">
        <is>
          <t>TABLE</t>
        </is>
      </c>
      <c r="C287" s="96" t="inlineStr">
        <is>
          <t>EETJG24E0155027</t>
        </is>
      </c>
      <c r="D287" s="95" t="n">
        <v>1</v>
      </c>
      <c r="E287" s="98" t="inlineStr">
        <is>
          <t>남성존</t>
        </is>
      </c>
    </row>
    <row r="288" ht="18.75" customFormat="1" customHeight="1" s="98">
      <c r="A288" s="96" t="inlineStr">
        <is>
          <t>T003</t>
        </is>
      </c>
      <c r="B288" s="97" t="inlineStr">
        <is>
          <t>TABLE</t>
        </is>
      </c>
      <c r="C288" s="96" t="inlineStr">
        <is>
          <t>EETJG24E0155026</t>
        </is>
      </c>
      <c r="D288" s="95" t="n">
        <v>1</v>
      </c>
      <c r="E288" s="98" t="inlineStr">
        <is>
          <t>남성존</t>
        </is>
      </c>
    </row>
    <row r="289" ht="18.75" customFormat="1" customHeight="1" s="98">
      <c r="A289" s="96" t="inlineStr">
        <is>
          <t>T003</t>
        </is>
      </c>
      <c r="B289" s="97" t="inlineStr">
        <is>
          <t>TABLE</t>
        </is>
      </c>
      <c r="C289" s="96" t="inlineStr">
        <is>
          <t>EEVKG25E0139165</t>
        </is>
      </c>
      <c r="D289" s="95" t="n">
        <v>1</v>
      </c>
      <c r="E289" s="98" t="inlineStr">
        <is>
          <t>남성존</t>
        </is>
      </c>
    </row>
    <row r="290" ht="18.75" customFormat="1" customHeight="1" s="98">
      <c r="A290" s="96" t="inlineStr">
        <is>
          <t>T003</t>
        </is>
      </c>
      <c r="B290" s="97" t="inlineStr">
        <is>
          <t>TABLE</t>
        </is>
      </c>
      <c r="C290" s="96" t="inlineStr">
        <is>
          <t>EEVKG25E0139165</t>
        </is>
      </c>
      <c r="D290" s="95" t="n">
        <v>1</v>
      </c>
      <c r="E290" s="98" t="inlineStr">
        <is>
          <t>남성존</t>
        </is>
      </c>
    </row>
    <row r="291" ht="18.75" customFormat="1" customHeight="1" s="98">
      <c r="A291" s="96" t="inlineStr">
        <is>
          <t>T003</t>
        </is>
      </c>
      <c r="B291" s="97" t="inlineStr">
        <is>
          <t>TABLE</t>
        </is>
      </c>
      <c r="C291" s="96" t="inlineStr">
        <is>
          <t>EEVKG24E0139170</t>
        </is>
      </c>
      <c r="D291" s="95" t="n">
        <v>1</v>
      </c>
      <c r="E291" s="98" t="inlineStr">
        <is>
          <t>남성존</t>
        </is>
      </c>
    </row>
    <row r="292" ht="18.75" customFormat="1" customHeight="1" s="98">
      <c r="A292" s="96" t="inlineStr">
        <is>
          <t>T003</t>
        </is>
      </c>
      <c r="B292" s="97" t="inlineStr">
        <is>
          <t>TABLE</t>
        </is>
      </c>
      <c r="C292" s="96" t="inlineStr">
        <is>
          <t>EEVKG24E0139170</t>
        </is>
      </c>
      <c r="D292" s="95" t="n">
        <v>1</v>
      </c>
      <c r="E292" s="98" t="inlineStr">
        <is>
          <t>남성존</t>
        </is>
      </c>
    </row>
    <row r="293" ht="18.75" customFormat="1" customHeight="1" s="98">
      <c r="A293" s="96" t="inlineStr">
        <is>
          <t>T003</t>
        </is>
      </c>
      <c r="B293" s="97" t="inlineStr">
        <is>
          <t>TABLE</t>
        </is>
      </c>
      <c r="C293" s="96" t="inlineStr">
        <is>
          <t>EEVKG24E0139160</t>
        </is>
      </c>
      <c r="D293" s="95" t="n">
        <v>1</v>
      </c>
      <c r="E293" s="98" t="inlineStr">
        <is>
          <t>남성존</t>
        </is>
      </c>
    </row>
    <row r="294" ht="18.75" customFormat="1" customHeight="1" s="98">
      <c r="A294" s="96" t="inlineStr">
        <is>
          <t>T003</t>
        </is>
      </c>
      <c r="B294" s="97" t="inlineStr">
        <is>
          <t>TABLE</t>
        </is>
      </c>
      <c r="C294" s="96" t="inlineStr">
        <is>
          <t>EEWHG25B0839165</t>
        </is>
      </c>
      <c r="D294" s="95" t="n">
        <v>1</v>
      </c>
      <c r="E294" s="46" t="inlineStr">
        <is>
          <t>남성존</t>
        </is>
      </c>
    </row>
    <row r="295" ht="18.75" customFormat="1" customHeight="1" s="98">
      <c r="A295" s="96" t="inlineStr">
        <is>
          <t>T003</t>
        </is>
      </c>
      <c r="B295" s="97" t="inlineStr">
        <is>
          <t>TABLE</t>
        </is>
      </c>
      <c r="C295" s="96" t="inlineStr">
        <is>
          <t>EEYWG25E0350165</t>
        </is>
      </c>
      <c r="D295" s="95" t="n">
        <v>1</v>
      </c>
      <c r="E295" s="46" t="inlineStr">
        <is>
          <t>남성존</t>
        </is>
      </c>
    </row>
    <row r="296" ht="18.75" customFormat="1" customHeight="1" s="98">
      <c r="A296" s="96" t="inlineStr">
        <is>
          <t>T003</t>
        </is>
      </c>
      <c r="B296" s="97" t="inlineStr">
        <is>
          <t>TABLE</t>
        </is>
      </c>
      <c r="C296" s="96" t="inlineStr">
        <is>
          <t>EERAG25B1G49185</t>
        </is>
      </c>
      <c r="D296" s="95" t="n">
        <v>1</v>
      </c>
      <c r="E296" s="46" t="inlineStr">
        <is>
          <t>남성존</t>
        </is>
      </c>
    </row>
    <row r="297" ht="18.75" customFormat="1" customHeight="1" s="98">
      <c r="A297" s="96" t="inlineStr">
        <is>
          <t>T003</t>
        </is>
      </c>
      <c r="B297" s="97" t="inlineStr">
        <is>
          <t>TABLE</t>
        </is>
      </c>
      <c r="C297" s="96" t="inlineStr">
        <is>
          <t>EERAG25B1G49180</t>
        </is>
      </c>
      <c r="D297" s="95" t="n">
        <v>1</v>
      </c>
      <c r="E297" s="46" t="inlineStr">
        <is>
          <t>남성존</t>
        </is>
      </c>
    </row>
    <row r="298" ht="18.75" customFormat="1" customHeight="1" s="98">
      <c r="A298" s="96" t="inlineStr">
        <is>
          <t>T003</t>
        </is>
      </c>
      <c r="B298" s="97" t="inlineStr">
        <is>
          <t>TABLE</t>
        </is>
      </c>
      <c r="C298" s="96" t="inlineStr">
        <is>
          <t>EERAG25B1G49175</t>
        </is>
      </c>
      <c r="D298" s="95" t="n">
        <v>1</v>
      </c>
      <c r="E298" s="46" t="inlineStr">
        <is>
          <t>남성존</t>
        </is>
      </c>
    </row>
    <row r="299" ht="18.75" customFormat="1" customHeight="1" s="98">
      <c r="A299" s="96" t="inlineStr">
        <is>
          <t>T003</t>
        </is>
      </c>
      <c r="B299" s="97" t="inlineStr">
        <is>
          <t>TABLE</t>
        </is>
      </c>
      <c r="C299" s="96" t="inlineStr">
        <is>
          <t>EERAG25B1G10175</t>
        </is>
      </c>
      <c r="D299" s="95" t="n">
        <v>1</v>
      </c>
      <c r="E299" s="46" t="inlineStr">
        <is>
          <t>남성존</t>
        </is>
      </c>
    </row>
    <row r="300" ht="18.75" customFormat="1" customHeight="1" s="98">
      <c r="A300" s="96" t="inlineStr">
        <is>
          <t>T003</t>
        </is>
      </c>
      <c r="B300" s="97" t="inlineStr">
        <is>
          <t>TABLE</t>
        </is>
      </c>
      <c r="C300" s="96" t="inlineStr">
        <is>
          <t>EERAG25B1G10180</t>
        </is>
      </c>
      <c r="D300" s="95" t="n">
        <v>1</v>
      </c>
      <c r="E300" s="46" t="inlineStr">
        <is>
          <t>남성존</t>
        </is>
      </c>
    </row>
    <row r="301" ht="18.75" customFormat="1" customHeight="1" s="98">
      <c r="A301" s="96" t="inlineStr">
        <is>
          <t>T003</t>
        </is>
      </c>
      <c r="B301" s="97" t="inlineStr">
        <is>
          <t>TABLE</t>
        </is>
      </c>
      <c r="C301" s="96" t="inlineStr">
        <is>
          <t>EERAG12E1G99170</t>
        </is>
      </c>
      <c r="D301" s="95" t="n">
        <v>1</v>
      </c>
      <c r="E301" s="46" t="inlineStr">
        <is>
          <t>남성존</t>
        </is>
      </c>
    </row>
    <row r="302" ht="18.75" customFormat="1" customHeight="1" s="98">
      <c r="A302" s="96" t="inlineStr">
        <is>
          <t>T003</t>
        </is>
      </c>
      <c r="B302" s="97" t="inlineStr">
        <is>
          <t>TABLE</t>
        </is>
      </c>
      <c r="C302" s="96" t="inlineStr">
        <is>
          <t>EERAG12E1G99170</t>
        </is>
      </c>
      <c r="D302" s="95" t="n">
        <v>1</v>
      </c>
      <c r="E302" s="46" t="inlineStr">
        <is>
          <t>남성존</t>
        </is>
      </c>
    </row>
    <row r="303" ht="18.75" customFormat="1" customHeight="1" s="98">
      <c r="A303" s="96" t="inlineStr">
        <is>
          <t>T003</t>
        </is>
      </c>
      <c r="B303" s="97" t="inlineStr">
        <is>
          <t>TABLE</t>
        </is>
      </c>
      <c r="C303" s="96" t="inlineStr">
        <is>
          <t>EEACG23E0150FRE</t>
        </is>
      </c>
      <c r="D303" s="95" t="n">
        <v>1</v>
      </c>
      <c r="E303" s="46" t="inlineStr">
        <is>
          <t>남성존</t>
        </is>
      </c>
    </row>
    <row r="304" ht="18.75" customFormat="1" customHeight="1" s="98">
      <c r="A304" s="96" t="inlineStr">
        <is>
          <t>T003</t>
        </is>
      </c>
      <c r="B304" s="97" t="inlineStr">
        <is>
          <t>TABLE</t>
        </is>
      </c>
      <c r="C304" s="96" t="inlineStr">
        <is>
          <t>EEACG23E0188FRE</t>
        </is>
      </c>
      <c r="D304" s="95" t="n">
        <v>1</v>
      </c>
      <c r="E304" s="46" t="inlineStr">
        <is>
          <t>남성존</t>
        </is>
      </c>
    </row>
    <row r="305" ht="18.75" customFormat="1" customHeight="1" s="98">
      <c r="A305" s="96" t="inlineStr">
        <is>
          <t>T003</t>
        </is>
      </c>
      <c r="B305" s="97" t="inlineStr">
        <is>
          <t>TABLE</t>
        </is>
      </c>
      <c r="C305" s="96" t="inlineStr">
        <is>
          <t>EEACG23E0136FRE</t>
        </is>
      </c>
      <c r="D305" s="95" t="n">
        <v>1</v>
      </c>
      <c r="E305" s="46" t="inlineStr">
        <is>
          <t>남성존</t>
        </is>
      </c>
    </row>
    <row r="306" ht="18.75" customFormat="1" customHeight="1" s="98">
      <c r="A306" s="96" t="inlineStr">
        <is>
          <t>T003</t>
        </is>
      </c>
      <c r="B306" s="97" t="inlineStr">
        <is>
          <t>TABLE</t>
        </is>
      </c>
      <c r="C306" s="96" t="inlineStr">
        <is>
          <t>EEACG23E0159FRE</t>
        </is>
      </c>
      <c r="D306" s="95" t="n">
        <v>1</v>
      </c>
      <c r="E306" s="46" t="inlineStr">
        <is>
          <t>남성존</t>
        </is>
      </c>
    </row>
    <row r="307" ht="18.75" customFormat="1" customHeight="1" s="98">
      <c r="A307" s="99" t="inlineStr">
        <is>
          <t>H001</t>
        </is>
      </c>
      <c r="B307" s="100" t="inlineStr">
        <is>
          <t>HANGER</t>
        </is>
      </c>
      <c r="C307" s="99" t="inlineStr">
        <is>
          <t>EEOJG24E0139165</t>
        </is>
      </c>
      <c r="D307" s="95" t="n">
        <v>1</v>
      </c>
      <c r="E307" s="46" t="inlineStr">
        <is>
          <t>여성존</t>
        </is>
      </c>
    </row>
    <row r="308" ht="18.75" customFormat="1" customHeight="1" s="98">
      <c r="A308" s="99" t="inlineStr">
        <is>
          <t>H001</t>
        </is>
      </c>
      <c r="B308" s="100" t="inlineStr">
        <is>
          <t>HANGER</t>
        </is>
      </c>
      <c r="C308" s="99" t="inlineStr">
        <is>
          <t>EEYWG25E0251160</t>
        </is>
      </c>
      <c r="D308" s="95" t="n">
        <v>1</v>
      </c>
      <c r="E308" s="46" t="inlineStr">
        <is>
          <t>여성존</t>
        </is>
      </c>
    </row>
    <row r="309" ht="18.75" customFormat="1" customHeight="1" s="98">
      <c r="A309" s="99" t="inlineStr">
        <is>
          <t>H001</t>
        </is>
      </c>
      <c r="B309" s="100" t="inlineStr">
        <is>
          <t>HANGER</t>
        </is>
      </c>
      <c r="C309" s="99" t="inlineStr">
        <is>
          <t>EEWHG23B0250165</t>
        </is>
      </c>
      <c r="D309" s="95" t="n">
        <v>1</v>
      </c>
      <c r="E309" s="46" t="inlineStr">
        <is>
          <t>여성존</t>
        </is>
      </c>
    </row>
    <row r="310" ht="18.75" customFormat="1" customHeight="1" s="98">
      <c r="A310" s="99" t="inlineStr">
        <is>
          <t>H001</t>
        </is>
      </c>
      <c r="B310" s="100" t="inlineStr">
        <is>
          <t>HANGER</t>
        </is>
      </c>
      <c r="C310" s="99" t="inlineStr">
        <is>
          <t>EEYWG25E0150165</t>
        </is>
      </c>
      <c r="D310" s="95" t="n">
        <v>1</v>
      </c>
      <c r="E310" s="46" t="inlineStr">
        <is>
          <t>여성존</t>
        </is>
      </c>
    </row>
    <row r="311" ht="18.75" customFormat="1" customHeight="1" s="98">
      <c r="A311" s="99" t="inlineStr">
        <is>
          <t>H001</t>
        </is>
      </c>
      <c r="B311" s="100" t="inlineStr">
        <is>
          <t>HANGER</t>
        </is>
      </c>
      <c r="C311" s="99" t="inlineStr">
        <is>
          <t>EEYWG26B0139165</t>
        </is>
      </c>
      <c r="D311" s="95" t="n">
        <v>1</v>
      </c>
      <c r="E311" s="46" t="inlineStr">
        <is>
          <t>여성존</t>
        </is>
      </c>
    </row>
    <row r="312" ht="18.75" customFormat="1" customHeight="1" s="98">
      <c r="A312" s="99" t="inlineStr">
        <is>
          <t>H001</t>
        </is>
      </c>
      <c r="B312" s="100" t="inlineStr">
        <is>
          <t>HANGER</t>
        </is>
      </c>
      <c r="C312" s="99" t="inlineStr">
        <is>
          <t>EEWHG64S0239170</t>
        </is>
      </c>
      <c r="D312" s="95" t="n">
        <v>1</v>
      </c>
      <c r="E312" s="46" t="inlineStr">
        <is>
          <t>여성존</t>
        </is>
      </c>
    </row>
    <row r="313" ht="18.75" customFormat="1" customHeight="1" s="98">
      <c r="A313" s="99" t="inlineStr">
        <is>
          <t>H001</t>
        </is>
      </c>
      <c r="B313" s="100" t="inlineStr">
        <is>
          <t>HANGER</t>
        </is>
      </c>
      <c r="C313" s="99" t="inlineStr">
        <is>
          <t>EEYWG24E0251160</t>
        </is>
      </c>
      <c r="D313" s="95" t="n">
        <v>1</v>
      </c>
      <c r="E313" s="46" t="inlineStr">
        <is>
          <t>여성존</t>
        </is>
      </c>
    </row>
    <row r="314" ht="18.75" customFormat="1" customHeight="1" s="98">
      <c r="A314" s="99" t="inlineStr">
        <is>
          <t>H001</t>
        </is>
      </c>
      <c r="B314" s="100" t="inlineStr">
        <is>
          <t>HANGER</t>
        </is>
      </c>
      <c r="C314" s="99" t="inlineStr">
        <is>
          <t>EEOJG24E0101170</t>
        </is>
      </c>
      <c r="D314" s="95" t="n">
        <v>1</v>
      </c>
      <c r="E314" s="46" t="inlineStr">
        <is>
          <t>여성존</t>
        </is>
      </c>
    </row>
    <row r="315" ht="18.75" customFormat="1" customHeight="1" s="98">
      <c r="A315" s="99" t="inlineStr">
        <is>
          <t>H001</t>
        </is>
      </c>
      <c r="B315" s="100" t="inlineStr">
        <is>
          <t>HANGER</t>
        </is>
      </c>
      <c r="C315" s="99" t="inlineStr">
        <is>
          <t>EEWHG24E5639165</t>
        </is>
      </c>
      <c r="D315" s="95" t="n">
        <v>1</v>
      </c>
      <c r="E315" s="46" t="inlineStr">
        <is>
          <t>여성존</t>
        </is>
      </c>
    </row>
    <row r="316" ht="18.75" customFormat="1" customHeight="1" s="98">
      <c r="A316" s="99" t="inlineStr">
        <is>
          <t>H001</t>
        </is>
      </c>
      <c r="B316" s="100" t="inlineStr">
        <is>
          <t>HANGER</t>
        </is>
      </c>
      <c r="C316" s="99" t="inlineStr">
        <is>
          <t>EEYPG24E0156165</t>
        </is>
      </c>
      <c r="D316" s="95" t="n">
        <v>1</v>
      </c>
      <c r="E316" s="46" t="inlineStr">
        <is>
          <t>여성존</t>
        </is>
      </c>
    </row>
    <row r="317" ht="18.75" customFormat="1" customHeight="1" s="98">
      <c r="A317" s="99" t="inlineStr">
        <is>
          <t>H002</t>
        </is>
      </c>
      <c r="B317" s="100" t="inlineStr">
        <is>
          <t>HANGER</t>
        </is>
      </c>
      <c r="C317" s="99" t="inlineStr">
        <is>
          <t>EETAG24E0239165</t>
        </is>
      </c>
      <c r="D317" s="95" t="n">
        <v>1</v>
      </c>
      <c r="E317" s="46" t="inlineStr">
        <is>
          <t>여성존</t>
        </is>
      </c>
    </row>
    <row r="318" ht="18.75" customFormat="1" customHeight="1" s="98">
      <c r="A318" s="99" t="inlineStr">
        <is>
          <t>H002</t>
        </is>
      </c>
      <c r="B318" s="100" t="inlineStr">
        <is>
          <t>HANGER</t>
        </is>
      </c>
      <c r="C318" s="99" t="inlineStr">
        <is>
          <t>EETAG24E0239160</t>
        </is>
      </c>
      <c r="D318" s="95" t="n">
        <v>1</v>
      </c>
      <c r="E318" s="46" t="inlineStr">
        <is>
          <t>여성존</t>
        </is>
      </c>
    </row>
    <row r="319" ht="18.75" customFormat="1" customHeight="1" s="98">
      <c r="A319" s="99" t="inlineStr">
        <is>
          <t>H002</t>
        </is>
      </c>
      <c r="B319" s="100" t="inlineStr">
        <is>
          <t>HANGER</t>
        </is>
      </c>
      <c r="C319" s="99" t="inlineStr">
        <is>
          <t>EETHG25E0435155</t>
        </is>
      </c>
      <c r="D319" s="95" t="n">
        <v>1</v>
      </c>
      <c r="E319" s="46" t="inlineStr">
        <is>
          <t>여성존</t>
        </is>
      </c>
    </row>
    <row r="320" ht="18.75" customFormat="1" customHeight="1" s="98">
      <c r="A320" s="99" t="inlineStr">
        <is>
          <t>H002</t>
        </is>
      </c>
      <c r="B320" s="100" t="inlineStr">
        <is>
          <t>HANGER</t>
        </is>
      </c>
      <c r="C320" s="99" t="inlineStr">
        <is>
          <t>EETHG25E0435165</t>
        </is>
      </c>
      <c r="D320" s="95" t="n">
        <v>1</v>
      </c>
      <c r="E320" s="46" t="inlineStr">
        <is>
          <t>여성존</t>
        </is>
      </c>
    </row>
    <row r="321" ht="18.75" customFormat="1" customHeight="1" s="98">
      <c r="A321" s="99" t="inlineStr">
        <is>
          <t>H002</t>
        </is>
      </c>
      <c r="B321" s="100" t="inlineStr">
        <is>
          <t>HANGER</t>
        </is>
      </c>
      <c r="C321" s="99" t="inlineStr">
        <is>
          <t>EETAG24E0235160</t>
        </is>
      </c>
      <c r="D321" s="95" t="n">
        <v>1</v>
      </c>
      <c r="E321" s="46" t="inlineStr">
        <is>
          <t>여성존</t>
        </is>
      </c>
    </row>
    <row r="322" ht="18.75" customFormat="1" customHeight="1" s="98">
      <c r="A322" s="99" t="inlineStr">
        <is>
          <t>H002</t>
        </is>
      </c>
      <c r="B322" s="100" t="inlineStr">
        <is>
          <t>HANGER</t>
        </is>
      </c>
      <c r="C322" s="99" t="inlineStr">
        <is>
          <t>EETAG24E0235165</t>
        </is>
      </c>
      <c r="D322" s="95" t="n">
        <v>1</v>
      </c>
      <c r="E322" s="46" t="inlineStr">
        <is>
          <t>여성존</t>
        </is>
      </c>
    </row>
    <row r="323" ht="18.75" customFormat="1" customHeight="1" s="98">
      <c r="A323" s="99" t="inlineStr">
        <is>
          <t>H002</t>
        </is>
      </c>
      <c r="B323" s="100" t="inlineStr">
        <is>
          <t>HANGER</t>
        </is>
      </c>
      <c r="C323" s="99" t="inlineStr">
        <is>
          <t>EEWHG24E0335160</t>
        </is>
      </c>
      <c r="D323" s="95" t="n">
        <v>1</v>
      </c>
      <c r="E323" s="46" t="inlineStr">
        <is>
          <t>여성존</t>
        </is>
      </c>
    </row>
    <row r="324" ht="18.75" customFormat="1" customHeight="1" s="98">
      <c r="A324" s="99" t="inlineStr">
        <is>
          <t>H002</t>
        </is>
      </c>
      <c r="B324" s="100" t="inlineStr">
        <is>
          <t>HANGER</t>
        </is>
      </c>
      <c r="C324" s="99" t="inlineStr">
        <is>
          <t>EEWHG24E0335165</t>
        </is>
      </c>
      <c r="D324" s="95" t="n">
        <v>1</v>
      </c>
      <c r="E324" s="46" t="inlineStr">
        <is>
          <t>여성존</t>
        </is>
      </c>
    </row>
    <row r="325" ht="18.75" customFormat="1" customHeight="1" s="98">
      <c r="A325" s="99" t="inlineStr">
        <is>
          <t>H002</t>
        </is>
      </c>
      <c r="B325" s="100" t="inlineStr">
        <is>
          <t>HANGER</t>
        </is>
      </c>
      <c r="C325" s="99" t="inlineStr">
        <is>
          <t>EETCG23E0135165</t>
        </is>
      </c>
      <c r="D325" s="95" t="n">
        <v>1</v>
      </c>
      <c r="E325" s="46" t="inlineStr">
        <is>
          <t>여성존</t>
        </is>
      </c>
    </row>
    <row r="326" ht="18.75" customFormat="1" customHeight="1" s="98">
      <c r="A326" s="99" t="inlineStr">
        <is>
          <t>H002</t>
        </is>
      </c>
      <c r="B326" s="100" t="inlineStr">
        <is>
          <t>HANGER</t>
        </is>
      </c>
      <c r="C326" s="99" t="inlineStr">
        <is>
          <t>EETCG24E0135160</t>
        </is>
      </c>
      <c r="D326" s="95" t="n">
        <v>1</v>
      </c>
      <c r="E326" s="46" t="inlineStr">
        <is>
          <t>여성존</t>
        </is>
      </c>
    </row>
    <row r="327" ht="18.75" customFormat="1" customHeight="1" s="98">
      <c r="A327" s="99" t="inlineStr">
        <is>
          <t>H002</t>
        </is>
      </c>
      <c r="B327" s="100" t="inlineStr">
        <is>
          <t>HANGER</t>
        </is>
      </c>
      <c r="C327" s="99" t="inlineStr">
        <is>
          <t>EETCG23E0159170</t>
        </is>
      </c>
      <c r="D327" s="95" t="n">
        <v>1</v>
      </c>
      <c r="E327" s="46" t="inlineStr">
        <is>
          <t>여성존</t>
        </is>
      </c>
    </row>
    <row r="328" ht="18.75" customFormat="1" customHeight="1" s="98">
      <c r="A328" s="99" t="inlineStr">
        <is>
          <t>H002</t>
        </is>
      </c>
      <c r="B328" s="100" t="inlineStr">
        <is>
          <t>HANGER</t>
        </is>
      </c>
      <c r="C328" s="99" t="inlineStr">
        <is>
          <t>EETCG23E0159165</t>
        </is>
      </c>
      <c r="D328" s="95" t="n">
        <v>1</v>
      </c>
      <c r="E328" s="46" t="inlineStr">
        <is>
          <t>여성존</t>
        </is>
      </c>
    </row>
    <row r="329" ht="18.75" customFormat="1" customHeight="1" s="98">
      <c r="A329" s="99" t="inlineStr">
        <is>
          <t>H002</t>
        </is>
      </c>
      <c r="B329" s="100" t="inlineStr">
        <is>
          <t>HANGER</t>
        </is>
      </c>
      <c r="C329" s="99" t="inlineStr">
        <is>
          <t>EEWHG24E0459160</t>
        </is>
      </c>
      <c r="D329" s="95" t="n">
        <v>1</v>
      </c>
      <c r="E329" s="46" t="inlineStr">
        <is>
          <t>여성존</t>
        </is>
      </c>
    </row>
    <row r="330" ht="18.75" customFormat="1" customHeight="1" s="98">
      <c r="A330" s="99" t="inlineStr">
        <is>
          <t>H002</t>
        </is>
      </c>
      <c r="B330" s="100" t="inlineStr">
        <is>
          <t>HANGER</t>
        </is>
      </c>
      <c r="C330" s="99" t="inlineStr">
        <is>
          <t>EEWHG24E0459165</t>
        </is>
      </c>
      <c r="D330" s="95" t="n">
        <v>1</v>
      </c>
      <c r="E330" s="46" t="inlineStr">
        <is>
          <t>여성존</t>
        </is>
      </c>
    </row>
    <row r="331" ht="18.75" customFormat="1" customHeight="1" s="98">
      <c r="A331" s="99" t="inlineStr">
        <is>
          <t>H002</t>
        </is>
      </c>
      <c r="B331" s="100" t="inlineStr">
        <is>
          <t>HANGER</t>
        </is>
      </c>
      <c r="C331" s="99" t="inlineStr">
        <is>
          <t>EETAG24B0359165</t>
        </is>
      </c>
      <c r="D331" s="95" t="n">
        <v>1</v>
      </c>
      <c r="E331" s="46" t="inlineStr">
        <is>
          <t>여성존</t>
        </is>
      </c>
    </row>
    <row r="332" ht="18.75" customFormat="1" customHeight="1" s="98">
      <c r="A332" s="99" t="inlineStr">
        <is>
          <t>H002</t>
        </is>
      </c>
      <c r="B332" s="100" t="inlineStr">
        <is>
          <t>HANGER</t>
        </is>
      </c>
      <c r="C332" s="99" t="inlineStr">
        <is>
          <t>EETAG24E0459160</t>
        </is>
      </c>
      <c r="D332" s="95" t="n">
        <v>1</v>
      </c>
      <c r="E332" s="46" t="inlineStr">
        <is>
          <t>여성존</t>
        </is>
      </c>
    </row>
    <row r="333" ht="18.75" customFormat="1" customHeight="1" s="98">
      <c r="A333" s="99" t="inlineStr">
        <is>
          <t>H002</t>
        </is>
      </c>
      <c r="B333" s="100" t="inlineStr">
        <is>
          <t>HANGER</t>
        </is>
      </c>
      <c r="C333" s="99" t="inlineStr">
        <is>
          <t>EEWHG24E5659155</t>
        </is>
      </c>
      <c r="D333" s="95" t="n">
        <v>1</v>
      </c>
      <c r="E333" s="46" t="inlineStr">
        <is>
          <t>여성존</t>
        </is>
      </c>
    </row>
    <row r="334" ht="18.75" customFormat="1" customHeight="1" s="98">
      <c r="A334" s="99" t="inlineStr">
        <is>
          <t>H002</t>
        </is>
      </c>
      <c r="B334" s="100" t="inlineStr">
        <is>
          <t>HANGER</t>
        </is>
      </c>
      <c r="C334" s="99" t="inlineStr">
        <is>
          <t>EETAG24E0415165</t>
        </is>
      </c>
      <c r="D334" s="95" t="n">
        <v>1</v>
      </c>
      <c r="E334" s="46" t="inlineStr">
        <is>
          <t>여성존</t>
        </is>
      </c>
    </row>
    <row r="335" ht="18.75" customFormat="1" customHeight="1" s="98">
      <c r="A335" s="99" t="inlineStr">
        <is>
          <t>H002</t>
        </is>
      </c>
      <c r="B335" s="100" t="inlineStr">
        <is>
          <t>HANGER</t>
        </is>
      </c>
      <c r="C335" s="99" t="inlineStr">
        <is>
          <t>EETAG24E0415160</t>
        </is>
      </c>
      <c r="D335" s="95" t="n">
        <v>1</v>
      </c>
      <c r="E335" s="46" t="inlineStr">
        <is>
          <t>여성존</t>
        </is>
      </c>
    </row>
    <row r="336" ht="18.75" customFormat="1" customHeight="1" s="98">
      <c r="A336" s="99" t="inlineStr">
        <is>
          <t>H002</t>
        </is>
      </c>
      <c r="B336" s="100" t="inlineStr">
        <is>
          <t>HANGER</t>
        </is>
      </c>
      <c r="C336" s="99" t="inlineStr">
        <is>
          <t>EETMG25B5117165</t>
        </is>
      </c>
      <c r="D336" s="95" t="n">
        <v>1</v>
      </c>
      <c r="E336" s="46" t="inlineStr">
        <is>
          <t>여성존</t>
        </is>
      </c>
    </row>
    <row r="337" ht="18.75" customFormat="1" customHeight="1" s="98">
      <c r="A337" s="99" t="inlineStr">
        <is>
          <t>H002</t>
        </is>
      </c>
      <c r="B337" s="100" t="inlineStr">
        <is>
          <t>HANGER</t>
        </is>
      </c>
      <c r="C337" s="99" t="inlineStr">
        <is>
          <t>EETCG64S0115160</t>
        </is>
      </c>
      <c r="D337" s="95" t="n">
        <v>1</v>
      </c>
      <c r="E337" s="46" t="inlineStr">
        <is>
          <t>여성존</t>
        </is>
      </c>
    </row>
    <row r="338" ht="18.75" customFormat="1" customHeight="1" s="98">
      <c r="A338" s="99" t="inlineStr">
        <is>
          <t>H002</t>
        </is>
      </c>
      <c r="B338" s="100" t="inlineStr">
        <is>
          <t>HANGER</t>
        </is>
      </c>
      <c r="C338" s="99" t="inlineStr">
        <is>
          <t>EEWHG23R3115160</t>
        </is>
      </c>
      <c r="D338" s="95" t="n">
        <v>1</v>
      </c>
      <c r="E338" s="46" t="inlineStr">
        <is>
          <t>여성존</t>
        </is>
      </c>
    </row>
    <row r="339" ht="18.75" customFormat="1" customHeight="1" s="98">
      <c r="A339" s="99" t="inlineStr">
        <is>
          <t>H002</t>
        </is>
      </c>
      <c r="B339" s="100" t="inlineStr">
        <is>
          <t>HANGER</t>
        </is>
      </c>
      <c r="C339" s="99" t="inlineStr">
        <is>
          <t>EEWHG24E0415160</t>
        </is>
      </c>
      <c r="D339" s="95" t="n">
        <v>1</v>
      </c>
      <c r="E339" s="46" t="inlineStr">
        <is>
          <t>여성존</t>
        </is>
      </c>
    </row>
    <row r="340" ht="18.75" customFormat="1" customHeight="1" s="98">
      <c r="A340" s="99" t="inlineStr">
        <is>
          <t>H002</t>
        </is>
      </c>
      <c r="B340" s="100" t="inlineStr">
        <is>
          <t>HANGER</t>
        </is>
      </c>
      <c r="C340" s="99" t="inlineStr">
        <is>
          <t>EEWHG24E0415165</t>
        </is>
      </c>
      <c r="D340" s="95" t="n">
        <v>1</v>
      </c>
      <c r="E340" s="98" t="inlineStr">
        <is>
          <t>여성존</t>
        </is>
      </c>
    </row>
    <row r="341" ht="18.75" customFormat="1" customHeight="1" s="98">
      <c r="A341" s="99" t="inlineStr">
        <is>
          <t>H002</t>
        </is>
      </c>
      <c r="B341" s="100" t="inlineStr">
        <is>
          <t>HANGER</t>
        </is>
      </c>
      <c r="C341" s="99" t="inlineStr">
        <is>
          <t>EETAG24B0336160</t>
        </is>
      </c>
      <c r="D341" s="95" t="n">
        <v>1</v>
      </c>
      <c r="E341" s="98" t="inlineStr">
        <is>
          <t>여성존</t>
        </is>
      </c>
    </row>
    <row r="342" ht="18.75" customFormat="1" customHeight="1" s="98">
      <c r="A342" s="99" t="inlineStr">
        <is>
          <t>H002</t>
        </is>
      </c>
      <c r="B342" s="100" t="inlineStr">
        <is>
          <t>HANGER</t>
        </is>
      </c>
      <c r="C342" s="99" t="inlineStr">
        <is>
          <t>EETAG24B0359155</t>
        </is>
      </c>
      <c r="D342" s="95" t="n">
        <v>1</v>
      </c>
      <c r="E342" s="98" t="inlineStr">
        <is>
          <t>여성존</t>
        </is>
      </c>
    </row>
    <row r="343" ht="18.75" customFormat="1" customHeight="1" s="98">
      <c r="A343" s="99" t="inlineStr">
        <is>
          <t>H002</t>
        </is>
      </c>
      <c r="B343" s="100" t="inlineStr">
        <is>
          <t>HANGER</t>
        </is>
      </c>
      <c r="C343" s="99" t="inlineStr">
        <is>
          <t>EETCG23E0259165</t>
        </is>
      </c>
      <c r="D343" s="95" t="n">
        <v>1</v>
      </c>
      <c r="E343" s="98" t="inlineStr">
        <is>
          <t>여성존</t>
        </is>
      </c>
    </row>
    <row r="344" ht="18.75" customFormat="1" customHeight="1" s="98">
      <c r="A344" s="99" t="inlineStr">
        <is>
          <t>H002</t>
        </is>
      </c>
      <c r="B344" s="100" t="inlineStr">
        <is>
          <t>HANGER</t>
        </is>
      </c>
      <c r="C344" s="99" t="inlineStr">
        <is>
          <t>EETAG24E0259155</t>
        </is>
      </c>
      <c r="D344" s="95" t="n">
        <v>1</v>
      </c>
      <c r="E344" s="98" t="inlineStr">
        <is>
          <t>여성존</t>
        </is>
      </c>
    </row>
    <row r="345" ht="18.75" customFormat="1" customHeight="1" s="98">
      <c r="A345" s="99" t="inlineStr">
        <is>
          <t>H002</t>
        </is>
      </c>
      <c r="B345" s="100" t="inlineStr">
        <is>
          <t>HANGER</t>
        </is>
      </c>
      <c r="C345" s="99" t="inlineStr">
        <is>
          <t>EEWHG23E0159170</t>
        </is>
      </c>
      <c r="D345" s="95" t="n">
        <v>1</v>
      </c>
      <c r="E345" s="98" t="inlineStr">
        <is>
          <t>여성존</t>
        </is>
      </c>
    </row>
    <row r="346" ht="18.75" customFormat="1" customHeight="1" s="98">
      <c r="A346" s="99" t="inlineStr">
        <is>
          <t>H002</t>
        </is>
      </c>
      <c r="B346" s="100" t="inlineStr">
        <is>
          <t>HANGER</t>
        </is>
      </c>
      <c r="C346" s="99" t="inlineStr">
        <is>
          <t>EETJG24E0139027</t>
        </is>
      </c>
      <c r="D346" s="95" t="n">
        <v>1</v>
      </c>
      <c r="E346" s="46" t="inlineStr">
        <is>
          <t>여성존</t>
        </is>
      </c>
    </row>
    <row r="347" ht="18.75" customFormat="1" customHeight="1" s="98">
      <c r="A347" s="99" t="inlineStr">
        <is>
          <t>H002</t>
        </is>
      </c>
      <c r="B347" s="100" t="inlineStr">
        <is>
          <t>HANGER</t>
        </is>
      </c>
      <c r="C347" s="99" t="inlineStr">
        <is>
          <t>EETJG24E0139028</t>
        </is>
      </c>
      <c r="D347" s="95" t="n">
        <v>1</v>
      </c>
      <c r="E347" s="46" t="inlineStr">
        <is>
          <t>여성존</t>
        </is>
      </c>
    </row>
    <row r="348" ht="18.75" customFormat="1" customHeight="1" s="98">
      <c r="A348" s="99" t="inlineStr">
        <is>
          <t>H002</t>
        </is>
      </c>
      <c r="B348" s="100" t="inlineStr">
        <is>
          <t>HANGER</t>
        </is>
      </c>
      <c r="C348" s="99" t="inlineStr">
        <is>
          <t>EETJG24E0236026</t>
        </is>
      </c>
      <c r="D348" s="95" t="n">
        <v>1</v>
      </c>
      <c r="E348" s="46" t="inlineStr">
        <is>
          <t>여성존</t>
        </is>
      </c>
    </row>
    <row r="349" ht="18.75" customFormat="1" customHeight="1" s="98">
      <c r="A349" s="99" t="inlineStr">
        <is>
          <t>H002</t>
        </is>
      </c>
      <c r="B349" s="100" t="inlineStr">
        <is>
          <t>HANGER</t>
        </is>
      </c>
      <c r="C349" s="99" t="inlineStr">
        <is>
          <t>EETJG24E0236027</t>
        </is>
      </c>
      <c r="D349" s="95" t="n">
        <v>1</v>
      </c>
      <c r="E349" s="46" t="inlineStr">
        <is>
          <t>여성존</t>
        </is>
      </c>
    </row>
    <row r="350" ht="18.75" customFormat="1" customHeight="1" s="98">
      <c r="A350" s="99" t="inlineStr">
        <is>
          <t>H002</t>
        </is>
      </c>
      <c r="B350" s="100" t="inlineStr">
        <is>
          <t>HANGER</t>
        </is>
      </c>
      <c r="C350" s="99" t="inlineStr">
        <is>
          <t>EETMG25B5164165</t>
        </is>
      </c>
      <c r="D350" s="95" t="n">
        <v>1</v>
      </c>
      <c r="E350" s="46" t="inlineStr">
        <is>
          <t>여성존</t>
        </is>
      </c>
    </row>
    <row r="351" ht="18.75" customFormat="1" customHeight="1" s="98">
      <c r="A351" s="99" t="inlineStr">
        <is>
          <t>H002</t>
        </is>
      </c>
      <c r="B351" s="100" t="inlineStr">
        <is>
          <t>HANGER</t>
        </is>
      </c>
      <c r="C351" s="99" t="inlineStr">
        <is>
          <t>EETMG25B5164160</t>
        </is>
      </c>
      <c r="D351" s="95" t="n">
        <v>1</v>
      </c>
      <c r="E351" s="46" t="inlineStr">
        <is>
          <t>여성존</t>
        </is>
      </c>
    </row>
    <row r="352" ht="18.75" customFormat="1" customHeight="1" s="98">
      <c r="A352" s="99" t="inlineStr">
        <is>
          <t>H002</t>
        </is>
      </c>
      <c r="B352" s="100" t="inlineStr">
        <is>
          <t>HANGER</t>
        </is>
      </c>
      <c r="C352" s="99" t="inlineStr">
        <is>
          <t>EETJG23E0439027</t>
        </is>
      </c>
      <c r="D352" s="95" t="n">
        <v>1</v>
      </c>
      <c r="E352" s="46" t="inlineStr">
        <is>
          <t>여성존</t>
        </is>
      </c>
    </row>
    <row r="353" ht="18.75" customFormat="1" customHeight="1" s="98">
      <c r="A353" s="99" t="inlineStr">
        <is>
          <t>H002</t>
        </is>
      </c>
      <c r="B353" s="100" t="inlineStr">
        <is>
          <t>HANGER</t>
        </is>
      </c>
      <c r="C353" s="99" t="inlineStr">
        <is>
          <t>EETCG64S0115165</t>
        </is>
      </c>
      <c r="D353" s="95" t="n">
        <v>1</v>
      </c>
      <c r="E353" s="46" t="inlineStr">
        <is>
          <t>여성존</t>
        </is>
      </c>
    </row>
    <row r="354" ht="18.75" customFormat="1" customHeight="1" s="98">
      <c r="A354" s="99" t="inlineStr">
        <is>
          <t>H002</t>
        </is>
      </c>
      <c r="B354" s="100" t="inlineStr">
        <is>
          <t>HANGER</t>
        </is>
      </c>
      <c r="C354" s="99" t="inlineStr">
        <is>
          <t>EETCG24E0159160</t>
        </is>
      </c>
      <c r="D354" s="95" t="n">
        <v>1</v>
      </c>
      <c r="E354" s="46" t="inlineStr">
        <is>
          <t>여성존</t>
        </is>
      </c>
    </row>
    <row r="355" ht="18.75" customFormat="1" customHeight="1" s="98">
      <c r="A355" s="99" t="inlineStr">
        <is>
          <t>H002</t>
        </is>
      </c>
      <c r="B355" s="100" t="inlineStr">
        <is>
          <t>HANGER</t>
        </is>
      </c>
      <c r="C355" s="99" t="inlineStr">
        <is>
          <t>EETCG24E0159160</t>
        </is>
      </c>
      <c r="D355" s="95" t="n">
        <v>1</v>
      </c>
      <c r="E355" s="46" t="inlineStr">
        <is>
          <t>여성존</t>
        </is>
      </c>
    </row>
    <row r="356" ht="18.75" customFormat="1" customHeight="1" s="98">
      <c r="A356" s="99" t="inlineStr">
        <is>
          <t>H002</t>
        </is>
      </c>
      <c r="B356" s="100" t="inlineStr">
        <is>
          <t>HANGER</t>
        </is>
      </c>
      <c r="C356" s="99" t="inlineStr">
        <is>
          <t>EETJG24B5756026</t>
        </is>
      </c>
      <c r="D356" s="95" t="n">
        <v>1</v>
      </c>
      <c r="E356" s="46" t="inlineStr">
        <is>
          <t>여성존</t>
        </is>
      </c>
    </row>
    <row r="357" ht="18.75" customFormat="1" customHeight="1" s="98">
      <c r="A357" s="99" t="inlineStr">
        <is>
          <t>H002</t>
        </is>
      </c>
      <c r="B357" s="100" t="inlineStr">
        <is>
          <t>HANGER</t>
        </is>
      </c>
      <c r="C357" s="99" t="inlineStr">
        <is>
          <t>EETJG24B5756027</t>
        </is>
      </c>
      <c r="D357" s="95" t="n">
        <v>1</v>
      </c>
      <c r="E357" s="46" t="inlineStr">
        <is>
          <t>여성존</t>
        </is>
      </c>
    </row>
    <row r="358" ht="18.75" customFormat="1" customHeight="1" s="98">
      <c r="A358" s="99" t="inlineStr">
        <is>
          <t>H002</t>
        </is>
      </c>
      <c r="B358" s="100" t="inlineStr">
        <is>
          <t>HANGER</t>
        </is>
      </c>
      <c r="C358" s="99" t="inlineStr">
        <is>
          <t>EETJG23E0657026</t>
        </is>
      </c>
      <c r="D358" s="95" t="n">
        <v>1</v>
      </c>
      <c r="E358" s="46" t="inlineStr">
        <is>
          <t>여성존</t>
        </is>
      </c>
    </row>
    <row r="359" ht="18.75" customFormat="1" customHeight="1" s="98">
      <c r="A359" s="99" t="inlineStr">
        <is>
          <t>H002</t>
        </is>
      </c>
      <c r="B359" s="100" t="inlineStr">
        <is>
          <t>HANGER</t>
        </is>
      </c>
      <c r="C359" s="99" t="inlineStr">
        <is>
          <t>EETJG23E0157026</t>
        </is>
      </c>
      <c r="D359" s="95" t="n">
        <v>1</v>
      </c>
      <c r="E359" s="46" t="inlineStr">
        <is>
          <t>여성존</t>
        </is>
      </c>
    </row>
    <row r="360" ht="18.75" customFormat="1" customHeight="1" s="98">
      <c r="A360" s="99" t="inlineStr">
        <is>
          <t>H002</t>
        </is>
      </c>
      <c r="B360" s="100" t="inlineStr">
        <is>
          <t>HANGER</t>
        </is>
      </c>
      <c r="C360" s="99" t="inlineStr">
        <is>
          <t>EETJG23E0157028</t>
        </is>
      </c>
      <c r="D360" s="95" t="n">
        <v>1</v>
      </c>
      <c r="E360" s="46" t="inlineStr">
        <is>
          <t>여성존</t>
        </is>
      </c>
    </row>
    <row r="361" ht="18.75" customFormat="1" customHeight="1" s="98">
      <c r="A361" s="99" t="inlineStr">
        <is>
          <t>H002</t>
        </is>
      </c>
      <c r="B361" s="100" t="inlineStr">
        <is>
          <t>HANGER</t>
        </is>
      </c>
      <c r="C361" s="99" t="inlineStr">
        <is>
          <t>EETJG24E0157027</t>
        </is>
      </c>
      <c r="D361" s="95" t="n">
        <v>1</v>
      </c>
      <c r="E361" s="46" t="inlineStr">
        <is>
          <t>여성존</t>
        </is>
      </c>
    </row>
    <row r="362" ht="18.75" customFormat="1" customHeight="1" s="98">
      <c r="A362" s="99" t="inlineStr">
        <is>
          <t>H002</t>
        </is>
      </c>
      <c r="B362" s="100" t="inlineStr">
        <is>
          <t>HANGER</t>
        </is>
      </c>
      <c r="C362" s="99" t="inlineStr">
        <is>
          <t>EETJG24E0157029</t>
        </is>
      </c>
      <c r="D362" s="95" t="n">
        <v>1</v>
      </c>
      <c r="E362" s="46" t="inlineStr">
        <is>
          <t>여성존</t>
        </is>
      </c>
    </row>
    <row r="363" ht="18.75" customFormat="1" customHeight="1" s="98">
      <c r="A363" s="99" t="inlineStr">
        <is>
          <t>H002</t>
        </is>
      </c>
      <c r="B363" s="100" t="inlineStr">
        <is>
          <t>HANGER</t>
        </is>
      </c>
      <c r="C363" s="99" t="inlineStr">
        <is>
          <t>EETJG23E0256026</t>
        </is>
      </c>
      <c r="D363" s="95" t="n">
        <v>1</v>
      </c>
      <c r="E363" s="46" t="inlineStr">
        <is>
          <t>여성존</t>
        </is>
      </c>
    </row>
    <row r="364" ht="18.75" customFormat="1" customHeight="1" s="98">
      <c r="A364" s="99" t="inlineStr">
        <is>
          <t>H002</t>
        </is>
      </c>
      <c r="B364" s="100" t="inlineStr">
        <is>
          <t>HANGER</t>
        </is>
      </c>
      <c r="C364" s="99" t="inlineStr">
        <is>
          <t>EETJG23B0856025</t>
        </is>
      </c>
      <c r="D364" s="95" t="n">
        <v>1</v>
      </c>
      <c r="E364" s="46" t="inlineStr">
        <is>
          <t>여성존</t>
        </is>
      </c>
    </row>
    <row r="365" ht="18.75" customFormat="1" customHeight="1" s="98">
      <c r="A365" s="99" t="inlineStr">
        <is>
          <t>H002</t>
        </is>
      </c>
      <c r="B365" s="100" t="inlineStr">
        <is>
          <t>HANGER</t>
        </is>
      </c>
      <c r="C365" s="99" t="inlineStr">
        <is>
          <t>EETJG23E0256027</t>
        </is>
      </c>
      <c r="D365" s="95" t="n">
        <v>1</v>
      </c>
      <c r="E365" s="46" t="inlineStr">
        <is>
          <t>여성존</t>
        </is>
      </c>
    </row>
    <row r="366" ht="18.75" customFormat="1" customHeight="1" s="98">
      <c r="A366" s="99" t="inlineStr">
        <is>
          <t>H002</t>
        </is>
      </c>
      <c r="B366" s="100" t="inlineStr">
        <is>
          <t>HANGER</t>
        </is>
      </c>
      <c r="C366" s="99" t="inlineStr">
        <is>
          <t>EETJG23E0655026</t>
        </is>
      </c>
      <c r="D366" s="95" t="n">
        <v>1</v>
      </c>
      <c r="E366" s="46" t="inlineStr">
        <is>
          <t>여성존</t>
        </is>
      </c>
    </row>
    <row r="367" ht="18.75" customFormat="1" customHeight="1" s="98">
      <c r="A367" s="99" t="inlineStr">
        <is>
          <t>H002</t>
        </is>
      </c>
      <c r="B367" s="100" t="inlineStr">
        <is>
          <t>HANGER</t>
        </is>
      </c>
      <c r="C367" s="99" t="inlineStr">
        <is>
          <t>EETJG23E0655027</t>
        </is>
      </c>
      <c r="D367" s="95" t="n">
        <v>1</v>
      </c>
      <c r="E367" s="46" t="inlineStr">
        <is>
          <t>여성존</t>
        </is>
      </c>
    </row>
    <row r="368" ht="18.75" customFormat="1" customHeight="1" s="98">
      <c r="A368" s="99" t="inlineStr">
        <is>
          <t>H002</t>
        </is>
      </c>
      <c r="B368" s="100" t="inlineStr">
        <is>
          <t>HANGER</t>
        </is>
      </c>
      <c r="C368" s="99" t="inlineStr">
        <is>
          <t>EETJG24B5716025</t>
        </is>
      </c>
      <c r="D368" s="95" t="n">
        <v>1</v>
      </c>
      <c r="E368" s="46" t="inlineStr">
        <is>
          <t>여성존</t>
        </is>
      </c>
    </row>
    <row r="369" ht="18.75" customFormat="1" customHeight="1" s="98">
      <c r="A369" s="99" t="inlineStr">
        <is>
          <t>H002</t>
        </is>
      </c>
      <c r="B369" s="100" t="inlineStr">
        <is>
          <t>HANGER</t>
        </is>
      </c>
      <c r="C369" s="99" t="inlineStr">
        <is>
          <t>EETJG23E0757026</t>
        </is>
      </c>
      <c r="D369" s="95" t="n">
        <v>1</v>
      </c>
      <c r="E369" s="46" t="inlineStr">
        <is>
          <t>여성존</t>
        </is>
      </c>
    </row>
    <row r="370" ht="18.75" customFormat="1" customHeight="1" s="98">
      <c r="A370" s="99" t="inlineStr">
        <is>
          <t>H002</t>
        </is>
      </c>
      <c r="B370" s="100" t="inlineStr">
        <is>
          <t>HANGER</t>
        </is>
      </c>
      <c r="C370" s="99" t="inlineStr">
        <is>
          <t>EETJG23E0757027</t>
        </is>
      </c>
      <c r="D370" s="95" t="n">
        <v>1</v>
      </c>
      <c r="E370" s="46" t="inlineStr">
        <is>
          <t>여성존</t>
        </is>
      </c>
    </row>
    <row r="371" ht="18.75" customFormat="1" customHeight="1" s="98">
      <c r="A371" s="99" t="inlineStr">
        <is>
          <t>H002</t>
        </is>
      </c>
      <c r="B371" s="100" t="inlineStr">
        <is>
          <t>HANGER</t>
        </is>
      </c>
      <c r="C371" s="99" t="inlineStr">
        <is>
          <t>EETJG23E0457028</t>
        </is>
      </c>
      <c r="D371" s="95" t="n">
        <v>1</v>
      </c>
      <c r="E371" s="46" t="inlineStr">
        <is>
          <t>여성존</t>
        </is>
      </c>
    </row>
    <row r="372" ht="18.75" customFormat="1" customHeight="1" s="98">
      <c r="A372" s="99" t="inlineStr">
        <is>
          <t>H002</t>
        </is>
      </c>
      <c r="B372" s="100" t="inlineStr">
        <is>
          <t>HANGER</t>
        </is>
      </c>
      <c r="C372" s="99" t="inlineStr">
        <is>
          <t>EETJG23E0439026</t>
        </is>
      </c>
      <c r="D372" s="95" t="n">
        <v>1</v>
      </c>
      <c r="E372" s="46" t="inlineStr">
        <is>
          <t>여성존</t>
        </is>
      </c>
    </row>
    <row r="373" ht="18.75" customFormat="1" customHeight="1" s="98">
      <c r="A373" s="99" t="inlineStr">
        <is>
          <t>H003</t>
        </is>
      </c>
      <c r="B373" s="100" t="inlineStr">
        <is>
          <t>HANGER</t>
        </is>
      </c>
      <c r="C373" s="99" t="inlineStr">
        <is>
          <t>EEKWG24E0230160</t>
        </is>
      </c>
      <c r="D373" s="95" t="n">
        <v>1</v>
      </c>
      <c r="E373" s="46" t="inlineStr">
        <is>
          <t>여성존</t>
        </is>
      </c>
    </row>
    <row r="374" ht="18.75" customFormat="1" customHeight="1" s="98">
      <c r="A374" s="99" t="inlineStr">
        <is>
          <t>H003</t>
        </is>
      </c>
      <c r="B374" s="100" t="inlineStr">
        <is>
          <t>HANGER</t>
        </is>
      </c>
      <c r="C374" s="99" t="inlineStr">
        <is>
          <t>EEOWG64S0226165</t>
        </is>
      </c>
      <c r="D374" s="95" t="n">
        <v>1</v>
      </c>
      <c r="E374" s="46" t="inlineStr">
        <is>
          <t>여성존</t>
        </is>
      </c>
    </row>
    <row r="375" ht="18.75" customFormat="1" customHeight="1" s="98">
      <c r="A375" s="99" t="inlineStr">
        <is>
          <t>H003</t>
        </is>
      </c>
      <c r="B375" s="100" t="inlineStr">
        <is>
          <t>HANGER</t>
        </is>
      </c>
      <c r="C375" s="99" t="inlineStr">
        <is>
          <t>EEOWG64S0226160</t>
        </is>
      </c>
      <c r="D375" s="95" t="n">
        <v>1</v>
      </c>
      <c r="E375" s="46" t="inlineStr">
        <is>
          <t>여성존</t>
        </is>
      </c>
    </row>
    <row r="376" ht="18.75" customFormat="1" customHeight="1" s="98">
      <c r="A376" s="99" t="inlineStr">
        <is>
          <t>H003</t>
        </is>
      </c>
      <c r="B376" s="100" t="inlineStr">
        <is>
          <t>HANGER</t>
        </is>
      </c>
      <c r="C376" s="99" t="inlineStr">
        <is>
          <t>EEOWG24E0135165</t>
        </is>
      </c>
      <c r="D376" s="95" t="n">
        <v>1</v>
      </c>
      <c r="E376" s="46" t="inlineStr">
        <is>
          <t>여성존</t>
        </is>
      </c>
    </row>
    <row r="377" ht="18.75" customFormat="1" customHeight="1" s="98">
      <c r="A377" s="99" t="inlineStr">
        <is>
          <t>H003</t>
        </is>
      </c>
      <c r="B377" s="100" t="inlineStr">
        <is>
          <t>HANGER</t>
        </is>
      </c>
      <c r="C377" s="99" t="inlineStr">
        <is>
          <t>EEOWG24E0135160</t>
        </is>
      </c>
      <c r="D377" s="95" t="n">
        <v>1</v>
      </c>
      <c r="E377" s="46" t="inlineStr">
        <is>
          <t>여성존</t>
        </is>
      </c>
    </row>
    <row r="378" ht="18.75" customFormat="1" customHeight="1" s="98">
      <c r="A378" s="99" t="inlineStr">
        <is>
          <t>H003</t>
        </is>
      </c>
      <c r="B378" s="100" t="inlineStr">
        <is>
          <t>HANGER</t>
        </is>
      </c>
      <c r="C378" s="99" t="inlineStr">
        <is>
          <t>EEOWG24B0250165</t>
        </is>
      </c>
      <c r="D378" s="95" t="n">
        <v>1</v>
      </c>
      <c r="E378" s="46" t="inlineStr">
        <is>
          <t>여성존</t>
        </is>
      </c>
    </row>
    <row r="379" ht="18.75" customFormat="1" customHeight="1" s="98">
      <c r="A379" s="99" t="inlineStr">
        <is>
          <t>H003</t>
        </is>
      </c>
      <c r="B379" s="100" t="inlineStr">
        <is>
          <t>HANGER</t>
        </is>
      </c>
      <c r="C379" s="99" t="inlineStr">
        <is>
          <t>EEOWG24B0250160</t>
        </is>
      </c>
      <c r="D379" s="95" t="n">
        <v>1</v>
      </c>
      <c r="E379" s="46" t="inlineStr">
        <is>
          <t>여성존</t>
        </is>
      </c>
    </row>
    <row r="380" ht="18.75" customFormat="1" customHeight="1" s="98">
      <c r="A380" s="99" t="inlineStr">
        <is>
          <t>H003</t>
        </is>
      </c>
      <c r="B380" s="100" t="inlineStr">
        <is>
          <t>HANGER</t>
        </is>
      </c>
      <c r="C380" s="99" t="inlineStr">
        <is>
          <t>EEOWG24E0259160</t>
        </is>
      </c>
      <c r="D380" s="95" t="n">
        <v>1</v>
      </c>
      <c r="E380" s="46" t="inlineStr">
        <is>
          <t>여성존</t>
        </is>
      </c>
    </row>
    <row r="381" ht="18.75" customFormat="1" customHeight="1" s="98">
      <c r="A381" s="99" t="inlineStr">
        <is>
          <t>H003</t>
        </is>
      </c>
      <c r="B381" s="100" t="inlineStr">
        <is>
          <t>HANGER</t>
        </is>
      </c>
      <c r="C381" s="99" t="inlineStr">
        <is>
          <t>EEOWG24E0259165</t>
        </is>
      </c>
      <c r="D381" s="95" t="n">
        <v>1</v>
      </c>
      <c r="E381" s="46" t="inlineStr">
        <is>
          <t>여성존</t>
        </is>
      </c>
    </row>
    <row r="382" ht="18.75" customFormat="1" customHeight="1" s="98">
      <c r="A382" s="99" t="inlineStr">
        <is>
          <t>H003</t>
        </is>
      </c>
      <c r="B382" s="100" t="inlineStr">
        <is>
          <t>HANGER</t>
        </is>
      </c>
      <c r="C382" s="99" t="inlineStr">
        <is>
          <t>EEOWG24E0159165</t>
        </is>
      </c>
      <c r="D382" s="95" t="n">
        <v>1</v>
      </c>
      <c r="E382" s="46" t="inlineStr">
        <is>
          <t>여성존</t>
        </is>
      </c>
    </row>
    <row r="383" ht="18.75" customFormat="1" customHeight="1" s="98">
      <c r="A383" s="99" t="inlineStr">
        <is>
          <t>H003</t>
        </is>
      </c>
      <c r="B383" s="100" t="inlineStr">
        <is>
          <t>HANGER</t>
        </is>
      </c>
      <c r="C383" s="99" t="inlineStr">
        <is>
          <t>EEOWG24E0159160</t>
        </is>
      </c>
      <c r="D383" s="95" t="n">
        <v>1</v>
      </c>
      <c r="E383" s="46" t="inlineStr">
        <is>
          <t>여성존</t>
        </is>
      </c>
    </row>
    <row r="384" ht="18.75" customFormat="1" customHeight="1" s="98">
      <c r="A384" s="99" t="inlineStr">
        <is>
          <t>H003</t>
        </is>
      </c>
      <c r="B384" s="100" t="inlineStr">
        <is>
          <t>HANGER</t>
        </is>
      </c>
      <c r="C384" s="99" t="inlineStr">
        <is>
          <t>EEYAG26B0359170</t>
        </is>
      </c>
      <c r="D384" s="95" t="n">
        <v>1</v>
      </c>
      <c r="E384" s="46" t="inlineStr">
        <is>
          <t>여성존</t>
        </is>
      </c>
    </row>
    <row r="385" ht="18.75" customFormat="1" customHeight="1" s="98">
      <c r="A385" s="99" t="inlineStr">
        <is>
          <t>H003</t>
        </is>
      </c>
      <c r="B385" s="100" t="inlineStr">
        <is>
          <t>HANGER</t>
        </is>
      </c>
      <c r="C385" s="99" t="inlineStr">
        <is>
          <t>EEOWG25B0959165</t>
        </is>
      </c>
      <c r="D385" s="95" t="n">
        <v>1</v>
      </c>
      <c r="E385" s="46" t="inlineStr">
        <is>
          <t>여성존</t>
        </is>
      </c>
    </row>
    <row r="386" ht="18.75" customFormat="1" customHeight="1" s="98">
      <c r="A386" s="99" t="inlineStr">
        <is>
          <t>H003</t>
        </is>
      </c>
      <c r="B386" s="100" t="inlineStr">
        <is>
          <t>HANGER</t>
        </is>
      </c>
      <c r="C386" s="99" t="inlineStr">
        <is>
          <t>EEYAG26B0359160</t>
        </is>
      </c>
      <c r="D386" s="95" t="n">
        <v>1</v>
      </c>
      <c r="E386" s="46" t="inlineStr">
        <is>
          <t>여성존</t>
        </is>
      </c>
    </row>
    <row r="387" ht="18.75" customFormat="1" customHeight="1" s="98">
      <c r="A387" s="99" t="inlineStr">
        <is>
          <t>H003</t>
        </is>
      </c>
      <c r="B387" s="100" t="inlineStr">
        <is>
          <t>HANGER</t>
        </is>
      </c>
      <c r="C387" s="99" t="inlineStr">
        <is>
          <t>EEKWG24E0388165</t>
        </is>
      </c>
      <c r="D387" s="95" t="n">
        <v>1</v>
      </c>
      <c r="E387" s="46" t="inlineStr">
        <is>
          <t>여성존</t>
        </is>
      </c>
    </row>
    <row r="388" ht="18.75" customFormat="1" customHeight="1" s="98">
      <c r="A388" s="99" t="inlineStr">
        <is>
          <t>H003</t>
        </is>
      </c>
      <c r="B388" s="100" t="inlineStr">
        <is>
          <t>HANGER</t>
        </is>
      </c>
      <c r="C388" s="99" t="inlineStr">
        <is>
          <t>EEKWG24E0388160</t>
        </is>
      </c>
      <c r="D388" s="95" t="n">
        <v>1</v>
      </c>
      <c r="E388" s="46" t="inlineStr">
        <is>
          <t>여성존</t>
        </is>
      </c>
    </row>
    <row r="389" ht="18.75" customFormat="1" customHeight="1" s="98">
      <c r="A389" s="99" t="inlineStr">
        <is>
          <t>H003</t>
        </is>
      </c>
      <c r="B389" s="100" t="inlineStr">
        <is>
          <t>HANGER</t>
        </is>
      </c>
      <c r="C389" s="99" t="inlineStr">
        <is>
          <t>EEKWG24E0359170</t>
        </is>
      </c>
      <c r="D389" s="95" t="n">
        <v>1</v>
      </c>
      <c r="E389" s="46" t="inlineStr">
        <is>
          <t>여성존</t>
        </is>
      </c>
    </row>
    <row r="390" ht="18.75" customFormat="1" customHeight="1" s="98">
      <c r="A390" s="99" t="inlineStr">
        <is>
          <t>H003</t>
        </is>
      </c>
      <c r="B390" s="100" t="inlineStr">
        <is>
          <t>HANGER</t>
        </is>
      </c>
      <c r="C390" s="99" t="inlineStr">
        <is>
          <t>EEKWG24E0359165</t>
        </is>
      </c>
      <c r="D390" s="95" t="n">
        <v>1</v>
      </c>
      <c r="E390" s="46" t="inlineStr">
        <is>
          <t>여성존</t>
        </is>
      </c>
    </row>
    <row r="391" ht="18.75" customFormat="1" customHeight="1" s="98">
      <c r="A391" s="99" t="inlineStr">
        <is>
          <t>H003</t>
        </is>
      </c>
      <c r="B391" s="100" t="inlineStr">
        <is>
          <t>HANGER</t>
        </is>
      </c>
      <c r="C391" s="99" t="inlineStr">
        <is>
          <t>EEKWG24E0318165</t>
        </is>
      </c>
      <c r="D391" s="95" t="n">
        <v>1</v>
      </c>
      <c r="E391" s="46" t="inlineStr">
        <is>
          <t>여성존</t>
        </is>
      </c>
    </row>
    <row r="392" ht="18.75" customFormat="1" customHeight="1" s="98">
      <c r="A392" s="99" t="inlineStr">
        <is>
          <t>H003</t>
        </is>
      </c>
      <c r="B392" s="100" t="inlineStr">
        <is>
          <t>HANGER</t>
        </is>
      </c>
      <c r="C392" s="99" t="inlineStr">
        <is>
          <t>EEKWG24E0318175</t>
        </is>
      </c>
      <c r="D392" s="95" t="n">
        <v>1</v>
      </c>
      <c r="E392" s="46" t="inlineStr">
        <is>
          <t>여성존</t>
        </is>
      </c>
    </row>
    <row r="393" ht="18.75" customFormat="1" customHeight="1" s="98">
      <c r="A393" s="99" t="inlineStr">
        <is>
          <t>H003</t>
        </is>
      </c>
      <c r="B393" s="100" t="inlineStr">
        <is>
          <t>HANGER</t>
        </is>
      </c>
      <c r="C393" s="99" t="inlineStr">
        <is>
          <t>EEKWG24B5131165</t>
        </is>
      </c>
      <c r="D393" s="95" t="n">
        <v>1</v>
      </c>
      <c r="E393" s="46" t="inlineStr">
        <is>
          <t>여성존</t>
        </is>
      </c>
    </row>
    <row r="394" ht="18.75" customFormat="1" customHeight="1" s="98">
      <c r="A394" s="99" t="inlineStr">
        <is>
          <t>H003</t>
        </is>
      </c>
      <c r="B394" s="100" t="inlineStr">
        <is>
          <t>HANGER</t>
        </is>
      </c>
      <c r="C394" s="99" t="inlineStr">
        <is>
          <t>EEKWG24B5131170</t>
        </is>
      </c>
      <c r="D394" s="95" t="n">
        <v>1</v>
      </c>
      <c r="E394" s="46" t="inlineStr">
        <is>
          <t>여성존</t>
        </is>
      </c>
    </row>
    <row r="395" ht="18.75" customFormat="1" customHeight="1" s="98">
      <c r="A395" s="99" t="inlineStr">
        <is>
          <t>H003</t>
        </is>
      </c>
      <c r="B395" s="100" t="inlineStr">
        <is>
          <t>HANGER</t>
        </is>
      </c>
      <c r="C395" s="99" t="inlineStr">
        <is>
          <t>EEKWG24B5188170</t>
        </is>
      </c>
      <c r="D395" s="95" t="n">
        <v>1</v>
      </c>
      <c r="E395" s="46" t="inlineStr">
        <is>
          <t>여성존</t>
        </is>
      </c>
    </row>
    <row r="396" ht="18.75" customFormat="1" customHeight="1" s="98">
      <c r="A396" s="99" t="inlineStr">
        <is>
          <t>H003</t>
        </is>
      </c>
      <c r="B396" s="100" t="inlineStr">
        <is>
          <t>HANGER</t>
        </is>
      </c>
      <c r="C396" s="99" t="inlineStr">
        <is>
          <t>EEKWG24B5139160</t>
        </is>
      </c>
      <c r="D396" s="95" t="n">
        <v>1</v>
      </c>
      <c r="E396" s="46" t="inlineStr">
        <is>
          <t>여성존</t>
        </is>
      </c>
    </row>
    <row r="397" ht="18.75" customFormat="1" customHeight="1" s="98">
      <c r="A397" s="99" t="inlineStr">
        <is>
          <t>H003</t>
        </is>
      </c>
      <c r="B397" s="100" t="inlineStr">
        <is>
          <t>HANGER</t>
        </is>
      </c>
      <c r="C397" s="99" t="inlineStr">
        <is>
          <t>EEKWG24B5139165</t>
        </is>
      </c>
      <c r="D397" s="95" t="n">
        <v>1</v>
      </c>
      <c r="E397" s="46" t="inlineStr">
        <is>
          <t>여성존</t>
        </is>
      </c>
    </row>
    <row r="398" ht="18.75" customFormat="1" customHeight="1" s="98">
      <c r="A398" s="99" t="inlineStr">
        <is>
          <t>H003</t>
        </is>
      </c>
      <c r="B398" s="100" t="inlineStr">
        <is>
          <t>HANGER</t>
        </is>
      </c>
      <c r="C398" s="99" t="inlineStr">
        <is>
          <t>EEVKG24E0139165</t>
        </is>
      </c>
      <c r="D398" s="95" t="n">
        <v>1</v>
      </c>
      <c r="E398" s="46" t="inlineStr">
        <is>
          <t>여성존</t>
        </is>
      </c>
    </row>
    <row r="399" ht="18.75" customFormat="1" customHeight="1" s="98">
      <c r="A399" s="99" t="inlineStr">
        <is>
          <t>H003</t>
        </is>
      </c>
      <c r="B399" s="100" t="inlineStr">
        <is>
          <t>HANGER</t>
        </is>
      </c>
      <c r="C399" s="99" t="inlineStr">
        <is>
          <t>EEVKG24E0139160</t>
        </is>
      </c>
      <c r="D399" s="95" t="n">
        <v>1</v>
      </c>
      <c r="E399" s="46" t="inlineStr">
        <is>
          <t>여성존</t>
        </is>
      </c>
    </row>
    <row r="400" ht="18.75" customFormat="1" customHeight="1" s="98">
      <c r="A400" s="99" t="inlineStr">
        <is>
          <t>H003</t>
        </is>
      </c>
      <c r="B400" s="100" t="inlineStr">
        <is>
          <t>HANGER</t>
        </is>
      </c>
      <c r="C400" s="99" t="inlineStr">
        <is>
          <t>EEVKG24E0118165</t>
        </is>
      </c>
      <c r="D400" s="95" t="n">
        <v>1</v>
      </c>
      <c r="E400" s="46" t="inlineStr">
        <is>
          <t>여성존</t>
        </is>
      </c>
    </row>
    <row r="401" ht="18.75" customFormat="1" customHeight="1" s="98">
      <c r="A401" s="99" t="inlineStr">
        <is>
          <t>H003</t>
        </is>
      </c>
      <c r="B401" s="100" t="inlineStr">
        <is>
          <t>HANGER</t>
        </is>
      </c>
      <c r="C401" s="99" t="inlineStr">
        <is>
          <t>EEVKG24E0118160</t>
        </is>
      </c>
      <c r="D401" s="95" t="n">
        <v>1</v>
      </c>
      <c r="E401" s="46" t="inlineStr">
        <is>
          <t>여성존</t>
        </is>
      </c>
    </row>
    <row r="402" ht="18.75" customFormat="1" customHeight="1" s="98">
      <c r="A402" s="99" t="inlineStr">
        <is>
          <t>H003</t>
        </is>
      </c>
      <c r="B402" s="100" t="inlineStr">
        <is>
          <t>HANGER</t>
        </is>
      </c>
      <c r="C402" s="99" t="inlineStr">
        <is>
          <t>EEKWG24E0215160</t>
        </is>
      </c>
      <c r="D402" s="95" t="n">
        <v>1</v>
      </c>
      <c r="E402" s="46" t="inlineStr">
        <is>
          <t>여성존</t>
        </is>
      </c>
    </row>
    <row r="403" ht="18.75" customFormat="1" customHeight="1" s="98">
      <c r="A403" s="99" t="inlineStr">
        <is>
          <t>H003</t>
        </is>
      </c>
      <c r="B403" s="100" t="inlineStr">
        <is>
          <t>HANGER</t>
        </is>
      </c>
      <c r="C403" s="99" t="inlineStr">
        <is>
          <t>EEKWG24E0215165</t>
        </is>
      </c>
      <c r="D403" s="95" t="n">
        <v>1</v>
      </c>
      <c r="E403" s="46" t="inlineStr">
        <is>
          <t>여성존</t>
        </is>
      </c>
    </row>
    <row r="404" ht="18.75" customFormat="1" customHeight="1" s="98">
      <c r="A404" s="99" t="inlineStr">
        <is>
          <t>H003</t>
        </is>
      </c>
      <c r="B404" s="100" t="inlineStr">
        <is>
          <t>HANGER</t>
        </is>
      </c>
      <c r="C404" s="99" t="inlineStr">
        <is>
          <t>EEKWG24E0118170</t>
        </is>
      </c>
      <c r="D404" s="95" t="n">
        <v>1</v>
      </c>
      <c r="E404" s="46" t="inlineStr">
        <is>
          <t>여성존</t>
        </is>
      </c>
    </row>
    <row r="405" ht="18.75" customFormat="1" customHeight="1" s="98">
      <c r="A405" s="99" t="inlineStr">
        <is>
          <t>H003</t>
        </is>
      </c>
      <c r="B405" s="100" t="inlineStr">
        <is>
          <t>HANGER</t>
        </is>
      </c>
      <c r="C405" s="99" t="inlineStr">
        <is>
          <t>EEKWG24E0118160</t>
        </is>
      </c>
      <c r="D405" s="95" t="n">
        <v>1</v>
      </c>
      <c r="E405" s="46" t="inlineStr">
        <is>
          <t>여성존</t>
        </is>
      </c>
    </row>
    <row r="406" ht="18.75" customFormat="1" customHeight="1" s="98">
      <c r="A406" s="99" t="inlineStr">
        <is>
          <t>H003</t>
        </is>
      </c>
      <c r="B406" s="100" t="inlineStr">
        <is>
          <t>HANGER</t>
        </is>
      </c>
      <c r="C406" s="99" t="inlineStr">
        <is>
          <t>EEKWG24E0251160</t>
        </is>
      </c>
      <c r="D406" s="95" t="n">
        <v>1</v>
      </c>
      <c r="E406" s="46" t="inlineStr">
        <is>
          <t>여성존</t>
        </is>
      </c>
    </row>
    <row r="407" ht="18.75" customFormat="1" customHeight="1" s="98">
      <c r="A407" s="99" t="inlineStr">
        <is>
          <t>H003</t>
        </is>
      </c>
      <c r="B407" s="100" t="inlineStr">
        <is>
          <t>HANGER</t>
        </is>
      </c>
      <c r="C407" s="99" t="inlineStr">
        <is>
          <t>EEKWG24E0251170</t>
        </is>
      </c>
      <c r="D407" s="95" t="n">
        <v>1</v>
      </c>
      <c r="E407" s="46" t="inlineStr">
        <is>
          <t>여성존</t>
        </is>
      </c>
    </row>
    <row r="408" ht="18.75" customFormat="1" customHeight="1" s="98">
      <c r="A408" s="99" t="inlineStr">
        <is>
          <t>H003</t>
        </is>
      </c>
      <c r="B408" s="100" t="inlineStr">
        <is>
          <t>HANGER</t>
        </is>
      </c>
      <c r="C408" s="99" t="inlineStr">
        <is>
          <t>EEKWG24E0288165</t>
        </is>
      </c>
      <c r="D408" s="95" t="n">
        <v>1</v>
      </c>
      <c r="E408" s="46" t="inlineStr">
        <is>
          <t>여성존</t>
        </is>
      </c>
    </row>
    <row r="409" ht="18.75" customFormat="1" customHeight="1" s="98">
      <c r="A409" s="99" t="inlineStr">
        <is>
          <t>H003</t>
        </is>
      </c>
      <c r="B409" s="100" t="inlineStr">
        <is>
          <t>HANGER</t>
        </is>
      </c>
      <c r="C409" s="99" t="inlineStr">
        <is>
          <t>EEKWG24E0239160</t>
        </is>
      </c>
      <c r="D409" s="95" t="n">
        <v>1</v>
      </c>
      <c r="E409" s="46" t="inlineStr">
        <is>
          <t>여성존</t>
        </is>
      </c>
    </row>
    <row r="410" ht="18.75" customFormat="1" customHeight="1" s="98">
      <c r="A410" s="99" t="inlineStr">
        <is>
          <t>H003</t>
        </is>
      </c>
      <c r="B410" s="100" t="inlineStr">
        <is>
          <t>HANGER</t>
        </is>
      </c>
      <c r="C410" s="99" t="inlineStr">
        <is>
          <t>EEKWG24E0230165</t>
        </is>
      </c>
      <c r="D410" s="95" t="n">
        <v>1</v>
      </c>
      <c r="E410" s="46" t="inlineStr">
        <is>
          <t>여성존</t>
        </is>
      </c>
    </row>
    <row r="411" ht="18.75" customFormat="1" customHeight="1" s="98">
      <c r="A411" s="99" t="inlineStr">
        <is>
          <t>H003</t>
        </is>
      </c>
      <c r="B411" s="100" t="inlineStr">
        <is>
          <t>HANGER</t>
        </is>
      </c>
      <c r="C411" s="99" t="inlineStr">
        <is>
          <t>EEKWG24E0230160</t>
        </is>
      </c>
      <c r="D411" s="95" t="n">
        <v>1</v>
      </c>
      <c r="E411" s="46" t="inlineStr">
        <is>
          <t>여성존</t>
        </is>
      </c>
    </row>
    <row r="412" ht="18.75" customFormat="1" customHeight="1" s="98">
      <c r="A412" s="99" t="inlineStr">
        <is>
          <t>H004</t>
        </is>
      </c>
      <c r="B412" s="100" t="inlineStr">
        <is>
          <t>HANGER</t>
        </is>
      </c>
      <c r="C412" s="99" t="inlineStr">
        <is>
          <t>EEWHG23E0359160</t>
        </is>
      </c>
      <c r="D412" s="95" t="n">
        <v>1</v>
      </c>
      <c r="E412" s="46" t="inlineStr">
        <is>
          <t>여성존</t>
        </is>
      </c>
    </row>
    <row r="413" ht="18.75" customFormat="1" customHeight="1" s="98">
      <c r="A413" s="99" t="inlineStr">
        <is>
          <t>H004</t>
        </is>
      </c>
      <c r="B413" s="100" t="inlineStr">
        <is>
          <t>HANGER</t>
        </is>
      </c>
      <c r="C413" s="99" t="inlineStr">
        <is>
          <t>EEWHG23E0335160</t>
        </is>
      </c>
      <c r="D413" s="95" t="n">
        <v>1</v>
      </c>
      <c r="E413" s="46" t="inlineStr">
        <is>
          <t>여성존</t>
        </is>
      </c>
    </row>
    <row r="414" ht="18.75" customFormat="1" customHeight="1" s="98">
      <c r="A414" s="99" t="inlineStr">
        <is>
          <t>H004</t>
        </is>
      </c>
      <c r="B414" s="100" t="inlineStr">
        <is>
          <t>HANGER</t>
        </is>
      </c>
      <c r="C414" s="99" t="inlineStr">
        <is>
          <t>EEWJG24E0139155</t>
        </is>
      </c>
      <c r="D414" s="95" t="n">
        <v>1</v>
      </c>
      <c r="E414" s="46" t="inlineStr">
        <is>
          <t>여성존</t>
        </is>
      </c>
    </row>
    <row r="415" ht="18.75" customFormat="1" customHeight="1" s="98">
      <c r="A415" s="99" t="inlineStr">
        <is>
          <t>H004</t>
        </is>
      </c>
      <c r="B415" s="100" t="inlineStr">
        <is>
          <t>HANGER</t>
        </is>
      </c>
      <c r="C415" s="99" t="inlineStr">
        <is>
          <t>EEWJG24E0139170</t>
        </is>
      </c>
      <c r="D415" s="95" t="n">
        <v>1</v>
      </c>
      <c r="E415" s="46" t="inlineStr">
        <is>
          <t>여성존</t>
        </is>
      </c>
    </row>
    <row r="416" ht="18.75" customFormat="1" customHeight="1" s="98">
      <c r="A416" s="99" t="inlineStr">
        <is>
          <t>H004</t>
        </is>
      </c>
      <c r="B416" s="100" t="inlineStr">
        <is>
          <t>HANGER</t>
        </is>
      </c>
      <c r="C416" s="99" t="inlineStr">
        <is>
          <t>EEWJG23B0156160</t>
        </is>
      </c>
      <c r="D416" s="95" t="n">
        <v>1</v>
      </c>
      <c r="E416" s="46" t="inlineStr">
        <is>
          <t>여성존</t>
        </is>
      </c>
    </row>
    <row r="417" ht="18.75" customFormat="1" customHeight="1" s="98">
      <c r="A417" s="99" t="inlineStr">
        <is>
          <t>H004</t>
        </is>
      </c>
      <c r="B417" s="100" t="inlineStr">
        <is>
          <t>HANGER</t>
        </is>
      </c>
      <c r="C417" s="99" t="inlineStr">
        <is>
          <t>EETHG25E0135160</t>
        </is>
      </c>
      <c r="D417" s="95" t="n">
        <v>1</v>
      </c>
      <c r="E417" s="46" t="inlineStr">
        <is>
          <t>여성존</t>
        </is>
      </c>
    </row>
    <row r="418" ht="18.75" customFormat="1" customHeight="1" s="98">
      <c r="A418" s="99" t="inlineStr">
        <is>
          <t>H004</t>
        </is>
      </c>
      <c r="B418" s="100" t="inlineStr">
        <is>
          <t>HANGER</t>
        </is>
      </c>
      <c r="C418" s="99" t="inlineStr">
        <is>
          <t>EETHG25E0135155</t>
        </is>
      </c>
      <c r="D418" s="95" t="n">
        <v>1</v>
      </c>
      <c r="E418" s="46" t="inlineStr">
        <is>
          <t>여성존</t>
        </is>
      </c>
    </row>
    <row r="419" ht="18.75" customFormat="1" customHeight="1" s="98">
      <c r="A419" s="99" t="inlineStr">
        <is>
          <t>H004</t>
        </is>
      </c>
      <c r="B419" s="100" t="inlineStr">
        <is>
          <t>HANGER</t>
        </is>
      </c>
      <c r="C419" s="99" t="inlineStr">
        <is>
          <t>EETHG24E0259160</t>
        </is>
      </c>
      <c r="D419" s="95" t="n">
        <v>1</v>
      </c>
      <c r="E419" s="46" t="inlineStr">
        <is>
          <t>여성존</t>
        </is>
      </c>
    </row>
    <row r="420" ht="18.75" customFormat="1" customHeight="1" s="98">
      <c r="A420" s="99" t="inlineStr">
        <is>
          <t>H004</t>
        </is>
      </c>
      <c r="B420" s="100" t="inlineStr">
        <is>
          <t>HANGER</t>
        </is>
      </c>
      <c r="C420" s="99" t="inlineStr">
        <is>
          <t>EETHG24E0259170</t>
        </is>
      </c>
      <c r="D420" s="95" t="n">
        <v>1</v>
      </c>
      <c r="E420" s="46" t="inlineStr">
        <is>
          <t>여성존</t>
        </is>
      </c>
    </row>
    <row r="421" ht="18.75" customFormat="1" customHeight="1" s="98">
      <c r="A421" s="99" t="inlineStr">
        <is>
          <t>H004</t>
        </is>
      </c>
      <c r="B421" s="100" t="inlineStr">
        <is>
          <t>HANGER</t>
        </is>
      </c>
      <c r="C421" s="99" t="inlineStr">
        <is>
          <t>EETJG24E0557026</t>
        </is>
      </c>
      <c r="D421" s="95" t="n">
        <v>1</v>
      </c>
      <c r="E421" s="46" t="inlineStr">
        <is>
          <t>여성존</t>
        </is>
      </c>
    </row>
    <row r="422" ht="18.75" customFormat="1" customHeight="1" s="98">
      <c r="A422" s="99" t="inlineStr">
        <is>
          <t>H004</t>
        </is>
      </c>
      <c r="B422" s="100" t="inlineStr">
        <is>
          <t>HANGER</t>
        </is>
      </c>
      <c r="C422" s="99" t="inlineStr">
        <is>
          <t>EETJG24E0556027</t>
        </is>
      </c>
      <c r="D422" s="95" t="n">
        <v>1</v>
      </c>
      <c r="E422" s="46" t="inlineStr">
        <is>
          <t>여성존</t>
        </is>
      </c>
    </row>
    <row r="423" ht="18.75" customFormat="1" customHeight="1" s="98">
      <c r="A423" s="99" t="inlineStr">
        <is>
          <t>H004</t>
        </is>
      </c>
      <c r="B423" s="100" t="inlineStr">
        <is>
          <t>HANGER</t>
        </is>
      </c>
      <c r="C423" s="99" t="inlineStr">
        <is>
          <t>EETJG24E0639026</t>
        </is>
      </c>
      <c r="D423" s="95" t="n">
        <v>1</v>
      </c>
      <c r="E423" s="46" t="inlineStr">
        <is>
          <t>여성존</t>
        </is>
      </c>
    </row>
    <row r="424" ht="18.75" customFormat="1" customHeight="1" s="98">
      <c r="A424" s="99" t="inlineStr">
        <is>
          <t>H004</t>
        </is>
      </c>
      <c r="B424" s="100" t="inlineStr">
        <is>
          <t>HANGER</t>
        </is>
      </c>
      <c r="C424" s="99" t="inlineStr">
        <is>
          <t>EETJG24E0639027</t>
        </is>
      </c>
      <c r="D424" s="95" t="n">
        <v>1</v>
      </c>
      <c r="E424" s="46" t="inlineStr">
        <is>
          <t>여성존</t>
        </is>
      </c>
    </row>
    <row r="425" ht="18.75" customFormat="1" customHeight="1" s="98">
      <c r="A425" s="99" t="inlineStr">
        <is>
          <t>H004</t>
        </is>
      </c>
      <c r="B425" s="100" t="inlineStr">
        <is>
          <t>HANGER</t>
        </is>
      </c>
      <c r="C425" s="99" t="inlineStr">
        <is>
          <t>EETJG24E0536028</t>
        </is>
      </c>
      <c r="D425" s="95" t="n">
        <v>1</v>
      </c>
      <c r="E425" s="46" t="inlineStr">
        <is>
          <t>여성존</t>
        </is>
      </c>
    </row>
    <row r="426" ht="18.75" customFormat="1" customHeight="1" s="98">
      <c r="A426" s="99" t="inlineStr">
        <is>
          <t>H004</t>
        </is>
      </c>
      <c r="B426" s="100" t="inlineStr">
        <is>
          <t>HANGER</t>
        </is>
      </c>
      <c r="C426" s="99" t="inlineStr">
        <is>
          <t>EEWHG25E5259160</t>
        </is>
      </c>
      <c r="D426" s="95" t="n">
        <v>1</v>
      </c>
      <c r="E426" s="46" t="inlineStr">
        <is>
          <t>여성존</t>
        </is>
      </c>
    </row>
    <row r="427" ht="18.75" customFormat="1" customHeight="1" s="98">
      <c r="A427" s="99" t="inlineStr">
        <is>
          <t>H004</t>
        </is>
      </c>
      <c r="B427" s="100" t="inlineStr">
        <is>
          <t>HANGER</t>
        </is>
      </c>
      <c r="C427" s="99" t="inlineStr">
        <is>
          <t>EEWHG25E5259165</t>
        </is>
      </c>
      <c r="D427" s="95" t="n">
        <v>1</v>
      </c>
      <c r="E427" s="46" t="inlineStr">
        <is>
          <t>여성존</t>
        </is>
      </c>
    </row>
    <row r="428" ht="18.75" customFormat="1" customHeight="1" s="98">
      <c r="A428" s="99" t="inlineStr">
        <is>
          <t>H004</t>
        </is>
      </c>
      <c r="B428" s="100" t="inlineStr">
        <is>
          <t>HANGER</t>
        </is>
      </c>
      <c r="C428" s="99" t="inlineStr">
        <is>
          <t>EEVKG25E0118160</t>
        </is>
      </c>
      <c r="D428" s="95" t="n">
        <v>1</v>
      </c>
      <c r="E428" s="46" t="inlineStr">
        <is>
          <t>여성존</t>
        </is>
      </c>
    </row>
    <row r="429" ht="18.75" customFormat="1" customHeight="1" s="98">
      <c r="A429" s="99" t="inlineStr">
        <is>
          <t>H004</t>
        </is>
      </c>
      <c r="B429" s="100" t="inlineStr">
        <is>
          <t>HANGER</t>
        </is>
      </c>
      <c r="C429" s="99" t="inlineStr">
        <is>
          <t>EEVKG25E0118170</t>
        </is>
      </c>
      <c r="D429" s="95" t="n">
        <v>1</v>
      </c>
      <c r="E429" s="46" t="inlineStr">
        <is>
          <t>여성존</t>
        </is>
      </c>
    </row>
    <row r="430" ht="18.75" customFormat="1" customHeight="1" s="98">
      <c r="A430" s="99" t="inlineStr">
        <is>
          <t>H004</t>
        </is>
      </c>
      <c r="B430" s="100" t="inlineStr">
        <is>
          <t>HANGER</t>
        </is>
      </c>
      <c r="C430" s="99" t="inlineStr">
        <is>
          <t>EEKWG24B5216160</t>
        </is>
      </c>
      <c r="D430" s="95" t="n">
        <v>1</v>
      </c>
      <c r="E430" s="46" t="inlineStr">
        <is>
          <t>여성존</t>
        </is>
      </c>
    </row>
    <row r="431" ht="18.75" customFormat="1" customHeight="1" s="98">
      <c r="A431" s="99" t="inlineStr">
        <is>
          <t>H004</t>
        </is>
      </c>
      <c r="B431" s="100" t="inlineStr">
        <is>
          <t>HANGER</t>
        </is>
      </c>
      <c r="C431" s="99" t="inlineStr">
        <is>
          <t>EEKWG25E0215160</t>
        </is>
      </c>
      <c r="D431" s="95" t="n">
        <v>1</v>
      </c>
      <c r="E431" s="46" t="inlineStr">
        <is>
          <t>여성존</t>
        </is>
      </c>
    </row>
    <row r="432" ht="18.75" customFormat="1" customHeight="1" s="98">
      <c r="A432" s="99" t="inlineStr">
        <is>
          <t>H004</t>
        </is>
      </c>
      <c r="B432" s="100" t="inlineStr">
        <is>
          <t>HANGER</t>
        </is>
      </c>
      <c r="C432" s="99" t="inlineStr">
        <is>
          <t>EEKWG25E0215165</t>
        </is>
      </c>
      <c r="D432" s="95" t="n">
        <v>1</v>
      </c>
      <c r="E432" s="46" t="inlineStr">
        <is>
          <t>여성존</t>
        </is>
      </c>
    </row>
    <row r="433" ht="18.75" customFormat="1" customHeight="1" s="98">
      <c r="A433" s="99" t="inlineStr">
        <is>
          <t>H004</t>
        </is>
      </c>
      <c r="B433" s="100" t="inlineStr">
        <is>
          <t>HANGER</t>
        </is>
      </c>
      <c r="C433" s="99" t="inlineStr">
        <is>
          <t>EECKG23E0227160</t>
        </is>
      </c>
      <c r="D433" s="95" t="n">
        <v>1</v>
      </c>
      <c r="E433" s="46" t="inlineStr">
        <is>
          <t>여성존</t>
        </is>
      </c>
    </row>
    <row r="434" ht="18.75" customFormat="1" customHeight="1" s="98">
      <c r="A434" s="99" t="inlineStr">
        <is>
          <t>H004</t>
        </is>
      </c>
      <c r="B434" s="100" t="inlineStr">
        <is>
          <t>HANGER</t>
        </is>
      </c>
      <c r="C434" s="99" t="inlineStr">
        <is>
          <t>EECKG23E0227165</t>
        </is>
      </c>
      <c r="D434" s="95" t="n">
        <v>1</v>
      </c>
      <c r="E434" s="46" t="inlineStr">
        <is>
          <t>여성존</t>
        </is>
      </c>
    </row>
    <row r="435" ht="18.75" customFormat="1" customHeight="1" s="98">
      <c r="A435" s="99" t="inlineStr">
        <is>
          <t>H004</t>
        </is>
      </c>
      <c r="B435" s="100" t="inlineStr">
        <is>
          <t>HANGER</t>
        </is>
      </c>
      <c r="C435" s="99" t="inlineStr">
        <is>
          <t>EECKG23E0231165</t>
        </is>
      </c>
      <c r="D435" s="95" t="n">
        <v>1</v>
      </c>
      <c r="E435" s="46" t="inlineStr">
        <is>
          <t>여성존</t>
        </is>
      </c>
    </row>
    <row r="436" ht="18.75" customFormat="1" customHeight="1" s="98">
      <c r="A436" s="99" t="inlineStr">
        <is>
          <t>H004</t>
        </is>
      </c>
      <c r="B436" s="100" t="inlineStr">
        <is>
          <t>HANGER</t>
        </is>
      </c>
      <c r="C436" s="99" t="inlineStr">
        <is>
          <t>EECKG23E0231175</t>
        </is>
      </c>
      <c r="D436" s="95" t="n">
        <v>1</v>
      </c>
      <c r="E436" s="46" t="inlineStr">
        <is>
          <t>여성존</t>
        </is>
      </c>
    </row>
    <row r="437" ht="18.75" customFormat="1" customHeight="1" s="98">
      <c r="A437" s="99" t="inlineStr">
        <is>
          <t>H004</t>
        </is>
      </c>
      <c r="B437" s="100" t="inlineStr">
        <is>
          <t>HANGER</t>
        </is>
      </c>
      <c r="C437" s="99" t="inlineStr">
        <is>
          <t>EEKWG24B5239160</t>
        </is>
      </c>
      <c r="D437" s="95" t="n">
        <v>1</v>
      </c>
      <c r="E437" s="46" t="inlineStr">
        <is>
          <t>여성존</t>
        </is>
      </c>
    </row>
    <row r="438" ht="18.75" customFormat="1" customHeight="1" s="98">
      <c r="A438" s="99" t="inlineStr">
        <is>
          <t>H004</t>
        </is>
      </c>
      <c r="B438" s="100" t="inlineStr">
        <is>
          <t>HANGER</t>
        </is>
      </c>
      <c r="C438" s="99" t="inlineStr">
        <is>
          <t>EEKWG24B5239160</t>
        </is>
      </c>
      <c r="D438" s="95" t="n">
        <v>1</v>
      </c>
      <c r="E438" s="46" t="inlineStr">
        <is>
          <t>여성존</t>
        </is>
      </c>
    </row>
    <row r="439" ht="18.75" customFormat="1" customHeight="1" s="98">
      <c r="A439" s="99" t="inlineStr">
        <is>
          <t>H004</t>
        </is>
      </c>
      <c r="B439" s="100" t="inlineStr">
        <is>
          <t>HANGER</t>
        </is>
      </c>
      <c r="C439" s="99" t="inlineStr">
        <is>
          <t>EECKG23E0239175</t>
        </is>
      </c>
      <c r="D439" s="95" t="n">
        <v>1</v>
      </c>
      <c r="E439" s="46" t="inlineStr">
        <is>
          <t>여성존</t>
        </is>
      </c>
    </row>
    <row r="440" ht="18.75" customFormat="1" customHeight="1" s="98">
      <c r="A440" s="99" t="inlineStr">
        <is>
          <t>H004</t>
        </is>
      </c>
      <c r="B440" s="100" t="inlineStr">
        <is>
          <t>HANGER</t>
        </is>
      </c>
      <c r="C440" s="99" t="inlineStr">
        <is>
          <t>EECKG23E0239170</t>
        </is>
      </c>
      <c r="D440" s="95" t="n">
        <v>1</v>
      </c>
      <c r="E440" s="46" t="inlineStr">
        <is>
          <t>여성존</t>
        </is>
      </c>
    </row>
    <row r="441" ht="18.75" customFormat="1" customHeight="1" s="98">
      <c r="A441" s="99" t="inlineStr">
        <is>
          <t>H004</t>
        </is>
      </c>
      <c r="B441" s="100" t="inlineStr">
        <is>
          <t>HANGER</t>
        </is>
      </c>
      <c r="C441" s="99" t="inlineStr">
        <is>
          <t>EECKG23E0250175</t>
        </is>
      </c>
      <c r="D441" s="95" t="n">
        <v>1</v>
      </c>
      <c r="E441" s="46" t="inlineStr">
        <is>
          <t>여성존</t>
        </is>
      </c>
    </row>
    <row r="442" ht="18.75" customFormat="1" customHeight="1" s="98">
      <c r="A442" s="99" t="inlineStr">
        <is>
          <t>H004</t>
        </is>
      </c>
      <c r="B442" s="100" t="inlineStr">
        <is>
          <t>HANGER</t>
        </is>
      </c>
      <c r="C442" s="99" t="inlineStr">
        <is>
          <t>EECKG23E0250160</t>
        </is>
      </c>
      <c r="D442" s="95" t="n">
        <v>1</v>
      </c>
      <c r="E442" s="46" t="inlineStr">
        <is>
          <t>여성존</t>
        </is>
      </c>
    </row>
    <row r="443" ht="18.75" customFormat="1" customHeight="1" s="98">
      <c r="A443" s="99" t="inlineStr">
        <is>
          <t>H005</t>
        </is>
      </c>
      <c r="B443" s="100" t="inlineStr">
        <is>
          <t>HANGER</t>
        </is>
      </c>
      <c r="C443" s="99" t="inlineStr">
        <is>
          <t>EEYSG63S0250165</t>
        </is>
      </c>
      <c r="D443" s="95" t="n">
        <v>1</v>
      </c>
      <c r="E443" s="46" t="inlineStr">
        <is>
          <t>남성존</t>
        </is>
      </c>
    </row>
    <row r="444" ht="18.75" customFormat="1" customHeight="1" s="98">
      <c r="A444" s="99" t="inlineStr">
        <is>
          <t>H005</t>
        </is>
      </c>
      <c r="B444" s="100" t="inlineStr">
        <is>
          <t>HANGER</t>
        </is>
      </c>
      <c r="C444" s="99" t="inlineStr">
        <is>
          <t>EEYSG63S0250160</t>
        </is>
      </c>
      <c r="D444" s="95" t="n">
        <v>1</v>
      </c>
      <c r="E444" s="46" t="inlineStr">
        <is>
          <t>남성존</t>
        </is>
      </c>
    </row>
    <row r="445" ht="18.75" customFormat="1" customHeight="1" s="98">
      <c r="A445" s="99" t="inlineStr">
        <is>
          <t>H005</t>
        </is>
      </c>
      <c r="B445" s="100" t="inlineStr">
        <is>
          <t>HANGER</t>
        </is>
      </c>
      <c r="C445" s="99" t="inlineStr">
        <is>
          <t>EEYCG63S0151160</t>
        </is>
      </c>
      <c r="D445" s="95" t="n">
        <v>1</v>
      </c>
      <c r="E445" s="46" t="inlineStr">
        <is>
          <t>남성존</t>
        </is>
      </c>
    </row>
    <row r="446" ht="18.75" customFormat="1" customHeight="1" s="98">
      <c r="A446" s="99" t="inlineStr">
        <is>
          <t>H005</t>
        </is>
      </c>
      <c r="B446" s="100" t="inlineStr">
        <is>
          <t>HANGER</t>
        </is>
      </c>
      <c r="C446" s="99" t="inlineStr">
        <is>
          <t>EEYSG23E0151170</t>
        </is>
      </c>
      <c r="D446" s="95" t="n">
        <v>1</v>
      </c>
      <c r="E446" s="46" t="inlineStr">
        <is>
          <t>남성존</t>
        </is>
      </c>
    </row>
    <row r="447" ht="18.75" customFormat="1" customHeight="1" s="98">
      <c r="A447" s="99" t="inlineStr">
        <is>
          <t>H005</t>
        </is>
      </c>
      <c r="B447" s="100" t="inlineStr">
        <is>
          <t>HANGER</t>
        </is>
      </c>
      <c r="C447" s="99" t="inlineStr">
        <is>
          <t>EEYSG63S0126160</t>
        </is>
      </c>
      <c r="D447" s="95" t="n">
        <v>1</v>
      </c>
      <c r="E447" s="46" t="inlineStr">
        <is>
          <t>남성존</t>
        </is>
      </c>
    </row>
    <row r="448" ht="18.75" customFormat="1" customHeight="1" s="98">
      <c r="A448" s="99" t="inlineStr">
        <is>
          <t>H005</t>
        </is>
      </c>
      <c r="B448" s="100" t="inlineStr">
        <is>
          <t>HANGER</t>
        </is>
      </c>
      <c r="C448" s="99" t="inlineStr">
        <is>
          <t>EEYSG23E0188165</t>
        </is>
      </c>
      <c r="D448" s="95" t="n">
        <v>1</v>
      </c>
      <c r="E448" s="46" t="inlineStr">
        <is>
          <t>남성존</t>
        </is>
      </c>
    </row>
    <row r="449" ht="18.75" customFormat="1" customHeight="1" s="98">
      <c r="A449" s="99" t="inlineStr">
        <is>
          <t>H005</t>
        </is>
      </c>
      <c r="B449" s="100" t="inlineStr">
        <is>
          <t>HANGER</t>
        </is>
      </c>
      <c r="C449" s="99" t="inlineStr">
        <is>
          <t>EEYSG23E0188160</t>
        </is>
      </c>
      <c r="D449" s="95" t="n">
        <v>1</v>
      </c>
      <c r="E449" s="46" t="inlineStr">
        <is>
          <t>남성존</t>
        </is>
      </c>
    </row>
    <row r="450" ht="18.75" customFormat="1" customHeight="1" s="98">
      <c r="A450" s="99" t="inlineStr">
        <is>
          <t>H005</t>
        </is>
      </c>
      <c r="B450" s="100" t="inlineStr">
        <is>
          <t>HANGER</t>
        </is>
      </c>
      <c r="C450" s="99" t="inlineStr">
        <is>
          <t>EEYSG23E0126165</t>
        </is>
      </c>
      <c r="D450" s="95" t="n">
        <v>1</v>
      </c>
      <c r="E450" s="46" t="inlineStr">
        <is>
          <t>남성존</t>
        </is>
      </c>
    </row>
    <row r="451" ht="18.75" customFormat="1" customHeight="1" s="98">
      <c r="A451" s="99" t="inlineStr">
        <is>
          <t>H005</t>
        </is>
      </c>
      <c r="B451" s="100" t="inlineStr">
        <is>
          <t>HANGER</t>
        </is>
      </c>
      <c r="C451" s="99" t="inlineStr">
        <is>
          <t>EEYSG23E0126160</t>
        </is>
      </c>
      <c r="D451" s="95" t="n">
        <v>1</v>
      </c>
      <c r="E451" s="46" t="inlineStr">
        <is>
          <t>남성존</t>
        </is>
      </c>
    </row>
    <row r="452" ht="18.75" customFormat="1" customHeight="1" s="98">
      <c r="A452" s="99" t="inlineStr">
        <is>
          <t>H005</t>
        </is>
      </c>
      <c r="B452" s="100" t="inlineStr">
        <is>
          <t>HANGER</t>
        </is>
      </c>
      <c r="C452" s="99" t="inlineStr">
        <is>
          <t>EEYSG63S0288160</t>
        </is>
      </c>
      <c r="D452" s="95" t="n">
        <v>1</v>
      </c>
      <c r="E452" s="46" t="inlineStr">
        <is>
          <t>남성존</t>
        </is>
      </c>
    </row>
    <row r="453" ht="18.75" customFormat="1" customHeight="1" s="98">
      <c r="A453" s="99" t="inlineStr">
        <is>
          <t>H005</t>
        </is>
      </c>
      <c r="B453" s="100" t="inlineStr">
        <is>
          <t>HANGER</t>
        </is>
      </c>
      <c r="C453" s="99" t="inlineStr">
        <is>
          <t>EEYSG63S0288165</t>
        </is>
      </c>
      <c r="D453" s="95" t="n">
        <v>1</v>
      </c>
      <c r="E453" s="46" t="inlineStr">
        <is>
          <t>남성존</t>
        </is>
      </c>
    </row>
    <row r="454" ht="18.75" customFormat="1" customHeight="1" s="98">
      <c r="A454" s="99" t="inlineStr">
        <is>
          <t>H005</t>
        </is>
      </c>
      <c r="B454" s="100" t="inlineStr">
        <is>
          <t>HANGER</t>
        </is>
      </c>
      <c r="C454" s="99" t="inlineStr">
        <is>
          <t>EEYSG63S0226160</t>
        </is>
      </c>
      <c r="D454" s="95" t="n">
        <v>1</v>
      </c>
      <c r="E454" s="46" t="inlineStr">
        <is>
          <t>남성존</t>
        </is>
      </c>
    </row>
    <row r="455" ht="18.75" customFormat="1" customHeight="1" s="98">
      <c r="A455" s="99" t="inlineStr">
        <is>
          <t>H005</t>
        </is>
      </c>
      <c r="B455" s="100" t="inlineStr">
        <is>
          <t>HANGER</t>
        </is>
      </c>
      <c r="C455" s="99" t="inlineStr">
        <is>
          <t>EEYSG63S0226165</t>
        </is>
      </c>
      <c r="D455" s="95" t="n">
        <v>1</v>
      </c>
      <c r="E455" s="46" t="inlineStr">
        <is>
          <t>남성존</t>
        </is>
      </c>
    </row>
    <row r="456" ht="18.75" customFormat="1" customHeight="1" s="98">
      <c r="A456" s="99" t="inlineStr">
        <is>
          <t>H005</t>
        </is>
      </c>
      <c r="B456" s="100" t="inlineStr">
        <is>
          <t>HANGER</t>
        </is>
      </c>
      <c r="C456" s="99" t="inlineStr">
        <is>
          <t>EEYCG63S0126160</t>
        </is>
      </c>
      <c r="D456" s="95" t="n">
        <v>1</v>
      </c>
      <c r="E456" s="46" t="inlineStr">
        <is>
          <t>남성존</t>
        </is>
      </c>
    </row>
    <row r="457" ht="18.75" customFormat="1" customHeight="1" s="98">
      <c r="A457" s="99" t="inlineStr">
        <is>
          <t>H005</t>
        </is>
      </c>
      <c r="B457" s="100" t="inlineStr">
        <is>
          <t>HANGER</t>
        </is>
      </c>
      <c r="C457" s="99" t="inlineStr">
        <is>
          <t>EEYCG63S0126165</t>
        </is>
      </c>
      <c r="D457" s="95" t="n">
        <v>1</v>
      </c>
      <c r="E457" s="46" t="inlineStr">
        <is>
          <t>남성존</t>
        </is>
      </c>
    </row>
    <row r="458" ht="18.75" customFormat="1" customHeight="1" s="98">
      <c r="A458" s="99" t="inlineStr">
        <is>
          <t>H005</t>
        </is>
      </c>
      <c r="B458" s="100" t="inlineStr">
        <is>
          <t>HANGER</t>
        </is>
      </c>
      <c r="C458" s="99" t="inlineStr">
        <is>
          <t>EEJAG24B0349165</t>
        </is>
      </c>
      <c r="D458" s="95" t="n">
        <v>1</v>
      </c>
      <c r="E458" s="46" t="inlineStr">
        <is>
          <t>남성존</t>
        </is>
      </c>
    </row>
    <row r="459" ht="18.75" customFormat="1" customHeight="1" s="98">
      <c r="A459" s="99" t="inlineStr">
        <is>
          <t>H005</t>
        </is>
      </c>
      <c r="B459" s="100" t="inlineStr">
        <is>
          <t>HANGER</t>
        </is>
      </c>
      <c r="C459" s="99" t="inlineStr">
        <is>
          <t>EEJAG24B0349160</t>
        </is>
      </c>
      <c r="D459" s="95" t="n">
        <v>1</v>
      </c>
      <c r="E459" s="46" t="inlineStr">
        <is>
          <t>남성존</t>
        </is>
      </c>
    </row>
    <row r="460" ht="18.75" customFormat="1" customHeight="1" s="98">
      <c r="A460" s="99" t="inlineStr">
        <is>
          <t>H005</t>
        </is>
      </c>
      <c r="B460" s="100" t="inlineStr">
        <is>
          <t>HANGER</t>
        </is>
      </c>
      <c r="C460" s="99" t="inlineStr">
        <is>
          <t>EEJAG24B0339165</t>
        </is>
      </c>
      <c r="D460" s="95" t="n">
        <v>1</v>
      </c>
      <c r="E460" s="46" t="inlineStr">
        <is>
          <t>남성존</t>
        </is>
      </c>
    </row>
    <row r="461" ht="18.75" customFormat="1" customHeight="1" s="98">
      <c r="A461" s="99" t="inlineStr">
        <is>
          <t>H005</t>
        </is>
      </c>
      <c r="B461" s="100" t="inlineStr">
        <is>
          <t>HANGER</t>
        </is>
      </c>
      <c r="C461" s="99" t="inlineStr">
        <is>
          <t>EEJAG24B0339160</t>
        </is>
      </c>
      <c r="D461" s="95" t="n">
        <v>1</v>
      </c>
      <c r="E461" s="46" t="inlineStr">
        <is>
          <t>남성존</t>
        </is>
      </c>
    </row>
    <row r="462" ht="18.75" customFormat="1" customHeight="1" s="98">
      <c r="A462" s="99" t="inlineStr">
        <is>
          <t>H005</t>
        </is>
      </c>
      <c r="B462" s="100" t="inlineStr">
        <is>
          <t>HANGER</t>
        </is>
      </c>
      <c r="C462" s="99" t="inlineStr">
        <is>
          <t>EEJAG24B0136160</t>
        </is>
      </c>
      <c r="D462" s="95" t="n">
        <v>1</v>
      </c>
      <c r="E462" s="46" t="inlineStr">
        <is>
          <t>남성존</t>
        </is>
      </c>
    </row>
    <row r="463" ht="18.75" customFormat="1" customHeight="1" s="98">
      <c r="A463" s="99" t="inlineStr">
        <is>
          <t>H005</t>
        </is>
      </c>
      <c r="B463" s="100" t="inlineStr">
        <is>
          <t>HANGER</t>
        </is>
      </c>
      <c r="C463" s="99" t="inlineStr">
        <is>
          <t>EEJAG24B0136165</t>
        </is>
      </c>
      <c r="D463" s="95" t="n">
        <v>1</v>
      </c>
      <c r="E463" s="46" t="inlineStr">
        <is>
          <t>남성존</t>
        </is>
      </c>
    </row>
    <row r="464" ht="18.75" customFormat="1" customHeight="1" s="98">
      <c r="A464" s="99" t="inlineStr">
        <is>
          <t>H005</t>
        </is>
      </c>
      <c r="B464" s="100" t="inlineStr">
        <is>
          <t>HANGER</t>
        </is>
      </c>
      <c r="C464" s="99" t="inlineStr">
        <is>
          <t>EETKG25D0139160</t>
        </is>
      </c>
      <c r="D464" s="95" t="n">
        <v>1</v>
      </c>
      <c r="E464" s="46" t="inlineStr">
        <is>
          <t>남성존</t>
        </is>
      </c>
    </row>
    <row r="465" ht="18.75" customFormat="1" customHeight="1" s="98">
      <c r="A465" s="99" t="inlineStr">
        <is>
          <t>H005</t>
        </is>
      </c>
      <c r="B465" s="100" t="inlineStr">
        <is>
          <t>HANGER</t>
        </is>
      </c>
      <c r="C465" s="99" t="inlineStr">
        <is>
          <t>EETKG25D0139160</t>
        </is>
      </c>
      <c r="D465" s="95" t="n">
        <v>1</v>
      </c>
      <c r="E465" s="46" t="inlineStr">
        <is>
          <t>남성존</t>
        </is>
      </c>
    </row>
    <row r="466" ht="18.75" customFormat="1" customHeight="1" s="98">
      <c r="A466" s="99" t="inlineStr">
        <is>
          <t>H005</t>
        </is>
      </c>
      <c r="B466" s="100" t="inlineStr">
        <is>
          <t>HANGER</t>
        </is>
      </c>
      <c r="C466" s="99" t="inlineStr">
        <is>
          <t>EEOWG25B1032165</t>
        </is>
      </c>
      <c r="D466" s="95" t="n">
        <v>1</v>
      </c>
      <c r="E466" s="46" t="inlineStr">
        <is>
          <t>남성존</t>
        </is>
      </c>
    </row>
    <row r="467" ht="18.75" customFormat="1" customHeight="1" s="98">
      <c r="A467" s="99" t="inlineStr">
        <is>
          <t>H005</t>
        </is>
      </c>
      <c r="B467" s="100" t="inlineStr">
        <is>
          <t>HANGER</t>
        </is>
      </c>
      <c r="C467" s="99" t="inlineStr">
        <is>
          <t>EEOWG25B1032160</t>
        </is>
      </c>
      <c r="D467" s="95" t="n">
        <v>1</v>
      </c>
      <c r="E467" s="46" t="inlineStr">
        <is>
          <t>남성존</t>
        </is>
      </c>
    </row>
    <row r="468" ht="18.75" customFormat="1" customHeight="1" s="98">
      <c r="A468" s="99" t="inlineStr">
        <is>
          <t>H005</t>
        </is>
      </c>
      <c r="B468" s="100" t="inlineStr">
        <is>
          <t>HANGER</t>
        </is>
      </c>
      <c r="C468" s="99" t="inlineStr">
        <is>
          <t>EEYCG24E0188165</t>
        </is>
      </c>
      <c r="D468" s="95" t="n">
        <v>1</v>
      </c>
      <c r="E468" s="46" t="inlineStr">
        <is>
          <t>남성존</t>
        </is>
      </c>
    </row>
    <row r="469" ht="18.75" customFormat="1" customHeight="1" s="98">
      <c r="A469" s="99" t="inlineStr">
        <is>
          <t>H005</t>
        </is>
      </c>
      <c r="B469" s="100" t="inlineStr">
        <is>
          <t>HANGER</t>
        </is>
      </c>
      <c r="C469" s="99" t="inlineStr">
        <is>
          <t>EEKWG24B0888165</t>
        </is>
      </c>
      <c r="D469" s="95" t="n">
        <v>1</v>
      </c>
      <c r="E469" s="46" t="inlineStr">
        <is>
          <t>남성존</t>
        </is>
      </c>
    </row>
    <row r="470" ht="18.75" customFormat="1" customHeight="1" s="98">
      <c r="A470" s="99" t="inlineStr">
        <is>
          <t>H005</t>
        </is>
      </c>
      <c r="B470" s="100" t="inlineStr">
        <is>
          <t>HANGER</t>
        </is>
      </c>
      <c r="C470" s="99" t="inlineStr">
        <is>
          <t>EEKWG24B0851160</t>
        </is>
      </c>
      <c r="D470" s="95" t="n">
        <v>1</v>
      </c>
      <c r="E470" s="46" t="inlineStr">
        <is>
          <t>남성존</t>
        </is>
      </c>
    </row>
    <row r="471" ht="18.75" customFormat="1" customHeight="1" s="98">
      <c r="A471" s="99" t="inlineStr">
        <is>
          <t>H005</t>
        </is>
      </c>
      <c r="B471" s="100" t="inlineStr">
        <is>
          <t>HANGER</t>
        </is>
      </c>
      <c r="C471" s="99" t="inlineStr">
        <is>
          <t>EEHWG24E0239165</t>
        </is>
      </c>
      <c r="D471" s="95" t="n">
        <v>1</v>
      </c>
      <c r="E471" s="46" t="inlineStr">
        <is>
          <t>남성존</t>
        </is>
      </c>
    </row>
    <row r="472" ht="18.75" customFormat="1" customHeight="1" s="98">
      <c r="A472" s="99" t="inlineStr">
        <is>
          <t>H005</t>
        </is>
      </c>
      <c r="B472" s="100" t="inlineStr">
        <is>
          <t>HANGER</t>
        </is>
      </c>
      <c r="C472" s="99" t="inlineStr">
        <is>
          <t>EEKWG24Q9388160</t>
        </is>
      </c>
      <c r="D472" s="95" t="n">
        <v>1</v>
      </c>
      <c r="E472" s="46" t="inlineStr">
        <is>
          <t>남성존</t>
        </is>
      </c>
    </row>
    <row r="473" ht="18.75" customFormat="1" customHeight="1" s="98">
      <c r="A473" s="99" t="inlineStr">
        <is>
          <t>H005</t>
        </is>
      </c>
      <c r="B473" s="100" t="inlineStr">
        <is>
          <t>HANGER</t>
        </is>
      </c>
      <c r="C473" s="99" t="inlineStr">
        <is>
          <t>EEKWG24Q9388165</t>
        </is>
      </c>
      <c r="D473" s="95" t="n">
        <v>1</v>
      </c>
      <c r="E473" s="46" t="inlineStr">
        <is>
          <t>남성존</t>
        </is>
      </c>
    </row>
    <row r="474" ht="18.75" customFormat="1" customHeight="1" s="98">
      <c r="A474" s="99" t="inlineStr">
        <is>
          <t>H005</t>
        </is>
      </c>
      <c r="B474" s="100" t="inlineStr">
        <is>
          <t>HANGER</t>
        </is>
      </c>
      <c r="C474" s="99" t="inlineStr">
        <is>
          <t>EEKWG23E0151175</t>
        </is>
      </c>
      <c r="D474" s="95" t="n">
        <v>1</v>
      </c>
      <c r="E474" s="46" t="inlineStr">
        <is>
          <t>남성존</t>
        </is>
      </c>
    </row>
    <row r="475" ht="18.75" customFormat="1" customHeight="1" s="98">
      <c r="A475" s="99" t="inlineStr">
        <is>
          <t>H005</t>
        </is>
      </c>
      <c r="B475" s="100" t="inlineStr">
        <is>
          <t>HANGER</t>
        </is>
      </c>
      <c r="C475" s="99" t="inlineStr">
        <is>
          <t>EEKWG23E0159165</t>
        </is>
      </c>
      <c r="D475" s="95" t="n">
        <v>1</v>
      </c>
      <c r="E475" s="46" t="inlineStr">
        <is>
          <t>남성존</t>
        </is>
      </c>
    </row>
    <row r="476" ht="18.75" customFormat="1" customHeight="1" s="98">
      <c r="A476" s="99" t="inlineStr">
        <is>
          <t>H005</t>
        </is>
      </c>
      <c r="B476" s="100" t="inlineStr">
        <is>
          <t>HANGER</t>
        </is>
      </c>
      <c r="C476" s="99" t="inlineStr">
        <is>
          <t>EEKWG62S0118165</t>
        </is>
      </c>
      <c r="D476" s="95" t="n">
        <v>1</v>
      </c>
      <c r="E476" s="46" t="inlineStr">
        <is>
          <t>남성존</t>
        </is>
      </c>
    </row>
    <row r="477" ht="18.75" customFormat="1" customHeight="1" s="98">
      <c r="A477" s="99" t="inlineStr">
        <is>
          <t>H005</t>
        </is>
      </c>
      <c r="B477" s="100" t="inlineStr">
        <is>
          <t>HANGER</t>
        </is>
      </c>
      <c r="C477" s="99" t="inlineStr">
        <is>
          <t>EEKWG23E0115175</t>
        </is>
      </c>
      <c r="D477" s="95" t="n">
        <v>1</v>
      </c>
      <c r="E477" s="46" t="inlineStr">
        <is>
          <t>남성존</t>
        </is>
      </c>
    </row>
    <row r="478" ht="18.75" customFormat="1" customHeight="1" s="98">
      <c r="A478" s="99" t="inlineStr">
        <is>
          <t>H005</t>
        </is>
      </c>
      <c r="B478" s="100" t="inlineStr">
        <is>
          <t>HANGER</t>
        </is>
      </c>
      <c r="C478" s="99" t="inlineStr">
        <is>
          <t>EEKWG23E0115165</t>
        </is>
      </c>
      <c r="D478" s="95" t="n">
        <v>1</v>
      </c>
      <c r="E478" s="46" t="inlineStr">
        <is>
          <t>남성존</t>
        </is>
      </c>
    </row>
    <row r="479" ht="18.75" customFormat="1" customHeight="1" s="98">
      <c r="A479" s="99" t="inlineStr">
        <is>
          <t>H005</t>
        </is>
      </c>
      <c r="B479" s="100" t="inlineStr">
        <is>
          <t>HANGER</t>
        </is>
      </c>
      <c r="C479" s="99" t="inlineStr">
        <is>
          <t>EEKWG64L0330165</t>
        </is>
      </c>
      <c r="D479" s="95" t="n">
        <v>1</v>
      </c>
      <c r="E479" s="46" t="inlineStr">
        <is>
          <t>남성존</t>
        </is>
      </c>
    </row>
    <row r="480" ht="18.75" customFormat="1" customHeight="1" s="98">
      <c r="A480" s="99" t="inlineStr">
        <is>
          <t>H005</t>
        </is>
      </c>
      <c r="B480" s="100" t="inlineStr">
        <is>
          <t>HANGER</t>
        </is>
      </c>
      <c r="C480" s="99" t="inlineStr">
        <is>
          <t>EEKWG64L0330160</t>
        </is>
      </c>
      <c r="D480" s="95" t="n">
        <v>1</v>
      </c>
      <c r="E480" s="46" t="inlineStr">
        <is>
          <t>남성존</t>
        </is>
      </c>
    </row>
    <row r="481" ht="18.75" customFormat="1" customHeight="1" s="98">
      <c r="A481" s="99" t="inlineStr">
        <is>
          <t>H005</t>
        </is>
      </c>
      <c r="B481" s="100" t="inlineStr">
        <is>
          <t>HANGER</t>
        </is>
      </c>
      <c r="C481" s="99" t="inlineStr">
        <is>
          <t>EEKWG64L0326160</t>
        </is>
      </c>
      <c r="D481" s="95" t="n">
        <v>1</v>
      </c>
      <c r="E481" s="46" t="inlineStr">
        <is>
          <t>남성존</t>
        </is>
      </c>
    </row>
    <row r="482" ht="18.75" customFormat="1" customHeight="1" s="98">
      <c r="A482" s="99" t="inlineStr">
        <is>
          <t>H005</t>
        </is>
      </c>
      <c r="B482" s="100" t="inlineStr">
        <is>
          <t>HANGER</t>
        </is>
      </c>
      <c r="C482" s="99" t="inlineStr">
        <is>
          <t>EEKWG62S0131160</t>
        </is>
      </c>
      <c r="D482" s="95" t="n">
        <v>1</v>
      </c>
      <c r="E482" s="46" t="inlineStr">
        <is>
          <t>남성존</t>
        </is>
      </c>
    </row>
    <row r="483" ht="18.75" customFormat="1" customHeight="1" s="98">
      <c r="A483" s="99" t="inlineStr">
        <is>
          <t>H005</t>
        </is>
      </c>
      <c r="B483" s="100" t="inlineStr">
        <is>
          <t>HANGER</t>
        </is>
      </c>
      <c r="C483" s="99" t="inlineStr">
        <is>
          <t>EEKWG62S0131165</t>
        </is>
      </c>
      <c r="D483" s="95" t="n">
        <v>1</v>
      </c>
      <c r="E483" s="46" t="inlineStr">
        <is>
          <t>남성존</t>
        </is>
      </c>
    </row>
    <row r="484" ht="18.75" customFormat="1" customHeight="1" s="98">
      <c r="A484" s="99" t="inlineStr">
        <is>
          <t>H005</t>
        </is>
      </c>
      <c r="B484" s="100" t="inlineStr">
        <is>
          <t>HANGER</t>
        </is>
      </c>
      <c r="C484" s="99" t="inlineStr">
        <is>
          <t>EEKWG24E0130165</t>
        </is>
      </c>
      <c r="D484" s="95" t="n">
        <v>1</v>
      </c>
      <c r="E484" s="46" t="inlineStr">
        <is>
          <t>남성존</t>
        </is>
      </c>
    </row>
    <row r="485" ht="18.75" customFormat="1" customHeight="1" s="98">
      <c r="A485" s="99" t="inlineStr">
        <is>
          <t>H005</t>
        </is>
      </c>
      <c r="B485" s="100" t="inlineStr">
        <is>
          <t>HANGER</t>
        </is>
      </c>
      <c r="C485" s="99" t="inlineStr">
        <is>
          <t>EEKWG64S0239165</t>
        </is>
      </c>
      <c r="D485" s="95" t="n">
        <v>1</v>
      </c>
      <c r="E485" s="46" t="inlineStr">
        <is>
          <t>남성존</t>
        </is>
      </c>
    </row>
    <row r="486" ht="18.75" customFormat="1" customHeight="1" s="98">
      <c r="A486" s="99" t="inlineStr">
        <is>
          <t>H005</t>
        </is>
      </c>
      <c r="B486" s="100" t="inlineStr">
        <is>
          <t>HANGER</t>
        </is>
      </c>
      <c r="C486" s="99" t="inlineStr">
        <is>
          <t>EEKWG24E0139160</t>
        </is>
      </c>
      <c r="D486" s="95" t="n">
        <v>1</v>
      </c>
      <c r="E486" s="46" t="inlineStr">
        <is>
          <t>남성존</t>
        </is>
      </c>
    </row>
    <row r="487" ht="18.75" customFormat="1" customHeight="1" s="98">
      <c r="A487" s="99" t="inlineStr">
        <is>
          <t>H005</t>
        </is>
      </c>
      <c r="B487" s="100" t="inlineStr">
        <is>
          <t>HANGER</t>
        </is>
      </c>
      <c r="C487" s="99" t="inlineStr">
        <is>
          <t>EEKWG24E0139175</t>
        </is>
      </c>
      <c r="D487" s="95" t="n">
        <v>1</v>
      </c>
      <c r="E487" s="46" t="inlineStr">
        <is>
          <t>남성존</t>
        </is>
      </c>
    </row>
    <row r="488" ht="18.75" customFormat="1" customHeight="1" s="98">
      <c r="A488" s="99" t="inlineStr">
        <is>
          <t>H009</t>
        </is>
      </c>
      <c r="B488" s="100" t="inlineStr">
        <is>
          <t>HANGER</t>
        </is>
      </c>
      <c r="C488" s="99" t="inlineStr">
        <is>
          <t>EERAG24E0436160</t>
        </is>
      </c>
      <c r="D488" s="95" t="n">
        <v>1</v>
      </c>
      <c r="E488" s="46" t="inlineStr">
        <is>
          <t>남성존</t>
        </is>
      </c>
    </row>
    <row r="489" ht="18.75" customFormat="1" customHeight="1" s="98">
      <c r="A489" s="99" t="inlineStr">
        <is>
          <t>H009</t>
        </is>
      </c>
      <c r="B489" s="100" t="inlineStr">
        <is>
          <t>HANGER</t>
        </is>
      </c>
      <c r="C489" s="99" t="inlineStr">
        <is>
          <t>EEWJG24E0139160</t>
        </is>
      </c>
      <c r="D489" s="95" t="n">
        <v>1</v>
      </c>
      <c r="E489" s="46" t="inlineStr">
        <is>
          <t>남성존</t>
        </is>
      </c>
    </row>
    <row r="490" ht="18.75" customFormat="1" customHeight="1" s="98">
      <c r="A490" s="99" t="inlineStr">
        <is>
          <t>H009</t>
        </is>
      </c>
      <c r="B490" s="100" t="inlineStr">
        <is>
          <t>HANGER</t>
        </is>
      </c>
      <c r="C490" s="99" t="inlineStr">
        <is>
          <t>EEYCG23E0150170</t>
        </is>
      </c>
      <c r="D490" s="95" t="n">
        <v>1</v>
      </c>
      <c r="E490" s="46" t="inlineStr">
        <is>
          <t>남성존</t>
        </is>
      </c>
    </row>
    <row r="491" ht="18.75" customFormat="1" customHeight="1" s="98">
      <c r="A491" s="99" t="inlineStr">
        <is>
          <t>H009</t>
        </is>
      </c>
      <c r="B491" s="100" t="inlineStr">
        <is>
          <t>HANGER</t>
        </is>
      </c>
      <c r="C491" s="99" t="inlineStr">
        <is>
          <t>EEYCG23E0150160</t>
        </is>
      </c>
      <c r="D491" s="95" t="n">
        <v>1</v>
      </c>
      <c r="E491" s="46" t="inlineStr">
        <is>
          <t>남성존</t>
        </is>
      </c>
    </row>
    <row r="492" ht="18.75" customFormat="1" customHeight="1" s="98">
      <c r="A492" s="99" t="inlineStr">
        <is>
          <t>H009</t>
        </is>
      </c>
      <c r="B492" s="100" t="inlineStr">
        <is>
          <t>HANGER</t>
        </is>
      </c>
      <c r="C492" s="99" t="inlineStr">
        <is>
          <t>EECKG23E0150165</t>
        </is>
      </c>
      <c r="D492" s="95" t="n">
        <v>1</v>
      </c>
      <c r="E492" s="46" t="inlineStr">
        <is>
          <t>남성존</t>
        </is>
      </c>
    </row>
    <row r="493" ht="18.75" customFormat="1" customHeight="1" s="98">
      <c r="A493" s="99" t="inlineStr">
        <is>
          <t>H009</t>
        </is>
      </c>
      <c r="B493" s="100" t="inlineStr">
        <is>
          <t>HANGER</t>
        </is>
      </c>
      <c r="C493" s="99" t="inlineStr">
        <is>
          <t>EECKG23E0150160</t>
        </is>
      </c>
      <c r="D493" s="95" t="n">
        <v>1</v>
      </c>
      <c r="E493" s="46" t="inlineStr">
        <is>
          <t>남성존</t>
        </is>
      </c>
    </row>
    <row r="494" ht="18.75" customFormat="1" customHeight="1" s="98">
      <c r="A494" s="99" t="inlineStr">
        <is>
          <t>H009</t>
        </is>
      </c>
      <c r="B494" s="100" t="inlineStr">
        <is>
          <t>HANGER</t>
        </is>
      </c>
      <c r="C494" s="99" t="inlineStr">
        <is>
          <t>EECKG23E0115165</t>
        </is>
      </c>
      <c r="D494" s="95" t="n">
        <v>1</v>
      </c>
      <c r="E494" s="46" t="inlineStr">
        <is>
          <t>남성존</t>
        </is>
      </c>
    </row>
    <row r="495" ht="18.75" customFormat="1" customHeight="1" s="98">
      <c r="A495" s="99" t="inlineStr">
        <is>
          <t>H009</t>
        </is>
      </c>
      <c r="B495" s="100" t="inlineStr">
        <is>
          <t>HANGER</t>
        </is>
      </c>
      <c r="C495" s="99" t="inlineStr">
        <is>
          <t>EECKG23E0115160</t>
        </is>
      </c>
      <c r="D495" s="95" t="n">
        <v>1</v>
      </c>
      <c r="E495" s="46" t="inlineStr">
        <is>
          <t>남성존</t>
        </is>
      </c>
    </row>
    <row r="496" ht="18.75" customFormat="1" customHeight="1" s="98">
      <c r="A496" s="99" t="inlineStr">
        <is>
          <t>H009</t>
        </is>
      </c>
      <c r="B496" s="100" t="inlineStr">
        <is>
          <t>HANGER</t>
        </is>
      </c>
      <c r="C496" s="99" t="inlineStr">
        <is>
          <t>EELAG64S0139160</t>
        </is>
      </c>
      <c r="D496" s="95" t="n">
        <v>1</v>
      </c>
      <c r="E496" s="46" t="inlineStr">
        <is>
          <t>남성존</t>
        </is>
      </c>
    </row>
    <row r="497" ht="18.75" customFormat="1" customHeight="1" s="98">
      <c r="A497" s="99" t="inlineStr">
        <is>
          <t>H009</t>
        </is>
      </c>
      <c r="B497" s="100" t="inlineStr">
        <is>
          <t>HANGER</t>
        </is>
      </c>
      <c r="C497" s="99" t="inlineStr">
        <is>
          <t>EEKWG24B0959160</t>
        </is>
      </c>
      <c r="D497" s="95" t="n">
        <v>1</v>
      </c>
      <c r="E497" s="46" t="inlineStr">
        <is>
          <t>남성존</t>
        </is>
      </c>
    </row>
    <row r="498" ht="18.75" customFormat="1" customHeight="1" s="98">
      <c r="A498" s="99" t="inlineStr">
        <is>
          <t>H009</t>
        </is>
      </c>
      <c r="B498" s="100" t="inlineStr">
        <is>
          <t>HANGER</t>
        </is>
      </c>
      <c r="C498" s="99" t="inlineStr">
        <is>
          <t>EELAG23E0199160</t>
        </is>
      </c>
      <c r="D498" s="95" t="n">
        <v>1</v>
      </c>
      <c r="E498" s="46" t="inlineStr">
        <is>
          <t>남성존</t>
        </is>
      </c>
    </row>
    <row r="499" ht="18.75" customFormat="1" customHeight="1" s="98">
      <c r="A499" s="99" t="inlineStr">
        <is>
          <t>H009</t>
        </is>
      </c>
      <c r="B499" s="100" t="inlineStr">
        <is>
          <t>HANGER</t>
        </is>
      </c>
      <c r="C499" s="99" t="inlineStr">
        <is>
          <t>EELAG23E0151160</t>
        </is>
      </c>
      <c r="D499" s="95" t="n">
        <v>1</v>
      </c>
      <c r="E499" s="46" t="inlineStr">
        <is>
          <t>남성존</t>
        </is>
      </c>
    </row>
    <row r="500" ht="18.75" customFormat="1" customHeight="1" s="98">
      <c r="A500" s="99" t="inlineStr">
        <is>
          <t>H009</t>
        </is>
      </c>
      <c r="B500" s="100" t="inlineStr">
        <is>
          <t>HANGER</t>
        </is>
      </c>
      <c r="C500" s="99" t="inlineStr">
        <is>
          <t>EEKWG23E0150160</t>
        </is>
      </c>
      <c r="D500" s="95" t="n">
        <v>1</v>
      </c>
      <c r="E500" s="46" t="inlineStr">
        <is>
          <t>남성존</t>
        </is>
      </c>
    </row>
    <row r="501" ht="18.75" customFormat="1" customHeight="1" s="98">
      <c r="A501" s="99" t="inlineStr">
        <is>
          <t>H009</t>
        </is>
      </c>
      <c r="B501" s="100" t="inlineStr">
        <is>
          <t>HANGER</t>
        </is>
      </c>
      <c r="C501" s="99" t="inlineStr">
        <is>
          <t>EERAG23E0126160</t>
        </is>
      </c>
      <c r="D501" s="95" t="n">
        <v>1</v>
      </c>
      <c r="E501" s="46" t="inlineStr">
        <is>
          <t>남성존</t>
        </is>
      </c>
    </row>
    <row r="502" ht="18.75" customFormat="1" customHeight="1" s="98">
      <c r="A502" s="99" t="inlineStr">
        <is>
          <t>H009</t>
        </is>
      </c>
      <c r="B502" s="100" t="inlineStr">
        <is>
          <t>HANGER</t>
        </is>
      </c>
      <c r="C502" s="99" t="inlineStr">
        <is>
          <t>EERAG23E0126170</t>
        </is>
      </c>
      <c r="D502" s="95" t="n">
        <v>1</v>
      </c>
      <c r="E502" s="46" t="inlineStr">
        <is>
          <t>남성존</t>
        </is>
      </c>
    </row>
    <row r="503" ht="18.75" customFormat="1" customHeight="1" s="98">
      <c r="A503" s="99" t="inlineStr">
        <is>
          <t>H009</t>
        </is>
      </c>
      <c r="B503" s="100" t="inlineStr">
        <is>
          <t>HANGER</t>
        </is>
      </c>
      <c r="C503" s="99" t="inlineStr">
        <is>
          <t>EERAG64S0126160</t>
        </is>
      </c>
      <c r="D503" s="95" t="n">
        <v>1</v>
      </c>
      <c r="E503" s="46" t="inlineStr">
        <is>
          <t>남성존</t>
        </is>
      </c>
    </row>
    <row r="504" ht="18.75" customFormat="1" customHeight="1" s="98">
      <c r="A504" s="99" t="inlineStr">
        <is>
          <t>H009</t>
        </is>
      </c>
      <c r="B504" s="100" t="inlineStr">
        <is>
          <t>HANGER</t>
        </is>
      </c>
      <c r="C504" s="99" t="inlineStr">
        <is>
          <t>EELAG23E0125160</t>
        </is>
      </c>
      <c r="D504" s="95" t="n">
        <v>1</v>
      </c>
      <c r="E504" s="46" t="inlineStr">
        <is>
          <t>남성존</t>
        </is>
      </c>
    </row>
    <row r="505" ht="18.75" customFormat="1" customHeight="1" s="98">
      <c r="A505" s="99" t="inlineStr">
        <is>
          <t>H009</t>
        </is>
      </c>
      <c r="B505" s="100" t="inlineStr">
        <is>
          <t>HANGER</t>
        </is>
      </c>
      <c r="C505" s="99" t="inlineStr">
        <is>
          <t>EERAG24E0151160</t>
        </is>
      </c>
      <c r="D505" s="95" t="n">
        <v>1</v>
      </c>
      <c r="E505" s="46" t="inlineStr">
        <is>
          <t>남성존</t>
        </is>
      </c>
    </row>
    <row r="506" ht="18.75" customFormat="1" customHeight="1" s="98">
      <c r="A506" s="99" t="inlineStr">
        <is>
          <t>H009</t>
        </is>
      </c>
      <c r="B506" s="100" t="inlineStr">
        <is>
          <t>HANGER</t>
        </is>
      </c>
      <c r="C506" s="99" t="inlineStr">
        <is>
          <t>EERAG64S0151165</t>
        </is>
      </c>
      <c r="D506" s="95" t="n">
        <v>1</v>
      </c>
      <c r="E506" s="46" t="inlineStr">
        <is>
          <t>남성존</t>
        </is>
      </c>
    </row>
    <row r="507" ht="18.75" customFormat="1" customHeight="1" s="98">
      <c r="A507" s="99" t="inlineStr">
        <is>
          <t>H009</t>
        </is>
      </c>
      <c r="B507" s="100" t="inlineStr">
        <is>
          <t>HANGER</t>
        </is>
      </c>
      <c r="C507" s="99" t="inlineStr">
        <is>
          <t>EERSG23E0151175</t>
        </is>
      </c>
      <c r="D507" s="95" t="n">
        <v>1</v>
      </c>
      <c r="E507" s="46" t="inlineStr">
        <is>
          <t>남성존</t>
        </is>
      </c>
    </row>
    <row r="508" ht="18.75" customFormat="1" customHeight="1" s="98">
      <c r="A508" s="99" t="inlineStr">
        <is>
          <t>H009</t>
        </is>
      </c>
      <c r="B508" s="100" t="inlineStr">
        <is>
          <t>HANGER</t>
        </is>
      </c>
      <c r="C508" s="99" t="inlineStr">
        <is>
          <t>EERSG23E0151160</t>
        </is>
      </c>
      <c r="D508" s="95" t="n">
        <v>1</v>
      </c>
      <c r="E508" s="46" t="inlineStr">
        <is>
          <t>남성존</t>
        </is>
      </c>
    </row>
    <row r="509" ht="18.75" customFormat="1" customHeight="1" s="98">
      <c r="A509" s="99" t="inlineStr">
        <is>
          <t>H009</t>
        </is>
      </c>
      <c r="B509" s="100" t="inlineStr">
        <is>
          <t>HANGER</t>
        </is>
      </c>
      <c r="C509" s="99" t="inlineStr">
        <is>
          <t>EERSG23E0140160</t>
        </is>
      </c>
      <c r="D509" s="95" t="n">
        <v>1</v>
      </c>
      <c r="E509" s="46" t="inlineStr">
        <is>
          <t>남성존</t>
        </is>
      </c>
    </row>
    <row r="510" ht="18.75" customFormat="1" customHeight="1" s="98">
      <c r="A510" s="99" t="inlineStr">
        <is>
          <t>H009</t>
        </is>
      </c>
      <c r="B510" s="100" t="inlineStr">
        <is>
          <t>HANGER</t>
        </is>
      </c>
      <c r="C510" s="99" t="inlineStr">
        <is>
          <t>EERAG23E0151160</t>
        </is>
      </c>
      <c r="D510" s="95" t="n">
        <v>1</v>
      </c>
      <c r="E510" s="46" t="inlineStr">
        <is>
          <t>남성존</t>
        </is>
      </c>
    </row>
    <row r="511" ht="18.75" customFormat="1" customHeight="1" s="98">
      <c r="A511" s="99" t="inlineStr">
        <is>
          <t>H009</t>
        </is>
      </c>
      <c r="B511" s="100" t="inlineStr">
        <is>
          <t>HANGER</t>
        </is>
      </c>
      <c r="C511" s="99" t="inlineStr">
        <is>
          <t>EERAG23E0151165</t>
        </is>
      </c>
      <c r="D511" s="95" t="n">
        <v>1</v>
      </c>
      <c r="E511" s="46" t="inlineStr">
        <is>
          <t>남성존</t>
        </is>
      </c>
    </row>
    <row r="512" ht="18.75" customFormat="1" customHeight="1" s="98">
      <c r="A512" s="99" t="inlineStr">
        <is>
          <t>H009</t>
        </is>
      </c>
      <c r="B512" s="100" t="inlineStr">
        <is>
          <t>HANGER</t>
        </is>
      </c>
      <c r="C512" s="99" t="inlineStr">
        <is>
          <t>EERAG25E0151160</t>
        </is>
      </c>
      <c r="D512" s="95" t="n">
        <v>1</v>
      </c>
      <c r="E512" s="46" t="inlineStr">
        <is>
          <t>남성존</t>
        </is>
      </c>
    </row>
    <row r="513" ht="18.75" customFormat="1" customHeight="1" s="98">
      <c r="A513" s="99" t="inlineStr">
        <is>
          <t>H009</t>
        </is>
      </c>
      <c r="B513" s="100" t="inlineStr">
        <is>
          <t>HANGER</t>
        </is>
      </c>
      <c r="C513" s="99" t="inlineStr">
        <is>
          <t>EERSG64S0115170</t>
        </is>
      </c>
      <c r="D513" s="95" t="n">
        <v>1</v>
      </c>
      <c r="E513" s="46" t="inlineStr">
        <is>
          <t>남성존</t>
        </is>
      </c>
    </row>
    <row r="514" ht="18.75" customFormat="1" customHeight="1" s="98">
      <c r="A514" s="99" t="inlineStr">
        <is>
          <t>H009</t>
        </is>
      </c>
      <c r="B514" s="100" t="inlineStr">
        <is>
          <t>HANGER</t>
        </is>
      </c>
      <c r="C514" s="99" t="inlineStr">
        <is>
          <t>EERAG23E0220175</t>
        </is>
      </c>
      <c r="D514" s="95" t="n">
        <v>1</v>
      </c>
      <c r="E514" s="46" t="inlineStr">
        <is>
          <t>남성존</t>
        </is>
      </c>
    </row>
    <row r="515" ht="18.75" customFormat="1" customHeight="1" s="98">
      <c r="A515" s="99" t="inlineStr">
        <is>
          <t>H009</t>
        </is>
      </c>
      <c r="B515" s="100" t="inlineStr">
        <is>
          <t>HANGER</t>
        </is>
      </c>
      <c r="C515" s="99" t="inlineStr">
        <is>
          <t>EERAG24B0618160</t>
        </is>
      </c>
      <c r="D515" s="95" t="n">
        <v>1</v>
      </c>
      <c r="E515" s="46" t="inlineStr">
        <is>
          <t>남성존</t>
        </is>
      </c>
    </row>
    <row r="516" ht="18.75" customFormat="1" customHeight="1" s="98">
      <c r="A516" s="99" t="inlineStr">
        <is>
          <t>H009</t>
        </is>
      </c>
      <c r="B516" s="100" t="inlineStr">
        <is>
          <t>HANGER</t>
        </is>
      </c>
      <c r="C516" s="99" t="inlineStr">
        <is>
          <t>EERAG24B0618170</t>
        </is>
      </c>
      <c r="D516" s="95" t="n">
        <v>1</v>
      </c>
      <c r="E516" s="46" t="inlineStr">
        <is>
          <t>남성존</t>
        </is>
      </c>
    </row>
    <row r="517" ht="18.75" customFormat="1" customHeight="1" s="98">
      <c r="A517" s="99" t="inlineStr">
        <is>
          <t>H009</t>
        </is>
      </c>
      <c r="B517" s="100" t="inlineStr">
        <is>
          <t>HANGER</t>
        </is>
      </c>
      <c r="C517" s="99" t="inlineStr">
        <is>
          <t>EERAG25E0318160</t>
        </is>
      </c>
      <c r="D517" s="95" t="n">
        <v>1</v>
      </c>
      <c r="E517" s="46" t="inlineStr">
        <is>
          <t>남성존</t>
        </is>
      </c>
    </row>
    <row r="518" ht="18.75" customFormat="1" customHeight="1" s="98">
      <c r="A518" s="99" t="inlineStr">
        <is>
          <t>H009</t>
        </is>
      </c>
      <c r="B518" s="100" t="inlineStr">
        <is>
          <t>HANGER</t>
        </is>
      </c>
      <c r="C518" s="99" t="inlineStr">
        <is>
          <t>EERAG25E0339160</t>
        </is>
      </c>
      <c r="D518" s="95" t="n">
        <v>1</v>
      </c>
      <c r="E518" s="46" t="inlineStr">
        <is>
          <t>남성존</t>
        </is>
      </c>
    </row>
    <row r="519" ht="18.75" customFormat="1" customHeight="1" s="98">
      <c r="A519" s="99" t="inlineStr">
        <is>
          <t>H009</t>
        </is>
      </c>
      <c r="B519" s="100" t="inlineStr">
        <is>
          <t>HANGER</t>
        </is>
      </c>
      <c r="C519" s="99" t="inlineStr">
        <is>
          <t>EERAG23B0439160</t>
        </is>
      </c>
      <c r="D519" s="95" t="n">
        <v>1</v>
      </c>
      <c r="E519" s="46" t="inlineStr">
        <is>
          <t>남성존</t>
        </is>
      </c>
    </row>
    <row r="520" ht="18.75" customFormat="1" customHeight="1" s="98">
      <c r="A520" s="99" t="inlineStr">
        <is>
          <t>H009</t>
        </is>
      </c>
      <c r="B520" s="100" t="inlineStr">
        <is>
          <t>HANGER</t>
        </is>
      </c>
      <c r="C520" s="99" t="inlineStr">
        <is>
          <t>EERAG23E0239165</t>
        </is>
      </c>
      <c r="D520" s="95" t="n">
        <v>1</v>
      </c>
      <c r="E520" s="46" t="inlineStr">
        <is>
          <t>남성존</t>
        </is>
      </c>
    </row>
    <row r="521" ht="18.75" customFormat="1" customHeight="1" s="98">
      <c r="A521" s="99" t="inlineStr">
        <is>
          <t>H009</t>
        </is>
      </c>
      <c r="B521" s="100" t="inlineStr">
        <is>
          <t>HANGER</t>
        </is>
      </c>
      <c r="C521" s="99" t="inlineStr">
        <is>
          <t>EERAG23E0239170</t>
        </is>
      </c>
      <c r="D521" s="95" t="n">
        <v>1</v>
      </c>
      <c r="E521" s="46" t="inlineStr">
        <is>
          <t>남성존</t>
        </is>
      </c>
    </row>
    <row r="522" ht="18.75" customFormat="1" customHeight="1" s="98">
      <c r="A522" s="99" t="inlineStr">
        <is>
          <t>H009</t>
        </is>
      </c>
      <c r="B522" s="100" t="inlineStr">
        <is>
          <t>HANGER</t>
        </is>
      </c>
      <c r="C522" s="99" t="inlineStr">
        <is>
          <t>EERAG26B0217175</t>
        </is>
      </c>
      <c r="D522" s="95" t="n">
        <v>1</v>
      </c>
      <c r="E522" s="46" t="inlineStr">
        <is>
          <t>남성존</t>
        </is>
      </c>
    </row>
    <row r="523" ht="18.75" customFormat="1" customHeight="1" s="98">
      <c r="A523" s="99" t="inlineStr">
        <is>
          <t>H009</t>
        </is>
      </c>
      <c r="B523" s="100" t="inlineStr">
        <is>
          <t>HANGER</t>
        </is>
      </c>
      <c r="C523" s="99" t="inlineStr">
        <is>
          <t>EERAG26B0217160</t>
        </is>
      </c>
      <c r="D523" s="95" t="n">
        <v>1</v>
      </c>
      <c r="E523" s="46" t="inlineStr">
        <is>
          <t>남성존</t>
        </is>
      </c>
    </row>
    <row r="524" ht="18.75" customFormat="1" customHeight="1" s="98">
      <c r="A524" s="99" t="inlineStr">
        <is>
          <t>H009</t>
        </is>
      </c>
      <c r="B524" s="100" t="inlineStr">
        <is>
          <t>HANGER</t>
        </is>
      </c>
      <c r="C524" s="99" t="inlineStr">
        <is>
          <t>EERAG24E0436165</t>
        </is>
      </c>
      <c r="D524" s="95" t="n">
        <v>1</v>
      </c>
      <c r="E524" s="46" t="inlineStr">
        <is>
          <t>남성존</t>
        </is>
      </c>
    </row>
    <row r="525" ht="18.75" customFormat="1" customHeight="1" s="98">
      <c r="A525" s="99" t="inlineStr">
        <is>
          <t>H009</t>
        </is>
      </c>
      <c r="B525" s="100" t="inlineStr">
        <is>
          <t>HANGER</t>
        </is>
      </c>
      <c r="C525" s="99" t="inlineStr">
        <is>
          <t>EERAG24E0485165</t>
        </is>
      </c>
      <c r="D525" s="95" t="n">
        <v>1</v>
      </c>
      <c r="E525" s="46" t="inlineStr">
        <is>
          <t>남성존</t>
        </is>
      </c>
    </row>
    <row r="526" ht="18.75" customFormat="1" customHeight="1" s="98">
      <c r="A526" s="99" t="inlineStr">
        <is>
          <t>H009</t>
        </is>
      </c>
      <c r="B526" s="100" t="inlineStr">
        <is>
          <t>HANGER</t>
        </is>
      </c>
      <c r="C526" s="99" t="inlineStr">
        <is>
          <t>EERAG26B0264165</t>
        </is>
      </c>
      <c r="D526" s="95" t="n">
        <v>1</v>
      </c>
      <c r="E526" s="46" t="inlineStr">
        <is>
          <t>남성존</t>
        </is>
      </c>
    </row>
    <row r="527" ht="18.75" customFormat="1" customHeight="1" s="98">
      <c r="A527" s="99" t="inlineStr">
        <is>
          <t>H009</t>
        </is>
      </c>
      <c r="B527" s="100" t="inlineStr">
        <is>
          <t>HANGER</t>
        </is>
      </c>
      <c r="C527" s="99" t="inlineStr">
        <is>
          <t>EETJG24E0655026</t>
        </is>
      </c>
      <c r="D527" s="95" t="n">
        <v>1</v>
      </c>
      <c r="E527" s="46" t="inlineStr">
        <is>
          <t>남성존</t>
        </is>
      </c>
    </row>
    <row r="528" ht="18.75" customFormat="1" customHeight="1" s="98">
      <c r="A528" s="99" t="inlineStr">
        <is>
          <t>H009</t>
        </is>
      </c>
      <c r="B528" s="100" t="inlineStr">
        <is>
          <t>HANGER</t>
        </is>
      </c>
      <c r="C528" s="99" t="inlineStr">
        <is>
          <t>EERAG25E0151165</t>
        </is>
      </c>
      <c r="D528" s="95" t="n">
        <v>1</v>
      </c>
      <c r="E528" s="46" t="inlineStr">
        <is>
          <t>남성존</t>
        </is>
      </c>
    </row>
    <row r="529" ht="18.75" customFormat="1" customHeight="1" s="98">
      <c r="A529" s="101" t="inlineStr">
        <is>
          <t>M001</t>
        </is>
      </c>
      <c r="B529" s="102" t="inlineStr">
        <is>
          <t>MQ</t>
        </is>
      </c>
      <c r="C529" s="101" t="inlineStr">
        <is>
          <t>EEVWG24E0159160</t>
        </is>
      </c>
      <c r="D529" s="95" t="n">
        <v>1</v>
      </c>
      <c r="E529" s="46" t="inlineStr">
        <is>
          <t>윈도우</t>
        </is>
      </c>
    </row>
    <row r="530" ht="18.75" customFormat="1" customHeight="1" s="98">
      <c r="A530" s="101" t="inlineStr">
        <is>
          <t>M001</t>
        </is>
      </c>
      <c r="B530" s="102" t="inlineStr">
        <is>
          <t>MQ</t>
        </is>
      </c>
      <c r="C530" s="101" t="inlineStr">
        <is>
          <t>EEWHG24E0239160</t>
        </is>
      </c>
      <c r="D530" s="95" t="n">
        <v>1</v>
      </c>
      <c r="E530" s="46" t="inlineStr">
        <is>
          <t>윈도우</t>
        </is>
      </c>
    </row>
    <row r="531" ht="18.75" customFormat="1" customHeight="1" s="98">
      <c r="A531" s="101" t="inlineStr">
        <is>
          <t>M002</t>
        </is>
      </c>
      <c r="B531" s="102" t="inlineStr">
        <is>
          <t>MQ</t>
        </is>
      </c>
      <c r="C531" s="101" t="inlineStr">
        <is>
          <t>EEYPG24E0101160</t>
        </is>
      </c>
      <c r="D531" s="95" t="n">
        <v>1</v>
      </c>
      <c r="E531" s="46" t="inlineStr">
        <is>
          <t>윈도우</t>
        </is>
      </c>
    </row>
    <row r="532" ht="18.75" customFormat="1" customHeight="1" s="98">
      <c r="A532" s="101" t="inlineStr">
        <is>
          <t>M002</t>
        </is>
      </c>
      <c r="B532" s="102" t="inlineStr">
        <is>
          <t>MQ</t>
        </is>
      </c>
      <c r="C532" s="101" t="inlineStr">
        <is>
          <t>EETJG24E0139027</t>
        </is>
      </c>
      <c r="D532" s="95" t="n">
        <v>1</v>
      </c>
      <c r="E532" s="46" t="inlineStr">
        <is>
          <t>윈도우</t>
        </is>
      </c>
    </row>
    <row r="533" ht="18.75" customFormat="1" customHeight="1" s="98">
      <c r="A533" s="101" t="inlineStr">
        <is>
          <t>M004</t>
        </is>
      </c>
      <c r="B533" s="102" t="inlineStr">
        <is>
          <t>MQ</t>
        </is>
      </c>
      <c r="C533" s="101" t="inlineStr">
        <is>
          <t>EEYWG25E1G50175</t>
        </is>
      </c>
      <c r="D533" s="95" t="n">
        <v>1</v>
      </c>
      <c r="E533" s="46" t="inlineStr">
        <is>
          <t>윈도우</t>
        </is>
      </c>
    </row>
    <row r="534" ht="18.75" customFormat="1" customHeight="1" s="98">
      <c r="A534" s="101" t="inlineStr">
        <is>
          <t>M004</t>
        </is>
      </c>
      <c r="B534" s="102" t="inlineStr">
        <is>
          <t>MQ</t>
        </is>
      </c>
      <c r="C534" s="101" t="inlineStr">
        <is>
          <t>EEKWG23E2G10175</t>
        </is>
      </c>
      <c r="D534" s="95" t="n">
        <v>1</v>
      </c>
      <c r="E534" s="46" t="inlineStr">
        <is>
          <t>윈도우</t>
        </is>
      </c>
    </row>
    <row r="535" ht="18.75" customFormat="1" customHeight="1" s="98">
      <c r="A535" s="101" t="inlineStr">
        <is>
          <t>M004</t>
        </is>
      </c>
      <c r="B535" s="102" t="inlineStr">
        <is>
          <t>MQ</t>
        </is>
      </c>
      <c r="C535" s="101" t="inlineStr">
        <is>
          <t>EETHG23B1G03030</t>
        </is>
      </c>
      <c r="D535" s="95" t="n">
        <v>1</v>
      </c>
      <c r="E535" s="46" t="inlineStr">
        <is>
          <t>윈도우</t>
        </is>
      </c>
    </row>
    <row r="536" ht="18.75" customFormat="1" customHeight="1" s="98">
      <c r="A536" s="101" t="inlineStr">
        <is>
          <t>M005</t>
        </is>
      </c>
      <c r="B536" s="102" t="inlineStr">
        <is>
          <t>MQ</t>
        </is>
      </c>
      <c r="C536" s="101" t="inlineStr">
        <is>
          <t>EEAKG25B0185FRE</t>
        </is>
      </c>
      <c r="D536" s="95" t="n">
        <v>1</v>
      </c>
      <c r="E536" s="46" t="inlineStr">
        <is>
          <t>여성존</t>
        </is>
      </c>
    </row>
    <row r="537" ht="18.75" customFormat="1" customHeight="1" s="98">
      <c r="A537" s="101" t="inlineStr">
        <is>
          <t>M005</t>
        </is>
      </c>
      <c r="B537" s="102" t="inlineStr">
        <is>
          <t>MQ</t>
        </is>
      </c>
      <c r="C537" s="101" t="inlineStr">
        <is>
          <t>EETCG24E0619165</t>
        </is>
      </c>
      <c r="D537" s="95" t="n">
        <v>1</v>
      </c>
      <c r="E537" s="46" t="inlineStr">
        <is>
          <t>여성존</t>
        </is>
      </c>
    </row>
    <row r="538" ht="18.75" customFormat="1" customHeight="1" s="98">
      <c r="A538" s="101" t="inlineStr">
        <is>
          <t>M005</t>
        </is>
      </c>
      <c r="B538" s="102" t="inlineStr">
        <is>
          <t>MQ</t>
        </is>
      </c>
      <c r="C538" s="101" t="inlineStr">
        <is>
          <t>EEVKG25E0139160</t>
        </is>
      </c>
      <c r="D538" s="95" t="n">
        <v>1</v>
      </c>
      <c r="E538" s="46" t="inlineStr">
        <is>
          <t>여성존</t>
        </is>
      </c>
    </row>
    <row r="539" ht="18.75" customFormat="1" customHeight="1" s="98">
      <c r="A539" s="101" t="inlineStr">
        <is>
          <t>M006</t>
        </is>
      </c>
      <c r="B539" s="102" t="inlineStr">
        <is>
          <t>MQ</t>
        </is>
      </c>
      <c r="C539" s="101" t="inlineStr">
        <is>
          <t>EEOWG25B0439160</t>
        </is>
      </c>
      <c r="D539" s="95" t="n">
        <v>1</v>
      </c>
      <c r="E539" s="46" t="inlineStr">
        <is>
          <t>여성존</t>
        </is>
      </c>
    </row>
    <row r="540" ht="18.75" customFormat="1" customHeight="1" s="98">
      <c r="A540" s="101" t="inlineStr">
        <is>
          <t>M008</t>
        </is>
      </c>
      <c r="B540" s="102" t="inlineStr">
        <is>
          <t>MQ</t>
        </is>
      </c>
      <c r="C540" s="101" t="inlineStr">
        <is>
          <t>EEOWG25B1332160</t>
        </is>
      </c>
      <c r="D540" s="95" t="n">
        <v>1</v>
      </c>
      <c r="E540" s="46" t="inlineStr">
        <is>
          <t>여성존</t>
        </is>
      </c>
    </row>
    <row r="541" ht="18.75" customFormat="1" customHeight="1" s="98">
      <c r="A541" s="101" t="inlineStr">
        <is>
          <t>M009</t>
        </is>
      </c>
      <c r="B541" s="102" t="inlineStr">
        <is>
          <t>MQ</t>
        </is>
      </c>
      <c r="C541" s="101" t="inlineStr">
        <is>
          <t>EERNG23E0139160</t>
        </is>
      </c>
      <c r="D541" s="95" t="n">
        <v>1</v>
      </c>
      <c r="E541" s="46" t="inlineStr">
        <is>
          <t>여성존</t>
        </is>
      </c>
    </row>
    <row r="542" ht="18.75" customFormat="1" customHeight="1" s="98">
      <c r="A542" s="101" t="inlineStr">
        <is>
          <t>M009</t>
        </is>
      </c>
      <c r="B542" s="102" t="inlineStr">
        <is>
          <t>MQ</t>
        </is>
      </c>
      <c r="C542" s="101" t="inlineStr">
        <is>
          <t>EEYWG24E0150165</t>
        </is>
      </c>
      <c r="D542" s="95" t="n">
        <v>1</v>
      </c>
      <c r="E542" s="46" t="inlineStr">
        <is>
          <t>여성존</t>
        </is>
      </c>
    </row>
    <row r="543" ht="18.75" customFormat="1" customHeight="1" s="98">
      <c r="A543" s="101" t="inlineStr">
        <is>
          <t>M009</t>
        </is>
      </c>
      <c r="B543" s="102" t="inlineStr">
        <is>
          <t>MQ</t>
        </is>
      </c>
      <c r="C543" s="101" t="inlineStr">
        <is>
          <t>EETHG25E0439160</t>
        </is>
      </c>
      <c r="D543" s="95" t="n">
        <v>1</v>
      </c>
      <c r="E543" s="46" t="inlineStr">
        <is>
          <t>여성존</t>
        </is>
      </c>
    </row>
    <row r="544" ht="18.75" customFormat="1" customHeight="1" s="98">
      <c r="A544" s="101" t="inlineStr">
        <is>
          <t>M010</t>
        </is>
      </c>
      <c r="B544" s="102" t="inlineStr">
        <is>
          <t>MQ</t>
        </is>
      </c>
      <c r="C544" s="101" t="inlineStr">
        <is>
          <t>EEKWG25E0259160</t>
        </is>
      </c>
      <c r="D544" s="95" t="n">
        <v>1</v>
      </c>
      <c r="E544" s="46" t="inlineStr">
        <is>
          <t>여성존</t>
        </is>
      </c>
    </row>
    <row r="545" ht="18.75" customFormat="1" customHeight="1" s="98">
      <c r="A545" s="101" t="inlineStr">
        <is>
          <t>M010</t>
        </is>
      </c>
      <c r="B545" s="102" t="inlineStr">
        <is>
          <t>MQ</t>
        </is>
      </c>
      <c r="C545" s="101" t="inlineStr">
        <is>
          <t>EEWHG25E0139160</t>
        </is>
      </c>
      <c r="D545" s="95" t="n">
        <v>1</v>
      </c>
      <c r="E545" s="46" t="inlineStr">
        <is>
          <t>여성존</t>
        </is>
      </c>
    </row>
    <row r="546" ht="18.75" customFormat="1" customHeight="1" s="98">
      <c r="A546" s="101" t="inlineStr">
        <is>
          <t>M011</t>
        </is>
      </c>
      <c r="B546" s="102" t="inlineStr">
        <is>
          <t>MQ</t>
        </is>
      </c>
      <c r="C546" s="101" t="inlineStr">
        <is>
          <t>EEYWG25E3G40175</t>
        </is>
      </c>
      <c r="D546" s="95" t="n">
        <v>1</v>
      </c>
      <c r="E546" s="46" t="inlineStr">
        <is>
          <t>남성존</t>
        </is>
      </c>
    </row>
    <row r="547" ht="18.75" customFormat="1" customHeight="1" s="98">
      <c r="A547" s="101" t="inlineStr">
        <is>
          <t>M011</t>
        </is>
      </c>
      <c r="B547" s="102" t="inlineStr">
        <is>
          <t>MQ</t>
        </is>
      </c>
      <c r="C547" s="101" t="inlineStr">
        <is>
          <t>EERAG25B1G10175</t>
        </is>
      </c>
      <c r="D547" s="95" t="n">
        <v>1</v>
      </c>
      <c r="E547" s="46" t="inlineStr">
        <is>
          <t>남성존</t>
        </is>
      </c>
    </row>
    <row r="548" ht="18.75" customFormat="1" customHeight="1" s="98">
      <c r="A548" s="101" t="inlineStr">
        <is>
          <t>M011</t>
        </is>
      </c>
      <c r="B548" s="102" t="inlineStr">
        <is>
          <t>MQ</t>
        </is>
      </c>
      <c r="C548" s="101" t="inlineStr">
        <is>
          <t>EETJG23B1G39032</t>
        </is>
      </c>
      <c r="D548" s="95" t="n">
        <v>1</v>
      </c>
      <c r="E548" s="46" t="inlineStr">
        <is>
          <t>남성존</t>
        </is>
      </c>
    </row>
    <row r="549" ht="18.75" customFormat="1" customHeight="1" s="98">
      <c r="A549" s="101" t="inlineStr">
        <is>
          <t>M012</t>
        </is>
      </c>
      <c r="B549" s="102" t="inlineStr">
        <is>
          <t>MQ</t>
        </is>
      </c>
      <c r="C549" s="101" t="inlineStr">
        <is>
          <t>EERAG23B2G59170</t>
        </is>
      </c>
      <c r="D549" s="95" t="n">
        <v>1</v>
      </c>
      <c r="E549" s="46" t="inlineStr">
        <is>
          <t>남성존</t>
        </is>
      </c>
    </row>
    <row r="550" ht="18.75" customFormat="1" customHeight="1" s="98">
      <c r="A550" s="101" t="inlineStr">
        <is>
          <t>M012</t>
        </is>
      </c>
      <c r="B550" s="102" t="inlineStr">
        <is>
          <t>MQ</t>
        </is>
      </c>
      <c r="C550" s="101" t="inlineStr">
        <is>
          <t>EEHWG23B1G59175</t>
        </is>
      </c>
      <c r="D550" s="95" t="n">
        <v>1</v>
      </c>
      <c r="E550" s="46" t="inlineStr">
        <is>
          <t>남성존</t>
        </is>
      </c>
    </row>
    <row r="551" ht="18.75" customFormat="1" customHeight="1" s="98">
      <c r="A551" s="101" t="inlineStr">
        <is>
          <t>M012</t>
        </is>
      </c>
      <c r="B551" s="102" t="inlineStr">
        <is>
          <t>MQ</t>
        </is>
      </c>
      <c r="C551" s="101" t="inlineStr">
        <is>
          <t>EETJG25E1G55032</t>
        </is>
      </c>
      <c r="D551" s="95" t="n">
        <v>1</v>
      </c>
      <c r="E551" s="46" t="inlineStr">
        <is>
          <t>남성존</t>
        </is>
      </c>
    </row>
    <row r="552" ht="18.75" customFormat="1" customHeight="1" s="98">
      <c r="A552" s="101" t="inlineStr">
        <is>
          <t>M013</t>
        </is>
      </c>
      <c r="B552" s="102" t="inlineStr">
        <is>
          <t>MQ</t>
        </is>
      </c>
      <c r="C552" s="101" t="inlineStr">
        <is>
          <t>EEYPG25B1G55170</t>
        </is>
      </c>
      <c r="D552" s="95" t="n">
        <v>1</v>
      </c>
      <c r="E552" s="46" t="inlineStr">
        <is>
          <t>남성존</t>
        </is>
      </c>
    </row>
    <row r="553" ht="18.75" customFormat="1" customHeight="1" s="98">
      <c r="A553" s="101" t="inlineStr">
        <is>
          <t>M013</t>
        </is>
      </c>
      <c r="B553" s="102" t="inlineStr">
        <is>
          <t>MQ</t>
        </is>
      </c>
      <c r="C553" s="101" t="inlineStr">
        <is>
          <t>EERSG23E1G50170</t>
        </is>
      </c>
      <c r="D553" s="95" t="n">
        <v>1</v>
      </c>
      <c r="E553" s="46" t="inlineStr">
        <is>
          <t>남성존</t>
        </is>
      </c>
    </row>
    <row r="554" ht="18.75" customFormat="1" customHeight="1" s="98">
      <c r="A554" s="101" t="inlineStr">
        <is>
          <t>M013</t>
        </is>
      </c>
      <c r="B554" s="102" t="inlineStr">
        <is>
          <t>MQ</t>
        </is>
      </c>
      <c r="C554" s="101" t="inlineStr">
        <is>
          <t>EEABG23B1G22FRE</t>
        </is>
      </c>
      <c r="D554" s="95" t="n">
        <v>1</v>
      </c>
      <c r="E554" s="46" t="inlineStr">
        <is>
          <t>남성존</t>
        </is>
      </c>
    </row>
    <row r="555" ht="18.75" customFormat="1" customHeight="1" s="98">
      <c r="A555" s="101" t="inlineStr">
        <is>
          <t>M013</t>
        </is>
      </c>
      <c r="B555" s="102" t="inlineStr">
        <is>
          <t>MQ</t>
        </is>
      </c>
      <c r="C555" s="101" t="inlineStr">
        <is>
          <t>EETHG23B1G03032</t>
        </is>
      </c>
      <c r="D555" s="95" t="n">
        <v>1</v>
      </c>
      <c r="E555" s="46" t="inlineStr">
        <is>
          <t>남성존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💰 판매 실적">
    <outlinePr summaryBelow="1" summaryRight="1"/>
    <pageSetUpPr/>
  </sheetPr>
  <dimension ref="A1:L2174"/>
  <sheetViews>
    <sheetView topLeftCell="A118" workbookViewId="0">
      <selection activeCell="A1" sqref="A1:L1"/>
    </sheetView>
  </sheetViews>
  <sheetFormatPr baseColWidth="8" defaultColWidth="13.7142857142857" defaultRowHeight="18" customHeight="1"/>
  <cols>
    <col width="6.42857142857143" customWidth="1" style="84" min="1" max="1"/>
    <col width="8.571428571428569" customWidth="1" style="84" min="2" max="2"/>
    <col width="10.8571428571429" customWidth="1" style="84" min="3" max="3"/>
    <col width="8.571428571428569" customWidth="1" style="84" min="4" max="4"/>
    <col width="16.2857142857143" customWidth="1" style="84" min="5" max="5"/>
    <col width="8.571428571428569" customWidth="1" style="84" min="6" max="6"/>
    <col width="13" customWidth="1" style="84" min="7" max="7"/>
    <col width="15.1428571428571" customWidth="1" style="84" min="8" max="8"/>
    <col width="10.8571428571429" customWidth="1" style="84" min="9" max="10"/>
    <col width="13" customWidth="1" style="84" min="11" max="12"/>
    <col width="13.7142857142857" customWidth="1" style="84" min="13" max="26"/>
  </cols>
  <sheetData>
    <row r="1" ht="42" customHeight="1" s="103">
      <c r="A1" s="74" t="inlineStr">
        <is>
          <t>💰  판매 실적  |  회사 양식 그대로 복붙 또는 직접 입력</t>
        </is>
      </c>
    </row>
    <row r="2" ht="15" customHeight="1" s="103">
      <c r="A2" s="75" t="inlineStr">
        <is>
          <t>★ 款号(스타일번호) 가 진열 데이터의 바코드 앞 10자리와 자동 매칭됩니다</t>
        </is>
      </c>
    </row>
    <row r="3" ht="31.5" customHeight="1" s="103">
      <c r="A3" s="76" t="inlineStr">
        <is>
          <t>MZ</t>
        </is>
      </c>
      <c r="B3" s="77" t="inlineStr">
        <is>
          <t>支社</t>
        </is>
      </c>
      <c r="C3" s="77" t="inlineStr">
        <is>
          <t>区域</t>
        </is>
      </c>
      <c r="D3" s="77" t="inlineStr">
        <is>
          <t>卖场
코드</t>
        </is>
      </c>
      <c r="E3" s="77" t="inlineStr">
        <is>
          <t>매장명</t>
        </is>
      </c>
      <c r="F3" s="77" t="inlineStr">
        <is>
          <t>卖场
유형</t>
        </is>
      </c>
      <c r="G3" s="77" t="inlineStr">
        <is>
          <t>매장유형</t>
        </is>
      </c>
      <c r="H3" s="77" t="inlineStr">
        <is>
          <t>款号
(스타일번호)</t>
        </is>
      </c>
      <c r="I3" s="77" t="inlineStr">
        <is>
          <t>预定
단가</t>
        </is>
      </c>
      <c r="J3" s="77" t="inlineStr">
        <is>
          <t>决定
단가</t>
        </is>
      </c>
      <c r="K3" s="77" t="inlineStr">
        <is>
          <t>销售数量
★판매수량</t>
        </is>
      </c>
      <c r="L3" s="77" t="inlineStr">
        <is>
          <t>销售额
★매출(CNY)</t>
        </is>
      </c>
    </row>
    <row r="4" ht="18.75" customHeight="1" s="103">
      <c r="A4" s="78" t="n"/>
      <c r="B4" s="84" t="n"/>
      <c r="C4" s="84" t="n"/>
      <c r="D4" s="84" t="n"/>
      <c r="E4" s="80" t="n"/>
      <c r="F4" s="84" t="n"/>
      <c r="G4" s="84" t="n"/>
      <c r="H4" s="84" t="n"/>
      <c r="I4" s="84" t="n"/>
      <c r="J4" s="84" t="n"/>
      <c r="K4" s="85">
        <f>SUM(K5:K2174)</f>
        <v/>
      </c>
      <c r="L4" s="85">
        <f>SUM(L5:L2174)</f>
        <v/>
      </c>
    </row>
    <row r="5" ht="18.75" customHeight="1" s="103">
      <c r="A5" s="78">
        <f>MID(H5,3,2)</f>
        <v/>
      </c>
      <c r="B5" s="84" t="inlineStr">
        <is>
          <t>B331</t>
        </is>
      </c>
      <c r="C5" s="84" t="inlineStr">
        <is>
          <t>上海区域</t>
        </is>
      </c>
      <c r="D5" s="84" t="inlineStr">
        <is>
          <t>CN0Q</t>
        </is>
      </c>
      <c r="E5" s="80" t="inlineStr">
        <is>
          <t>EE 苏州比斯特</t>
        </is>
      </c>
      <c r="F5" s="84" t="n">
        <v>4</v>
      </c>
      <c r="G5" s="84" t="inlineStr">
        <is>
          <t>奥特莱斯</t>
        </is>
      </c>
      <c r="H5" s="84" t="inlineStr">
        <is>
          <t>EEABE24R01</t>
        </is>
      </c>
      <c r="I5" s="84" t="n">
        <v>499</v>
      </c>
      <c r="J5" s="84" t="n">
        <v>499</v>
      </c>
      <c r="K5" s="85" t="n"/>
      <c r="L5" s="85" t="n"/>
    </row>
    <row r="6" ht="18.75" customHeight="1" s="103">
      <c r="A6" s="78">
        <f>MID(H6,3,2)</f>
        <v/>
      </c>
      <c r="B6" s="84" t="inlineStr">
        <is>
          <t>B331</t>
        </is>
      </c>
      <c r="C6" s="84" t="inlineStr">
        <is>
          <t>上海区域</t>
        </is>
      </c>
      <c r="D6" s="84" t="inlineStr">
        <is>
          <t>CN0Q</t>
        </is>
      </c>
      <c r="E6" s="80" t="inlineStr">
        <is>
          <t>EE 苏州比斯特</t>
        </is>
      </c>
      <c r="F6" s="84" t="n">
        <v>4</v>
      </c>
      <c r="G6" s="84" t="inlineStr">
        <is>
          <t>奥特莱斯</t>
        </is>
      </c>
      <c r="H6" s="84" t="inlineStr">
        <is>
          <t>EEABG23B01</t>
        </is>
      </c>
      <c r="I6" s="84" t="n">
        <v>499</v>
      </c>
      <c r="J6" s="84" t="n">
        <v>499</v>
      </c>
      <c r="K6" s="85" t="n"/>
      <c r="L6" s="85" t="n"/>
    </row>
    <row r="7" ht="18.75" customHeight="1" s="103">
      <c r="A7" s="78">
        <f>MID(H7,3,2)</f>
        <v/>
      </c>
      <c r="B7" s="84" t="inlineStr">
        <is>
          <t>B331</t>
        </is>
      </c>
      <c r="C7" s="84" t="inlineStr">
        <is>
          <t>上海区域</t>
        </is>
      </c>
      <c r="D7" s="84" t="inlineStr">
        <is>
          <t>CN0Q</t>
        </is>
      </c>
      <c r="E7" s="80" t="inlineStr">
        <is>
          <t>EE 苏州比斯特</t>
        </is>
      </c>
      <c r="F7" s="84" t="n">
        <v>4</v>
      </c>
      <c r="G7" s="84" t="inlineStr">
        <is>
          <t>奥特莱斯</t>
        </is>
      </c>
      <c r="H7" s="84" t="inlineStr">
        <is>
          <t>EEABG23B1G</t>
        </is>
      </c>
      <c r="I7" s="84" t="n">
        <v>599</v>
      </c>
      <c r="J7" s="84" t="n">
        <v>599</v>
      </c>
      <c r="K7" s="85" t="n"/>
      <c r="L7" s="85" t="n"/>
    </row>
    <row r="8" ht="18.75" customHeight="1" s="103">
      <c r="A8" s="78">
        <f>MID(H8,3,2)</f>
        <v/>
      </c>
      <c r="B8" s="84" t="inlineStr">
        <is>
          <t>B331</t>
        </is>
      </c>
      <c r="C8" s="84" t="inlineStr">
        <is>
          <t>上海区域</t>
        </is>
      </c>
      <c r="D8" s="84" t="inlineStr">
        <is>
          <t>CN0Q</t>
        </is>
      </c>
      <c r="E8" s="80" t="inlineStr">
        <is>
          <t>EE 苏州比斯特</t>
        </is>
      </c>
      <c r="F8" s="84" t="n">
        <v>4</v>
      </c>
      <c r="G8" s="84" t="inlineStr">
        <is>
          <t>奥特莱斯</t>
        </is>
      </c>
      <c r="H8" s="84" t="inlineStr">
        <is>
          <t>EEABG23B1G</t>
        </is>
      </c>
      <c r="I8" s="84" t="n">
        <v>599</v>
      </c>
      <c r="J8" s="84" t="n">
        <v>599</v>
      </c>
      <c r="K8" s="85" t="n"/>
      <c r="L8" s="85" t="n"/>
    </row>
    <row r="9" ht="18.75" customHeight="1" s="103">
      <c r="A9" s="78">
        <f>MID(H9,3,2)</f>
        <v/>
      </c>
      <c r="B9" s="84" t="inlineStr">
        <is>
          <t>B331</t>
        </is>
      </c>
      <c r="C9" s="84" t="inlineStr">
        <is>
          <t>上海区域</t>
        </is>
      </c>
      <c r="D9" s="84" t="inlineStr">
        <is>
          <t>CN0Q</t>
        </is>
      </c>
      <c r="E9" s="80" t="inlineStr">
        <is>
          <t>EE 苏州比斯特</t>
        </is>
      </c>
      <c r="F9" s="84" t="n">
        <v>4</v>
      </c>
      <c r="G9" s="84" t="inlineStr">
        <is>
          <t>奥特莱斯</t>
        </is>
      </c>
      <c r="H9" s="84" t="inlineStr">
        <is>
          <t>EEABG23B51</t>
        </is>
      </c>
      <c r="I9" s="84" t="n">
        <v>199</v>
      </c>
      <c r="J9" s="84" t="n">
        <v>199</v>
      </c>
      <c r="K9" s="85" t="n"/>
      <c r="L9" s="85" t="n"/>
    </row>
    <row r="10" ht="18.75" customHeight="1" s="103">
      <c r="A10" s="78">
        <f>MID(H10,3,2)</f>
        <v/>
      </c>
      <c r="B10" s="84" t="inlineStr">
        <is>
          <t>B331</t>
        </is>
      </c>
      <c r="C10" s="84" t="inlineStr">
        <is>
          <t>上海区域</t>
        </is>
      </c>
      <c r="D10" s="84" t="inlineStr">
        <is>
          <t>CN0Q</t>
        </is>
      </c>
      <c r="E10" s="80" t="inlineStr">
        <is>
          <t>EE 苏州比斯特</t>
        </is>
      </c>
      <c r="F10" s="84" t="n">
        <v>4</v>
      </c>
      <c r="G10" s="84" t="inlineStr">
        <is>
          <t>奥特莱斯</t>
        </is>
      </c>
      <c r="H10" s="84" t="inlineStr">
        <is>
          <t>EEACG23E01</t>
        </is>
      </c>
      <c r="I10" s="84" t="n">
        <v>299</v>
      </c>
      <c r="J10" s="84" t="n">
        <v>299</v>
      </c>
      <c r="K10" s="85" t="n">
        <v>3</v>
      </c>
      <c r="L10" s="85" t="n"/>
    </row>
    <row r="11" ht="18.75" customHeight="1" s="103">
      <c r="A11" s="78">
        <f>MID(H11,3,2)</f>
        <v/>
      </c>
      <c r="B11" s="84" t="inlineStr">
        <is>
          <t>B331</t>
        </is>
      </c>
      <c r="C11" s="84" t="inlineStr">
        <is>
          <t>上海区域</t>
        </is>
      </c>
      <c r="D11" s="84" t="inlineStr">
        <is>
          <t>CN0Q</t>
        </is>
      </c>
      <c r="E11" s="80" t="inlineStr">
        <is>
          <t>EE 苏州比斯特</t>
        </is>
      </c>
      <c r="F11" s="84" t="n">
        <v>4</v>
      </c>
      <c r="G11" s="84" t="inlineStr">
        <is>
          <t>奥特莱斯</t>
        </is>
      </c>
      <c r="H11" s="84" t="inlineStr">
        <is>
          <t>EEACG23E01</t>
        </is>
      </c>
      <c r="I11" s="84" t="n">
        <v>299</v>
      </c>
      <c r="J11" s="84" t="n">
        <v>299</v>
      </c>
      <c r="K11" s="85" t="n">
        <v>2</v>
      </c>
      <c r="L11" s="85" t="n"/>
    </row>
    <row r="12" ht="18.75" customHeight="1" s="103">
      <c r="A12" s="78">
        <f>MID(H12,3,2)</f>
        <v/>
      </c>
      <c r="B12" s="84" t="inlineStr">
        <is>
          <t>B331</t>
        </is>
      </c>
      <c r="C12" s="84" t="inlineStr">
        <is>
          <t>上海区域</t>
        </is>
      </c>
      <c r="D12" s="84" t="inlineStr">
        <is>
          <t>CN0Q</t>
        </is>
      </c>
      <c r="E12" s="80" t="inlineStr">
        <is>
          <t>EE 苏州比斯特</t>
        </is>
      </c>
      <c r="F12" s="84" t="n">
        <v>4</v>
      </c>
      <c r="G12" s="84" t="inlineStr">
        <is>
          <t>奥特莱斯</t>
        </is>
      </c>
      <c r="H12" s="84" t="inlineStr">
        <is>
          <t>EEACG23E01</t>
        </is>
      </c>
      <c r="I12" s="84" t="n">
        <v>299</v>
      </c>
      <c r="J12" s="84" t="n">
        <v>299</v>
      </c>
      <c r="K12" s="85" t="n">
        <v>4</v>
      </c>
      <c r="L12" s="85" t="n">
        <v>191</v>
      </c>
    </row>
    <row r="13" ht="18.75" customHeight="1" s="103">
      <c r="A13" s="78">
        <f>MID(H13,3,2)</f>
        <v/>
      </c>
      <c r="B13" s="84" t="inlineStr">
        <is>
          <t>B331</t>
        </is>
      </c>
      <c r="C13" s="84" t="inlineStr">
        <is>
          <t>上海区域</t>
        </is>
      </c>
      <c r="D13" s="84" t="inlineStr">
        <is>
          <t>CN0Q</t>
        </is>
      </c>
      <c r="E13" s="80" t="inlineStr">
        <is>
          <t>EE 苏州比斯特</t>
        </is>
      </c>
      <c r="F13" s="84" t="n">
        <v>4</v>
      </c>
      <c r="G13" s="84" t="inlineStr">
        <is>
          <t>奥特莱斯</t>
        </is>
      </c>
      <c r="H13" s="84" t="inlineStr">
        <is>
          <t>EEACG23E01</t>
        </is>
      </c>
      <c r="I13" s="84" t="n">
        <v>299</v>
      </c>
      <c r="J13" s="84" t="n">
        <v>299</v>
      </c>
      <c r="K13" s="85" t="n">
        <v>1</v>
      </c>
      <c r="L13" s="85" t="n"/>
    </row>
    <row r="14" ht="18.75" customHeight="1" s="103">
      <c r="A14" s="78">
        <f>MID(H14,3,2)</f>
        <v/>
      </c>
      <c r="B14" s="84" t="inlineStr">
        <is>
          <t>B331</t>
        </is>
      </c>
      <c r="C14" s="84" t="inlineStr">
        <is>
          <t>上海区域</t>
        </is>
      </c>
      <c r="D14" s="84" t="inlineStr">
        <is>
          <t>CN0Q</t>
        </is>
      </c>
      <c r="E14" s="80" t="inlineStr">
        <is>
          <t>EE 苏州比斯特</t>
        </is>
      </c>
      <c r="F14" s="84" t="n">
        <v>4</v>
      </c>
      <c r="G14" s="84" t="inlineStr">
        <is>
          <t>奥特莱斯</t>
        </is>
      </c>
      <c r="H14" s="84" t="inlineStr">
        <is>
          <t>EEACG25D01</t>
        </is>
      </c>
      <c r="I14" s="84" t="n">
        <v>399</v>
      </c>
      <c r="J14" s="84" t="n">
        <v>399</v>
      </c>
      <c r="K14" s="85" t="n"/>
      <c r="L14" s="85" t="n"/>
    </row>
    <row r="15" ht="18.75" customHeight="1" s="103">
      <c r="A15" s="78">
        <f>MID(H15,3,2)</f>
        <v/>
      </c>
      <c r="B15" s="84" t="inlineStr">
        <is>
          <t>B331</t>
        </is>
      </c>
      <c r="C15" s="84" t="inlineStr">
        <is>
          <t>上海区域</t>
        </is>
      </c>
      <c r="D15" s="84" t="inlineStr">
        <is>
          <t>CN0Q</t>
        </is>
      </c>
      <c r="E15" s="80" t="inlineStr">
        <is>
          <t>EE 苏州比斯特</t>
        </is>
      </c>
      <c r="F15" s="84" t="n">
        <v>4</v>
      </c>
      <c r="G15" s="84" t="inlineStr">
        <is>
          <t>奥特莱斯</t>
        </is>
      </c>
      <c r="H15" s="84" t="inlineStr">
        <is>
          <t>EEAKE24R01</t>
        </is>
      </c>
      <c r="I15" s="84" t="n">
        <v>799</v>
      </c>
      <c r="J15" s="84" t="n">
        <v>799</v>
      </c>
      <c r="K15" s="85" t="n"/>
      <c r="L15" s="85" t="n"/>
    </row>
    <row r="16" ht="18.75" customHeight="1" s="103">
      <c r="A16" s="78">
        <f>MID(H16,3,2)</f>
        <v/>
      </c>
      <c r="B16" s="84" t="inlineStr">
        <is>
          <t>B331</t>
        </is>
      </c>
      <c r="C16" s="84" t="inlineStr">
        <is>
          <t>上海区域</t>
        </is>
      </c>
      <c r="D16" s="84" t="inlineStr">
        <is>
          <t>CN0Q</t>
        </is>
      </c>
      <c r="E16" s="80" t="inlineStr">
        <is>
          <t>EE 苏州比斯特</t>
        </is>
      </c>
      <c r="F16" s="84" t="n">
        <v>4</v>
      </c>
      <c r="G16" s="84" t="inlineStr">
        <is>
          <t>奥特莱斯</t>
        </is>
      </c>
      <c r="H16" s="84" t="inlineStr">
        <is>
          <t>EEAKE24R01</t>
        </is>
      </c>
      <c r="I16" s="84" t="n">
        <v>799</v>
      </c>
      <c r="J16" s="84" t="n">
        <v>799</v>
      </c>
      <c r="K16" s="85" t="n"/>
      <c r="L16" s="85" t="n"/>
    </row>
    <row r="17" ht="18.75" customHeight="1" s="103">
      <c r="A17" s="78">
        <f>MID(H17,3,2)</f>
        <v/>
      </c>
      <c r="B17" s="84" t="inlineStr">
        <is>
          <t>B331</t>
        </is>
      </c>
      <c r="C17" s="84" t="inlineStr">
        <is>
          <t>上海区域</t>
        </is>
      </c>
      <c r="D17" s="84" t="inlineStr">
        <is>
          <t>CN0Q</t>
        </is>
      </c>
      <c r="E17" s="80" t="inlineStr">
        <is>
          <t>EE 苏州比斯特</t>
        </is>
      </c>
      <c r="F17" s="84" t="n">
        <v>4</v>
      </c>
      <c r="G17" s="84" t="inlineStr">
        <is>
          <t>奥特莱斯</t>
        </is>
      </c>
      <c r="H17" s="84" t="inlineStr">
        <is>
          <t>EEAKF25N51</t>
        </is>
      </c>
      <c r="I17" s="84" t="n">
        <v>1299</v>
      </c>
      <c r="J17" s="84" t="n">
        <v>1299</v>
      </c>
      <c r="K17" s="85" t="n"/>
      <c r="L17" s="85" t="n"/>
    </row>
    <row r="18" ht="18.75" customHeight="1" s="103">
      <c r="A18" s="78">
        <f>MID(H18,3,2)</f>
        <v/>
      </c>
      <c r="B18" s="84" t="inlineStr">
        <is>
          <t>B331</t>
        </is>
      </c>
      <c r="C18" s="84" t="inlineStr">
        <is>
          <t>上海区域</t>
        </is>
      </c>
      <c r="D18" s="84" t="inlineStr">
        <is>
          <t>CN0Q</t>
        </is>
      </c>
      <c r="E18" s="80" t="inlineStr">
        <is>
          <t>EE 苏州比斯特</t>
        </is>
      </c>
      <c r="F18" s="84" t="n">
        <v>4</v>
      </c>
      <c r="G18" s="84" t="inlineStr">
        <is>
          <t>奥特莱斯</t>
        </is>
      </c>
      <c r="H18" s="84" t="inlineStr">
        <is>
          <t>EEAKF25N51</t>
        </is>
      </c>
      <c r="I18" s="84" t="n">
        <v>1299</v>
      </c>
      <c r="J18" s="84" t="n">
        <v>1299</v>
      </c>
      <c r="K18" s="85" t="n"/>
      <c r="L18" s="85" t="n"/>
    </row>
    <row r="19" ht="18.75" customHeight="1" s="103">
      <c r="A19" s="78">
        <f>MID(H19,3,2)</f>
        <v/>
      </c>
      <c r="B19" s="84" t="inlineStr">
        <is>
          <t>B331</t>
        </is>
      </c>
      <c r="C19" s="84" t="inlineStr">
        <is>
          <t>上海区域</t>
        </is>
      </c>
      <c r="D19" s="84" t="inlineStr">
        <is>
          <t>CN0Q</t>
        </is>
      </c>
      <c r="E19" s="80" t="inlineStr">
        <is>
          <t>EE 苏州比斯特</t>
        </is>
      </c>
      <c r="F19" s="84" t="n">
        <v>4</v>
      </c>
      <c r="G19" s="84" t="inlineStr">
        <is>
          <t>奥特莱斯</t>
        </is>
      </c>
      <c r="H19" s="84" t="inlineStr">
        <is>
          <t>EEAKF49M02</t>
        </is>
      </c>
      <c r="I19" s="84" t="n">
        <v>899</v>
      </c>
      <c r="J19" s="84" t="n">
        <v>899</v>
      </c>
      <c r="K19" s="85" t="n">
        <v>3</v>
      </c>
      <c r="L19" s="85" t="n">
        <v>513</v>
      </c>
    </row>
    <row r="20" ht="18.75" customHeight="1" s="103">
      <c r="A20" s="78">
        <f>MID(H20,3,2)</f>
        <v/>
      </c>
      <c r="B20" s="84" t="inlineStr">
        <is>
          <t>B331</t>
        </is>
      </c>
      <c r="C20" s="84" t="inlineStr">
        <is>
          <t>上海区域</t>
        </is>
      </c>
      <c r="D20" s="84" t="inlineStr">
        <is>
          <t>CN0Q</t>
        </is>
      </c>
      <c r="E20" s="80" t="inlineStr">
        <is>
          <t>EE 苏州比斯特</t>
        </is>
      </c>
      <c r="F20" s="84" t="n">
        <v>4</v>
      </c>
      <c r="G20" s="84" t="inlineStr">
        <is>
          <t>奥特莱斯</t>
        </is>
      </c>
      <c r="H20" s="84" t="inlineStr">
        <is>
          <t>EEAKF49M03</t>
        </is>
      </c>
      <c r="I20" s="84" t="n">
        <v>1299</v>
      </c>
      <c r="J20" s="84" t="n">
        <v>1299</v>
      </c>
      <c r="K20" s="85" t="n"/>
      <c r="L20" s="85" t="n"/>
    </row>
    <row r="21" ht="18.75" customHeight="1" s="103">
      <c r="A21" s="78">
        <f>MID(H21,3,2)</f>
        <v/>
      </c>
      <c r="B21" s="84" t="inlineStr">
        <is>
          <t>B331</t>
        </is>
      </c>
      <c r="C21" s="84" t="inlineStr">
        <is>
          <t>上海区域</t>
        </is>
      </c>
      <c r="D21" s="84" t="inlineStr">
        <is>
          <t>CN0Q</t>
        </is>
      </c>
      <c r="E21" s="80" t="inlineStr">
        <is>
          <t>EE 苏州比斯特</t>
        </is>
      </c>
      <c r="F21" s="84" t="n">
        <v>4</v>
      </c>
      <c r="G21" s="84" t="inlineStr">
        <is>
          <t>奥特莱斯</t>
        </is>
      </c>
      <c r="H21" s="84" t="inlineStr">
        <is>
          <t>EEAKG23B01</t>
        </is>
      </c>
      <c r="I21" s="84" t="n">
        <v>999</v>
      </c>
      <c r="J21" s="84" t="n">
        <v>999</v>
      </c>
      <c r="K21" s="85" t="n"/>
      <c r="L21" s="85" t="n"/>
    </row>
    <row r="22" ht="18.75" customHeight="1" s="103">
      <c r="A22" s="78">
        <f>MID(H22,3,2)</f>
        <v/>
      </c>
      <c r="B22" s="84" t="inlineStr">
        <is>
          <t>B331</t>
        </is>
      </c>
      <c r="C22" s="84" t="inlineStr">
        <is>
          <t>上海区域</t>
        </is>
      </c>
      <c r="D22" s="84" t="inlineStr">
        <is>
          <t>CN0Q</t>
        </is>
      </c>
      <c r="E22" s="80" t="inlineStr">
        <is>
          <t>EE 苏州比斯特</t>
        </is>
      </c>
      <c r="F22" s="84" t="n">
        <v>4</v>
      </c>
      <c r="G22" s="84" t="inlineStr">
        <is>
          <t>奥特莱斯</t>
        </is>
      </c>
      <c r="H22" s="84" t="inlineStr">
        <is>
          <t>EEAKG25B01</t>
        </is>
      </c>
      <c r="I22" s="84" t="n">
        <v>1299</v>
      </c>
      <c r="J22" s="84" t="n">
        <v>1299</v>
      </c>
      <c r="K22" s="85" t="n"/>
      <c r="L22" s="85" t="n"/>
    </row>
    <row r="23" ht="18.75" customHeight="1" s="103">
      <c r="A23" s="78">
        <f>MID(H23,3,2)</f>
        <v/>
      </c>
      <c r="B23" s="84" t="inlineStr">
        <is>
          <t>B331</t>
        </is>
      </c>
      <c r="C23" s="84" t="inlineStr">
        <is>
          <t>上海区域</t>
        </is>
      </c>
      <c r="D23" s="84" t="inlineStr">
        <is>
          <t>CN0Q</t>
        </is>
      </c>
      <c r="E23" s="80" t="inlineStr">
        <is>
          <t>EE 苏州比斯特</t>
        </is>
      </c>
      <c r="F23" s="84" t="n">
        <v>4</v>
      </c>
      <c r="G23" s="84" t="inlineStr">
        <is>
          <t>奥特莱斯</t>
        </is>
      </c>
      <c r="H23" s="84" t="inlineStr">
        <is>
          <t>EEAKG25E01</t>
        </is>
      </c>
      <c r="I23" s="84" t="n">
        <v>1599</v>
      </c>
      <c r="J23" s="84" t="n">
        <v>1599</v>
      </c>
      <c r="K23" s="85" t="n"/>
      <c r="L23" s="85" t="n"/>
    </row>
    <row r="24" ht="18.75" customHeight="1" s="103">
      <c r="A24" s="78">
        <f>MID(H24,3,2)</f>
        <v/>
      </c>
      <c r="B24" s="84" t="inlineStr">
        <is>
          <t>B331</t>
        </is>
      </c>
      <c r="C24" s="84" t="inlineStr">
        <is>
          <t>上海区域</t>
        </is>
      </c>
      <c r="D24" s="84" t="inlineStr">
        <is>
          <t>CN0Q</t>
        </is>
      </c>
      <c r="E24" s="80" t="inlineStr">
        <is>
          <t>EE 苏州比斯特</t>
        </is>
      </c>
      <c r="F24" s="84" t="n">
        <v>4</v>
      </c>
      <c r="G24" s="84" t="inlineStr">
        <is>
          <t>奥特莱斯</t>
        </is>
      </c>
      <c r="H24" s="84" t="inlineStr">
        <is>
          <t>EEASE23Y01</t>
        </is>
      </c>
      <c r="I24" s="84" t="n">
        <v>198</v>
      </c>
      <c r="J24" s="84" t="n">
        <v>199</v>
      </c>
      <c r="K24" s="85" t="n"/>
      <c r="L24" s="85" t="n"/>
    </row>
    <row r="25" ht="18.75" customHeight="1" s="103">
      <c r="A25" s="78">
        <f>MID(H25,3,2)</f>
        <v/>
      </c>
      <c r="B25" s="84" t="inlineStr">
        <is>
          <t>B331</t>
        </is>
      </c>
      <c r="C25" s="84" t="inlineStr">
        <is>
          <t>上海区域</t>
        </is>
      </c>
      <c r="D25" s="84" t="inlineStr">
        <is>
          <t>CN0Q</t>
        </is>
      </c>
      <c r="E25" s="80" t="inlineStr">
        <is>
          <t>EE 苏州比斯特</t>
        </is>
      </c>
      <c r="F25" s="84" t="n">
        <v>4</v>
      </c>
      <c r="G25" s="84" t="inlineStr">
        <is>
          <t>奥特莱斯</t>
        </is>
      </c>
      <c r="H25" s="84" t="inlineStr">
        <is>
          <t>EEASE23Y01</t>
        </is>
      </c>
      <c r="I25" s="84" t="n">
        <v>198</v>
      </c>
      <c r="J25" s="84" t="n">
        <v>199</v>
      </c>
      <c r="K25" s="85" t="n"/>
      <c r="L25" s="85" t="n"/>
    </row>
    <row r="26" ht="18.75" customHeight="1" s="103">
      <c r="A26" s="78">
        <f>MID(H26,3,2)</f>
        <v/>
      </c>
      <c r="B26" s="84" t="inlineStr">
        <is>
          <t>B331</t>
        </is>
      </c>
      <c r="C26" s="84" t="inlineStr">
        <is>
          <t>上海区域</t>
        </is>
      </c>
      <c r="D26" s="84" t="inlineStr">
        <is>
          <t>CN0Q</t>
        </is>
      </c>
      <c r="E26" s="80" t="inlineStr">
        <is>
          <t>EE 苏州比斯特</t>
        </is>
      </c>
      <c r="F26" s="84" t="n">
        <v>4</v>
      </c>
      <c r="G26" s="84" t="inlineStr">
        <is>
          <t>奥特莱斯</t>
        </is>
      </c>
      <c r="H26" s="84" t="inlineStr">
        <is>
          <t>EEASE25Y01</t>
        </is>
      </c>
      <c r="I26" s="84" t="n">
        <v>198</v>
      </c>
      <c r="J26" s="84" t="n">
        <v>299</v>
      </c>
      <c r="K26" s="85" t="n"/>
      <c r="L26" s="85" t="n"/>
    </row>
    <row r="27" ht="18.75" customHeight="1" s="103">
      <c r="A27" s="78">
        <f>MID(H27,3,2)</f>
        <v/>
      </c>
      <c r="B27" s="84" t="inlineStr">
        <is>
          <t>B331</t>
        </is>
      </c>
      <c r="C27" s="84" t="inlineStr">
        <is>
          <t>上海区域</t>
        </is>
      </c>
      <c r="D27" s="84" t="inlineStr">
        <is>
          <t>CN0Q</t>
        </is>
      </c>
      <c r="E27" s="80" t="inlineStr">
        <is>
          <t>EE 苏州比斯特</t>
        </is>
      </c>
      <c r="F27" s="84" t="n">
        <v>4</v>
      </c>
      <c r="G27" s="84" t="inlineStr">
        <is>
          <t>奥特莱斯</t>
        </is>
      </c>
      <c r="H27" s="84" t="inlineStr">
        <is>
          <t>EEASE25Y01</t>
        </is>
      </c>
      <c r="I27" s="84" t="n">
        <v>198</v>
      </c>
      <c r="J27" s="84" t="n">
        <v>299</v>
      </c>
      <c r="K27" s="85" t="n"/>
      <c r="L27" s="85" t="n"/>
    </row>
    <row r="28" ht="18.75" customHeight="1" s="103">
      <c r="A28" s="78">
        <f>MID(H28,3,2)</f>
        <v/>
      </c>
      <c r="B28" s="84" t="inlineStr">
        <is>
          <t>B331</t>
        </is>
      </c>
      <c r="C28" s="84" t="inlineStr">
        <is>
          <t>上海区域</t>
        </is>
      </c>
      <c r="D28" s="84" t="inlineStr">
        <is>
          <t>CN0Q</t>
        </is>
      </c>
      <c r="E28" s="80" t="inlineStr">
        <is>
          <t>EE 苏州比斯特</t>
        </is>
      </c>
      <c r="F28" s="84" t="n">
        <v>4</v>
      </c>
      <c r="G28" s="84" t="inlineStr">
        <is>
          <t>奥特莱斯</t>
        </is>
      </c>
      <c r="H28" s="84" t="inlineStr">
        <is>
          <t>EEASF49N52</t>
        </is>
      </c>
      <c r="I28" s="84" t="n">
        <v>199</v>
      </c>
      <c r="J28" s="84" t="n">
        <v>299</v>
      </c>
      <c r="K28" s="85" t="n"/>
      <c r="L28" s="85" t="n"/>
    </row>
    <row r="29" ht="18.75" customHeight="1" s="103">
      <c r="A29" s="78">
        <f>MID(H29,3,2)</f>
        <v/>
      </c>
      <c r="B29" s="84" t="inlineStr">
        <is>
          <t>B331</t>
        </is>
      </c>
      <c r="C29" s="84" t="inlineStr">
        <is>
          <t>上海区域</t>
        </is>
      </c>
      <c r="D29" s="84" t="inlineStr">
        <is>
          <t>CN0Q</t>
        </is>
      </c>
      <c r="E29" s="80" t="inlineStr">
        <is>
          <t>EE 苏州比斯特</t>
        </is>
      </c>
      <c r="F29" s="84" t="n">
        <v>4</v>
      </c>
      <c r="G29" s="84" t="inlineStr">
        <is>
          <t>奥特莱斯</t>
        </is>
      </c>
      <c r="H29" s="84" t="inlineStr">
        <is>
          <t>EEASG24Q1S</t>
        </is>
      </c>
      <c r="I29" s="84" t="n">
        <v>299</v>
      </c>
      <c r="J29" s="84" t="n">
        <v>299</v>
      </c>
      <c r="K29" s="85" t="n"/>
      <c r="L29" s="85" t="n"/>
    </row>
    <row r="30" ht="18.75" customHeight="1" s="103">
      <c r="A30" s="78">
        <f>MID(H30,3,2)</f>
        <v/>
      </c>
      <c r="B30" s="84" t="inlineStr">
        <is>
          <t>B331</t>
        </is>
      </c>
      <c r="C30" s="84" t="inlineStr">
        <is>
          <t>上海区域</t>
        </is>
      </c>
      <c r="D30" s="84" t="inlineStr">
        <is>
          <t>CN0Q</t>
        </is>
      </c>
      <c r="E30" s="80" t="inlineStr">
        <is>
          <t>EE 苏州比斯特</t>
        </is>
      </c>
      <c r="F30" s="84" t="n">
        <v>4</v>
      </c>
      <c r="G30" s="84" t="inlineStr">
        <is>
          <t>奥特莱斯</t>
        </is>
      </c>
      <c r="H30" s="84" t="inlineStr">
        <is>
          <t>EEAYE49M01</t>
        </is>
      </c>
      <c r="I30" s="84" t="n">
        <v>69</v>
      </c>
      <c r="J30" s="84" t="n">
        <v>69</v>
      </c>
      <c r="K30" s="85" t="n">
        <v>2</v>
      </c>
      <c r="L30" s="85" t="n">
        <v>125</v>
      </c>
    </row>
    <row r="31" ht="18.75" customHeight="1" s="103">
      <c r="A31" s="78">
        <f>MID(H31,3,2)</f>
        <v/>
      </c>
      <c r="B31" s="84" t="inlineStr">
        <is>
          <t>B331</t>
        </is>
      </c>
      <c r="C31" s="84" t="inlineStr">
        <is>
          <t>上海区域</t>
        </is>
      </c>
      <c r="D31" s="84" t="inlineStr">
        <is>
          <t>CN0Q</t>
        </is>
      </c>
      <c r="E31" s="80" t="inlineStr">
        <is>
          <t>EE 苏州比斯特</t>
        </is>
      </c>
      <c r="F31" s="84" t="n">
        <v>4</v>
      </c>
      <c r="G31" s="84" t="inlineStr">
        <is>
          <t>奥特莱斯</t>
        </is>
      </c>
      <c r="H31" s="84" t="inlineStr">
        <is>
          <t>EEAYE49M01</t>
        </is>
      </c>
      <c r="I31" s="84" t="n">
        <v>69</v>
      </c>
      <c r="J31" s="84" t="n">
        <v>69</v>
      </c>
      <c r="K31" s="85" t="n">
        <v>1</v>
      </c>
      <c r="L31" s="85" t="n">
        <v>62</v>
      </c>
    </row>
    <row r="32" ht="18.75" customHeight="1" s="103">
      <c r="A32" s="78">
        <f>MID(H32,3,2)</f>
        <v/>
      </c>
      <c r="B32" s="84" t="inlineStr">
        <is>
          <t>B331</t>
        </is>
      </c>
      <c r="C32" s="84" t="inlineStr">
        <is>
          <t>上海区域</t>
        </is>
      </c>
      <c r="D32" s="84" t="inlineStr">
        <is>
          <t>CN0Q</t>
        </is>
      </c>
      <c r="E32" s="80" t="inlineStr">
        <is>
          <t>EE 苏州比斯特</t>
        </is>
      </c>
      <c r="F32" s="84" t="n">
        <v>4</v>
      </c>
      <c r="G32" s="84" t="inlineStr">
        <is>
          <t>奥特莱斯</t>
        </is>
      </c>
      <c r="H32" s="84" t="inlineStr">
        <is>
          <t>EEBWG23B01</t>
        </is>
      </c>
      <c r="I32" s="84" t="n">
        <v>799</v>
      </c>
      <c r="J32" s="84" t="n">
        <v>799</v>
      </c>
      <c r="K32" s="85" t="n">
        <v>2</v>
      </c>
      <c r="L32" s="86" t="n">
        <v>1320</v>
      </c>
    </row>
    <row r="33" ht="18.75" customHeight="1" s="103">
      <c r="A33" s="78">
        <f>MID(H33,3,2)</f>
        <v/>
      </c>
      <c r="B33" s="84" t="inlineStr">
        <is>
          <t>B331</t>
        </is>
      </c>
      <c r="C33" s="84" t="inlineStr">
        <is>
          <t>上海区域</t>
        </is>
      </c>
      <c r="D33" s="84" t="inlineStr">
        <is>
          <t>CN0Q</t>
        </is>
      </c>
      <c r="E33" s="80" t="inlineStr">
        <is>
          <t>EE 苏州比斯特</t>
        </is>
      </c>
      <c r="F33" s="84" t="n">
        <v>4</v>
      </c>
      <c r="G33" s="84" t="inlineStr">
        <is>
          <t>奥特莱斯</t>
        </is>
      </c>
      <c r="H33" s="84" t="inlineStr">
        <is>
          <t>EEBWG23B01</t>
        </is>
      </c>
      <c r="I33" s="84" t="n">
        <v>799</v>
      </c>
      <c r="J33" s="84" t="n">
        <v>799</v>
      </c>
      <c r="K33" s="85" t="n">
        <v>1</v>
      </c>
      <c r="L33" s="85" t="n">
        <v>236</v>
      </c>
    </row>
    <row r="34" ht="18.75" customHeight="1" s="103">
      <c r="A34" s="78">
        <f>MID(H34,3,2)</f>
        <v/>
      </c>
      <c r="B34" s="84" t="inlineStr">
        <is>
          <t>B331</t>
        </is>
      </c>
      <c r="C34" s="84" t="inlineStr">
        <is>
          <t>上海区域</t>
        </is>
      </c>
      <c r="D34" s="84" t="inlineStr">
        <is>
          <t>CN0Q</t>
        </is>
      </c>
      <c r="E34" s="80" t="inlineStr">
        <is>
          <t>EE 苏州比斯特</t>
        </is>
      </c>
      <c r="F34" s="84" t="n">
        <v>4</v>
      </c>
      <c r="G34" s="84" t="inlineStr">
        <is>
          <t>奥特莱斯</t>
        </is>
      </c>
      <c r="H34" s="84" t="inlineStr">
        <is>
          <t>EEBWG23B01</t>
        </is>
      </c>
      <c r="I34" s="84" t="n">
        <v>799</v>
      </c>
      <c r="J34" s="84" t="n">
        <v>799</v>
      </c>
      <c r="K34" s="85" t="n"/>
      <c r="L34" s="85" t="n"/>
    </row>
    <row r="35" ht="18.75" customHeight="1" s="103">
      <c r="A35" s="78">
        <f>MID(H35,3,2)</f>
        <v/>
      </c>
      <c r="B35" s="84" t="inlineStr">
        <is>
          <t>B331</t>
        </is>
      </c>
      <c r="C35" s="84" t="inlineStr">
        <is>
          <t>上海区域</t>
        </is>
      </c>
      <c r="D35" s="84" t="inlineStr">
        <is>
          <t>CN0Q</t>
        </is>
      </c>
      <c r="E35" s="80" t="inlineStr">
        <is>
          <t>EE 苏州比斯特</t>
        </is>
      </c>
      <c r="F35" s="84" t="n">
        <v>4</v>
      </c>
      <c r="G35" s="84" t="inlineStr">
        <is>
          <t>奥特莱斯</t>
        </is>
      </c>
      <c r="H35" s="84" t="inlineStr">
        <is>
          <t>EEBWG23B02</t>
        </is>
      </c>
      <c r="I35" s="84" t="n">
        <v>799</v>
      </c>
      <c r="J35" s="84" t="n">
        <v>799</v>
      </c>
      <c r="K35" s="85" t="n">
        <v>1</v>
      </c>
      <c r="L35" s="85" t="n">
        <v>509</v>
      </c>
    </row>
    <row r="36" ht="18.75" customHeight="1" s="103">
      <c r="A36" s="78">
        <f>MID(H36,3,2)</f>
        <v/>
      </c>
      <c r="B36" s="84" t="inlineStr">
        <is>
          <t>B331</t>
        </is>
      </c>
      <c r="C36" s="84" t="inlineStr">
        <is>
          <t>上海区域</t>
        </is>
      </c>
      <c r="D36" s="84" t="inlineStr">
        <is>
          <t>CN0Q</t>
        </is>
      </c>
      <c r="E36" s="80" t="inlineStr">
        <is>
          <t>EE 苏州比斯特</t>
        </is>
      </c>
      <c r="F36" s="84" t="n">
        <v>4</v>
      </c>
      <c r="G36" s="84" t="inlineStr">
        <is>
          <t>奥特莱斯</t>
        </is>
      </c>
      <c r="H36" s="84" t="inlineStr">
        <is>
          <t>EEBWG23B02</t>
        </is>
      </c>
      <c r="I36" s="84" t="n">
        <v>799</v>
      </c>
      <c r="J36" s="84" t="n">
        <v>799</v>
      </c>
      <c r="K36" s="85" t="n">
        <v>2</v>
      </c>
      <c r="L36" s="85" t="n">
        <v>240</v>
      </c>
    </row>
    <row r="37" ht="18.75" customHeight="1" s="103">
      <c r="A37" s="78">
        <f>MID(H37,3,2)</f>
        <v/>
      </c>
      <c r="B37" s="84" t="inlineStr">
        <is>
          <t>B331</t>
        </is>
      </c>
      <c r="C37" s="84" t="inlineStr">
        <is>
          <t>上海区域</t>
        </is>
      </c>
      <c r="D37" s="84" t="inlineStr">
        <is>
          <t>CN0Q</t>
        </is>
      </c>
      <c r="E37" s="80" t="inlineStr">
        <is>
          <t>EE 苏州比斯特</t>
        </is>
      </c>
      <c r="F37" s="84" t="n">
        <v>4</v>
      </c>
      <c r="G37" s="84" t="inlineStr">
        <is>
          <t>奥特莱斯</t>
        </is>
      </c>
      <c r="H37" s="84" t="inlineStr">
        <is>
          <t>EEBWG23B02</t>
        </is>
      </c>
      <c r="I37" s="84" t="n">
        <v>799</v>
      </c>
      <c r="J37" s="84" t="n">
        <v>799</v>
      </c>
      <c r="K37" s="85" t="n"/>
      <c r="L37" s="85" t="n"/>
    </row>
    <row r="38" ht="18.75" customHeight="1" s="103">
      <c r="A38" s="78">
        <f>MID(H38,3,2)</f>
        <v/>
      </c>
      <c r="B38" s="84" t="inlineStr">
        <is>
          <t>B331</t>
        </is>
      </c>
      <c r="C38" s="84" t="inlineStr">
        <is>
          <t>上海区域</t>
        </is>
      </c>
      <c r="D38" s="84" t="inlineStr">
        <is>
          <t>CN0Q</t>
        </is>
      </c>
      <c r="E38" s="80" t="inlineStr">
        <is>
          <t>EE 苏州比斯特</t>
        </is>
      </c>
      <c r="F38" s="84" t="n">
        <v>4</v>
      </c>
      <c r="G38" s="84" t="inlineStr">
        <is>
          <t>奥特莱斯</t>
        </is>
      </c>
      <c r="H38" s="84" t="inlineStr">
        <is>
          <t>EECKF23E01</t>
        </is>
      </c>
      <c r="I38" s="84" t="n">
        <v>699</v>
      </c>
      <c r="J38" s="84" t="n">
        <v>699</v>
      </c>
      <c r="K38" s="85" t="n"/>
      <c r="L38" s="85" t="n"/>
    </row>
    <row r="39" ht="18.75" customHeight="1" s="103">
      <c r="A39" s="78">
        <f>MID(H39,3,2)</f>
        <v/>
      </c>
      <c r="B39" s="84" t="inlineStr">
        <is>
          <t>B331</t>
        </is>
      </c>
      <c r="C39" s="84" t="inlineStr">
        <is>
          <t>上海区域</t>
        </is>
      </c>
      <c r="D39" s="84" t="inlineStr">
        <is>
          <t>CN0Q</t>
        </is>
      </c>
      <c r="E39" s="80" t="inlineStr">
        <is>
          <t>EE 苏州比斯特</t>
        </is>
      </c>
      <c r="F39" s="84" t="n">
        <v>4</v>
      </c>
      <c r="G39" s="84" t="inlineStr">
        <is>
          <t>奥特莱斯</t>
        </is>
      </c>
      <c r="H39" s="84" t="inlineStr">
        <is>
          <t>EECKF23E01</t>
        </is>
      </c>
      <c r="I39" s="84" t="n">
        <v>699</v>
      </c>
      <c r="J39" s="84" t="n">
        <v>699</v>
      </c>
      <c r="K39" s="85" t="n"/>
      <c r="L39" s="85" t="n"/>
    </row>
    <row r="40" ht="18.75" customHeight="1" s="103">
      <c r="A40" s="78">
        <f>MID(H40,3,2)</f>
        <v/>
      </c>
      <c r="B40" s="84" t="inlineStr">
        <is>
          <t>B331</t>
        </is>
      </c>
      <c r="C40" s="84" t="inlineStr">
        <is>
          <t>上海区域</t>
        </is>
      </c>
      <c r="D40" s="84" t="inlineStr">
        <is>
          <t>CN0Q</t>
        </is>
      </c>
      <c r="E40" s="80" t="inlineStr">
        <is>
          <t>EE 苏州比斯特</t>
        </is>
      </c>
      <c r="F40" s="84" t="n">
        <v>4</v>
      </c>
      <c r="G40" s="84" t="inlineStr">
        <is>
          <t>奥特莱斯</t>
        </is>
      </c>
      <c r="H40" s="84" t="inlineStr">
        <is>
          <t>EECKF23E01</t>
        </is>
      </c>
      <c r="I40" s="84" t="n">
        <v>699</v>
      </c>
      <c r="J40" s="84" t="n">
        <v>699</v>
      </c>
      <c r="K40" s="85" t="n"/>
      <c r="L40" s="85" t="n"/>
    </row>
    <row r="41" ht="18.75" customHeight="1" s="103">
      <c r="A41" s="78">
        <f>MID(H41,3,2)</f>
        <v/>
      </c>
      <c r="B41" s="84" t="inlineStr">
        <is>
          <t>B331</t>
        </is>
      </c>
      <c r="C41" s="84" t="inlineStr">
        <is>
          <t>上海区域</t>
        </is>
      </c>
      <c r="D41" s="84" t="inlineStr">
        <is>
          <t>CN0Q</t>
        </is>
      </c>
      <c r="E41" s="80" t="inlineStr">
        <is>
          <t>EE 苏州比斯特</t>
        </is>
      </c>
      <c r="F41" s="84" t="n">
        <v>4</v>
      </c>
      <c r="G41" s="84" t="inlineStr">
        <is>
          <t>奥特莱斯</t>
        </is>
      </c>
      <c r="H41" s="84" t="inlineStr">
        <is>
          <t>EECKF23E01</t>
        </is>
      </c>
      <c r="I41" s="84" t="n">
        <v>699</v>
      </c>
      <c r="J41" s="84" t="n">
        <v>699</v>
      </c>
      <c r="K41" s="85" t="n">
        <v>2</v>
      </c>
      <c r="L41" s="85" t="n">
        <v>637</v>
      </c>
    </row>
    <row r="42" ht="18.75" customHeight="1" s="103">
      <c r="A42" s="78">
        <f>MID(H42,3,2)</f>
        <v/>
      </c>
      <c r="B42" s="84" t="inlineStr">
        <is>
          <t>B331</t>
        </is>
      </c>
      <c r="C42" s="84" t="inlineStr">
        <is>
          <t>上海区域</t>
        </is>
      </c>
      <c r="D42" s="84" t="inlineStr">
        <is>
          <t>CN0Q</t>
        </is>
      </c>
      <c r="E42" s="80" t="inlineStr">
        <is>
          <t>EE 苏州比斯特</t>
        </is>
      </c>
      <c r="F42" s="84" t="n">
        <v>4</v>
      </c>
      <c r="G42" s="84" t="inlineStr">
        <is>
          <t>奥特莱斯</t>
        </is>
      </c>
      <c r="H42" s="84" t="inlineStr">
        <is>
          <t>EECKF23E01</t>
        </is>
      </c>
      <c r="I42" s="84" t="n">
        <v>699</v>
      </c>
      <c r="J42" s="84" t="n">
        <v>699</v>
      </c>
      <c r="K42" s="85" t="n">
        <v>1</v>
      </c>
      <c r="L42" s="85" t="n">
        <v>350</v>
      </c>
    </row>
    <row r="43" ht="18.75" customHeight="1" s="103">
      <c r="A43" s="78">
        <f>MID(H43,3,2)</f>
        <v/>
      </c>
      <c r="B43" s="84" t="inlineStr">
        <is>
          <t>B331</t>
        </is>
      </c>
      <c r="C43" s="84" t="inlineStr">
        <is>
          <t>上海区域</t>
        </is>
      </c>
      <c r="D43" s="84" t="inlineStr">
        <is>
          <t>CN0Q</t>
        </is>
      </c>
      <c r="E43" s="80" t="inlineStr">
        <is>
          <t>EE 苏州比斯特</t>
        </is>
      </c>
      <c r="F43" s="84" t="n">
        <v>4</v>
      </c>
      <c r="G43" s="84" t="inlineStr">
        <is>
          <t>奥特莱斯</t>
        </is>
      </c>
      <c r="H43" s="84" t="inlineStr">
        <is>
          <t>EECKF23E01</t>
        </is>
      </c>
      <c r="I43" s="84" t="n">
        <v>699</v>
      </c>
      <c r="J43" s="84" t="n">
        <v>699</v>
      </c>
      <c r="K43" s="85" t="n"/>
      <c r="L43" s="85" t="n"/>
    </row>
    <row r="44" ht="18.75" customHeight="1" s="103">
      <c r="A44" s="78">
        <f>MID(H44,3,2)</f>
        <v/>
      </c>
      <c r="B44" s="84" t="inlineStr">
        <is>
          <t>B331</t>
        </is>
      </c>
      <c r="C44" s="84" t="inlineStr">
        <is>
          <t>上海区域</t>
        </is>
      </c>
      <c r="D44" s="84" t="inlineStr">
        <is>
          <t>CN0Q</t>
        </is>
      </c>
      <c r="E44" s="80" t="inlineStr">
        <is>
          <t>EE 苏州比斯特</t>
        </is>
      </c>
      <c r="F44" s="84" t="n">
        <v>4</v>
      </c>
      <c r="G44" s="84" t="inlineStr">
        <is>
          <t>奥特莱斯</t>
        </is>
      </c>
      <c r="H44" s="84" t="inlineStr">
        <is>
          <t>EECKF23E01</t>
        </is>
      </c>
      <c r="I44" s="84" t="n">
        <v>699</v>
      </c>
      <c r="J44" s="84" t="n">
        <v>699</v>
      </c>
      <c r="K44" s="85" t="n">
        <v>1</v>
      </c>
      <c r="L44" s="85" t="n">
        <v>318</v>
      </c>
    </row>
    <row r="45" ht="18.75" customHeight="1" s="103">
      <c r="A45" s="78">
        <f>MID(H45,3,2)</f>
        <v/>
      </c>
      <c r="B45" s="84" t="inlineStr">
        <is>
          <t>B331</t>
        </is>
      </c>
      <c r="C45" s="84" t="inlineStr">
        <is>
          <t>上海区域</t>
        </is>
      </c>
      <c r="D45" s="84" t="inlineStr">
        <is>
          <t>CN0Q</t>
        </is>
      </c>
      <c r="E45" s="80" t="inlineStr">
        <is>
          <t>EE 苏州比斯特</t>
        </is>
      </c>
      <c r="F45" s="84" t="n">
        <v>4</v>
      </c>
      <c r="G45" s="84" t="inlineStr">
        <is>
          <t>奥特莱斯</t>
        </is>
      </c>
      <c r="H45" s="84" t="inlineStr">
        <is>
          <t>EECKF23E01</t>
        </is>
      </c>
      <c r="I45" s="84" t="n">
        <v>699</v>
      </c>
      <c r="J45" s="84" t="n">
        <v>699</v>
      </c>
      <c r="K45" s="85" t="n">
        <v>1</v>
      </c>
      <c r="L45" s="85" t="n">
        <v>190</v>
      </c>
    </row>
    <row r="46" ht="18.75" customHeight="1" s="103">
      <c r="A46" s="78">
        <f>MID(H46,3,2)</f>
        <v/>
      </c>
      <c r="B46" s="84" t="inlineStr">
        <is>
          <t>B331</t>
        </is>
      </c>
      <c r="C46" s="84" t="inlineStr">
        <is>
          <t>上海区域</t>
        </is>
      </c>
      <c r="D46" s="84" t="inlineStr">
        <is>
          <t>CN0Q</t>
        </is>
      </c>
      <c r="E46" s="80" t="inlineStr">
        <is>
          <t>EE 苏州比斯特</t>
        </is>
      </c>
      <c r="F46" s="84" t="n">
        <v>4</v>
      </c>
      <c r="G46" s="84" t="inlineStr">
        <is>
          <t>奥特莱斯</t>
        </is>
      </c>
      <c r="H46" s="84" t="inlineStr">
        <is>
          <t>EECKF23E01</t>
        </is>
      </c>
      <c r="I46" s="84" t="n">
        <v>699</v>
      </c>
      <c r="J46" s="84" t="n">
        <v>699</v>
      </c>
      <c r="K46" s="85" t="n"/>
      <c r="L46" s="85" t="n"/>
    </row>
    <row r="47" ht="18.75" customHeight="1" s="103">
      <c r="A47" s="78">
        <f>MID(H47,3,2)</f>
        <v/>
      </c>
      <c r="B47" s="84" t="inlineStr">
        <is>
          <t>B331</t>
        </is>
      </c>
      <c r="C47" s="84" t="inlineStr">
        <is>
          <t>上海区域</t>
        </is>
      </c>
      <c r="D47" s="84" t="inlineStr">
        <is>
          <t>CN0Q</t>
        </is>
      </c>
      <c r="E47" s="80" t="inlineStr">
        <is>
          <t>EE 苏州比斯特</t>
        </is>
      </c>
      <c r="F47" s="84" t="n">
        <v>4</v>
      </c>
      <c r="G47" s="84" t="inlineStr">
        <is>
          <t>奥特莱斯</t>
        </is>
      </c>
      <c r="H47" s="84" t="inlineStr">
        <is>
          <t>EECKF23E02</t>
        </is>
      </c>
      <c r="I47" s="84" t="n">
        <v>699</v>
      </c>
      <c r="J47" s="84" t="n">
        <v>699</v>
      </c>
      <c r="K47" s="85" t="n"/>
      <c r="L47" s="85" t="n"/>
    </row>
    <row r="48" ht="18.75" customHeight="1" s="103">
      <c r="A48" s="78">
        <f>MID(H48,3,2)</f>
        <v/>
      </c>
      <c r="B48" s="84" t="inlineStr">
        <is>
          <t>B331</t>
        </is>
      </c>
      <c r="C48" s="84" t="inlineStr">
        <is>
          <t>上海区域</t>
        </is>
      </c>
      <c r="D48" s="84" t="inlineStr">
        <is>
          <t>CN0Q</t>
        </is>
      </c>
      <c r="E48" s="80" t="inlineStr">
        <is>
          <t>EE 苏州比斯特</t>
        </is>
      </c>
      <c r="F48" s="84" t="n">
        <v>4</v>
      </c>
      <c r="G48" s="84" t="inlineStr">
        <is>
          <t>奥特莱斯</t>
        </is>
      </c>
      <c r="H48" s="84" t="inlineStr">
        <is>
          <t>EECKF23E02</t>
        </is>
      </c>
      <c r="I48" s="84" t="n">
        <v>699</v>
      </c>
      <c r="J48" s="84" t="n">
        <v>699</v>
      </c>
      <c r="K48" s="85" t="n"/>
      <c r="L48" s="85" t="n"/>
    </row>
    <row r="49" ht="18.75" customHeight="1" s="103">
      <c r="A49" s="78">
        <f>MID(H49,3,2)</f>
        <v/>
      </c>
      <c r="B49" s="84" t="inlineStr">
        <is>
          <t>B331</t>
        </is>
      </c>
      <c r="C49" s="84" t="inlineStr">
        <is>
          <t>上海区域</t>
        </is>
      </c>
      <c r="D49" s="84" t="inlineStr">
        <is>
          <t>CN0Q</t>
        </is>
      </c>
      <c r="E49" s="80" t="inlineStr">
        <is>
          <t>EE 苏州比斯特</t>
        </is>
      </c>
      <c r="F49" s="84" t="n">
        <v>4</v>
      </c>
      <c r="G49" s="84" t="inlineStr">
        <is>
          <t>奥特莱斯</t>
        </is>
      </c>
      <c r="H49" s="84" t="inlineStr">
        <is>
          <t>EECKF23E02</t>
        </is>
      </c>
      <c r="I49" s="84" t="n">
        <v>699</v>
      </c>
      <c r="J49" s="84" t="n">
        <v>699</v>
      </c>
      <c r="K49" s="85" t="n"/>
      <c r="L49" s="85" t="n"/>
    </row>
    <row r="50" ht="18.75" customHeight="1" s="103">
      <c r="A50" s="78">
        <f>MID(H50,3,2)</f>
        <v/>
      </c>
      <c r="B50" s="84" t="inlineStr">
        <is>
          <t>B331</t>
        </is>
      </c>
      <c r="C50" s="84" t="inlineStr">
        <is>
          <t>上海区域</t>
        </is>
      </c>
      <c r="D50" s="84" t="inlineStr">
        <is>
          <t>CN0Q</t>
        </is>
      </c>
      <c r="E50" s="80" t="inlineStr">
        <is>
          <t>EE 苏州比斯特</t>
        </is>
      </c>
      <c r="F50" s="84" t="n">
        <v>4</v>
      </c>
      <c r="G50" s="84" t="inlineStr">
        <is>
          <t>奥特莱斯</t>
        </is>
      </c>
      <c r="H50" s="84" t="inlineStr">
        <is>
          <t>EECKF23E02</t>
        </is>
      </c>
      <c r="I50" s="84" t="n">
        <v>699</v>
      </c>
      <c r="J50" s="84" t="n">
        <v>699</v>
      </c>
      <c r="K50" s="85" t="n"/>
      <c r="L50" s="85" t="n"/>
    </row>
    <row r="51" ht="18.75" customHeight="1" s="103">
      <c r="A51" s="78">
        <f>MID(H51,3,2)</f>
        <v/>
      </c>
      <c r="B51" s="84" t="inlineStr">
        <is>
          <t>B331</t>
        </is>
      </c>
      <c r="C51" s="84" t="inlineStr">
        <is>
          <t>上海区域</t>
        </is>
      </c>
      <c r="D51" s="84" t="inlineStr">
        <is>
          <t>CN0Q</t>
        </is>
      </c>
      <c r="E51" s="80" t="inlineStr">
        <is>
          <t>EE 苏州比斯特</t>
        </is>
      </c>
      <c r="F51" s="84" t="n">
        <v>4</v>
      </c>
      <c r="G51" s="84" t="inlineStr">
        <is>
          <t>奥特莱斯</t>
        </is>
      </c>
      <c r="H51" s="84" t="inlineStr">
        <is>
          <t>EECKF23E02</t>
        </is>
      </c>
      <c r="I51" s="84" t="n">
        <v>699</v>
      </c>
      <c r="J51" s="84" t="n">
        <v>699</v>
      </c>
      <c r="K51" s="85" t="n"/>
      <c r="L51" s="85" t="n"/>
    </row>
    <row r="52" ht="18.75" customHeight="1" s="103">
      <c r="A52" s="78">
        <f>MID(H52,3,2)</f>
        <v/>
      </c>
      <c r="B52" s="84" t="inlineStr">
        <is>
          <t>B331</t>
        </is>
      </c>
      <c r="C52" s="84" t="inlineStr">
        <is>
          <t>上海区域</t>
        </is>
      </c>
      <c r="D52" s="84" t="inlineStr">
        <is>
          <t>CN0Q</t>
        </is>
      </c>
      <c r="E52" s="80" t="inlineStr">
        <is>
          <t>EE 苏州比斯特</t>
        </is>
      </c>
      <c r="F52" s="84" t="n">
        <v>4</v>
      </c>
      <c r="G52" s="84" t="inlineStr">
        <is>
          <t>奥特莱斯</t>
        </is>
      </c>
      <c r="H52" s="84" t="inlineStr">
        <is>
          <t>EECKF23E02</t>
        </is>
      </c>
      <c r="I52" s="84" t="n">
        <v>699</v>
      </c>
      <c r="J52" s="84" t="n">
        <v>699</v>
      </c>
      <c r="K52" s="85" t="n"/>
      <c r="L52" s="85" t="n"/>
    </row>
    <row r="53" ht="18.75" customHeight="1" s="103">
      <c r="A53" s="78">
        <f>MID(H53,3,2)</f>
        <v/>
      </c>
      <c r="B53" s="84" t="inlineStr">
        <is>
          <t>B331</t>
        </is>
      </c>
      <c r="C53" s="84" t="inlineStr">
        <is>
          <t>上海区域</t>
        </is>
      </c>
      <c r="D53" s="84" t="inlineStr">
        <is>
          <t>CN0Q</t>
        </is>
      </c>
      <c r="E53" s="80" t="inlineStr">
        <is>
          <t>EE 苏州比斯特</t>
        </is>
      </c>
      <c r="F53" s="84" t="n">
        <v>4</v>
      </c>
      <c r="G53" s="84" t="inlineStr">
        <is>
          <t>奥特莱斯</t>
        </is>
      </c>
      <c r="H53" s="84" t="inlineStr">
        <is>
          <t>EECKF23E02</t>
        </is>
      </c>
      <c r="I53" s="84" t="n">
        <v>699</v>
      </c>
      <c r="J53" s="84" t="n">
        <v>699</v>
      </c>
      <c r="K53" s="85" t="n"/>
      <c r="L53" s="85" t="n"/>
    </row>
    <row r="54" ht="18.75" customHeight="1" s="103">
      <c r="A54" s="78">
        <f>MID(H54,3,2)</f>
        <v/>
      </c>
      <c r="B54" s="84" t="inlineStr">
        <is>
          <t>B331</t>
        </is>
      </c>
      <c r="C54" s="84" t="inlineStr">
        <is>
          <t>上海区域</t>
        </is>
      </c>
      <c r="D54" s="84" t="inlineStr">
        <is>
          <t>CN0Q</t>
        </is>
      </c>
      <c r="E54" s="80" t="inlineStr">
        <is>
          <t>EE 苏州比斯特</t>
        </is>
      </c>
      <c r="F54" s="84" t="n">
        <v>4</v>
      </c>
      <c r="G54" s="84" t="inlineStr">
        <is>
          <t>奥特莱斯</t>
        </is>
      </c>
      <c r="H54" s="84" t="inlineStr">
        <is>
          <t>EECKF23E02</t>
        </is>
      </c>
      <c r="I54" s="84" t="n">
        <v>699</v>
      </c>
      <c r="J54" s="84" t="n">
        <v>699</v>
      </c>
      <c r="K54" s="85" t="n"/>
      <c r="L54" s="85" t="n"/>
    </row>
    <row r="55" ht="18.75" customHeight="1" s="103">
      <c r="A55" s="78">
        <f>MID(H55,3,2)</f>
        <v/>
      </c>
      <c r="B55" s="84" t="inlineStr">
        <is>
          <t>B331</t>
        </is>
      </c>
      <c r="C55" s="84" t="inlineStr">
        <is>
          <t>上海区域</t>
        </is>
      </c>
      <c r="D55" s="84" t="inlineStr">
        <is>
          <t>CN0Q</t>
        </is>
      </c>
      <c r="E55" s="80" t="inlineStr">
        <is>
          <t>EE 苏州比斯特</t>
        </is>
      </c>
      <c r="F55" s="84" t="n">
        <v>4</v>
      </c>
      <c r="G55" s="84" t="inlineStr">
        <is>
          <t>奥特莱斯</t>
        </is>
      </c>
      <c r="H55" s="84" t="inlineStr">
        <is>
          <t>EECKF23E02</t>
        </is>
      </c>
      <c r="I55" s="84" t="n">
        <v>699</v>
      </c>
      <c r="J55" s="84" t="n">
        <v>699</v>
      </c>
      <c r="K55" s="85" t="n"/>
      <c r="L55" s="85" t="n"/>
    </row>
    <row r="56" ht="18.75" customHeight="1" s="103">
      <c r="A56" s="78">
        <f>MID(H56,3,2)</f>
        <v/>
      </c>
      <c r="B56" s="84" t="inlineStr">
        <is>
          <t>B331</t>
        </is>
      </c>
      <c r="C56" s="84" t="inlineStr">
        <is>
          <t>上海区域</t>
        </is>
      </c>
      <c r="D56" s="84" t="inlineStr">
        <is>
          <t>CN0Q</t>
        </is>
      </c>
      <c r="E56" s="80" t="inlineStr">
        <is>
          <t>EE 苏州比斯特</t>
        </is>
      </c>
      <c r="F56" s="84" t="n">
        <v>4</v>
      </c>
      <c r="G56" s="84" t="inlineStr">
        <is>
          <t>奥特莱斯</t>
        </is>
      </c>
      <c r="H56" s="84" t="inlineStr">
        <is>
          <t>EECKF23E02</t>
        </is>
      </c>
      <c r="I56" s="84" t="n">
        <v>699</v>
      </c>
      <c r="J56" s="84" t="n">
        <v>699</v>
      </c>
      <c r="K56" s="85" t="n"/>
      <c r="L56" s="85" t="n"/>
    </row>
    <row r="57" ht="18.75" customHeight="1" s="103">
      <c r="A57" s="78">
        <f>MID(H57,3,2)</f>
        <v/>
      </c>
      <c r="B57" s="84" t="inlineStr">
        <is>
          <t>B331</t>
        </is>
      </c>
      <c r="C57" s="84" t="inlineStr">
        <is>
          <t>上海区域</t>
        </is>
      </c>
      <c r="D57" s="84" t="inlineStr">
        <is>
          <t>CN0Q</t>
        </is>
      </c>
      <c r="E57" s="80" t="inlineStr">
        <is>
          <t>EE 苏州比斯特</t>
        </is>
      </c>
      <c r="F57" s="84" t="n">
        <v>4</v>
      </c>
      <c r="G57" s="84" t="inlineStr">
        <is>
          <t>奥特莱斯</t>
        </is>
      </c>
      <c r="H57" s="84" t="inlineStr">
        <is>
          <t>EECKF23E02</t>
        </is>
      </c>
      <c r="I57" s="84" t="n">
        <v>699</v>
      </c>
      <c r="J57" s="84" t="n">
        <v>699</v>
      </c>
      <c r="K57" s="85" t="n"/>
      <c r="L57" s="85" t="n"/>
    </row>
    <row r="58" ht="18.75" customHeight="1" s="103">
      <c r="A58" s="78">
        <f>MID(H58,3,2)</f>
        <v/>
      </c>
      <c r="B58" s="84" t="inlineStr">
        <is>
          <t>B331</t>
        </is>
      </c>
      <c r="C58" s="84" t="inlineStr">
        <is>
          <t>上海区域</t>
        </is>
      </c>
      <c r="D58" s="84" t="inlineStr">
        <is>
          <t>CN0Q</t>
        </is>
      </c>
      <c r="E58" s="80" t="inlineStr">
        <is>
          <t>EE 苏州比斯特</t>
        </is>
      </c>
      <c r="F58" s="84" t="n">
        <v>4</v>
      </c>
      <c r="G58" s="84" t="inlineStr">
        <is>
          <t>奥特莱斯</t>
        </is>
      </c>
      <c r="H58" s="84" t="inlineStr">
        <is>
          <t>EECKF23E02</t>
        </is>
      </c>
      <c r="I58" s="84" t="n">
        <v>699</v>
      </c>
      <c r="J58" s="84" t="n">
        <v>699</v>
      </c>
      <c r="K58" s="85" t="n"/>
      <c r="L58" s="85" t="n"/>
    </row>
    <row r="59" ht="18.75" customHeight="1" s="103">
      <c r="A59" s="78">
        <f>MID(H59,3,2)</f>
        <v/>
      </c>
      <c r="B59" s="84" t="inlineStr">
        <is>
          <t>B331</t>
        </is>
      </c>
      <c r="C59" s="84" t="inlineStr">
        <is>
          <t>上海区域</t>
        </is>
      </c>
      <c r="D59" s="84" t="inlineStr">
        <is>
          <t>CN0Q</t>
        </is>
      </c>
      <c r="E59" s="80" t="inlineStr">
        <is>
          <t>EE 苏州比斯特</t>
        </is>
      </c>
      <c r="F59" s="84" t="n">
        <v>4</v>
      </c>
      <c r="G59" s="84" t="inlineStr">
        <is>
          <t>奥特莱斯</t>
        </is>
      </c>
      <c r="H59" s="84" t="inlineStr">
        <is>
          <t>EECKF23M03</t>
        </is>
      </c>
      <c r="I59" s="84" t="n">
        <v>699</v>
      </c>
      <c r="J59" s="84" t="n">
        <v>699</v>
      </c>
      <c r="K59" s="85" t="n">
        <v>2</v>
      </c>
      <c r="L59" s="85" t="n">
        <v>699</v>
      </c>
    </row>
    <row r="60" ht="18.75" customHeight="1" s="103">
      <c r="A60" s="78">
        <f>MID(H60,3,2)</f>
        <v/>
      </c>
      <c r="B60" s="84" t="inlineStr">
        <is>
          <t>B331</t>
        </is>
      </c>
      <c r="C60" s="84" t="inlineStr">
        <is>
          <t>上海区域</t>
        </is>
      </c>
      <c r="D60" s="84" t="inlineStr">
        <is>
          <t>CN0Q</t>
        </is>
      </c>
      <c r="E60" s="80" t="inlineStr">
        <is>
          <t>EE 苏州比斯特</t>
        </is>
      </c>
      <c r="F60" s="84" t="n">
        <v>4</v>
      </c>
      <c r="G60" s="84" t="inlineStr">
        <is>
          <t>奥特莱斯</t>
        </is>
      </c>
      <c r="H60" s="84" t="inlineStr">
        <is>
          <t>EECKF23M03</t>
        </is>
      </c>
      <c r="I60" s="84" t="n">
        <v>699</v>
      </c>
      <c r="J60" s="84" t="n">
        <v>699</v>
      </c>
      <c r="K60" s="85" t="n">
        <v>2</v>
      </c>
      <c r="L60" s="85" t="n">
        <v>508</v>
      </c>
    </row>
    <row r="61" ht="18.75" customHeight="1" s="103">
      <c r="A61" s="78">
        <f>MID(H61,3,2)</f>
        <v/>
      </c>
      <c r="B61" s="84" t="inlineStr">
        <is>
          <t>B331</t>
        </is>
      </c>
      <c r="C61" s="84" t="inlineStr">
        <is>
          <t>上海区域</t>
        </is>
      </c>
      <c r="D61" s="84" t="inlineStr">
        <is>
          <t>CN0Q</t>
        </is>
      </c>
      <c r="E61" s="80" t="inlineStr">
        <is>
          <t>EE 苏州比斯特</t>
        </is>
      </c>
      <c r="F61" s="84" t="n">
        <v>4</v>
      </c>
      <c r="G61" s="84" t="inlineStr">
        <is>
          <t>奥特莱斯</t>
        </is>
      </c>
      <c r="H61" s="84" t="inlineStr">
        <is>
          <t>EECKF23M03</t>
        </is>
      </c>
      <c r="I61" s="84" t="n">
        <v>699</v>
      </c>
      <c r="J61" s="84" t="n">
        <v>699</v>
      </c>
      <c r="K61" s="85" t="n">
        <v>1</v>
      </c>
      <c r="L61" s="85" t="n">
        <v>350</v>
      </c>
    </row>
    <row r="62" ht="18.75" customHeight="1" s="103">
      <c r="A62" s="78">
        <f>MID(H62,3,2)</f>
        <v/>
      </c>
      <c r="B62" s="84" t="inlineStr">
        <is>
          <t>B331</t>
        </is>
      </c>
      <c r="C62" s="84" t="inlineStr">
        <is>
          <t>上海区域</t>
        </is>
      </c>
      <c r="D62" s="84" t="inlineStr">
        <is>
          <t>CN0Q</t>
        </is>
      </c>
      <c r="E62" s="80" t="inlineStr">
        <is>
          <t>EE 苏州比斯特</t>
        </is>
      </c>
      <c r="F62" s="84" t="n">
        <v>4</v>
      </c>
      <c r="G62" s="84" t="inlineStr">
        <is>
          <t>奥特莱斯</t>
        </is>
      </c>
      <c r="H62" s="84" t="inlineStr">
        <is>
          <t>EECKF24E03</t>
        </is>
      </c>
      <c r="I62" s="84" t="n">
        <v>699</v>
      </c>
      <c r="J62" s="84" t="n">
        <v>699</v>
      </c>
      <c r="K62" s="85" t="n"/>
      <c r="L62" s="85" t="n"/>
    </row>
    <row r="63" ht="18.75" customHeight="1" s="103">
      <c r="A63" s="78">
        <f>MID(H63,3,2)</f>
        <v/>
      </c>
      <c r="B63" s="84" t="inlineStr">
        <is>
          <t>B331</t>
        </is>
      </c>
      <c r="C63" s="84" t="inlineStr">
        <is>
          <t>上海区域</t>
        </is>
      </c>
      <c r="D63" s="84" t="inlineStr">
        <is>
          <t>CN0Q</t>
        </is>
      </c>
      <c r="E63" s="80" t="inlineStr">
        <is>
          <t>EE 苏州比斯特</t>
        </is>
      </c>
      <c r="F63" s="84" t="n">
        <v>4</v>
      </c>
      <c r="G63" s="84" t="inlineStr">
        <is>
          <t>奥特莱斯</t>
        </is>
      </c>
      <c r="H63" s="84" t="inlineStr">
        <is>
          <t>EECKF24E03</t>
        </is>
      </c>
      <c r="I63" s="84" t="n">
        <v>699</v>
      </c>
      <c r="J63" s="84" t="n">
        <v>699</v>
      </c>
      <c r="K63" s="85" t="n"/>
      <c r="L63" s="85" t="n"/>
    </row>
    <row r="64" ht="18.75" customHeight="1" s="103">
      <c r="A64" s="78">
        <f>MID(H64,3,2)</f>
        <v/>
      </c>
      <c r="B64" s="84" t="inlineStr">
        <is>
          <t>B331</t>
        </is>
      </c>
      <c r="C64" s="84" t="inlineStr">
        <is>
          <t>上海区域</t>
        </is>
      </c>
      <c r="D64" s="84" t="inlineStr">
        <is>
          <t>CN0Q</t>
        </is>
      </c>
      <c r="E64" s="80" t="inlineStr">
        <is>
          <t>EE 苏州比斯特</t>
        </is>
      </c>
      <c r="F64" s="84" t="n">
        <v>4</v>
      </c>
      <c r="G64" s="84" t="inlineStr">
        <is>
          <t>奥特莱斯</t>
        </is>
      </c>
      <c r="H64" s="84" t="inlineStr">
        <is>
          <t>EECKF24E03</t>
        </is>
      </c>
      <c r="I64" s="84" t="n">
        <v>699</v>
      </c>
      <c r="J64" s="84" t="n">
        <v>699</v>
      </c>
      <c r="K64" s="85" t="n">
        <v>1</v>
      </c>
      <c r="L64" s="85" t="n">
        <v>322</v>
      </c>
    </row>
    <row r="65" ht="18.75" customHeight="1" s="103">
      <c r="A65" s="78">
        <f>MID(H65,3,2)</f>
        <v/>
      </c>
      <c r="B65" s="84" t="inlineStr">
        <is>
          <t>B331</t>
        </is>
      </c>
      <c r="C65" s="84" t="inlineStr">
        <is>
          <t>上海区域</t>
        </is>
      </c>
      <c r="D65" s="84" t="inlineStr">
        <is>
          <t>CN0Q</t>
        </is>
      </c>
      <c r="E65" s="80" t="inlineStr">
        <is>
          <t>EE 苏州比斯特</t>
        </is>
      </c>
      <c r="F65" s="84" t="n">
        <v>4</v>
      </c>
      <c r="G65" s="84" t="inlineStr">
        <is>
          <t>奥特莱斯</t>
        </is>
      </c>
      <c r="H65" s="84" t="inlineStr">
        <is>
          <t>EECKF24E03</t>
        </is>
      </c>
      <c r="I65" s="84" t="n">
        <v>699</v>
      </c>
      <c r="J65" s="84" t="n">
        <v>699</v>
      </c>
      <c r="K65" s="85" t="n">
        <v>1</v>
      </c>
      <c r="L65" s="85" t="n">
        <v>327</v>
      </c>
    </row>
    <row r="66" ht="18.75" customHeight="1" s="103">
      <c r="A66" s="78">
        <f>MID(H66,3,2)</f>
        <v/>
      </c>
      <c r="B66" s="84" t="inlineStr">
        <is>
          <t>B331</t>
        </is>
      </c>
      <c r="C66" s="84" t="inlineStr">
        <is>
          <t>上海区域</t>
        </is>
      </c>
      <c r="D66" s="84" t="inlineStr">
        <is>
          <t>CN0Q</t>
        </is>
      </c>
      <c r="E66" s="80" t="inlineStr">
        <is>
          <t>EE 苏州比斯特</t>
        </is>
      </c>
      <c r="F66" s="84" t="n">
        <v>4</v>
      </c>
      <c r="G66" s="84" t="inlineStr">
        <is>
          <t>奥特莱斯</t>
        </is>
      </c>
      <c r="H66" s="84" t="inlineStr">
        <is>
          <t>EECKF24E03</t>
        </is>
      </c>
      <c r="I66" s="84" t="n">
        <v>699</v>
      </c>
      <c r="J66" s="84" t="n">
        <v>699</v>
      </c>
      <c r="K66" s="85" t="n"/>
      <c r="L66" s="85" t="n"/>
    </row>
    <row r="67" ht="18.75" customHeight="1" s="103">
      <c r="A67" s="78">
        <f>MID(H67,3,2)</f>
        <v/>
      </c>
      <c r="B67" s="84" t="inlineStr">
        <is>
          <t>B331</t>
        </is>
      </c>
      <c r="C67" s="84" t="inlineStr">
        <is>
          <t>上海区域</t>
        </is>
      </c>
      <c r="D67" s="84" t="inlineStr">
        <is>
          <t>CN0Q</t>
        </is>
      </c>
      <c r="E67" s="80" t="inlineStr">
        <is>
          <t>EE 苏州比斯特</t>
        </is>
      </c>
      <c r="F67" s="84" t="n">
        <v>4</v>
      </c>
      <c r="G67" s="84" t="inlineStr">
        <is>
          <t>奥特莱斯</t>
        </is>
      </c>
      <c r="H67" s="84" t="inlineStr">
        <is>
          <t>EECKF24E03</t>
        </is>
      </c>
      <c r="I67" s="84" t="n">
        <v>699</v>
      </c>
      <c r="J67" s="84" t="n">
        <v>699</v>
      </c>
      <c r="K67" s="85" t="n"/>
      <c r="L67" s="85" t="n"/>
    </row>
    <row r="68" ht="18.75" customHeight="1" s="103">
      <c r="A68" s="78">
        <f>MID(H68,3,2)</f>
        <v/>
      </c>
      <c r="B68" s="84" t="inlineStr">
        <is>
          <t>B331</t>
        </is>
      </c>
      <c r="C68" s="84" t="inlineStr">
        <is>
          <t>上海区域</t>
        </is>
      </c>
      <c r="D68" s="84" t="inlineStr">
        <is>
          <t>CN0Q</t>
        </is>
      </c>
      <c r="E68" s="80" t="inlineStr">
        <is>
          <t>EE 苏州比斯特</t>
        </is>
      </c>
      <c r="F68" s="84" t="n">
        <v>4</v>
      </c>
      <c r="G68" s="84" t="inlineStr">
        <is>
          <t>奥特莱斯</t>
        </is>
      </c>
      <c r="H68" s="84" t="inlineStr">
        <is>
          <t>EECKF24E03</t>
        </is>
      </c>
      <c r="I68" s="84" t="n">
        <v>699</v>
      </c>
      <c r="J68" s="84" t="n">
        <v>699</v>
      </c>
      <c r="K68" s="85" t="n"/>
      <c r="L68" s="85" t="n"/>
    </row>
    <row r="69" ht="18.75" customHeight="1" s="103">
      <c r="A69" s="78">
        <f>MID(H69,3,2)</f>
        <v/>
      </c>
      <c r="B69" s="84" t="inlineStr">
        <is>
          <t>B331</t>
        </is>
      </c>
      <c r="C69" s="84" t="inlineStr">
        <is>
          <t>上海区域</t>
        </is>
      </c>
      <c r="D69" s="84" t="inlineStr">
        <is>
          <t>CN0Q</t>
        </is>
      </c>
      <c r="E69" s="80" t="inlineStr">
        <is>
          <t>EE 苏州比斯特</t>
        </is>
      </c>
      <c r="F69" s="84" t="n">
        <v>4</v>
      </c>
      <c r="G69" s="84" t="inlineStr">
        <is>
          <t>奥特莱斯</t>
        </is>
      </c>
      <c r="H69" s="84" t="inlineStr">
        <is>
          <t>EECKF24E03</t>
        </is>
      </c>
      <c r="I69" s="84" t="n">
        <v>699</v>
      </c>
      <c r="J69" s="84" t="n">
        <v>699</v>
      </c>
      <c r="K69" s="85" t="n"/>
      <c r="L69" s="85" t="n"/>
    </row>
    <row r="70" ht="18.75" customHeight="1" s="103">
      <c r="A70" s="78">
        <f>MID(H70,3,2)</f>
        <v/>
      </c>
      <c r="B70" s="84" t="inlineStr">
        <is>
          <t>B331</t>
        </is>
      </c>
      <c r="C70" s="84" t="inlineStr">
        <is>
          <t>上海区域</t>
        </is>
      </c>
      <c r="D70" s="84" t="inlineStr">
        <is>
          <t>CN0Q</t>
        </is>
      </c>
      <c r="E70" s="80" t="inlineStr">
        <is>
          <t>EE 苏州比斯特</t>
        </is>
      </c>
      <c r="F70" s="84" t="n">
        <v>4</v>
      </c>
      <c r="G70" s="84" t="inlineStr">
        <is>
          <t>奥特莱斯</t>
        </is>
      </c>
      <c r="H70" s="84" t="inlineStr">
        <is>
          <t>EECKF24M01</t>
        </is>
      </c>
      <c r="I70" s="84" t="n">
        <v>699</v>
      </c>
      <c r="J70" s="84" t="n">
        <v>699</v>
      </c>
      <c r="K70" s="85" t="n"/>
      <c r="L70" s="85" t="n"/>
    </row>
    <row r="71" ht="18.75" customHeight="1" s="103">
      <c r="A71" s="78">
        <f>MID(H71,3,2)</f>
        <v/>
      </c>
      <c r="B71" s="84" t="inlineStr">
        <is>
          <t>B331</t>
        </is>
      </c>
      <c r="C71" s="84" t="inlineStr">
        <is>
          <t>上海区域</t>
        </is>
      </c>
      <c r="D71" s="84" t="inlineStr">
        <is>
          <t>CN0Q</t>
        </is>
      </c>
      <c r="E71" s="80" t="inlineStr">
        <is>
          <t>EE 苏州比斯特</t>
        </is>
      </c>
      <c r="F71" s="84" t="n">
        <v>4</v>
      </c>
      <c r="G71" s="84" t="inlineStr">
        <is>
          <t>奥特莱斯</t>
        </is>
      </c>
      <c r="H71" s="84" t="inlineStr">
        <is>
          <t>EECKF24M01</t>
        </is>
      </c>
      <c r="I71" s="84" t="n">
        <v>699</v>
      </c>
      <c r="J71" s="84" t="n">
        <v>699</v>
      </c>
      <c r="K71" s="85" t="n"/>
      <c r="L71" s="85" t="n"/>
    </row>
    <row r="72" ht="18.75" customHeight="1" s="103">
      <c r="A72" s="78">
        <f>MID(H72,3,2)</f>
        <v/>
      </c>
      <c r="B72" s="84" t="inlineStr">
        <is>
          <t>B331</t>
        </is>
      </c>
      <c r="C72" s="84" t="inlineStr">
        <is>
          <t>上海区域</t>
        </is>
      </c>
      <c r="D72" s="84" t="inlineStr">
        <is>
          <t>CN0Q</t>
        </is>
      </c>
      <c r="E72" s="80" t="inlineStr">
        <is>
          <t>EE 苏州比斯特</t>
        </is>
      </c>
      <c r="F72" s="84" t="n">
        <v>4</v>
      </c>
      <c r="G72" s="84" t="inlineStr">
        <is>
          <t>奥特莱斯</t>
        </is>
      </c>
      <c r="H72" s="84" t="inlineStr">
        <is>
          <t>EECKF24M01</t>
        </is>
      </c>
      <c r="I72" s="84" t="n">
        <v>699</v>
      </c>
      <c r="J72" s="84" t="n">
        <v>699</v>
      </c>
      <c r="K72" s="85" t="n"/>
      <c r="L72" s="85" t="n"/>
    </row>
    <row r="73" ht="18.75" customHeight="1" s="103">
      <c r="A73" s="78">
        <f>MID(H73,3,2)</f>
        <v/>
      </c>
      <c r="B73" s="84" t="inlineStr">
        <is>
          <t>B331</t>
        </is>
      </c>
      <c r="C73" s="84" t="inlineStr">
        <is>
          <t>上海区域</t>
        </is>
      </c>
      <c r="D73" s="84" t="inlineStr">
        <is>
          <t>CN0Q</t>
        </is>
      </c>
      <c r="E73" s="80" t="inlineStr">
        <is>
          <t>EE 苏州比斯特</t>
        </is>
      </c>
      <c r="F73" s="84" t="n">
        <v>4</v>
      </c>
      <c r="G73" s="84" t="inlineStr">
        <is>
          <t>奥特莱斯</t>
        </is>
      </c>
      <c r="H73" s="84" t="inlineStr">
        <is>
          <t>EECKF24M01</t>
        </is>
      </c>
      <c r="I73" s="84" t="n">
        <v>699</v>
      </c>
      <c r="J73" s="84" t="n">
        <v>699</v>
      </c>
      <c r="K73" s="85" t="n"/>
      <c r="L73" s="85" t="n"/>
    </row>
    <row r="74" ht="18.75" customHeight="1" s="103">
      <c r="A74" s="78">
        <f>MID(H74,3,2)</f>
        <v/>
      </c>
      <c r="B74" s="84" t="inlineStr">
        <is>
          <t>B331</t>
        </is>
      </c>
      <c r="C74" s="84" t="inlineStr">
        <is>
          <t>上海区域</t>
        </is>
      </c>
      <c r="D74" s="84" t="inlineStr">
        <is>
          <t>CN0Q</t>
        </is>
      </c>
      <c r="E74" s="80" t="inlineStr">
        <is>
          <t>EE 苏州比斯特</t>
        </is>
      </c>
      <c r="F74" s="84" t="n">
        <v>4</v>
      </c>
      <c r="G74" s="84" t="inlineStr">
        <is>
          <t>奥特莱斯</t>
        </is>
      </c>
      <c r="H74" s="84" t="inlineStr">
        <is>
          <t>EECKF24M01</t>
        </is>
      </c>
      <c r="I74" s="84" t="n">
        <v>699</v>
      </c>
      <c r="J74" s="84" t="n">
        <v>699</v>
      </c>
      <c r="K74" s="85" t="n"/>
      <c r="L74" s="85" t="n"/>
    </row>
    <row r="75" ht="18.75" customHeight="1" s="103">
      <c r="A75" s="78">
        <f>MID(H75,3,2)</f>
        <v/>
      </c>
      <c r="B75" s="84" t="inlineStr">
        <is>
          <t>B331</t>
        </is>
      </c>
      <c r="C75" s="84" t="inlineStr">
        <is>
          <t>上海区域</t>
        </is>
      </c>
      <c r="D75" s="84" t="inlineStr">
        <is>
          <t>CN0Q</t>
        </is>
      </c>
      <c r="E75" s="80" t="inlineStr">
        <is>
          <t>EE 苏州比斯特</t>
        </is>
      </c>
      <c r="F75" s="84" t="n">
        <v>4</v>
      </c>
      <c r="G75" s="84" t="inlineStr">
        <is>
          <t>奥特莱斯</t>
        </is>
      </c>
      <c r="H75" s="84" t="inlineStr">
        <is>
          <t>EECKF24M01</t>
        </is>
      </c>
      <c r="I75" s="84" t="n">
        <v>699</v>
      </c>
      <c r="J75" s="84" t="n">
        <v>699</v>
      </c>
      <c r="K75" s="85" t="n"/>
      <c r="L75" s="85" t="n"/>
    </row>
    <row r="76" ht="18.75" customHeight="1" s="103">
      <c r="A76" s="78">
        <f>MID(H76,3,2)</f>
        <v/>
      </c>
      <c r="B76" s="84" t="inlineStr">
        <is>
          <t>B331</t>
        </is>
      </c>
      <c r="C76" s="84" t="inlineStr">
        <is>
          <t>上海区域</t>
        </is>
      </c>
      <c r="D76" s="84" t="inlineStr">
        <is>
          <t>CN0Q</t>
        </is>
      </c>
      <c r="E76" s="80" t="inlineStr">
        <is>
          <t>EE 苏州比斯特</t>
        </is>
      </c>
      <c r="F76" s="84" t="n">
        <v>4</v>
      </c>
      <c r="G76" s="84" t="inlineStr">
        <is>
          <t>奥特莱斯</t>
        </is>
      </c>
      <c r="H76" s="84" t="inlineStr">
        <is>
          <t>EECKF24N52</t>
        </is>
      </c>
      <c r="I76" s="84" t="n">
        <v>699</v>
      </c>
      <c r="J76" s="84" t="n">
        <v>699</v>
      </c>
      <c r="K76" s="85" t="n"/>
      <c r="L76" s="85" t="n"/>
    </row>
    <row r="77" ht="18.75" customHeight="1" s="103">
      <c r="A77" s="78">
        <f>MID(H77,3,2)</f>
        <v/>
      </c>
      <c r="B77" s="84" t="inlineStr">
        <is>
          <t>B331</t>
        </is>
      </c>
      <c r="C77" s="84" t="inlineStr">
        <is>
          <t>上海区域</t>
        </is>
      </c>
      <c r="D77" s="84" t="inlineStr">
        <is>
          <t>CN0Q</t>
        </is>
      </c>
      <c r="E77" s="80" t="inlineStr">
        <is>
          <t>EE 苏州比斯特</t>
        </is>
      </c>
      <c r="F77" s="84" t="n">
        <v>4</v>
      </c>
      <c r="G77" s="84" t="inlineStr">
        <is>
          <t>奥特莱斯</t>
        </is>
      </c>
      <c r="H77" s="84" t="inlineStr">
        <is>
          <t>EECKF24N52</t>
        </is>
      </c>
      <c r="I77" s="84" t="n">
        <v>699</v>
      </c>
      <c r="J77" s="84" t="n">
        <v>699</v>
      </c>
      <c r="K77" s="85" t="n">
        <v>1</v>
      </c>
      <c r="L77" s="85" t="n"/>
    </row>
    <row r="78" ht="18.75" customHeight="1" s="103">
      <c r="A78" s="78">
        <f>MID(H78,3,2)</f>
        <v/>
      </c>
      <c r="B78" s="84" t="inlineStr">
        <is>
          <t>B331</t>
        </is>
      </c>
      <c r="C78" s="84" t="inlineStr">
        <is>
          <t>上海区域</t>
        </is>
      </c>
      <c r="D78" s="84" t="inlineStr">
        <is>
          <t>CN0Q</t>
        </is>
      </c>
      <c r="E78" s="80" t="inlineStr">
        <is>
          <t>EE 苏州比斯特</t>
        </is>
      </c>
      <c r="F78" s="84" t="n">
        <v>4</v>
      </c>
      <c r="G78" s="84" t="inlineStr">
        <is>
          <t>奥特莱斯</t>
        </is>
      </c>
      <c r="H78" s="84" t="inlineStr">
        <is>
          <t>EECKF24N52</t>
        </is>
      </c>
      <c r="I78" s="84" t="n">
        <v>699</v>
      </c>
      <c r="J78" s="84" t="n">
        <v>699</v>
      </c>
      <c r="K78" s="85" t="n"/>
      <c r="L78" s="85" t="n"/>
    </row>
    <row r="79" ht="18.75" customHeight="1" s="103">
      <c r="A79" s="78">
        <f>MID(H79,3,2)</f>
        <v/>
      </c>
      <c r="B79" s="84" t="inlineStr">
        <is>
          <t>B331</t>
        </is>
      </c>
      <c r="C79" s="84" t="inlineStr">
        <is>
          <t>上海区域</t>
        </is>
      </c>
      <c r="D79" s="84" t="inlineStr">
        <is>
          <t>CN0Q</t>
        </is>
      </c>
      <c r="E79" s="80" t="inlineStr">
        <is>
          <t>EE 苏州比斯特</t>
        </is>
      </c>
      <c r="F79" s="84" t="n">
        <v>4</v>
      </c>
      <c r="G79" s="84" t="inlineStr">
        <is>
          <t>奥特莱斯</t>
        </is>
      </c>
      <c r="H79" s="84" t="inlineStr">
        <is>
          <t>EECKF24N54</t>
        </is>
      </c>
      <c r="I79" s="84" t="n">
        <v>599</v>
      </c>
      <c r="J79" s="84" t="n">
        <v>599</v>
      </c>
      <c r="K79" s="85" t="n">
        <v>2</v>
      </c>
      <c r="L79" s="85" t="n"/>
    </row>
    <row r="80" ht="18.75" customHeight="1" s="103">
      <c r="A80" s="78">
        <f>MID(H80,3,2)</f>
        <v/>
      </c>
      <c r="B80" s="84" t="inlineStr">
        <is>
          <t>B331</t>
        </is>
      </c>
      <c r="C80" s="84" t="inlineStr">
        <is>
          <t>上海区域</t>
        </is>
      </c>
      <c r="D80" s="84" t="inlineStr">
        <is>
          <t>CN0Q</t>
        </is>
      </c>
      <c r="E80" s="80" t="inlineStr">
        <is>
          <t>EE 苏州比斯特</t>
        </is>
      </c>
      <c r="F80" s="84" t="n">
        <v>4</v>
      </c>
      <c r="G80" s="84" t="inlineStr">
        <is>
          <t>奥特莱斯</t>
        </is>
      </c>
      <c r="H80" s="84" t="inlineStr">
        <is>
          <t>EECKF24N54</t>
        </is>
      </c>
      <c r="I80" s="84" t="n">
        <v>599</v>
      </c>
      <c r="J80" s="84" t="n">
        <v>599</v>
      </c>
      <c r="K80" s="85" t="n">
        <v>2</v>
      </c>
      <c r="L80" s="85" t="n"/>
    </row>
    <row r="81" ht="18.75" customHeight="1" s="103">
      <c r="A81" s="78">
        <f>MID(H81,3,2)</f>
        <v/>
      </c>
      <c r="B81" s="84" t="inlineStr">
        <is>
          <t>B331</t>
        </is>
      </c>
      <c r="C81" s="84" t="inlineStr">
        <is>
          <t>上海区域</t>
        </is>
      </c>
      <c r="D81" s="84" t="inlineStr">
        <is>
          <t>CN0Q</t>
        </is>
      </c>
      <c r="E81" s="80" t="inlineStr">
        <is>
          <t>EE 苏州比斯特</t>
        </is>
      </c>
      <c r="F81" s="84" t="n">
        <v>4</v>
      </c>
      <c r="G81" s="84" t="inlineStr">
        <is>
          <t>奥特莱斯</t>
        </is>
      </c>
      <c r="H81" s="84" t="inlineStr">
        <is>
          <t>EECKF24N54</t>
        </is>
      </c>
      <c r="I81" s="84" t="n">
        <v>599</v>
      </c>
      <c r="J81" s="84" t="n">
        <v>599</v>
      </c>
      <c r="K81" s="85" t="n">
        <v>3</v>
      </c>
      <c r="L81" s="85" t="n"/>
    </row>
    <row r="82" ht="18.75" customHeight="1" s="103">
      <c r="A82" s="78">
        <f>MID(H82,3,2)</f>
        <v/>
      </c>
      <c r="B82" s="84" t="inlineStr">
        <is>
          <t>B331</t>
        </is>
      </c>
      <c r="C82" s="84" t="inlineStr">
        <is>
          <t>上海区域</t>
        </is>
      </c>
      <c r="D82" s="84" t="inlineStr">
        <is>
          <t>CN0Q</t>
        </is>
      </c>
      <c r="E82" s="80" t="inlineStr">
        <is>
          <t>EE 苏州比斯特</t>
        </is>
      </c>
      <c r="F82" s="84" t="n">
        <v>4</v>
      </c>
      <c r="G82" s="84" t="inlineStr">
        <is>
          <t>奥特莱斯</t>
        </is>
      </c>
      <c r="H82" s="84" t="inlineStr">
        <is>
          <t>EECKF24N54</t>
        </is>
      </c>
      <c r="I82" s="84" t="n">
        <v>599</v>
      </c>
      <c r="J82" s="84" t="n">
        <v>599</v>
      </c>
      <c r="K82" s="85" t="n">
        <v>1</v>
      </c>
      <c r="L82" s="85" t="n"/>
    </row>
    <row r="83" ht="18.75" customHeight="1" s="103">
      <c r="A83" s="78">
        <f>MID(H83,3,2)</f>
        <v/>
      </c>
      <c r="B83" s="84" t="inlineStr">
        <is>
          <t>B331</t>
        </is>
      </c>
      <c r="C83" s="84" t="inlineStr">
        <is>
          <t>上海区域</t>
        </is>
      </c>
      <c r="D83" s="84" t="inlineStr">
        <is>
          <t>CN0Q</t>
        </is>
      </c>
      <c r="E83" s="80" t="inlineStr">
        <is>
          <t>EE 苏州比斯特</t>
        </is>
      </c>
      <c r="F83" s="84" t="n">
        <v>4</v>
      </c>
      <c r="G83" s="84" t="inlineStr">
        <is>
          <t>奥特莱斯</t>
        </is>
      </c>
      <c r="H83" s="84" t="inlineStr">
        <is>
          <t>EECKF24N54</t>
        </is>
      </c>
      <c r="I83" s="84" t="n">
        <v>599</v>
      </c>
      <c r="J83" s="84" t="n">
        <v>599</v>
      </c>
      <c r="K83" s="85" t="n">
        <v>2</v>
      </c>
      <c r="L83" s="85" t="n">
        <v>276</v>
      </c>
    </row>
    <row r="84" ht="18.75" customHeight="1" s="103">
      <c r="A84" s="78">
        <f>MID(H84,3,2)</f>
        <v/>
      </c>
      <c r="B84" s="84" t="inlineStr">
        <is>
          <t>B331</t>
        </is>
      </c>
      <c r="C84" s="84" t="inlineStr">
        <is>
          <t>上海区域</t>
        </is>
      </c>
      <c r="D84" s="84" t="inlineStr">
        <is>
          <t>CN0Q</t>
        </is>
      </c>
      <c r="E84" s="80" t="inlineStr">
        <is>
          <t>EE 苏州比斯特</t>
        </is>
      </c>
      <c r="F84" s="84" t="n">
        <v>4</v>
      </c>
      <c r="G84" s="84" t="inlineStr">
        <is>
          <t>奥特莱斯</t>
        </is>
      </c>
      <c r="H84" s="84" t="inlineStr">
        <is>
          <t>EECKF24N54</t>
        </is>
      </c>
      <c r="I84" s="84" t="n">
        <v>599</v>
      </c>
      <c r="J84" s="84" t="n">
        <v>599</v>
      </c>
      <c r="K84" s="85" t="n">
        <v>3</v>
      </c>
      <c r="L84" s="85" t="n"/>
    </row>
    <row r="85" ht="18.75" customHeight="1" s="103">
      <c r="A85" s="78">
        <f>MID(H85,3,2)</f>
        <v/>
      </c>
      <c r="B85" s="84" t="inlineStr">
        <is>
          <t>B331</t>
        </is>
      </c>
      <c r="C85" s="84" t="inlineStr">
        <is>
          <t>上海区域</t>
        </is>
      </c>
      <c r="D85" s="84" t="inlineStr">
        <is>
          <t>CN0Q</t>
        </is>
      </c>
      <c r="E85" s="80" t="inlineStr">
        <is>
          <t>EE 苏州比斯特</t>
        </is>
      </c>
      <c r="F85" s="84" t="n">
        <v>4</v>
      </c>
      <c r="G85" s="84" t="inlineStr">
        <is>
          <t>奥特莱斯</t>
        </is>
      </c>
      <c r="H85" s="84" t="inlineStr">
        <is>
          <t>EECKF24N54</t>
        </is>
      </c>
      <c r="I85" s="84" t="n">
        <v>599</v>
      </c>
      <c r="J85" s="84" t="n">
        <v>599</v>
      </c>
      <c r="K85" s="85" t="n">
        <v>2</v>
      </c>
      <c r="L85" s="85" t="n"/>
    </row>
    <row r="86" ht="18.75" customHeight="1" s="103">
      <c r="A86" s="78">
        <f>MID(H86,3,2)</f>
        <v/>
      </c>
      <c r="B86" s="84" t="inlineStr">
        <is>
          <t>B331</t>
        </is>
      </c>
      <c r="C86" s="84" t="inlineStr">
        <is>
          <t>上海区域</t>
        </is>
      </c>
      <c r="D86" s="84" t="inlineStr">
        <is>
          <t>CN0Q</t>
        </is>
      </c>
      <c r="E86" s="80" t="inlineStr">
        <is>
          <t>EE 苏州比斯特</t>
        </is>
      </c>
      <c r="F86" s="84" t="n">
        <v>4</v>
      </c>
      <c r="G86" s="84" t="inlineStr">
        <is>
          <t>奥特莱斯</t>
        </is>
      </c>
      <c r="H86" s="84" t="inlineStr">
        <is>
          <t>EECKF24N54</t>
        </is>
      </c>
      <c r="I86" s="84" t="n">
        <v>599</v>
      </c>
      <c r="J86" s="84" t="n">
        <v>599</v>
      </c>
      <c r="K86" s="85" t="n">
        <v>0</v>
      </c>
      <c r="L86" s="85" t="n"/>
    </row>
    <row r="87" ht="18.75" customHeight="1" s="103">
      <c r="A87" s="78">
        <f>MID(H87,3,2)</f>
        <v/>
      </c>
      <c r="B87" s="84" t="inlineStr">
        <is>
          <t>B331</t>
        </is>
      </c>
      <c r="C87" s="84" t="inlineStr">
        <is>
          <t>上海区域</t>
        </is>
      </c>
      <c r="D87" s="84" t="inlineStr">
        <is>
          <t>CN0Q</t>
        </is>
      </c>
      <c r="E87" s="80" t="inlineStr">
        <is>
          <t>EE 苏州比斯特</t>
        </is>
      </c>
      <c r="F87" s="84" t="n">
        <v>4</v>
      </c>
      <c r="G87" s="84" t="inlineStr">
        <is>
          <t>奥特莱斯</t>
        </is>
      </c>
      <c r="H87" s="84" t="inlineStr">
        <is>
          <t>EECKF24T7A</t>
        </is>
      </c>
      <c r="I87" s="84" t="n">
        <v>699</v>
      </c>
      <c r="J87" s="84" t="n">
        <v>699</v>
      </c>
      <c r="K87" s="85" t="n">
        <v>2</v>
      </c>
      <c r="L87" s="85" t="n">
        <v>322</v>
      </c>
    </row>
    <row r="88" ht="18.75" customHeight="1" s="103">
      <c r="A88" s="78">
        <f>MID(H88,3,2)</f>
        <v/>
      </c>
      <c r="B88" s="84" t="inlineStr">
        <is>
          <t>B331</t>
        </is>
      </c>
      <c r="C88" s="84" t="inlineStr">
        <is>
          <t>上海区域</t>
        </is>
      </c>
      <c r="D88" s="84" t="inlineStr">
        <is>
          <t>CN0Q</t>
        </is>
      </c>
      <c r="E88" s="80" t="inlineStr">
        <is>
          <t>EE 苏州比斯特</t>
        </is>
      </c>
      <c r="F88" s="84" t="n">
        <v>4</v>
      </c>
      <c r="G88" s="84" t="inlineStr">
        <is>
          <t>奥特莱斯</t>
        </is>
      </c>
      <c r="H88" s="84" t="inlineStr">
        <is>
          <t>EECKF24T7A</t>
        </is>
      </c>
      <c r="I88" s="84" t="n">
        <v>699</v>
      </c>
      <c r="J88" s="84" t="n">
        <v>699</v>
      </c>
      <c r="K88" s="85" t="n">
        <v>6</v>
      </c>
      <c r="L88" s="86" t="n">
        <v>1627</v>
      </c>
    </row>
    <row r="89" ht="18.75" customHeight="1" s="103">
      <c r="A89" s="78">
        <f>MID(H89,3,2)</f>
        <v/>
      </c>
      <c r="B89" s="84" t="inlineStr">
        <is>
          <t>B331</t>
        </is>
      </c>
      <c r="C89" s="84" t="inlineStr">
        <is>
          <t>上海区域</t>
        </is>
      </c>
      <c r="D89" s="84" t="inlineStr">
        <is>
          <t>CN0Q</t>
        </is>
      </c>
      <c r="E89" s="80" t="inlineStr">
        <is>
          <t>EE 苏州比斯特</t>
        </is>
      </c>
      <c r="F89" s="84" t="n">
        <v>4</v>
      </c>
      <c r="G89" s="84" t="inlineStr">
        <is>
          <t>奥特莱斯</t>
        </is>
      </c>
      <c r="H89" s="84" t="inlineStr">
        <is>
          <t>EECKF24T7A</t>
        </is>
      </c>
      <c r="I89" s="84" t="n">
        <v>699</v>
      </c>
      <c r="J89" s="84" t="n">
        <v>699</v>
      </c>
      <c r="K89" s="85" t="n">
        <v>2</v>
      </c>
      <c r="L89" s="85" t="n">
        <v>542</v>
      </c>
    </row>
    <row r="90" ht="18.75" customHeight="1" s="103">
      <c r="A90" s="78">
        <f>MID(H90,3,2)</f>
        <v/>
      </c>
      <c r="B90" s="84" t="inlineStr">
        <is>
          <t>B331</t>
        </is>
      </c>
      <c r="C90" s="84" t="inlineStr">
        <is>
          <t>上海区域</t>
        </is>
      </c>
      <c r="D90" s="84" t="inlineStr">
        <is>
          <t>CN0Q</t>
        </is>
      </c>
      <c r="E90" s="80" t="inlineStr">
        <is>
          <t>EE 苏州比斯特</t>
        </is>
      </c>
      <c r="F90" s="84" t="n">
        <v>4</v>
      </c>
      <c r="G90" s="84" t="inlineStr">
        <is>
          <t>奥特莱斯</t>
        </is>
      </c>
      <c r="H90" s="84" t="inlineStr">
        <is>
          <t>EECKF24T7A</t>
        </is>
      </c>
      <c r="I90" s="84" t="n">
        <v>699</v>
      </c>
      <c r="J90" s="84" t="n">
        <v>699</v>
      </c>
      <c r="K90" s="85" t="n"/>
      <c r="L90" s="85" t="n"/>
    </row>
    <row r="91" ht="18.75" customHeight="1" s="103">
      <c r="A91" s="78">
        <f>MID(H91,3,2)</f>
        <v/>
      </c>
      <c r="B91" s="84" t="inlineStr">
        <is>
          <t>B331</t>
        </is>
      </c>
      <c r="C91" s="84" t="inlineStr">
        <is>
          <t>上海区域</t>
        </is>
      </c>
      <c r="D91" s="84" t="inlineStr">
        <is>
          <t>CN0Q</t>
        </is>
      </c>
      <c r="E91" s="80" t="inlineStr">
        <is>
          <t>EE 苏州比斯特</t>
        </is>
      </c>
      <c r="F91" s="84" t="n">
        <v>4</v>
      </c>
      <c r="G91" s="84" t="inlineStr">
        <is>
          <t>奥特莱斯</t>
        </is>
      </c>
      <c r="H91" s="84" t="inlineStr">
        <is>
          <t>EECKF24T7A</t>
        </is>
      </c>
      <c r="I91" s="84" t="n">
        <v>699</v>
      </c>
      <c r="J91" s="84" t="n">
        <v>699</v>
      </c>
      <c r="K91" s="85" t="n">
        <v>1</v>
      </c>
      <c r="L91" s="85" t="n">
        <v>192</v>
      </c>
    </row>
    <row r="92" ht="18.75" customHeight="1" s="103">
      <c r="A92" s="78">
        <f>MID(H92,3,2)</f>
        <v/>
      </c>
      <c r="B92" s="84" t="inlineStr">
        <is>
          <t>B331</t>
        </is>
      </c>
      <c r="C92" s="84" t="inlineStr">
        <is>
          <t>上海区域</t>
        </is>
      </c>
      <c r="D92" s="84" t="inlineStr">
        <is>
          <t>CN0Q</t>
        </is>
      </c>
      <c r="E92" s="80" t="inlineStr">
        <is>
          <t>EE 苏州比斯特</t>
        </is>
      </c>
      <c r="F92" s="84" t="n">
        <v>4</v>
      </c>
      <c r="G92" s="84" t="inlineStr">
        <is>
          <t>奥特莱斯</t>
        </is>
      </c>
      <c r="H92" s="84" t="inlineStr">
        <is>
          <t>EECKF24T7A</t>
        </is>
      </c>
      <c r="I92" s="84" t="n">
        <v>699</v>
      </c>
      <c r="J92" s="84" t="n">
        <v>699</v>
      </c>
      <c r="K92" s="85" t="n">
        <v>1</v>
      </c>
      <c r="L92" s="85" t="n">
        <v>192</v>
      </c>
    </row>
    <row r="93" ht="18.75" customHeight="1" s="103">
      <c r="A93" s="78">
        <f>MID(H93,3,2)</f>
        <v/>
      </c>
      <c r="B93" s="84" t="inlineStr">
        <is>
          <t>B331</t>
        </is>
      </c>
      <c r="C93" s="84" t="inlineStr">
        <is>
          <t>上海区域</t>
        </is>
      </c>
      <c r="D93" s="84" t="inlineStr">
        <is>
          <t>CN0Q</t>
        </is>
      </c>
      <c r="E93" s="80" t="inlineStr">
        <is>
          <t>EE 苏州比斯特</t>
        </is>
      </c>
      <c r="F93" s="84" t="n">
        <v>4</v>
      </c>
      <c r="G93" s="84" t="inlineStr">
        <is>
          <t>奥特莱斯</t>
        </is>
      </c>
      <c r="H93" s="84" t="inlineStr">
        <is>
          <t>EECKF24T7A</t>
        </is>
      </c>
      <c r="I93" s="84" t="n">
        <v>699</v>
      </c>
      <c r="J93" s="84" t="n">
        <v>699</v>
      </c>
      <c r="K93" s="85" t="n"/>
      <c r="L93" s="85" t="n"/>
    </row>
    <row r="94" ht="18.75" customHeight="1" s="103">
      <c r="A94" s="78">
        <f>MID(H94,3,2)</f>
        <v/>
      </c>
      <c r="B94" s="84" t="inlineStr">
        <is>
          <t>B331</t>
        </is>
      </c>
      <c r="C94" s="84" t="inlineStr">
        <is>
          <t>上海区域</t>
        </is>
      </c>
      <c r="D94" s="84" t="inlineStr">
        <is>
          <t>CN0Q</t>
        </is>
      </c>
      <c r="E94" s="80" t="inlineStr">
        <is>
          <t>EE 苏州比斯特</t>
        </is>
      </c>
      <c r="F94" s="84" t="n">
        <v>4</v>
      </c>
      <c r="G94" s="84" t="inlineStr">
        <is>
          <t>奥特莱斯</t>
        </is>
      </c>
      <c r="H94" s="84" t="inlineStr">
        <is>
          <t>EECKF24T7A</t>
        </is>
      </c>
      <c r="I94" s="84" t="n">
        <v>699</v>
      </c>
      <c r="J94" s="84" t="n">
        <v>699</v>
      </c>
      <c r="K94" s="85" t="n"/>
      <c r="L94" s="85" t="n"/>
    </row>
    <row r="95" ht="18.75" customHeight="1" s="103">
      <c r="A95" s="78">
        <f>MID(H95,3,2)</f>
        <v/>
      </c>
      <c r="B95" s="84" t="inlineStr">
        <is>
          <t>B331</t>
        </is>
      </c>
      <c r="C95" s="84" t="inlineStr">
        <is>
          <t>上海区域</t>
        </is>
      </c>
      <c r="D95" s="84" t="inlineStr">
        <is>
          <t>CN0Q</t>
        </is>
      </c>
      <c r="E95" s="80" t="inlineStr">
        <is>
          <t>EE 苏州比斯特</t>
        </is>
      </c>
      <c r="F95" s="84" t="n">
        <v>4</v>
      </c>
      <c r="G95" s="84" t="inlineStr">
        <is>
          <t>奥特莱斯</t>
        </is>
      </c>
      <c r="H95" s="84" t="inlineStr">
        <is>
          <t>EECKF25T71</t>
        </is>
      </c>
      <c r="I95" s="84" t="n">
        <v>699</v>
      </c>
      <c r="J95" s="84" t="n">
        <v>699</v>
      </c>
      <c r="K95" s="85" t="n"/>
      <c r="L95" s="85" t="n"/>
    </row>
    <row r="96" ht="18.75" customHeight="1" s="103">
      <c r="A96" s="78">
        <f>MID(H96,3,2)</f>
        <v/>
      </c>
      <c r="B96" s="84" t="inlineStr">
        <is>
          <t>B331</t>
        </is>
      </c>
      <c r="C96" s="84" t="inlineStr">
        <is>
          <t>上海区域</t>
        </is>
      </c>
      <c r="D96" s="84" t="inlineStr">
        <is>
          <t>CN0Q</t>
        </is>
      </c>
      <c r="E96" s="80" t="inlineStr">
        <is>
          <t>EE 苏州比斯特</t>
        </is>
      </c>
      <c r="F96" s="84" t="n">
        <v>4</v>
      </c>
      <c r="G96" s="84" t="inlineStr">
        <is>
          <t>奥特莱斯</t>
        </is>
      </c>
      <c r="H96" s="84" t="inlineStr">
        <is>
          <t>EECKF25T71</t>
        </is>
      </c>
      <c r="I96" s="84" t="n">
        <v>699</v>
      </c>
      <c r="J96" s="84" t="n">
        <v>699</v>
      </c>
      <c r="K96" s="85" t="n"/>
      <c r="L96" s="85" t="n"/>
    </row>
    <row r="97" ht="18.75" customHeight="1" s="103">
      <c r="A97" s="78">
        <f>MID(H97,3,2)</f>
        <v/>
      </c>
      <c r="B97" s="84" t="inlineStr">
        <is>
          <t>B331</t>
        </is>
      </c>
      <c r="C97" s="84" t="inlineStr">
        <is>
          <t>上海区域</t>
        </is>
      </c>
      <c r="D97" s="84" t="inlineStr">
        <is>
          <t>CN0Q</t>
        </is>
      </c>
      <c r="E97" s="80" t="inlineStr">
        <is>
          <t>EE 苏州比斯特</t>
        </is>
      </c>
      <c r="F97" s="84" t="n">
        <v>4</v>
      </c>
      <c r="G97" s="84" t="inlineStr">
        <is>
          <t>奥特莱斯</t>
        </is>
      </c>
      <c r="H97" s="84" t="inlineStr">
        <is>
          <t>EECKF25T71</t>
        </is>
      </c>
      <c r="I97" s="84" t="n">
        <v>699</v>
      </c>
      <c r="J97" s="84" t="n">
        <v>699</v>
      </c>
      <c r="K97" s="85" t="n"/>
      <c r="L97" s="85" t="n"/>
    </row>
    <row r="98" ht="18.75" customHeight="1" s="103">
      <c r="A98" s="78">
        <f>MID(H98,3,2)</f>
        <v/>
      </c>
      <c r="B98" s="84" t="inlineStr">
        <is>
          <t>B331</t>
        </is>
      </c>
      <c r="C98" s="84" t="inlineStr">
        <is>
          <t>上海区域</t>
        </is>
      </c>
      <c r="D98" s="84" t="inlineStr">
        <is>
          <t>CN0Q</t>
        </is>
      </c>
      <c r="E98" s="80" t="inlineStr">
        <is>
          <t>EE 苏州比斯特</t>
        </is>
      </c>
      <c r="F98" s="84" t="n">
        <v>4</v>
      </c>
      <c r="G98" s="84" t="inlineStr">
        <is>
          <t>奥特莱斯</t>
        </is>
      </c>
      <c r="H98" s="84" t="inlineStr">
        <is>
          <t>EECKF25T71</t>
        </is>
      </c>
      <c r="I98" s="84" t="n">
        <v>699</v>
      </c>
      <c r="J98" s="84" t="n">
        <v>699</v>
      </c>
      <c r="K98" s="85" t="n"/>
      <c r="L98" s="85" t="n"/>
    </row>
    <row r="99" ht="18.75" customHeight="1" s="103">
      <c r="A99" s="78">
        <f>MID(H99,3,2)</f>
        <v/>
      </c>
      <c r="B99" s="84" t="inlineStr">
        <is>
          <t>B331</t>
        </is>
      </c>
      <c r="C99" s="84" t="inlineStr">
        <is>
          <t>上海区域</t>
        </is>
      </c>
      <c r="D99" s="84" t="inlineStr">
        <is>
          <t>CN0Q</t>
        </is>
      </c>
      <c r="E99" s="80" t="inlineStr">
        <is>
          <t>EE 苏州比斯特</t>
        </is>
      </c>
      <c r="F99" s="84" t="n">
        <v>4</v>
      </c>
      <c r="G99" s="84" t="inlineStr">
        <is>
          <t>奥特莱斯</t>
        </is>
      </c>
      <c r="H99" s="84" t="inlineStr">
        <is>
          <t>EECKF25T71</t>
        </is>
      </c>
      <c r="I99" s="84" t="n">
        <v>699</v>
      </c>
      <c r="J99" s="84" t="n">
        <v>699</v>
      </c>
      <c r="K99" s="85" t="n"/>
      <c r="L99" s="85" t="n"/>
    </row>
    <row r="100" ht="18.75" customHeight="1" s="103">
      <c r="A100" s="78">
        <f>MID(H100,3,2)</f>
        <v/>
      </c>
      <c r="B100" s="84" t="inlineStr">
        <is>
          <t>B331</t>
        </is>
      </c>
      <c r="C100" s="84" t="inlineStr">
        <is>
          <t>上海区域</t>
        </is>
      </c>
      <c r="D100" s="84" t="inlineStr">
        <is>
          <t>CN0Q</t>
        </is>
      </c>
      <c r="E100" s="80" t="inlineStr">
        <is>
          <t>EE 苏州比斯特</t>
        </is>
      </c>
      <c r="F100" s="84" t="n">
        <v>4</v>
      </c>
      <c r="G100" s="84" t="inlineStr">
        <is>
          <t>奥特莱斯</t>
        </is>
      </c>
      <c r="H100" s="84" t="inlineStr">
        <is>
          <t>EECKF25T71</t>
        </is>
      </c>
      <c r="I100" s="84" t="n">
        <v>699</v>
      </c>
      <c r="J100" s="84" t="n">
        <v>699</v>
      </c>
      <c r="K100" s="85" t="n"/>
      <c r="L100" s="85" t="n"/>
    </row>
    <row r="101" ht="18.75" customHeight="1" s="103">
      <c r="A101" s="78">
        <f>MID(H101,3,2)</f>
        <v/>
      </c>
      <c r="B101" s="84" t="inlineStr">
        <is>
          <t>B331</t>
        </is>
      </c>
      <c r="C101" s="84" t="inlineStr">
        <is>
          <t>上海区域</t>
        </is>
      </c>
      <c r="D101" s="84" t="inlineStr">
        <is>
          <t>CN0Q</t>
        </is>
      </c>
      <c r="E101" s="80" t="inlineStr">
        <is>
          <t>EE 苏州比斯特</t>
        </is>
      </c>
      <c r="F101" s="84" t="n">
        <v>4</v>
      </c>
      <c r="G101" s="84" t="inlineStr">
        <is>
          <t>奥特莱斯</t>
        </is>
      </c>
      <c r="H101" s="84" t="inlineStr">
        <is>
          <t>EECKF25T71</t>
        </is>
      </c>
      <c r="I101" s="84" t="n">
        <v>699</v>
      </c>
      <c r="J101" s="84" t="n">
        <v>699</v>
      </c>
      <c r="K101" s="85" t="n"/>
      <c r="L101" s="85" t="n"/>
    </row>
    <row r="102" ht="18.75" customHeight="1" s="103">
      <c r="A102" s="78">
        <f>MID(H102,3,2)</f>
        <v/>
      </c>
      <c r="B102" s="84" t="inlineStr">
        <is>
          <t>B331</t>
        </is>
      </c>
      <c r="C102" s="84" t="inlineStr">
        <is>
          <t>上海区域</t>
        </is>
      </c>
      <c r="D102" s="84" t="inlineStr">
        <is>
          <t>CN0Q</t>
        </is>
      </c>
      <c r="E102" s="80" t="inlineStr">
        <is>
          <t>EE 苏州比斯特</t>
        </is>
      </c>
      <c r="F102" s="84" t="n">
        <v>4</v>
      </c>
      <c r="G102" s="84" t="inlineStr">
        <is>
          <t>奥特莱斯</t>
        </is>
      </c>
      <c r="H102" s="84" t="inlineStr">
        <is>
          <t>EECKF25T71</t>
        </is>
      </c>
      <c r="I102" s="84" t="n">
        <v>699</v>
      </c>
      <c r="J102" s="84" t="n">
        <v>699</v>
      </c>
      <c r="K102" s="85" t="n"/>
      <c r="L102" s="85" t="n"/>
    </row>
    <row r="103" ht="18.75" customHeight="1" s="103">
      <c r="A103" s="78">
        <f>MID(H103,3,2)</f>
        <v/>
      </c>
      <c r="B103" s="84" t="inlineStr">
        <is>
          <t>B331</t>
        </is>
      </c>
      <c r="C103" s="84" t="inlineStr">
        <is>
          <t>上海区域</t>
        </is>
      </c>
      <c r="D103" s="84" t="inlineStr">
        <is>
          <t>CN0Q</t>
        </is>
      </c>
      <c r="E103" s="80" t="inlineStr">
        <is>
          <t>EE 苏州比斯特</t>
        </is>
      </c>
      <c r="F103" s="84" t="n">
        <v>4</v>
      </c>
      <c r="G103" s="84" t="inlineStr">
        <is>
          <t>奥特莱斯</t>
        </is>
      </c>
      <c r="H103" s="84" t="inlineStr">
        <is>
          <t>EECKF25T71</t>
        </is>
      </c>
      <c r="I103" s="84" t="n">
        <v>699</v>
      </c>
      <c r="J103" s="84" t="n">
        <v>699</v>
      </c>
      <c r="K103" s="85" t="n"/>
      <c r="L103" s="85" t="n"/>
    </row>
    <row r="104" ht="18.75" customHeight="1" s="103">
      <c r="A104" s="78">
        <f>MID(H104,3,2)</f>
        <v/>
      </c>
      <c r="B104" s="84" t="inlineStr">
        <is>
          <t>B331</t>
        </is>
      </c>
      <c r="C104" s="84" t="inlineStr">
        <is>
          <t>上海区域</t>
        </is>
      </c>
      <c r="D104" s="84" t="inlineStr">
        <is>
          <t>CN0Q</t>
        </is>
      </c>
      <c r="E104" s="80" t="inlineStr">
        <is>
          <t>EE 苏州比斯特</t>
        </is>
      </c>
      <c r="F104" s="84" t="n">
        <v>4</v>
      </c>
      <c r="G104" s="84" t="inlineStr">
        <is>
          <t>奥特莱斯</t>
        </is>
      </c>
      <c r="H104" s="84" t="inlineStr">
        <is>
          <t>EECKF26N51</t>
        </is>
      </c>
      <c r="I104" s="84" t="n">
        <v>599</v>
      </c>
      <c r="J104" s="84" t="n">
        <v>599</v>
      </c>
      <c r="K104" s="85" t="n">
        <v>2</v>
      </c>
      <c r="L104" s="85" t="n">
        <v>570</v>
      </c>
    </row>
    <row r="105" ht="18.75" customHeight="1" s="103">
      <c r="A105" s="78">
        <f>MID(H105,3,2)</f>
        <v/>
      </c>
      <c r="B105" s="84" t="inlineStr">
        <is>
          <t>B331</t>
        </is>
      </c>
      <c r="C105" s="84" t="inlineStr">
        <is>
          <t>上海区域</t>
        </is>
      </c>
      <c r="D105" s="84" t="inlineStr">
        <is>
          <t>CN0Q</t>
        </is>
      </c>
      <c r="E105" s="80" t="inlineStr">
        <is>
          <t>EE 苏州比斯特</t>
        </is>
      </c>
      <c r="F105" s="84" t="n">
        <v>4</v>
      </c>
      <c r="G105" s="84" t="inlineStr">
        <is>
          <t>奥特莱斯</t>
        </is>
      </c>
      <c r="H105" s="84" t="inlineStr">
        <is>
          <t>EECKF26N51</t>
        </is>
      </c>
      <c r="I105" s="84" t="n">
        <v>599</v>
      </c>
      <c r="J105" s="84" t="n">
        <v>599</v>
      </c>
      <c r="K105" s="85" t="n">
        <v>2</v>
      </c>
      <c r="L105" s="85" t="n">
        <v>549</v>
      </c>
    </row>
    <row r="106" ht="18.75" customHeight="1" s="103">
      <c r="A106" s="78">
        <f>MID(H106,3,2)</f>
        <v/>
      </c>
      <c r="B106" s="84" t="inlineStr">
        <is>
          <t>B331</t>
        </is>
      </c>
      <c r="C106" s="84" t="inlineStr">
        <is>
          <t>上海区域</t>
        </is>
      </c>
      <c r="D106" s="84" t="inlineStr">
        <is>
          <t>CN0Q</t>
        </is>
      </c>
      <c r="E106" s="80" t="inlineStr">
        <is>
          <t>EE 苏州比斯特</t>
        </is>
      </c>
      <c r="F106" s="84" t="n">
        <v>4</v>
      </c>
      <c r="G106" s="84" t="inlineStr">
        <is>
          <t>奥特莱斯</t>
        </is>
      </c>
      <c r="H106" s="84" t="inlineStr">
        <is>
          <t>EECKF26N51</t>
        </is>
      </c>
      <c r="I106" s="84" t="n">
        <v>599</v>
      </c>
      <c r="J106" s="84" t="n">
        <v>599</v>
      </c>
      <c r="K106" s="85" t="n">
        <v>2</v>
      </c>
      <c r="L106" s="85" t="n">
        <v>300</v>
      </c>
    </row>
    <row r="107" ht="18.75" customHeight="1" s="103">
      <c r="A107" s="78">
        <f>MID(H107,3,2)</f>
        <v/>
      </c>
      <c r="B107" s="84" t="inlineStr">
        <is>
          <t>B331</t>
        </is>
      </c>
      <c r="C107" s="84" t="inlineStr">
        <is>
          <t>上海区域</t>
        </is>
      </c>
      <c r="D107" s="84" t="inlineStr">
        <is>
          <t>CN0Q</t>
        </is>
      </c>
      <c r="E107" s="80" t="inlineStr">
        <is>
          <t>EE 苏州比斯特</t>
        </is>
      </c>
      <c r="F107" s="84" t="n">
        <v>4</v>
      </c>
      <c r="G107" s="84" t="inlineStr">
        <is>
          <t>奥特莱斯</t>
        </is>
      </c>
      <c r="H107" s="84" t="inlineStr">
        <is>
          <t>EECKF37R32</t>
        </is>
      </c>
      <c r="I107" s="84" t="n">
        <v>699</v>
      </c>
      <c r="J107" s="84" t="n">
        <v>699</v>
      </c>
      <c r="K107" s="85" t="n">
        <v>2</v>
      </c>
      <c r="L107" s="85" t="n">
        <v>641</v>
      </c>
    </row>
    <row r="108" ht="18.75" customHeight="1" s="103">
      <c r="A108" s="78">
        <f>MID(H108,3,2)</f>
        <v/>
      </c>
      <c r="B108" s="84" t="inlineStr">
        <is>
          <t>B331</t>
        </is>
      </c>
      <c r="C108" s="84" t="inlineStr">
        <is>
          <t>上海区域</t>
        </is>
      </c>
      <c r="D108" s="84" t="inlineStr">
        <is>
          <t>CN0Q</t>
        </is>
      </c>
      <c r="E108" s="80" t="inlineStr">
        <is>
          <t>EE 苏州比斯特</t>
        </is>
      </c>
      <c r="F108" s="84" t="n">
        <v>4</v>
      </c>
      <c r="G108" s="84" t="inlineStr">
        <is>
          <t>奥特莱斯</t>
        </is>
      </c>
      <c r="H108" s="84" t="inlineStr">
        <is>
          <t>EECKF37R32</t>
        </is>
      </c>
      <c r="I108" s="84" t="n">
        <v>699</v>
      </c>
      <c r="J108" s="84" t="n">
        <v>699</v>
      </c>
      <c r="K108" s="85" t="n">
        <v>3</v>
      </c>
      <c r="L108" s="85" t="n">
        <v>961</v>
      </c>
    </row>
    <row r="109" ht="18.75" customHeight="1" s="103">
      <c r="A109" s="78">
        <f>MID(H109,3,2)</f>
        <v/>
      </c>
      <c r="B109" s="84" t="inlineStr">
        <is>
          <t>B331</t>
        </is>
      </c>
      <c r="C109" s="84" t="inlineStr">
        <is>
          <t>上海区域</t>
        </is>
      </c>
      <c r="D109" s="84" t="inlineStr">
        <is>
          <t>CN0Q</t>
        </is>
      </c>
      <c r="E109" s="80" t="inlineStr">
        <is>
          <t>EE 苏州比斯特</t>
        </is>
      </c>
      <c r="F109" s="84" t="n">
        <v>4</v>
      </c>
      <c r="G109" s="84" t="inlineStr">
        <is>
          <t>奥特莱斯</t>
        </is>
      </c>
      <c r="H109" s="84" t="inlineStr">
        <is>
          <t>EECKF37R32</t>
        </is>
      </c>
      <c r="I109" s="84" t="n">
        <v>699</v>
      </c>
      <c r="J109" s="84" t="n">
        <v>699</v>
      </c>
      <c r="K109" s="85" t="n">
        <v>1</v>
      </c>
      <c r="L109" s="85" t="n">
        <v>319</v>
      </c>
    </row>
    <row r="110" ht="18.75" customHeight="1" s="103">
      <c r="A110" s="78">
        <f>MID(H110,3,2)</f>
        <v/>
      </c>
      <c r="B110" s="84" t="inlineStr">
        <is>
          <t>B331</t>
        </is>
      </c>
      <c r="C110" s="84" t="inlineStr">
        <is>
          <t>上海区域</t>
        </is>
      </c>
      <c r="D110" s="84" t="inlineStr">
        <is>
          <t>CN0Q</t>
        </is>
      </c>
      <c r="E110" s="80" t="inlineStr">
        <is>
          <t>EE 苏州比斯特</t>
        </is>
      </c>
      <c r="F110" s="84" t="n">
        <v>4</v>
      </c>
      <c r="G110" s="84" t="inlineStr">
        <is>
          <t>奥特莱斯</t>
        </is>
      </c>
      <c r="H110" s="84" t="inlineStr">
        <is>
          <t>EECKG11E01</t>
        </is>
      </c>
      <c r="I110" s="84" t="n">
        <v>799</v>
      </c>
      <c r="J110" s="84" t="n">
        <v>899</v>
      </c>
      <c r="K110" s="85" t="n"/>
      <c r="L110" s="85" t="n"/>
    </row>
    <row r="111" ht="18.75" customHeight="1" s="103">
      <c r="A111" s="78">
        <f>MID(H111,3,2)</f>
        <v/>
      </c>
      <c r="B111" s="84" t="inlineStr">
        <is>
          <t>B331</t>
        </is>
      </c>
      <c r="C111" s="84" t="inlineStr">
        <is>
          <t>上海区域</t>
        </is>
      </c>
      <c r="D111" s="84" t="inlineStr">
        <is>
          <t>CN0Q</t>
        </is>
      </c>
      <c r="E111" s="80" t="inlineStr">
        <is>
          <t>EE 苏州比斯特</t>
        </is>
      </c>
      <c r="F111" s="84" t="n">
        <v>4</v>
      </c>
      <c r="G111" s="84" t="inlineStr">
        <is>
          <t>奥特莱斯</t>
        </is>
      </c>
      <c r="H111" s="84" t="inlineStr">
        <is>
          <t>EECKG11E01</t>
        </is>
      </c>
      <c r="I111" s="84" t="n">
        <v>799</v>
      </c>
      <c r="J111" s="84" t="n">
        <v>899</v>
      </c>
      <c r="K111" s="85" t="n">
        <v>1</v>
      </c>
      <c r="L111" s="85" t="n">
        <v>417</v>
      </c>
    </row>
    <row r="112" ht="18.75" customHeight="1" s="103">
      <c r="A112" s="78">
        <f>MID(H112,3,2)</f>
        <v/>
      </c>
      <c r="B112" s="84" t="inlineStr">
        <is>
          <t>B331</t>
        </is>
      </c>
      <c r="C112" s="84" t="inlineStr">
        <is>
          <t>上海区域</t>
        </is>
      </c>
      <c r="D112" s="84" t="inlineStr">
        <is>
          <t>CN0Q</t>
        </is>
      </c>
      <c r="E112" s="80" t="inlineStr">
        <is>
          <t>EE 苏州比斯特</t>
        </is>
      </c>
      <c r="F112" s="84" t="n">
        <v>4</v>
      </c>
      <c r="G112" s="84" t="inlineStr">
        <is>
          <t>奥特莱斯</t>
        </is>
      </c>
      <c r="H112" s="84" t="inlineStr">
        <is>
          <t>EECKG11E01</t>
        </is>
      </c>
      <c r="I112" s="84" t="n">
        <v>799</v>
      </c>
      <c r="J112" s="84" t="n">
        <v>899</v>
      </c>
      <c r="K112" s="85" t="n">
        <v>1</v>
      </c>
      <c r="L112" s="85" t="n"/>
    </row>
    <row r="113" ht="18.75" customHeight="1" s="103">
      <c r="A113" s="78">
        <f>MID(H113,3,2)</f>
        <v/>
      </c>
      <c r="B113" s="84" t="inlineStr">
        <is>
          <t>B331</t>
        </is>
      </c>
      <c r="C113" s="84" t="inlineStr">
        <is>
          <t>上海区域</t>
        </is>
      </c>
      <c r="D113" s="84" t="inlineStr">
        <is>
          <t>CN0Q</t>
        </is>
      </c>
      <c r="E113" s="80" t="inlineStr">
        <is>
          <t>EE 苏州比斯特</t>
        </is>
      </c>
      <c r="F113" s="84" t="n">
        <v>4</v>
      </c>
      <c r="G113" s="84" t="inlineStr">
        <is>
          <t>奥特莱斯</t>
        </is>
      </c>
      <c r="H113" s="84" t="inlineStr">
        <is>
          <t>EECKG11E01</t>
        </is>
      </c>
      <c r="I113" s="84" t="n">
        <v>799</v>
      </c>
      <c r="J113" s="84" t="n">
        <v>899</v>
      </c>
      <c r="K113" s="85" t="n"/>
      <c r="L113" s="85" t="n"/>
    </row>
    <row r="114" ht="18.75" customHeight="1" s="103">
      <c r="A114" s="78">
        <f>MID(H114,3,2)</f>
        <v/>
      </c>
      <c r="B114" s="84" t="inlineStr">
        <is>
          <t>B331</t>
        </is>
      </c>
      <c r="C114" s="84" t="inlineStr">
        <is>
          <t>上海区域</t>
        </is>
      </c>
      <c r="D114" s="84" t="inlineStr">
        <is>
          <t>CN0Q</t>
        </is>
      </c>
      <c r="E114" s="80" t="inlineStr">
        <is>
          <t>EE 苏州比斯特</t>
        </is>
      </c>
      <c r="F114" s="84" t="n">
        <v>4</v>
      </c>
      <c r="G114" s="84" t="inlineStr">
        <is>
          <t>奥特莱斯</t>
        </is>
      </c>
      <c r="H114" s="84" t="inlineStr">
        <is>
          <t>EECKG11E01</t>
        </is>
      </c>
      <c r="I114" s="84" t="n">
        <v>799</v>
      </c>
      <c r="J114" s="84" t="n">
        <v>899</v>
      </c>
      <c r="K114" s="85" t="n">
        <v>2</v>
      </c>
      <c r="L114" s="85" t="n"/>
    </row>
    <row r="115" ht="18.75" customHeight="1" s="103">
      <c r="A115" s="78">
        <f>MID(H115,3,2)</f>
        <v/>
      </c>
      <c r="B115" s="84" t="inlineStr">
        <is>
          <t>B331</t>
        </is>
      </c>
      <c r="C115" s="84" t="inlineStr">
        <is>
          <t>上海区域</t>
        </is>
      </c>
      <c r="D115" s="84" t="inlineStr">
        <is>
          <t>CN0Q</t>
        </is>
      </c>
      <c r="E115" s="80" t="inlineStr">
        <is>
          <t>EE 苏州比斯特</t>
        </is>
      </c>
      <c r="F115" s="84" t="n">
        <v>4</v>
      </c>
      <c r="G115" s="84" t="inlineStr">
        <is>
          <t>奥特莱斯</t>
        </is>
      </c>
      <c r="H115" s="84" t="inlineStr">
        <is>
          <t>EECKG11E01</t>
        </is>
      </c>
      <c r="I115" s="84" t="n">
        <v>799</v>
      </c>
      <c r="J115" s="84" t="n">
        <v>899</v>
      </c>
      <c r="K115" s="85" t="n">
        <v>1</v>
      </c>
      <c r="L115" s="85" t="n"/>
    </row>
    <row r="116" ht="18.75" customHeight="1" s="103">
      <c r="A116" s="78">
        <f>MID(H116,3,2)</f>
        <v/>
      </c>
      <c r="B116" s="84" t="inlineStr">
        <is>
          <t>B331</t>
        </is>
      </c>
      <c r="C116" s="84" t="inlineStr">
        <is>
          <t>上海区域</t>
        </is>
      </c>
      <c r="D116" s="84" t="inlineStr">
        <is>
          <t>CN0Q</t>
        </is>
      </c>
      <c r="E116" s="80" t="inlineStr">
        <is>
          <t>EE 苏州比斯特</t>
        </is>
      </c>
      <c r="F116" s="84" t="n">
        <v>4</v>
      </c>
      <c r="G116" s="84" t="inlineStr">
        <is>
          <t>奥特莱斯</t>
        </is>
      </c>
      <c r="H116" s="84" t="inlineStr">
        <is>
          <t>EECKG11E01</t>
        </is>
      </c>
      <c r="I116" s="84" t="n">
        <v>799</v>
      </c>
      <c r="J116" s="84" t="n">
        <v>899</v>
      </c>
      <c r="K116" s="85" t="n"/>
      <c r="L116" s="85" t="n"/>
    </row>
    <row r="117" ht="18.75" customHeight="1" s="103">
      <c r="A117" s="78">
        <f>MID(H117,3,2)</f>
        <v/>
      </c>
      <c r="B117" s="84" t="inlineStr">
        <is>
          <t>B331</t>
        </is>
      </c>
      <c r="C117" s="84" t="inlineStr">
        <is>
          <t>上海区域</t>
        </is>
      </c>
      <c r="D117" s="84" t="inlineStr">
        <is>
          <t>CN0Q</t>
        </is>
      </c>
      <c r="E117" s="80" t="inlineStr">
        <is>
          <t>EE 苏州比斯特</t>
        </is>
      </c>
      <c r="F117" s="84" t="n">
        <v>4</v>
      </c>
      <c r="G117" s="84" t="inlineStr">
        <is>
          <t>奥特莱斯</t>
        </is>
      </c>
      <c r="H117" s="84" t="inlineStr">
        <is>
          <t>EECKG11E01</t>
        </is>
      </c>
      <c r="I117" s="84" t="n">
        <v>799</v>
      </c>
      <c r="J117" s="84" t="n">
        <v>899</v>
      </c>
      <c r="K117" s="85" t="n"/>
      <c r="L117" s="85" t="n"/>
    </row>
    <row r="118" ht="18.75" customHeight="1" s="103">
      <c r="A118" s="78">
        <f>MID(H118,3,2)</f>
        <v/>
      </c>
      <c r="B118" s="84" t="inlineStr">
        <is>
          <t>B331</t>
        </is>
      </c>
      <c r="C118" s="84" t="inlineStr">
        <is>
          <t>上海区域</t>
        </is>
      </c>
      <c r="D118" s="84" t="inlineStr">
        <is>
          <t>CN0Q</t>
        </is>
      </c>
      <c r="E118" s="80" t="inlineStr">
        <is>
          <t>EE 苏州比斯特</t>
        </is>
      </c>
      <c r="F118" s="84" t="n">
        <v>4</v>
      </c>
      <c r="G118" s="84" t="inlineStr">
        <is>
          <t>奥特莱斯</t>
        </is>
      </c>
      <c r="H118" s="84" t="inlineStr">
        <is>
          <t>EECKG11E01</t>
        </is>
      </c>
      <c r="I118" s="84" t="n">
        <v>799</v>
      </c>
      <c r="J118" s="84" t="n">
        <v>899</v>
      </c>
      <c r="K118" s="85" t="n"/>
      <c r="L118" s="85" t="n"/>
    </row>
    <row r="119" ht="18.75" customHeight="1" s="103">
      <c r="A119" s="78">
        <f>MID(H119,3,2)</f>
        <v/>
      </c>
      <c r="B119" s="84" t="inlineStr">
        <is>
          <t>B331</t>
        </is>
      </c>
      <c r="C119" s="84" t="inlineStr">
        <is>
          <t>上海区域</t>
        </is>
      </c>
      <c r="D119" s="84" t="inlineStr">
        <is>
          <t>CN0Q</t>
        </is>
      </c>
      <c r="E119" s="80" t="inlineStr">
        <is>
          <t>EE 苏州比斯特</t>
        </is>
      </c>
      <c r="F119" s="84" t="n">
        <v>4</v>
      </c>
      <c r="G119" s="84" t="inlineStr">
        <is>
          <t>奥特莱斯</t>
        </is>
      </c>
      <c r="H119" s="84" t="inlineStr">
        <is>
          <t>EECKG11E01</t>
        </is>
      </c>
      <c r="I119" s="84" t="n">
        <v>799</v>
      </c>
      <c r="J119" s="84" t="n">
        <v>899</v>
      </c>
      <c r="K119" s="85" t="n"/>
      <c r="L119" s="85" t="n"/>
    </row>
    <row r="120" ht="18.75" customHeight="1" s="103">
      <c r="A120" s="78">
        <f>MID(H120,3,2)</f>
        <v/>
      </c>
      <c r="B120" s="84" t="inlineStr">
        <is>
          <t>B331</t>
        </is>
      </c>
      <c r="C120" s="84" t="inlineStr">
        <is>
          <t>上海区域</t>
        </is>
      </c>
      <c r="D120" s="84" t="inlineStr">
        <is>
          <t>CN0Q</t>
        </is>
      </c>
      <c r="E120" s="80" t="inlineStr">
        <is>
          <t>EE 苏州比斯特</t>
        </is>
      </c>
      <c r="F120" s="84" t="n">
        <v>4</v>
      </c>
      <c r="G120" s="84" t="inlineStr">
        <is>
          <t>奥特莱斯</t>
        </is>
      </c>
      <c r="H120" s="84" t="inlineStr">
        <is>
          <t>EECKG11E01</t>
        </is>
      </c>
      <c r="I120" s="84" t="n">
        <v>799</v>
      </c>
      <c r="J120" s="84" t="n">
        <v>899</v>
      </c>
      <c r="K120" s="85" t="n"/>
      <c r="L120" s="85" t="n"/>
    </row>
    <row r="121" ht="18.75" customHeight="1" s="103">
      <c r="A121" s="78">
        <f>MID(H121,3,2)</f>
        <v/>
      </c>
      <c r="B121" s="84" t="inlineStr">
        <is>
          <t>B331</t>
        </is>
      </c>
      <c r="C121" s="84" t="inlineStr">
        <is>
          <t>上海区域</t>
        </is>
      </c>
      <c r="D121" s="84" t="inlineStr">
        <is>
          <t>CN0Q</t>
        </is>
      </c>
      <c r="E121" s="80" t="inlineStr">
        <is>
          <t>EE 苏州比斯特</t>
        </is>
      </c>
      <c r="F121" s="84" t="n">
        <v>4</v>
      </c>
      <c r="G121" s="84" t="inlineStr">
        <is>
          <t>奥特莱斯</t>
        </is>
      </c>
      <c r="H121" s="84" t="inlineStr">
        <is>
          <t>EECKG11E01</t>
        </is>
      </c>
      <c r="I121" s="84" t="n">
        <v>799</v>
      </c>
      <c r="J121" s="84" t="n">
        <v>899</v>
      </c>
      <c r="K121" s="85" t="n"/>
      <c r="L121" s="85" t="n"/>
    </row>
    <row r="122" ht="18.75" customHeight="1" s="103">
      <c r="A122" s="78">
        <f>MID(H122,3,2)</f>
        <v/>
      </c>
      <c r="B122" s="84" t="inlineStr">
        <is>
          <t>B331</t>
        </is>
      </c>
      <c r="C122" s="84" t="inlineStr">
        <is>
          <t>上海区域</t>
        </is>
      </c>
      <c r="D122" s="84" t="inlineStr">
        <is>
          <t>CN0Q</t>
        </is>
      </c>
      <c r="E122" s="80" t="inlineStr">
        <is>
          <t>EE 苏州比斯特</t>
        </is>
      </c>
      <c r="F122" s="84" t="n">
        <v>4</v>
      </c>
      <c r="G122" s="84" t="inlineStr">
        <is>
          <t>奥特莱斯</t>
        </is>
      </c>
      <c r="H122" s="84" t="inlineStr">
        <is>
          <t>EECKG11E01</t>
        </is>
      </c>
      <c r="I122" s="84" t="n">
        <v>799</v>
      </c>
      <c r="J122" s="84" t="n">
        <v>899</v>
      </c>
      <c r="K122" s="85" t="n"/>
      <c r="L122" s="85" t="n"/>
    </row>
    <row r="123" ht="18.75" customHeight="1" s="103">
      <c r="A123" s="78">
        <f>MID(H123,3,2)</f>
        <v/>
      </c>
      <c r="B123" s="84" t="inlineStr">
        <is>
          <t>B331</t>
        </is>
      </c>
      <c r="C123" s="84" t="inlineStr">
        <is>
          <t>上海区域</t>
        </is>
      </c>
      <c r="D123" s="84" t="inlineStr">
        <is>
          <t>CN0Q</t>
        </is>
      </c>
      <c r="E123" s="80" t="inlineStr">
        <is>
          <t>EE 苏州比斯特</t>
        </is>
      </c>
      <c r="F123" s="84" t="n">
        <v>4</v>
      </c>
      <c r="G123" s="84" t="inlineStr">
        <is>
          <t>奥特莱斯</t>
        </is>
      </c>
      <c r="H123" s="84" t="inlineStr">
        <is>
          <t>EECKG11E01</t>
        </is>
      </c>
      <c r="I123" s="84" t="n">
        <v>799</v>
      </c>
      <c r="J123" s="84" t="n">
        <v>899</v>
      </c>
      <c r="K123" s="85" t="n"/>
      <c r="L123" s="85" t="n"/>
    </row>
    <row r="124" ht="18.75" customHeight="1" s="103">
      <c r="A124" s="78">
        <f>MID(H124,3,2)</f>
        <v/>
      </c>
      <c r="B124" s="84" t="inlineStr">
        <is>
          <t>B331</t>
        </is>
      </c>
      <c r="C124" s="84" t="inlineStr">
        <is>
          <t>上海区域</t>
        </is>
      </c>
      <c r="D124" s="84" t="inlineStr">
        <is>
          <t>CN0Q</t>
        </is>
      </c>
      <c r="E124" s="80" t="inlineStr">
        <is>
          <t>EE 苏州比斯特</t>
        </is>
      </c>
      <c r="F124" s="84" t="n">
        <v>4</v>
      </c>
      <c r="G124" s="84" t="inlineStr">
        <is>
          <t>奥特莱斯</t>
        </is>
      </c>
      <c r="H124" s="84" t="inlineStr">
        <is>
          <t>EECKG11E01</t>
        </is>
      </c>
      <c r="I124" s="84" t="n">
        <v>799</v>
      </c>
      <c r="J124" s="84" t="n">
        <v>899</v>
      </c>
      <c r="K124" s="85" t="n"/>
      <c r="L124" s="85" t="n"/>
    </row>
    <row r="125" ht="18.75" customHeight="1" s="103">
      <c r="A125" s="78">
        <f>MID(H125,3,2)</f>
        <v/>
      </c>
      <c r="B125" s="84" t="inlineStr">
        <is>
          <t>B331</t>
        </is>
      </c>
      <c r="C125" s="84" t="inlineStr">
        <is>
          <t>上海区域</t>
        </is>
      </c>
      <c r="D125" s="84" t="inlineStr">
        <is>
          <t>CN0Q</t>
        </is>
      </c>
      <c r="E125" s="80" t="inlineStr">
        <is>
          <t>EE 苏州比斯特</t>
        </is>
      </c>
      <c r="F125" s="84" t="n">
        <v>4</v>
      </c>
      <c r="G125" s="84" t="inlineStr">
        <is>
          <t>奥特莱斯</t>
        </is>
      </c>
      <c r="H125" s="84" t="inlineStr">
        <is>
          <t>EECKG11E01</t>
        </is>
      </c>
      <c r="I125" s="84" t="n">
        <v>799</v>
      </c>
      <c r="J125" s="84" t="n">
        <v>899</v>
      </c>
      <c r="K125" s="85" t="n"/>
      <c r="L125" s="85" t="n"/>
    </row>
    <row r="126" ht="18.75" customHeight="1" s="103">
      <c r="A126" s="78">
        <f>MID(H126,3,2)</f>
        <v/>
      </c>
      <c r="B126" s="84" t="inlineStr">
        <is>
          <t>B331</t>
        </is>
      </c>
      <c r="C126" s="84" t="inlineStr">
        <is>
          <t>上海区域</t>
        </is>
      </c>
      <c r="D126" s="84" t="inlineStr">
        <is>
          <t>CN0Q</t>
        </is>
      </c>
      <c r="E126" s="80" t="inlineStr">
        <is>
          <t>EE 苏州比斯特</t>
        </is>
      </c>
      <c r="F126" s="84" t="n">
        <v>4</v>
      </c>
      <c r="G126" s="84" t="inlineStr">
        <is>
          <t>奥特莱斯</t>
        </is>
      </c>
      <c r="H126" s="84" t="inlineStr">
        <is>
          <t>EECKG11E01</t>
        </is>
      </c>
      <c r="I126" s="84" t="n">
        <v>799</v>
      </c>
      <c r="J126" s="84" t="n">
        <v>899</v>
      </c>
      <c r="K126" s="85" t="n"/>
      <c r="L126" s="85" t="n"/>
    </row>
    <row r="127" ht="18.75" customHeight="1" s="103">
      <c r="A127" s="78">
        <f>MID(H127,3,2)</f>
        <v/>
      </c>
      <c r="B127" s="84" t="inlineStr">
        <is>
          <t>B331</t>
        </is>
      </c>
      <c r="C127" s="84" t="inlineStr">
        <is>
          <t>上海区域</t>
        </is>
      </c>
      <c r="D127" s="84" t="inlineStr">
        <is>
          <t>CN0Q</t>
        </is>
      </c>
      <c r="E127" s="80" t="inlineStr">
        <is>
          <t>EE 苏州比斯特</t>
        </is>
      </c>
      <c r="F127" s="84" t="n">
        <v>4</v>
      </c>
      <c r="G127" s="84" t="inlineStr">
        <is>
          <t>奥特莱斯</t>
        </is>
      </c>
      <c r="H127" s="84" t="inlineStr">
        <is>
          <t>EECKG11E01</t>
        </is>
      </c>
      <c r="I127" s="84" t="n">
        <v>799</v>
      </c>
      <c r="J127" s="84" t="n">
        <v>899</v>
      </c>
      <c r="K127" s="85" t="n"/>
      <c r="L127" s="85" t="n"/>
    </row>
    <row r="128" ht="18.75" customHeight="1" s="103">
      <c r="A128" s="78">
        <f>MID(H128,3,2)</f>
        <v/>
      </c>
      <c r="B128" s="84" t="inlineStr">
        <is>
          <t>B331</t>
        </is>
      </c>
      <c r="C128" s="84" t="inlineStr">
        <is>
          <t>上海区域</t>
        </is>
      </c>
      <c r="D128" s="84" t="inlineStr">
        <is>
          <t>CN0Q</t>
        </is>
      </c>
      <c r="E128" s="80" t="inlineStr">
        <is>
          <t>EE 苏州比斯特</t>
        </is>
      </c>
      <c r="F128" s="84" t="n">
        <v>4</v>
      </c>
      <c r="G128" s="84" t="inlineStr">
        <is>
          <t>奥特莱斯</t>
        </is>
      </c>
      <c r="H128" s="84" t="inlineStr">
        <is>
          <t>EECKG11E01</t>
        </is>
      </c>
      <c r="I128" s="84" t="n">
        <v>799</v>
      </c>
      <c r="J128" s="84" t="n">
        <v>899</v>
      </c>
      <c r="K128" s="85" t="n"/>
      <c r="L128" s="85" t="n"/>
    </row>
    <row r="129" ht="18.75" customHeight="1" s="103">
      <c r="A129" s="78">
        <f>MID(H129,3,2)</f>
        <v/>
      </c>
      <c r="B129" s="84" t="inlineStr">
        <is>
          <t>B331</t>
        </is>
      </c>
      <c r="C129" s="84" t="inlineStr">
        <is>
          <t>上海区域</t>
        </is>
      </c>
      <c r="D129" s="84" t="inlineStr">
        <is>
          <t>CN0Q</t>
        </is>
      </c>
      <c r="E129" s="80" t="inlineStr">
        <is>
          <t>EE 苏州比斯特</t>
        </is>
      </c>
      <c r="F129" s="84" t="n">
        <v>4</v>
      </c>
      <c r="G129" s="84" t="inlineStr">
        <is>
          <t>奥特莱斯</t>
        </is>
      </c>
      <c r="H129" s="84" t="inlineStr">
        <is>
          <t>EECKG12B02</t>
        </is>
      </c>
      <c r="I129" s="84" t="n">
        <v>999</v>
      </c>
      <c r="J129" s="84" t="n">
        <v>899</v>
      </c>
      <c r="K129" s="85" t="n"/>
      <c r="L129" s="85" t="n"/>
    </row>
    <row r="130" ht="18.75" customHeight="1" s="103">
      <c r="A130" s="78">
        <f>MID(H130,3,2)</f>
        <v/>
      </c>
      <c r="B130" s="84" t="inlineStr">
        <is>
          <t>B331</t>
        </is>
      </c>
      <c r="C130" s="84" t="inlineStr">
        <is>
          <t>上海区域</t>
        </is>
      </c>
      <c r="D130" s="84" t="inlineStr">
        <is>
          <t>CN0Q</t>
        </is>
      </c>
      <c r="E130" s="80" t="inlineStr">
        <is>
          <t>EE 苏州比斯特</t>
        </is>
      </c>
      <c r="F130" s="84" t="n">
        <v>4</v>
      </c>
      <c r="G130" s="84" t="inlineStr">
        <is>
          <t>奥特莱斯</t>
        </is>
      </c>
      <c r="H130" s="84" t="inlineStr">
        <is>
          <t>EECKG12B02</t>
        </is>
      </c>
      <c r="I130" s="84" t="n">
        <v>999</v>
      </c>
      <c r="J130" s="84" t="n">
        <v>899</v>
      </c>
      <c r="K130" s="85" t="n"/>
      <c r="L130" s="85" t="n"/>
    </row>
    <row r="131" ht="18.75" customHeight="1" s="103">
      <c r="A131" s="78">
        <f>MID(H131,3,2)</f>
        <v/>
      </c>
      <c r="B131" s="84" t="inlineStr">
        <is>
          <t>B331</t>
        </is>
      </c>
      <c r="C131" s="84" t="inlineStr">
        <is>
          <t>上海区域</t>
        </is>
      </c>
      <c r="D131" s="84" t="inlineStr">
        <is>
          <t>CN0Q</t>
        </is>
      </c>
      <c r="E131" s="80" t="inlineStr">
        <is>
          <t>EE 苏州比斯特</t>
        </is>
      </c>
      <c r="F131" s="84" t="n">
        <v>4</v>
      </c>
      <c r="G131" s="84" t="inlineStr">
        <is>
          <t>奥特莱斯</t>
        </is>
      </c>
      <c r="H131" s="84" t="inlineStr">
        <is>
          <t>EECKG12B02</t>
        </is>
      </c>
      <c r="I131" s="84" t="n">
        <v>999</v>
      </c>
      <c r="J131" s="84" t="n">
        <v>899</v>
      </c>
      <c r="K131" s="85" t="n">
        <v>1</v>
      </c>
      <c r="L131" s="85" t="n">
        <v>417</v>
      </c>
    </row>
    <row r="132" ht="18.75" customHeight="1" s="103">
      <c r="A132" s="78">
        <f>MID(H132,3,2)</f>
        <v/>
      </c>
      <c r="B132" s="84" t="inlineStr">
        <is>
          <t>B331</t>
        </is>
      </c>
      <c r="C132" s="84" t="inlineStr">
        <is>
          <t>上海区域</t>
        </is>
      </c>
      <c r="D132" s="84" t="inlineStr">
        <is>
          <t>CN0Q</t>
        </is>
      </c>
      <c r="E132" s="80" t="inlineStr">
        <is>
          <t>EE 苏州比斯特</t>
        </is>
      </c>
      <c r="F132" s="84" t="n">
        <v>4</v>
      </c>
      <c r="G132" s="84" t="inlineStr">
        <is>
          <t>奥特莱斯</t>
        </is>
      </c>
      <c r="H132" s="84" t="inlineStr">
        <is>
          <t>EECKG12B02</t>
        </is>
      </c>
      <c r="I132" s="84" t="n">
        <v>999</v>
      </c>
      <c r="J132" s="84" t="n">
        <v>899</v>
      </c>
      <c r="K132" s="85" t="n"/>
      <c r="L132" s="85" t="n"/>
    </row>
    <row r="133" ht="18.75" customHeight="1" s="103">
      <c r="A133" s="78">
        <f>MID(H133,3,2)</f>
        <v/>
      </c>
      <c r="B133" s="84" t="inlineStr">
        <is>
          <t>B331</t>
        </is>
      </c>
      <c r="C133" s="84" t="inlineStr">
        <is>
          <t>上海区域</t>
        </is>
      </c>
      <c r="D133" s="84" t="inlineStr">
        <is>
          <t>CN0Q</t>
        </is>
      </c>
      <c r="E133" s="80" t="inlineStr">
        <is>
          <t>EE 苏州比斯特</t>
        </is>
      </c>
      <c r="F133" s="84" t="n">
        <v>4</v>
      </c>
      <c r="G133" s="84" t="inlineStr">
        <is>
          <t>奥特莱斯</t>
        </is>
      </c>
      <c r="H133" s="84" t="inlineStr">
        <is>
          <t>EECKG12B02</t>
        </is>
      </c>
      <c r="I133" s="84" t="n">
        <v>999</v>
      </c>
      <c r="J133" s="84" t="n">
        <v>899</v>
      </c>
      <c r="K133" s="85" t="n"/>
      <c r="L133" s="85" t="n"/>
    </row>
    <row r="134" ht="18.75" customHeight="1" s="103">
      <c r="A134" s="78">
        <f>MID(H134,3,2)</f>
        <v/>
      </c>
      <c r="B134" s="84" t="inlineStr">
        <is>
          <t>B331</t>
        </is>
      </c>
      <c r="C134" s="84" t="inlineStr">
        <is>
          <t>上海区域</t>
        </is>
      </c>
      <c r="D134" s="84" t="inlineStr">
        <is>
          <t>CN0Q</t>
        </is>
      </c>
      <c r="E134" s="80" t="inlineStr">
        <is>
          <t>EE 苏州比斯特</t>
        </is>
      </c>
      <c r="F134" s="84" t="n">
        <v>4</v>
      </c>
      <c r="G134" s="84" t="inlineStr">
        <is>
          <t>奥特莱斯</t>
        </is>
      </c>
      <c r="H134" s="84" t="inlineStr">
        <is>
          <t>EECKG12B02</t>
        </is>
      </c>
      <c r="I134" s="84" t="n">
        <v>999</v>
      </c>
      <c r="J134" s="84" t="n">
        <v>899</v>
      </c>
      <c r="K134" s="85" t="n"/>
      <c r="L134" s="85" t="n"/>
    </row>
    <row r="135" ht="18.75" customHeight="1" s="103">
      <c r="A135" s="78">
        <f>MID(H135,3,2)</f>
        <v/>
      </c>
      <c r="B135" s="84" t="inlineStr">
        <is>
          <t>B331</t>
        </is>
      </c>
      <c r="C135" s="84" t="inlineStr">
        <is>
          <t>上海区域</t>
        </is>
      </c>
      <c r="D135" s="84" t="inlineStr">
        <is>
          <t>CN0Q</t>
        </is>
      </c>
      <c r="E135" s="80" t="inlineStr">
        <is>
          <t>EE 苏州比斯特</t>
        </is>
      </c>
      <c r="F135" s="84" t="n">
        <v>4</v>
      </c>
      <c r="G135" s="84" t="inlineStr">
        <is>
          <t>奥特莱斯</t>
        </is>
      </c>
      <c r="H135" s="84" t="inlineStr">
        <is>
          <t>EECKG12B03</t>
        </is>
      </c>
      <c r="I135" s="84" t="n">
        <v>999</v>
      </c>
      <c r="J135" s="84" t="n">
        <v>1299</v>
      </c>
      <c r="K135" s="85" t="n"/>
      <c r="L135" s="85" t="n"/>
    </row>
    <row r="136" ht="18.75" customHeight="1" s="103">
      <c r="A136" s="78">
        <f>MID(H136,3,2)</f>
        <v/>
      </c>
      <c r="B136" s="84" t="inlineStr">
        <is>
          <t>B331</t>
        </is>
      </c>
      <c r="C136" s="84" t="inlineStr">
        <is>
          <t>上海区域</t>
        </is>
      </c>
      <c r="D136" s="84" t="inlineStr">
        <is>
          <t>CN0Q</t>
        </is>
      </c>
      <c r="E136" s="80" t="inlineStr">
        <is>
          <t>EE 苏州比斯特</t>
        </is>
      </c>
      <c r="F136" s="84" t="n">
        <v>4</v>
      </c>
      <c r="G136" s="84" t="inlineStr">
        <is>
          <t>奥特莱斯</t>
        </is>
      </c>
      <c r="H136" s="84" t="inlineStr">
        <is>
          <t>EECKG12B03</t>
        </is>
      </c>
      <c r="I136" s="84" t="n">
        <v>999</v>
      </c>
      <c r="J136" s="84" t="n">
        <v>1299</v>
      </c>
      <c r="K136" s="85" t="n"/>
      <c r="L136" s="85" t="n"/>
    </row>
    <row r="137" ht="18.75" customHeight="1" s="103">
      <c r="A137" s="78">
        <f>MID(H137,3,2)</f>
        <v/>
      </c>
      <c r="B137" s="84" t="inlineStr">
        <is>
          <t>B331</t>
        </is>
      </c>
      <c r="C137" s="84" t="inlineStr">
        <is>
          <t>上海区域</t>
        </is>
      </c>
      <c r="D137" s="84" t="inlineStr">
        <is>
          <t>CN0Q</t>
        </is>
      </c>
      <c r="E137" s="80" t="inlineStr">
        <is>
          <t>EE 苏州比斯特</t>
        </is>
      </c>
      <c r="F137" s="84" t="n">
        <v>4</v>
      </c>
      <c r="G137" s="84" t="inlineStr">
        <is>
          <t>奥特莱斯</t>
        </is>
      </c>
      <c r="H137" s="84" t="inlineStr">
        <is>
          <t>EECKG12B03</t>
        </is>
      </c>
      <c r="I137" s="84" t="n">
        <v>999</v>
      </c>
      <c r="J137" s="84" t="n">
        <v>1299</v>
      </c>
      <c r="K137" s="85" t="n"/>
      <c r="L137" s="85" t="n"/>
    </row>
    <row r="138" ht="18.75" customHeight="1" s="103">
      <c r="A138" s="78">
        <f>MID(H138,3,2)</f>
        <v/>
      </c>
      <c r="B138" s="84" t="inlineStr">
        <is>
          <t>B331</t>
        </is>
      </c>
      <c r="C138" s="84" t="inlineStr">
        <is>
          <t>上海区域</t>
        </is>
      </c>
      <c r="D138" s="84" t="inlineStr">
        <is>
          <t>CN0Q</t>
        </is>
      </c>
      <c r="E138" s="80" t="inlineStr">
        <is>
          <t>EE 苏州比斯特</t>
        </is>
      </c>
      <c r="F138" s="84" t="n">
        <v>4</v>
      </c>
      <c r="G138" s="84" t="inlineStr">
        <is>
          <t>奥特莱斯</t>
        </is>
      </c>
      <c r="H138" s="84" t="inlineStr">
        <is>
          <t>EECKG12B03</t>
        </is>
      </c>
      <c r="I138" s="84" t="n">
        <v>999</v>
      </c>
      <c r="J138" s="84" t="n">
        <v>1299</v>
      </c>
      <c r="K138" s="85" t="n"/>
      <c r="L138" s="85" t="n"/>
    </row>
    <row r="139" ht="18.75" customHeight="1" s="103">
      <c r="A139" s="78">
        <f>MID(H139,3,2)</f>
        <v/>
      </c>
      <c r="B139" s="84" t="inlineStr">
        <is>
          <t>B331</t>
        </is>
      </c>
      <c r="C139" s="84" t="inlineStr">
        <is>
          <t>上海区域</t>
        </is>
      </c>
      <c r="D139" s="84" t="inlineStr">
        <is>
          <t>CN0Q</t>
        </is>
      </c>
      <c r="E139" s="80" t="inlineStr">
        <is>
          <t>EE 苏州比斯特</t>
        </is>
      </c>
      <c r="F139" s="84" t="n">
        <v>4</v>
      </c>
      <c r="G139" s="84" t="inlineStr">
        <is>
          <t>奥特莱斯</t>
        </is>
      </c>
      <c r="H139" s="84" t="inlineStr">
        <is>
          <t>EECKG12B03</t>
        </is>
      </c>
      <c r="I139" s="84" t="n">
        <v>999</v>
      </c>
      <c r="J139" s="84" t="n">
        <v>1299</v>
      </c>
      <c r="K139" s="85" t="n"/>
      <c r="L139" s="85" t="n"/>
    </row>
    <row r="140" ht="18.75" customHeight="1" s="103">
      <c r="A140" s="78">
        <f>MID(H140,3,2)</f>
        <v/>
      </c>
      <c r="B140" s="84" t="inlineStr">
        <is>
          <t>B331</t>
        </is>
      </c>
      <c r="C140" s="84" t="inlineStr">
        <is>
          <t>上海区域</t>
        </is>
      </c>
      <c r="D140" s="84" t="inlineStr">
        <is>
          <t>CN0Q</t>
        </is>
      </c>
      <c r="E140" s="80" t="inlineStr">
        <is>
          <t>EE 苏州比斯特</t>
        </is>
      </c>
      <c r="F140" s="84" t="n">
        <v>4</v>
      </c>
      <c r="G140" s="84" t="inlineStr">
        <is>
          <t>奥特莱斯</t>
        </is>
      </c>
      <c r="H140" s="84" t="inlineStr">
        <is>
          <t>EECKG12B03</t>
        </is>
      </c>
      <c r="I140" s="84" t="n">
        <v>999</v>
      </c>
      <c r="J140" s="84" t="n">
        <v>1299</v>
      </c>
      <c r="K140" s="85" t="n"/>
      <c r="L140" s="85" t="n"/>
    </row>
    <row r="141" ht="18.75" customHeight="1" s="103">
      <c r="A141" s="78">
        <f>MID(H141,3,2)</f>
        <v/>
      </c>
      <c r="B141" s="84" t="inlineStr">
        <is>
          <t>B331</t>
        </is>
      </c>
      <c r="C141" s="84" t="inlineStr">
        <is>
          <t>上海区域</t>
        </is>
      </c>
      <c r="D141" s="84" t="inlineStr">
        <is>
          <t>CN0Q</t>
        </is>
      </c>
      <c r="E141" s="80" t="inlineStr">
        <is>
          <t>EE 苏州比斯特</t>
        </is>
      </c>
      <c r="F141" s="84" t="n">
        <v>4</v>
      </c>
      <c r="G141" s="84" t="inlineStr">
        <is>
          <t>奥特莱斯</t>
        </is>
      </c>
      <c r="H141" s="84" t="inlineStr">
        <is>
          <t>EECKG12B03</t>
        </is>
      </c>
      <c r="I141" s="84" t="n">
        <v>999</v>
      </c>
      <c r="J141" s="84" t="n">
        <v>1299</v>
      </c>
      <c r="K141" s="85" t="n"/>
      <c r="L141" s="85" t="n"/>
    </row>
    <row r="142" ht="18.75" customHeight="1" s="103">
      <c r="A142" s="78">
        <f>MID(H142,3,2)</f>
        <v/>
      </c>
      <c r="B142" s="84" t="inlineStr">
        <is>
          <t>B331</t>
        </is>
      </c>
      <c r="C142" s="84" t="inlineStr">
        <is>
          <t>上海区域</t>
        </is>
      </c>
      <c r="D142" s="84" t="inlineStr">
        <is>
          <t>CN0Q</t>
        </is>
      </c>
      <c r="E142" s="80" t="inlineStr">
        <is>
          <t>EE 苏州比斯特</t>
        </is>
      </c>
      <c r="F142" s="84" t="n">
        <v>4</v>
      </c>
      <c r="G142" s="84" t="inlineStr">
        <is>
          <t>奥特莱斯</t>
        </is>
      </c>
      <c r="H142" s="84" t="inlineStr">
        <is>
          <t>EECKG12B1G</t>
        </is>
      </c>
      <c r="I142" s="84" t="n">
        <v>999</v>
      </c>
      <c r="J142" s="84" t="n">
        <v>999</v>
      </c>
      <c r="K142" s="85" t="n"/>
      <c r="L142" s="85" t="n"/>
    </row>
    <row r="143" ht="18.75" customHeight="1" s="103">
      <c r="A143" s="78">
        <f>MID(H143,3,2)</f>
        <v/>
      </c>
      <c r="B143" s="84" t="inlineStr">
        <is>
          <t>B331</t>
        </is>
      </c>
      <c r="C143" s="84" t="inlineStr">
        <is>
          <t>上海区域</t>
        </is>
      </c>
      <c r="D143" s="84" t="inlineStr">
        <is>
          <t>CN0Q</t>
        </is>
      </c>
      <c r="E143" s="80" t="inlineStr">
        <is>
          <t>EE 苏州比斯特</t>
        </is>
      </c>
      <c r="F143" s="84" t="n">
        <v>4</v>
      </c>
      <c r="G143" s="84" t="inlineStr">
        <is>
          <t>奥特莱斯</t>
        </is>
      </c>
      <c r="H143" s="84" t="inlineStr">
        <is>
          <t>EECKG12B1G</t>
        </is>
      </c>
      <c r="I143" s="84" t="n">
        <v>999</v>
      </c>
      <c r="J143" s="84" t="n">
        <v>999</v>
      </c>
      <c r="K143" s="85" t="n"/>
      <c r="L143" s="85" t="n"/>
    </row>
    <row r="144" ht="18.75" customHeight="1" s="103">
      <c r="A144" s="78">
        <f>MID(H144,3,2)</f>
        <v/>
      </c>
      <c r="B144" s="84" t="inlineStr">
        <is>
          <t>B331</t>
        </is>
      </c>
      <c r="C144" s="84" t="inlineStr">
        <is>
          <t>上海区域</t>
        </is>
      </c>
      <c r="D144" s="84" t="inlineStr">
        <is>
          <t>CN0Q</t>
        </is>
      </c>
      <c r="E144" s="80" t="inlineStr">
        <is>
          <t>EE 苏州比斯特</t>
        </is>
      </c>
      <c r="F144" s="84" t="n">
        <v>4</v>
      </c>
      <c r="G144" s="84" t="inlineStr">
        <is>
          <t>奥特莱斯</t>
        </is>
      </c>
      <c r="H144" s="84" t="inlineStr">
        <is>
          <t>EECKG12B1G</t>
        </is>
      </c>
      <c r="I144" s="84" t="n">
        <v>999</v>
      </c>
      <c r="J144" s="84" t="n">
        <v>999</v>
      </c>
      <c r="K144" s="85" t="n"/>
      <c r="L144" s="85" t="n"/>
    </row>
    <row r="145" ht="18.75" customHeight="1" s="103">
      <c r="A145" s="78">
        <f>MID(H145,3,2)</f>
        <v/>
      </c>
      <c r="B145" s="84" t="inlineStr">
        <is>
          <t>B331</t>
        </is>
      </c>
      <c r="C145" s="84" t="inlineStr">
        <is>
          <t>上海区域</t>
        </is>
      </c>
      <c r="D145" s="84" t="inlineStr">
        <is>
          <t>CN0Q</t>
        </is>
      </c>
      <c r="E145" s="80" t="inlineStr">
        <is>
          <t>EE 苏州比斯特</t>
        </is>
      </c>
      <c r="F145" s="84" t="n">
        <v>4</v>
      </c>
      <c r="G145" s="84" t="inlineStr">
        <is>
          <t>奥特莱斯</t>
        </is>
      </c>
      <c r="H145" s="84" t="inlineStr">
        <is>
          <t>EECKG12B1G</t>
        </is>
      </c>
      <c r="I145" s="84" t="n">
        <v>999</v>
      </c>
      <c r="J145" s="84" t="n">
        <v>999</v>
      </c>
      <c r="K145" s="85" t="n"/>
      <c r="L145" s="85" t="n"/>
    </row>
    <row r="146" ht="18.75" customHeight="1" s="103">
      <c r="A146" s="78">
        <f>MID(H146,3,2)</f>
        <v/>
      </c>
      <c r="B146" s="84" t="inlineStr">
        <is>
          <t>B331</t>
        </is>
      </c>
      <c r="C146" s="84" t="inlineStr">
        <is>
          <t>上海区域</t>
        </is>
      </c>
      <c r="D146" s="84" t="inlineStr">
        <is>
          <t>CN0Q</t>
        </is>
      </c>
      <c r="E146" s="80" t="inlineStr">
        <is>
          <t>EE 苏州比斯特</t>
        </is>
      </c>
      <c r="F146" s="84" t="n">
        <v>4</v>
      </c>
      <c r="G146" s="84" t="inlineStr">
        <is>
          <t>奥特莱斯</t>
        </is>
      </c>
      <c r="H146" s="84" t="inlineStr">
        <is>
          <t>EECKG12B1G</t>
        </is>
      </c>
      <c r="I146" s="84" t="n">
        <v>999</v>
      </c>
      <c r="J146" s="84" t="n">
        <v>999</v>
      </c>
      <c r="K146" s="85" t="n"/>
      <c r="L146" s="85" t="n"/>
    </row>
    <row r="147" ht="18.75" customHeight="1" s="103">
      <c r="A147" s="78">
        <f>MID(H147,3,2)</f>
        <v/>
      </c>
      <c r="B147" s="84" t="inlineStr">
        <is>
          <t>B331</t>
        </is>
      </c>
      <c r="C147" s="84" t="inlineStr">
        <is>
          <t>上海区域</t>
        </is>
      </c>
      <c r="D147" s="84" t="inlineStr">
        <is>
          <t>CN0Q</t>
        </is>
      </c>
      <c r="E147" s="80" t="inlineStr">
        <is>
          <t>EE 苏州比斯特</t>
        </is>
      </c>
      <c r="F147" s="84" t="n">
        <v>4</v>
      </c>
      <c r="G147" s="84" t="inlineStr">
        <is>
          <t>奥特莱斯</t>
        </is>
      </c>
      <c r="H147" s="84" t="inlineStr">
        <is>
          <t>EECKG12B1G</t>
        </is>
      </c>
      <c r="I147" s="84" t="n">
        <v>999</v>
      </c>
      <c r="J147" s="84" t="n">
        <v>999</v>
      </c>
      <c r="K147" s="85" t="n"/>
      <c r="L147" s="85" t="n"/>
    </row>
    <row r="148" ht="18.75" customHeight="1" s="103">
      <c r="A148" s="78">
        <f>MID(H148,3,2)</f>
        <v/>
      </c>
      <c r="B148" s="84" t="inlineStr">
        <is>
          <t>B331</t>
        </is>
      </c>
      <c r="C148" s="84" t="inlineStr">
        <is>
          <t>上海区域</t>
        </is>
      </c>
      <c r="D148" s="84" t="inlineStr">
        <is>
          <t>CN0Q</t>
        </is>
      </c>
      <c r="E148" s="80" t="inlineStr">
        <is>
          <t>EE 苏州比斯特</t>
        </is>
      </c>
      <c r="F148" s="84" t="n">
        <v>4</v>
      </c>
      <c r="G148" s="84" t="inlineStr">
        <is>
          <t>奥特莱斯</t>
        </is>
      </c>
      <c r="H148" s="84" t="inlineStr">
        <is>
          <t>EECKG12B1G</t>
        </is>
      </c>
      <c r="I148" s="84" t="n">
        <v>999</v>
      </c>
      <c r="J148" s="84" t="n">
        <v>999</v>
      </c>
      <c r="K148" s="85" t="n"/>
      <c r="L148" s="85" t="n"/>
    </row>
    <row r="149" ht="18.75" customHeight="1" s="103">
      <c r="A149" s="78">
        <f>MID(H149,3,2)</f>
        <v/>
      </c>
      <c r="B149" s="84" t="inlineStr">
        <is>
          <t>B331</t>
        </is>
      </c>
      <c r="C149" s="84" t="inlineStr">
        <is>
          <t>上海区域</t>
        </is>
      </c>
      <c r="D149" s="84" t="inlineStr">
        <is>
          <t>CN0Q</t>
        </is>
      </c>
      <c r="E149" s="80" t="inlineStr">
        <is>
          <t>EE 苏州比斯特</t>
        </is>
      </c>
      <c r="F149" s="84" t="n">
        <v>4</v>
      </c>
      <c r="G149" s="84" t="inlineStr">
        <is>
          <t>奥特莱斯</t>
        </is>
      </c>
      <c r="H149" s="84" t="inlineStr">
        <is>
          <t>EECKG12B1G</t>
        </is>
      </c>
      <c r="I149" s="84" t="n">
        <v>999</v>
      </c>
      <c r="J149" s="84" t="n">
        <v>999</v>
      </c>
      <c r="K149" s="85" t="n"/>
      <c r="L149" s="85" t="n"/>
    </row>
    <row r="150" ht="18.75" customHeight="1" s="103">
      <c r="A150" s="78">
        <f>MID(H150,3,2)</f>
        <v/>
      </c>
      <c r="B150" s="84" t="inlineStr">
        <is>
          <t>B331</t>
        </is>
      </c>
      <c r="C150" s="84" t="inlineStr">
        <is>
          <t>上海区域</t>
        </is>
      </c>
      <c r="D150" s="84" t="inlineStr">
        <is>
          <t>CN0Q</t>
        </is>
      </c>
      <c r="E150" s="80" t="inlineStr">
        <is>
          <t>EE 苏州比斯特</t>
        </is>
      </c>
      <c r="F150" s="84" t="n">
        <v>4</v>
      </c>
      <c r="G150" s="84" t="inlineStr">
        <is>
          <t>奥特莱斯</t>
        </is>
      </c>
      <c r="H150" s="84" t="inlineStr">
        <is>
          <t>EECKG23B03</t>
        </is>
      </c>
      <c r="I150" s="84" t="n">
        <v>899</v>
      </c>
      <c r="J150" s="84" t="n">
        <v>799</v>
      </c>
      <c r="K150" s="85" t="n">
        <v>2</v>
      </c>
      <c r="L150" s="85" t="n">
        <v>746</v>
      </c>
    </row>
    <row r="151" ht="18.75" customHeight="1" s="103">
      <c r="A151" s="78">
        <f>MID(H151,3,2)</f>
        <v/>
      </c>
      <c r="B151" s="84" t="inlineStr">
        <is>
          <t>B331</t>
        </is>
      </c>
      <c r="C151" s="84" t="inlineStr">
        <is>
          <t>上海区域</t>
        </is>
      </c>
      <c r="D151" s="84" t="inlineStr">
        <is>
          <t>CN0Q</t>
        </is>
      </c>
      <c r="E151" s="80" t="inlineStr">
        <is>
          <t>EE 苏州比斯特</t>
        </is>
      </c>
      <c r="F151" s="84" t="n">
        <v>4</v>
      </c>
      <c r="G151" s="84" t="inlineStr">
        <is>
          <t>奥特莱斯</t>
        </is>
      </c>
      <c r="H151" s="84" t="inlineStr">
        <is>
          <t>EECKG23B03</t>
        </is>
      </c>
      <c r="I151" s="84" t="n">
        <v>899</v>
      </c>
      <c r="J151" s="84" t="n">
        <v>799</v>
      </c>
      <c r="K151" s="85" t="n">
        <v>2</v>
      </c>
      <c r="L151" s="86" t="n">
        <v>1021</v>
      </c>
    </row>
    <row r="152" ht="18.75" customHeight="1" s="103">
      <c r="A152" s="78">
        <f>MID(H152,3,2)</f>
        <v/>
      </c>
      <c r="B152" s="84" t="inlineStr">
        <is>
          <t>B331</t>
        </is>
      </c>
      <c r="C152" s="84" t="inlineStr">
        <is>
          <t>上海区域</t>
        </is>
      </c>
      <c r="D152" s="84" t="inlineStr">
        <is>
          <t>CN0Q</t>
        </is>
      </c>
      <c r="E152" s="80" t="inlineStr">
        <is>
          <t>EE 苏州比斯特</t>
        </is>
      </c>
      <c r="F152" s="84" t="n">
        <v>4</v>
      </c>
      <c r="G152" s="84" t="inlineStr">
        <is>
          <t>奥特莱斯</t>
        </is>
      </c>
      <c r="H152" s="84" t="inlineStr">
        <is>
          <t>EECKG23B03</t>
        </is>
      </c>
      <c r="I152" s="84" t="n">
        <v>899</v>
      </c>
      <c r="J152" s="84" t="n">
        <v>799</v>
      </c>
      <c r="K152" s="85" t="n"/>
      <c r="L152" s="85" t="n"/>
    </row>
    <row r="153" ht="18.75" customHeight="1" s="103">
      <c r="A153" s="78">
        <f>MID(H153,3,2)</f>
        <v/>
      </c>
      <c r="B153" s="84" t="inlineStr">
        <is>
          <t>B331</t>
        </is>
      </c>
      <c r="C153" s="84" t="inlineStr">
        <is>
          <t>上海区域</t>
        </is>
      </c>
      <c r="D153" s="84" t="inlineStr">
        <is>
          <t>CN0Q</t>
        </is>
      </c>
      <c r="E153" s="80" t="inlineStr">
        <is>
          <t>EE 苏州比斯特</t>
        </is>
      </c>
      <c r="F153" s="84" t="n">
        <v>4</v>
      </c>
      <c r="G153" s="84" t="inlineStr">
        <is>
          <t>奥特莱斯</t>
        </is>
      </c>
      <c r="H153" s="84" t="inlineStr">
        <is>
          <t>EECKG23B03</t>
        </is>
      </c>
      <c r="I153" s="84" t="n">
        <v>899</v>
      </c>
      <c r="J153" s="84" t="n">
        <v>799</v>
      </c>
      <c r="K153" s="85" t="n">
        <v>2</v>
      </c>
      <c r="L153" s="86" t="n">
        <v>1082</v>
      </c>
    </row>
    <row r="154" ht="18.75" customHeight="1" s="103">
      <c r="A154" s="78">
        <f>MID(H154,3,2)</f>
        <v/>
      </c>
      <c r="B154" s="84" t="inlineStr">
        <is>
          <t>B331</t>
        </is>
      </c>
      <c r="C154" s="84" t="inlineStr">
        <is>
          <t>上海区域</t>
        </is>
      </c>
      <c r="D154" s="84" t="inlineStr">
        <is>
          <t>CN0Q</t>
        </is>
      </c>
      <c r="E154" s="80" t="inlineStr">
        <is>
          <t>EE 苏州比斯特</t>
        </is>
      </c>
      <c r="F154" s="84" t="n">
        <v>4</v>
      </c>
      <c r="G154" s="84" t="inlineStr">
        <is>
          <t>奥特莱斯</t>
        </is>
      </c>
      <c r="H154" s="84" t="inlineStr">
        <is>
          <t>EECKG23B03</t>
        </is>
      </c>
      <c r="I154" s="84" t="n">
        <v>899</v>
      </c>
      <c r="J154" s="84" t="n">
        <v>799</v>
      </c>
      <c r="K154" s="85" t="n">
        <v>2</v>
      </c>
      <c r="L154" s="86" t="n">
        <v>1065</v>
      </c>
    </row>
    <row r="155" ht="18.75" customHeight="1" s="103">
      <c r="A155" s="78">
        <f>MID(H155,3,2)</f>
        <v/>
      </c>
      <c r="B155" s="84" t="inlineStr">
        <is>
          <t>B331</t>
        </is>
      </c>
      <c r="C155" s="84" t="inlineStr">
        <is>
          <t>上海区域</t>
        </is>
      </c>
      <c r="D155" s="84" t="inlineStr">
        <is>
          <t>CN0Q</t>
        </is>
      </c>
      <c r="E155" s="80" t="inlineStr">
        <is>
          <t>EE 苏州比斯特</t>
        </is>
      </c>
      <c r="F155" s="84" t="n">
        <v>4</v>
      </c>
      <c r="G155" s="84" t="inlineStr">
        <is>
          <t>奥特莱斯</t>
        </is>
      </c>
      <c r="H155" s="84" t="inlineStr">
        <is>
          <t>EECKG23B03</t>
        </is>
      </c>
      <c r="I155" s="84" t="n">
        <v>899</v>
      </c>
      <c r="J155" s="84" t="n">
        <v>799</v>
      </c>
      <c r="K155" s="85" t="n"/>
      <c r="L155" s="85" t="n"/>
    </row>
    <row r="156" ht="18.75" customHeight="1" s="103">
      <c r="A156" s="78">
        <f>MID(H156,3,2)</f>
        <v/>
      </c>
      <c r="B156" s="84" t="inlineStr">
        <is>
          <t>B331</t>
        </is>
      </c>
      <c r="C156" s="84" t="inlineStr">
        <is>
          <t>上海区域</t>
        </is>
      </c>
      <c r="D156" s="84" t="inlineStr">
        <is>
          <t>CN0Q</t>
        </is>
      </c>
      <c r="E156" s="80" t="inlineStr">
        <is>
          <t>EE 苏州比斯特</t>
        </is>
      </c>
      <c r="F156" s="84" t="n">
        <v>4</v>
      </c>
      <c r="G156" s="84" t="inlineStr">
        <is>
          <t>奥特莱斯</t>
        </is>
      </c>
      <c r="H156" s="84" t="inlineStr">
        <is>
          <t>EECKG23B04</t>
        </is>
      </c>
      <c r="I156" s="84" t="n">
        <v>899</v>
      </c>
      <c r="J156" s="84" t="n">
        <v>899</v>
      </c>
      <c r="K156" s="85" t="n">
        <v>1</v>
      </c>
      <c r="L156" s="85" t="n">
        <v>588</v>
      </c>
    </row>
    <row r="157" ht="18.75" customHeight="1" s="103">
      <c r="A157" s="78">
        <f>MID(H157,3,2)</f>
        <v/>
      </c>
      <c r="B157" s="84" t="inlineStr">
        <is>
          <t>B331</t>
        </is>
      </c>
      <c r="C157" s="84" t="inlineStr">
        <is>
          <t>上海区域</t>
        </is>
      </c>
      <c r="D157" s="84" t="inlineStr">
        <is>
          <t>CN0Q</t>
        </is>
      </c>
      <c r="E157" s="80" t="inlineStr">
        <is>
          <t>EE 苏州比斯特</t>
        </is>
      </c>
      <c r="F157" s="84" t="n">
        <v>4</v>
      </c>
      <c r="G157" s="84" t="inlineStr">
        <is>
          <t>奥特莱斯</t>
        </is>
      </c>
      <c r="H157" s="84" t="inlineStr">
        <is>
          <t>EECKG23B04</t>
        </is>
      </c>
      <c r="I157" s="84" t="n">
        <v>899</v>
      </c>
      <c r="J157" s="84" t="n">
        <v>899</v>
      </c>
      <c r="K157" s="85" t="n">
        <v>1</v>
      </c>
      <c r="L157" s="85" t="n">
        <v>571</v>
      </c>
    </row>
    <row r="158" ht="18.75" customHeight="1" s="103">
      <c r="A158" s="78">
        <f>MID(H158,3,2)</f>
        <v/>
      </c>
      <c r="B158" s="84" t="inlineStr">
        <is>
          <t>B331</t>
        </is>
      </c>
      <c r="C158" s="84" t="inlineStr">
        <is>
          <t>上海区域</t>
        </is>
      </c>
      <c r="D158" s="84" t="inlineStr">
        <is>
          <t>CN0Q</t>
        </is>
      </c>
      <c r="E158" s="80" t="inlineStr">
        <is>
          <t>EE 苏州比斯特</t>
        </is>
      </c>
      <c r="F158" s="84" t="n">
        <v>4</v>
      </c>
      <c r="G158" s="84" t="inlineStr">
        <is>
          <t>奥特莱斯</t>
        </is>
      </c>
      <c r="H158" s="84" t="inlineStr">
        <is>
          <t>EECKG23B04</t>
        </is>
      </c>
      <c r="I158" s="84" t="n">
        <v>899</v>
      </c>
      <c r="J158" s="84" t="n">
        <v>899</v>
      </c>
      <c r="K158" s="85" t="n"/>
      <c r="L158" s="85" t="n"/>
    </row>
    <row r="159" ht="18.75" customHeight="1" s="103">
      <c r="A159" s="78">
        <f>MID(H159,3,2)</f>
        <v/>
      </c>
      <c r="B159" s="84" t="inlineStr">
        <is>
          <t>B331</t>
        </is>
      </c>
      <c r="C159" s="84" t="inlineStr">
        <is>
          <t>上海区域</t>
        </is>
      </c>
      <c r="D159" s="84" t="inlineStr">
        <is>
          <t>CN0Q</t>
        </is>
      </c>
      <c r="E159" s="80" t="inlineStr">
        <is>
          <t>EE 苏州比斯特</t>
        </is>
      </c>
      <c r="F159" s="84" t="n">
        <v>4</v>
      </c>
      <c r="G159" s="84" t="inlineStr">
        <is>
          <t>奥特莱斯</t>
        </is>
      </c>
      <c r="H159" s="84" t="inlineStr">
        <is>
          <t>EECKG23E01</t>
        </is>
      </c>
      <c r="I159" s="84" t="n">
        <v>699</v>
      </c>
      <c r="J159" s="84" t="n">
        <v>699</v>
      </c>
      <c r="K159" s="85" t="n">
        <v>1</v>
      </c>
      <c r="L159" s="85" t="n">
        <v>442</v>
      </c>
    </row>
    <row r="160" ht="18.75" customHeight="1" s="103">
      <c r="A160" s="78">
        <f>MID(H160,3,2)</f>
        <v/>
      </c>
      <c r="B160" s="84" t="inlineStr">
        <is>
          <t>B331</t>
        </is>
      </c>
      <c r="C160" s="84" t="inlineStr">
        <is>
          <t>上海区域</t>
        </is>
      </c>
      <c r="D160" s="84" t="inlineStr">
        <is>
          <t>CN0Q</t>
        </is>
      </c>
      <c r="E160" s="80" t="inlineStr">
        <is>
          <t>EE 苏州比斯特</t>
        </is>
      </c>
      <c r="F160" s="84" t="n">
        <v>4</v>
      </c>
      <c r="G160" s="84" t="inlineStr">
        <is>
          <t>奥特莱斯</t>
        </is>
      </c>
      <c r="H160" s="84" t="inlineStr">
        <is>
          <t>EECKG23E01</t>
        </is>
      </c>
      <c r="I160" s="84" t="n">
        <v>699</v>
      </c>
      <c r="J160" s="84" t="n">
        <v>699</v>
      </c>
      <c r="K160" s="85" t="n">
        <v>3</v>
      </c>
      <c r="L160" s="85" t="n">
        <v>457</v>
      </c>
    </row>
    <row r="161" ht="18.75" customHeight="1" s="103">
      <c r="A161" s="78">
        <f>MID(H161,3,2)</f>
        <v/>
      </c>
      <c r="B161" s="84" t="inlineStr">
        <is>
          <t>B331</t>
        </is>
      </c>
      <c r="C161" s="84" t="inlineStr">
        <is>
          <t>上海区域</t>
        </is>
      </c>
      <c r="D161" s="84" t="inlineStr">
        <is>
          <t>CN0Q</t>
        </is>
      </c>
      <c r="E161" s="80" t="inlineStr">
        <is>
          <t>EE 苏州比斯特</t>
        </is>
      </c>
      <c r="F161" s="84" t="n">
        <v>4</v>
      </c>
      <c r="G161" s="84" t="inlineStr">
        <is>
          <t>奥特莱斯</t>
        </is>
      </c>
      <c r="H161" s="84" t="inlineStr">
        <is>
          <t>EECKG23E01</t>
        </is>
      </c>
      <c r="I161" s="84" t="n">
        <v>699</v>
      </c>
      <c r="J161" s="84" t="n">
        <v>699</v>
      </c>
      <c r="K161" s="85" t="n">
        <v>3</v>
      </c>
      <c r="L161" s="85" t="n">
        <v>947</v>
      </c>
    </row>
    <row r="162" ht="18.75" customHeight="1" s="103">
      <c r="A162" s="78">
        <f>MID(H162,3,2)</f>
        <v/>
      </c>
      <c r="B162" s="84" t="inlineStr">
        <is>
          <t>B331</t>
        </is>
      </c>
      <c r="C162" s="84" t="inlineStr">
        <is>
          <t>上海区域</t>
        </is>
      </c>
      <c r="D162" s="84" t="inlineStr">
        <is>
          <t>CN0Q</t>
        </is>
      </c>
      <c r="E162" s="80" t="inlineStr">
        <is>
          <t>EE 苏州比斯特</t>
        </is>
      </c>
      <c r="F162" s="84" t="n">
        <v>4</v>
      </c>
      <c r="G162" s="84" t="inlineStr">
        <is>
          <t>奥特莱斯</t>
        </is>
      </c>
      <c r="H162" s="84" t="inlineStr">
        <is>
          <t>EECKG23E01</t>
        </is>
      </c>
      <c r="I162" s="84" t="n">
        <v>699</v>
      </c>
      <c r="J162" s="84" t="n">
        <v>699</v>
      </c>
      <c r="K162" s="85" t="n"/>
      <c r="L162" s="85" t="n"/>
    </row>
    <row r="163" ht="18.75" customHeight="1" s="103">
      <c r="A163" s="78">
        <f>MID(H163,3,2)</f>
        <v/>
      </c>
      <c r="B163" s="84" t="inlineStr">
        <is>
          <t>B331</t>
        </is>
      </c>
      <c r="C163" s="84" t="inlineStr">
        <is>
          <t>上海区域</t>
        </is>
      </c>
      <c r="D163" s="84" t="inlineStr">
        <is>
          <t>CN0Q</t>
        </is>
      </c>
      <c r="E163" s="80" t="inlineStr">
        <is>
          <t>EE 苏州比斯特</t>
        </is>
      </c>
      <c r="F163" s="84" t="n">
        <v>4</v>
      </c>
      <c r="G163" s="84" t="inlineStr">
        <is>
          <t>奥特莱斯</t>
        </is>
      </c>
      <c r="H163" s="84" t="inlineStr">
        <is>
          <t>EECKG23E01</t>
        </is>
      </c>
      <c r="I163" s="84" t="n">
        <v>699</v>
      </c>
      <c r="J163" s="84" t="n">
        <v>699</v>
      </c>
      <c r="K163" s="85" t="n"/>
      <c r="L163" s="85" t="n"/>
    </row>
    <row r="164" ht="18.75" customHeight="1" s="103">
      <c r="A164" s="78">
        <f>MID(H164,3,2)</f>
        <v/>
      </c>
      <c r="B164" s="84" t="inlineStr">
        <is>
          <t>B331</t>
        </is>
      </c>
      <c r="C164" s="84" t="inlineStr">
        <is>
          <t>上海区域</t>
        </is>
      </c>
      <c r="D164" s="84" t="inlineStr">
        <is>
          <t>CN0Q</t>
        </is>
      </c>
      <c r="E164" s="80" t="inlineStr">
        <is>
          <t>EE 苏州比斯特</t>
        </is>
      </c>
      <c r="F164" s="84" t="n">
        <v>4</v>
      </c>
      <c r="G164" s="84" t="inlineStr">
        <is>
          <t>奥特莱斯</t>
        </is>
      </c>
      <c r="H164" s="84" t="inlineStr">
        <is>
          <t>EECKG23E01</t>
        </is>
      </c>
      <c r="I164" s="84" t="n">
        <v>699</v>
      </c>
      <c r="J164" s="84" t="n">
        <v>699</v>
      </c>
      <c r="K164" s="85" t="n">
        <v>1</v>
      </c>
      <c r="L164" s="85" t="n">
        <v>489</v>
      </c>
    </row>
    <row r="165" ht="18.75" customHeight="1" s="103">
      <c r="A165" s="78">
        <f>MID(H165,3,2)</f>
        <v/>
      </c>
      <c r="B165" s="84" t="inlineStr">
        <is>
          <t>B331</t>
        </is>
      </c>
      <c r="C165" s="84" t="inlineStr">
        <is>
          <t>上海区域</t>
        </is>
      </c>
      <c r="D165" s="84" t="inlineStr">
        <is>
          <t>CN0Q</t>
        </is>
      </c>
      <c r="E165" s="80" t="inlineStr">
        <is>
          <t>EE 苏州比斯特</t>
        </is>
      </c>
      <c r="F165" s="84" t="n">
        <v>4</v>
      </c>
      <c r="G165" s="84" t="inlineStr">
        <is>
          <t>奥特莱斯</t>
        </is>
      </c>
      <c r="H165" s="84" t="inlineStr">
        <is>
          <t>EECKG23E01</t>
        </is>
      </c>
      <c r="I165" s="84" t="n">
        <v>699</v>
      </c>
      <c r="J165" s="84" t="n">
        <v>699</v>
      </c>
      <c r="K165" s="85" t="n">
        <v>2</v>
      </c>
      <c r="L165" s="85" t="n">
        <v>452</v>
      </c>
    </row>
    <row r="166" ht="18.75" customHeight="1" s="103">
      <c r="A166" s="78">
        <f>MID(H166,3,2)</f>
        <v/>
      </c>
      <c r="B166" s="84" t="inlineStr">
        <is>
          <t>B331</t>
        </is>
      </c>
      <c r="C166" s="84" t="inlineStr">
        <is>
          <t>上海区域</t>
        </is>
      </c>
      <c r="D166" s="84" t="inlineStr">
        <is>
          <t>CN0Q</t>
        </is>
      </c>
      <c r="E166" s="80" t="inlineStr">
        <is>
          <t>EE 苏州比斯特</t>
        </is>
      </c>
      <c r="F166" s="84" t="n">
        <v>4</v>
      </c>
      <c r="G166" s="84" t="inlineStr">
        <is>
          <t>奥特莱斯</t>
        </is>
      </c>
      <c r="H166" s="84" t="inlineStr">
        <is>
          <t>EECKG23E01</t>
        </is>
      </c>
      <c r="I166" s="84" t="n">
        <v>699</v>
      </c>
      <c r="J166" s="84" t="n">
        <v>699</v>
      </c>
      <c r="K166" s="85" t="n"/>
      <c r="L166" s="85" t="n"/>
    </row>
    <row r="167" ht="18.75" customHeight="1" s="103">
      <c r="A167" s="78">
        <f>MID(H167,3,2)</f>
        <v/>
      </c>
      <c r="B167" s="84" t="inlineStr">
        <is>
          <t>B331</t>
        </is>
      </c>
      <c r="C167" s="84" t="inlineStr">
        <is>
          <t>上海区域</t>
        </is>
      </c>
      <c r="D167" s="84" t="inlineStr">
        <is>
          <t>CN0Q</t>
        </is>
      </c>
      <c r="E167" s="80" t="inlineStr">
        <is>
          <t>EE 苏州比斯特</t>
        </is>
      </c>
      <c r="F167" s="84" t="n">
        <v>4</v>
      </c>
      <c r="G167" s="84" t="inlineStr">
        <is>
          <t>奥特莱斯</t>
        </is>
      </c>
      <c r="H167" s="84" t="inlineStr">
        <is>
          <t>EECKG23E01</t>
        </is>
      </c>
      <c r="I167" s="84" t="n">
        <v>699</v>
      </c>
      <c r="J167" s="84" t="n">
        <v>699</v>
      </c>
      <c r="K167" s="85" t="n"/>
      <c r="L167" s="85" t="n"/>
    </row>
    <row r="168" ht="18.75" customHeight="1" s="103">
      <c r="A168" s="78">
        <f>MID(H168,3,2)</f>
        <v/>
      </c>
      <c r="B168" s="84" t="inlineStr">
        <is>
          <t>B331</t>
        </is>
      </c>
      <c r="C168" s="84" t="inlineStr">
        <is>
          <t>上海区域</t>
        </is>
      </c>
      <c r="D168" s="84" t="inlineStr">
        <is>
          <t>CN0Q</t>
        </is>
      </c>
      <c r="E168" s="80" t="inlineStr">
        <is>
          <t>EE 苏州比斯特</t>
        </is>
      </c>
      <c r="F168" s="84" t="n">
        <v>4</v>
      </c>
      <c r="G168" s="84" t="inlineStr">
        <is>
          <t>奥特莱斯</t>
        </is>
      </c>
      <c r="H168" s="84" t="inlineStr">
        <is>
          <t>EECKG23E01</t>
        </is>
      </c>
      <c r="I168" s="84" t="n">
        <v>699</v>
      </c>
      <c r="J168" s="84" t="n">
        <v>699</v>
      </c>
      <c r="K168" s="85" t="n"/>
      <c r="L168" s="85" t="n"/>
    </row>
    <row r="169" ht="18.75" customHeight="1" s="103">
      <c r="A169" s="78">
        <f>MID(H169,3,2)</f>
        <v/>
      </c>
      <c r="B169" s="84" t="inlineStr">
        <is>
          <t>B331</t>
        </is>
      </c>
      <c r="C169" s="84" t="inlineStr">
        <is>
          <t>上海区域</t>
        </is>
      </c>
      <c r="D169" s="84" t="inlineStr">
        <is>
          <t>CN0Q</t>
        </is>
      </c>
      <c r="E169" s="80" t="inlineStr">
        <is>
          <t>EE 苏州比斯特</t>
        </is>
      </c>
      <c r="F169" s="84" t="n">
        <v>4</v>
      </c>
      <c r="G169" s="84" t="inlineStr">
        <is>
          <t>奥特莱斯</t>
        </is>
      </c>
      <c r="H169" s="84" t="inlineStr">
        <is>
          <t>EECKG23E01</t>
        </is>
      </c>
      <c r="I169" s="84" t="n">
        <v>699</v>
      </c>
      <c r="J169" s="84" t="n">
        <v>699</v>
      </c>
      <c r="K169" s="85" t="n"/>
      <c r="L169" s="85" t="n"/>
    </row>
    <row r="170" ht="18.75" customHeight="1" s="103">
      <c r="A170" s="78">
        <f>MID(H170,3,2)</f>
        <v/>
      </c>
      <c r="B170" s="84" t="inlineStr">
        <is>
          <t>B331</t>
        </is>
      </c>
      <c r="C170" s="84" t="inlineStr">
        <is>
          <t>上海区域</t>
        </is>
      </c>
      <c r="D170" s="84" t="inlineStr">
        <is>
          <t>CN0Q</t>
        </is>
      </c>
      <c r="E170" s="80" t="inlineStr">
        <is>
          <t>EE 苏州比斯特</t>
        </is>
      </c>
      <c r="F170" s="84" t="n">
        <v>4</v>
      </c>
      <c r="G170" s="84" t="inlineStr">
        <is>
          <t>奥特莱斯</t>
        </is>
      </c>
      <c r="H170" s="84" t="inlineStr">
        <is>
          <t>EECKG23E01</t>
        </is>
      </c>
      <c r="I170" s="84" t="n">
        <v>699</v>
      </c>
      <c r="J170" s="84" t="n">
        <v>699</v>
      </c>
      <c r="K170" s="85" t="n"/>
      <c r="L170" s="85" t="n"/>
    </row>
    <row r="171" ht="18.75" customHeight="1" s="103">
      <c r="A171" s="78">
        <f>MID(H171,3,2)</f>
        <v/>
      </c>
      <c r="B171" s="84" t="inlineStr">
        <is>
          <t>B331</t>
        </is>
      </c>
      <c r="C171" s="84" t="inlineStr">
        <is>
          <t>上海区域</t>
        </is>
      </c>
      <c r="D171" s="84" t="inlineStr">
        <is>
          <t>CN0Q</t>
        </is>
      </c>
      <c r="E171" s="80" t="inlineStr">
        <is>
          <t>EE 苏州比斯特</t>
        </is>
      </c>
      <c r="F171" s="84" t="n">
        <v>4</v>
      </c>
      <c r="G171" s="84" t="inlineStr">
        <is>
          <t>奥特莱斯</t>
        </is>
      </c>
      <c r="H171" s="84" t="inlineStr">
        <is>
          <t>EECKG23E01</t>
        </is>
      </c>
      <c r="I171" s="84" t="n">
        <v>699</v>
      </c>
      <c r="J171" s="84" t="n">
        <v>699</v>
      </c>
      <c r="K171" s="85" t="n"/>
      <c r="L171" s="85" t="n"/>
    </row>
    <row r="172" ht="18.75" customHeight="1" s="103">
      <c r="A172" s="78">
        <f>MID(H172,3,2)</f>
        <v/>
      </c>
      <c r="B172" s="84" t="inlineStr">
        <is>
          <t>B331</t>
        </is>
      </c>
      <c r="C172" s="84" t="inlineStr">
        <is>
          <t>上海区域</t>
        </is>
      </c>
      <c r="D172" s="84" t="inlineStr">
        <is>
          <t>CN0Q</t>
        </is>
      </c>
      <c r="E172" s="80" t="inlineStr">
        <is>
          <t>EE 苏州比斯特</t>
        </is>
      </c>
      <c r="F172" s="84" t="n">
        <v>4</v>
      </c>
      <c r="G172" s="84" t="inlineStr">
        <is>
          <t>奥特莱斯</t>
        </is>
      </c>
      <c r="H172" s="84" t="inlineStr">
        <is>
          <t>EECKG23E01</t>
        </is>
      </c>
      <c r="I172" s="84" t="n">
        <v>699</v>
      </c>
      <c r="J172" s="84" t="n">
        <v>699</v>
      </c>
      <c r="K172" s="85" t="n">
        <v>1</v>
      </c>
      <c r="L172" s="85" t="n"/>
    </row>
    <row r="173" ht="18.75" customHeight="1" s="103">
      <c r="A173" s="78">
        <f>MID(H173,3,2)</f>
        <v/>
      </c>
      <c r="B173" s="84" t="inlineStr">
        <is>
          <t>B331</t>
        </is>
      </c>
      <c r="C173" s="84" t="inlineStr">
        <is>
          <t>上海区域</t>
        </is>
      </c>
      <c r="D173" s="84" t="inlineStr">
        <is>
          <t>CN0Q</t>
        </is>
      </c>
      <c r="E173" s="80" t="inlineStr">
        <is>
          <t>EE 苏州比斯特</t>
        </is>
      </c>
      <c r="F173" s="84" t="n">
        <v>4</v>
      </c>
      <c r="G173" s="84" t="inlineStr">
        <is>
          <t>奥特莱斯</t>
        </is>
      </c>
      <c r="H173" s="84" t="inlineStr">
        <is>
          <t>EECKG23E01</t>
        </is>
      </c>
      <c r="I173" s="84" t="n">
        <v>699</v>
      </c>
      <c r="J173" s="84" t="n">
        <v>699</v>
      </c>
      <c r="K173" s="85" t="n"/>
      <c r="L173" s="85" t="n"/>
    </row>
    <row r="174" ht="18.75" customHeight="1" s="103">
      <c r="A174" s="78">
        <f>MID(H174,3,2)</f>
        <v/>
      </c>
      <c r="B174" s="84" t="inlineStr">
        <is>
          <t>B331</t>
        </is>
      </c>
      <c r="C174" s="84" t="inlineStr">
        <is>
          <t>上海区域</t>
        </is>
      </c>
      <c r="D174" s="84" t="inlineStr">
        <is>
          <t>CN0Q</t>
        </is>
      </c>
      <c r="E174" s="80" t="inlineStr">
        <is>
          <t>EE 苏州比斯特</t>
        </is>
      </c>
      <c r="F174" s="84" t="n">
        <v>4</v>
      </c>
      <c r="G174" s="84" t="inlineStr">
        <is>
          <t>奥特莱斯</t>
        </is>
      </c>
      <c r="H174" s="84" t="inlineStr">
        <is>
          <t>EECKG23E01</t>
        </is>
      </c>
      <c r="I174" s="84" t="n">
        <v>699</v>
      </c>
      <c r="J174" s="84" t="n">
        <v>699</v>
      </c>
      <c r="K174" s="85" t="n"/>
      <c r="L174" s="85" t="n"/>
    </row>
    <row r="175" ht="18.75" customHeight="1" s="103">
      <c r="A175" s="78">
        <f>MID(H175,3,2)</f>
        <v/>
      </c>
      <c r="B175" s="84" t="inlineStr">
        <is>
          <t>B331</t>
        </is>
      </c>
      <c r="C175" s="84" t="inlineStr">
        <is>
          <t>上海区域</t>
        </is>
      </c>
      <c r="D175" s="84" t="inlineStr">
        <is>
          <t>CN0Q</t>
        </is>
      </c>
      <c r="E175" s="80" t="inlineStr">
        <is>
          <t>EE 苏州比斯特</t>
        </is>
      </c>
      <c r="F175" s="84" t="n">
        <v>4</v>
      </c>
      <c r="G175" s="84" t="inlineStr">
        <is>
          <t>奥特莱斯</t>
        </is>
      </c>
      <c r="H175" s="84" t="inlineStr">
        <is>
          <t>EECKG23E02</t>
        </is>
      </c>
      <c r="I175" s="84" t="n">
        <v>699</v>
      </c>
      <c r="J175" s="84" t="n">
        <v>699</v>
      </c>
      <c r="K175" s="85" t="n">
        <v>1</v>
      </c>
      <c r="L175" s="85" t="n">
        <v>443</v>
      </c>
    </row>
    <row r="176" ht="18.75" customHeight="1" s="103">
      <c r="A176" s="78">
        <f>MID(H176,3,2)</f>
        <v/>
      </c>
      <c r="B176" s="84" t="inlineStr">
        <is>
          <t>B331</t>
        </is>
      </c>
      <c r="C176" s="84" t="inlineStr">
        <is>
          <t>上海区域</t>
        </is>
      </c>
      <c r="D176" s="84" t="inlineStr">
        <is>
          <t>CN0Q</t>
        </is>
      </c>
      <c r="E176" s="80" t="inlineStr">
        <is>
          <t>EE 苏州比斯特</t>
        </is>
      </c>
      <c r="F176" s="84" t="n">
        <v>4</v>
      </c>
      <c r="G176" s="84" t="inlineStr">
        <is>
          <t>奥特莱斯</t>
        </is>
      </c>
      <c r="H176" s="84" t="inlineStr">
        <is>
          <t>EECKG23E02</t>
        </is>
      </c>
      <c r="I176" s="84" t="n">
        <v>699</v>
      </c>
      <c r="J176" s="84" t="n">
        <v>699</v>
      </c>
      <c r="K176" s="85" t="n">
        <v>2</v>
      </c>
      <c r="L176" s="85" t="n">
        <v>965</v>
      </c>
    </row>
    <row r="177" ht="18.75" customHeight="1" s="103">
      <c r="A177" s="78">
        <f>MID(H177,3,2)</f>
        <v/>
      </c>
      <c r="B177" s="84" t="inlineStr">
        <is>
          <t>B331</t>
        </is>
      </c>
      <c r="C177" s="84" t="inlineStr">
        <is>
          <t>上海区域</t>
        </is>
      </c>
      <c r="D177" s="84" t="inlineStr">
        <is>
          <t>CN0Q</t>
        </is>
      </c>
      <c r="E177" s="80" t="inlineStr">
        <is>
          <t>EE 苏州比斯特</t>
        </is>
      </c>
      <c r="F177" s="84" t="n">
        <v>4</v>
      </c>
      <c r="G177" s="84" t="inlineStr">
        <is>
          <t>奥特莱斯</t>
        </is>
      </c>
      <c r="H177" s="84" t="inlineStr">
        <is>
          <t>EECKG23E02</t>
        </is>
      </c>
      <c r="I177" s="84" t="n">
        <v>699</v>
      </c>
      <c r="J177" s="84" t="n">
        <v>699</v>
      </c>
      <c r="K177" s="85" t="n"/>
      <c r="L177" s="85" t="n"/>
    </row>
    <row r="178" ht="18.75" customHeight="1" s="103">
      <c r="A178" s="78">
        <f>MID(H178,3,2)</f>
        <v/>
      </c>
      <c r="B178" s="84" t="inlineStr">
        <is>
          <t>B331</t>
        </is>
      </c>
      <c r="C178" s="84" t="inlineStr">
        <is>
          <t>上海区域</t>
        </is>
      </c>
      <c r="D178" s="84" t="inlineStr">
        <is>
          <t>CN0Q</t>
        </is>
      </c>
      <c r="E178" s="80" t="inlineStr">
        <is>
          <t>EE 苏州比斯特</t>
        </is>
      </c>
      <c r="F178" s="84" t="n">
        <v>4</v>
      </c>
      <c r="G178" s="84" t="inlineStr">
        <is>
          <t>奥特莱斯</t>
        </is>
      </c>
      <c r="H178" s="84" t="inlineStr">
        <is>
          <t>EECKG23E02</t>
        </is>
      </c>
      <c r="I178" s="84" t="n">
        <v>699</v>
      </c>
      <c r="J178" s="84" t="n">
        <v>699</v>
      </c>
      <c r="K178" s="85" t="n"/>
      <c r="L178" s="85" t="n"/>
    </row>
    <row r="179" ht="18.75" customHeight="1" s="103">
      <c r="A179" s="78">
        <f>MID(H179,3,2)</f>
        <v/>
      </c>
      <c r="B179" s="84" t="inlineStr">
        <is>
          <t>B331</t>
        </is>
      </c>
      <c r="C179" s="84" t="inlineStr">
        <is>
          <t>上海区域</t>
        </is>
      </c>
      <c r="D179" s="84" t="inlineStr">
        <is>
          <t>CN0Q</t>
        </is>
      </c>
      <c r="E179" s="80" t="inlineStr">
        <is>
          <t>EE 苏州比斯特</t>
        </is>
      </c>
      <c r="F179" s="84" t="n">
        <v>4</v>
      </c>
      <c r="G179" s="84" t="inlineStr">
        <is>
          <t>奥特莱斯</t>
        </is>
      </c>
      <c r="H179" s="84" t="inlineStr">
        <is>
          <t>EECKG23E02</t>
        </is>
      </c>
      <c r="I179" s="84" t="n">
        <v>699</v>
      </c>
      <c r="J179" s="84" t="n">
        <v>699</v>
      </c>
      <c r="K179" s="85" t="n">
        <v>6</v>
      </c>
      <c r="L179" s="86" t="n">
        <v>2496</v>
      </c>
    </row>
    <row r="180" ht="18.75" customHeight="1" s="103">
      <c r="A180" s="78">
        <f>MID(H180,3,2)</f>
        <v/>
      </c>
      <c r="B180" s="84" t="inlineStr">
        <is>
          <t>B331</t>
        </is>
      </c>
      <c r="C180" s="84" t="inlineStr">
        <is>
          <t>上海区域</t>
        </is>
      </c>
      <c r="D180" s="84" t="inlineStr">
        <is>
          <t>CN0Q</t>
        </is>
      </c>
      <c r="E180" s="80" t="inlineStr">
        <is>
          <t>EE 苏州比斯特</t>
        </is>
      </c>
      <c r="F180" s="84" t="n">
        <v>4</v>
      </c>
      <c r="G180" s="84" t="inlineStr">
        <is>
          <t>奥特莱斯</t>
        </is>
      </c>
      <c r="H180" s="84" t="inlineStr">
        <is>
          <t>EECKG23E02</t>
        </is>
      </c>
      <c r="I180" s="84" t="n">
        <v>699</v>
      </c>
      <c r="J180" s="84" t="n">
        <v>699</v>
      </c>
      <c r="K180" s="85" t="n">
        <v>3</v>
      </c>
      <c r="L180" s="86" t="n">
        <v>1153</v>
      </c>
    </row>
    <row r="181" ht="18.75" customHeight="1" s="103">
      <c r="A181" s="78">
        <f>MID(H181,3,2)</f>
        <v/>
      </c>
      <c r="B181" s="84" t="inlineStr">
        <is>
          <t>B331</t>
        </is>
      </c>
      <c r="C181" s="84" t="inlineStr">
        <is>
          <t>上海区域</t>
        </is>
      </c>
      <c r="D181" s="84" t="inlineStr">
        <is>
          <t>CN0Q</t>
        </is>
      </c>
      <c r="E181" s="80" t="inlineStr">
        <is>
          <t>EE 苏州比斯特</t>
        </is>
      </c>
      <c r="F181" s="84" t="n">
        <v>4</v>
      </c>
      <c r="G181" s="84" t="inlineStr">
        <is>
          <t>奥特莱斯</t>
        </is>
      </c>
      <c r="H181" s="84" t="inlineStr">
        <is>
          <t>EECKG23E02</t>
        </is>
      </c>
      <c r="I181" s="84" t="n">
        <v>699</v>
      </c>
      <c r="J181" s="84" t="n">
        <v>699</v>
      </c>
      <c r="K181" s="85" t="n">
        <v>1</v>
      </c>
      <c r="L181" s="85" t="n">
        <v>459</v>
      </c>
    </row>
    <row r="182" ht="18.75" customHeight="1" s="103">
      <c r="A182" s="78">
        <f>MID(H182,3,2)</f>
        <v/>
      </c>
      <c r="B182" s="84" t="inlineStr">
        <is>
          <t>B331</t>
        </is>
      </c>
      <c r="C182" s="84" t="inlineStr">
        <is>
          <t>上海区域</t>
        </is>
      </c>
      <c r="D182" s="84" t="inlineStr">
        <is>
          <t>CN0Q</t>
        </is>
      </c>
      <c r="E182" s="80" t="inlineStr">
        <is>
          <t>EE 苏州比斯特</t>
        </is>
      </c>
      <c r="F182" s="84" t="n">
        <v>4</v>
      </c>
      <c r="G182" s="84" t="inlineStr">
        <is>
          <t>奥特莱斯</t>
        </is>
      </c>
      <c r="H182" s="84" t="inlineStr">
        <is>
          <t>EECKG23E02</t>
        </is>
      </c>
      <c r="I182" s="84" t="n">
        <v>699</v>
      </c>
      <c r="J182" s="84" t="n">
        <v>699</v>
      </c>
      <c r="K182" s="85" t="n"/>
      <c r="L182" s="85" t="n"/>
    </row>
    <row r="183" ht="18.75" customHeight="1" s="103">
      <c r="A183" s="78">
        <f>MID(H183,3,2)</f>
        <v/>
      </c>
      <c r="B183" s="84" t="inlineStr">
        <is>
          <t>B331</t>
        </is>
      </c>
      <c r="C183" s="84" t="inlineStr">
        <is>
          <t>上海区域</t>
        </is>
      </c>
      <c r="D183" s="84" t="inlineStr">
        <is>
          <t>CN0Q</t>
        </is>
      </c>
      <c r="E183" s="80" t="inlineStr">
        <is>
          <t>EE 苏州比斯特</t>
        </is>
      </c>
      <c r="F183" s="84" t="n">
        <v>4</v>
      </c>
      <c r="G183" s="84" t="inlineStr">
        <is>
          <t>奥特莱斯</t>
        </is>
      </c>
      <c r="H183" s="84" t="inlineStr">
        <is>
          <t>EECKG23E02</t>
        </is>
      </c>
      <c r="I183" s="84" t="n">
        <v>699</v>
      </c>
      <c r="J183" s="84" t="n">
        <v>699</v>
      </c>
      <c r="K183" s="85" t="n">
        <v>5</v>
      </c>
      <c r="L183" s="86" t="n">
        <v>2006</v>
      </c>
    </row>
    <row r="184" ht="18.75" customHeight="1" s="103">
      <c r="A184" s="78">
        <f>MID(H184,3,2)</f>
        <v/>
      </c>
      <c r="B184" s="84" t="inlineStr">
        <is>
          <t>B331</t>
        </is>
      </c>
      <c r="C184" s="84" t="inlineStr">
        <is>
          <t>上海区域</t>
        </is>
      </c>
      <c r="D184" s="84" t="inlineStr">
        <is>
          <t>CN0Q</t>
        </is>
      </c>
      <c r="E184" s="80" t="inlineStr">
        <is>
          <t>EE 苏州比斯特</t>
        </is>
      </c>
      <c r="F184" s="84" t="n">
        <v>4</v>
      </c>
      <c r="G184" s="84" t="inlineStr">
        <is>
          <t>奥特莱斯</t>
        </is>
      </c>
      <c r="H184" s="84" t="inlineStr">
        <is>
          <t>EECKG23E02</t>
        </is>
      </c>
      <c r="I184" s="84" t="n">
        <v>699</v>
      </c>
      <c r="J184" s="84" t="n">
        <v>699</v>
      </c>
      <c r="K184" s="85" t="n">
        <v>6</v>
      </c>
      <c r="L184" s="86" t="n">
        <v>2703</v>
      </c>
    </row>
    <row r="185" ht="18.75" customHeight="1" s="103">
      <c r="A185" s="78">
        <f>MID(H185,3,2)</f>
        <v/>
      </c>
      <c r="B185" s="84" t="inlineStr">
        <is>
          <t>B331</t>
        </is>
      </c>
      <c r="C185" s="84" t="inlineStr">
        <is>
          <t>上海区域</t>
        </is>
      </c>
      <c r="D185" s="84" t="inlineStr">
        <is>
          <t>CN0Q</t>
        </is>
      </c>
      <c r="E185" s="80" t="inlineStr">
        <is>
          <t>EE 苏州比斯特</t>
        </is>
      </c>
      <c r="F185" s="84" t="n">
        <v>4</v>
      </c>
      <c r="G185" s="84" t="inlineStr">
        <is>
          <t>奥特莱斯</t>
        </is>
      </c>
      <c r="H185" s="84" t="inlineStr">
        <is>
          <t>EECKG23E02</t>
        </is>
      </c>
      <c r="I185" s="84" t="n">
        <v>699</v>
      </c>
      <c r="J185" s="84" t="n">
        <v>699</v>
      </c>
      <c r="K185" s="85" t="n"/>
      <c r="L185" s="85" t="n"/>
    </row>
    <row r="186" ht="18.75" customHeight="1" s="103">
      <c r="A186" s="78">
        <f>MID(H186,3,2)</f>
        <v/>
      </c>
      <c r="B186" s="84" t="inlineStr">
        <is>
          <t>B331</t>
        </is>
      </c>
      <c r="C186" s="84" t="inlineStr">
        <is>
          <t>上海区域</t>
        </is>
      </c>
      <c r="D186" s="84" t="inlineStr">
        <is>
          <t>CN0Q</t>
        </is>
      </c>
      <c r="E186" s="80" t="inlineStr">
        <is>
          <t>EE 苏州比斯特</t>
        </is>
      </c>
      <c r="F186" s="84" t="n">
        <v>4</v>
      </c>
      <c r="G186" s="84" t="inlineStr">
        <is>
          <t>奥特莱斯</t>
        </is>
      </c>
      <c r="H186" s="84" t="inlineStr">
        <is>
          <t>EECKG23E02</t>
        </is>
      </c>
      <c r="I186" s="84" t="n">
        <v>699</v>
      </c>
      <c r="J186" s="84" t="n">
        <v>699</v>
      </c>
      <c r="K186" s="85" t="n"/>
      <c r="L186" s="85" t="n"/>
    </row>
    <row r="187" ht="18.75" customHeight="1" s="103">
      <c r="A187" s="78">
        <f>MID(H187,3,2)</f>
        <v/>
      </c>
      <c r="B187" s="84" t="inlineStr">
        <is>
          <t>B331</t>
        </is>
      </c>
      <c r="C187" s="84" t="inlineStr">
        <is>
          <t>上海区域</t>
        </is>
      </c>
      <c r="D187" s="84" t="inlineStr">
        <is>
          <t>CN0Q</t>
        </is>
      </c>
      <c r="E187" s="80" t="inlineStr">
        <is>
          <t>EE 苏州比斯特</t>
        </is>
      </c>
      <c r="F187" s="84" t="n">
        <v>4</v>
      </c>
      <c r="G187" s="84" t="inlineStr">
        <is>
          <t>奥特莱斯</t>
        </is>
      </c>
      <c r="H187" s="84" t="inlineStr">
        <is>
          <t>EECKG23E02</t>
        </is>
      </c>
      <c r="I187" s="84" t="n">
        <v>699</v>
      </c>
      <c r="J187" s="84" t="n">
        <v>699</v>
      </c>
      <c r="K187" s="85" t="n">
        <v>2</v>
      </c>
      <c r="L187" s="85" t="n">
        <v>652</v>
      </c>
    </row>
    <row r="188" ht="18.75" customHeight="1" s="103">
      <c r="A188" s="78">
        <f>MID(H188,3,2)</f>
        <v/>
      </c>
      <c r="B188" s="84" t="inlineStr">
        <is>
          <t>B331</t>
        </is>
      </c>
      <c r="C188" s="84" t="inlineStr">
        <is>
          <t>上海区域</t>
        </is>
      </c>
      <c r="D188" s="84" t="inlineStr">
        <is>
          <t>CN0Q</t>
        </is>
      </c>
      <c r="E188" s="80" t="inlineStr">
        <is>
          <t>EE 苏州比斯特</t>
        </is>
      </c>
      <c r="F188" s="84" t="n">
        <v>4</v>
      </c>
      <c r="G188" s="84" t="inlineStr">
        <is>
          <t>奥特莱斯</t>
        </is>
      </c>
      <c r="H188" s="84" t="inlineStr">
        <is>
          <t>EECKG23E02</t>
        </is>
      </c>
      <c r="I188" s="84" t="n">
        <v>699</v>
      </c>
      <c r="J188" s="84" t="n">
        <v>699</v>
      </c>
      <c r="K188" s="85" t="n">
        <v>2</v>
      </c>
      <c r="L188" s="86" t="n">
        <v>1145</v>
      </c>
    </row>
    <row r="189" ht="18.75" customHeight="1" s="103">
      <c r="A189" s="78">
        <f>MID(H189,3,2)</f>
        <v/>
      </c>
      <c r="B189" s="84" t="inlineStr">
        <is>
          <t>B331</t>
        </is>
      </c>
      <c r="C189" s="84" t="inlineStr">
        <is>
          <t>上海区域</t>
        </is>
      </c>
      <c r="D189" s="84" t="inlineStr">
        <is>
          <t>CN0Q</t>
        </is>
      </c>
      <c r="E189" s="80" t="inlineStr">
        <is>
          <t>EE 苏州比斯特</t>
        </is>
      </c>
      <c r="F189" s="84" t="n">
        <v>4</v>
      </c>
      <c r="G189" s="84" t="inlineStr">
        <is>
          <t>奥特莱斯</t>
        </is>
      </c>
      <c r="H189" s="84" t="inlineStr">
        <is>
          <t>EECKG23E02</t>
        </is>
      </c>
      <c r="I189" s="84" t="n">
        <v>699</v>
      </c>
      <c r="J189" s="84" t="n">
        <v>699</v>
      </c>
      <c r="K189" s="85" t="n">
        <v>1</v>
      </c>
      <c r="L189" s="85" t="n">
        <v>489</v>
      </c>
    </row>
    <row r="190" ht="12.75" customHeight="1" s="103">
      <c r="A190" s="78">
        <f>MID(H190,3,2)</f>
        <v/>
      </c>
      <c r="B190" s="84" t="inlineStr">
        <is>
          <t>B331</t>
        </is>
      </c>
      <c r="C190" s="84" t="inlineStr">
        <is>
          <t>上海区域</t>
        </is>
      </c>
      <c r="D190" s="84" t="inlineStr">
        <is>
          <t>CN0Q</t>
        </is>
      </c>
      <c r="E190" s="80" t="inlineStr">
        <is>
          <t>EE 苏州比斯特</t>
        </is>
      </c>
      <c r="F190" s="84" t="n">
        <v>4</v>
      </c>
      <c r="G190" s="84" t="inlineStr">
        <is>
          <t>奥特莱斯</t>
        </is>
      </c>
      <c r="H190" s="84" t="inlineStr">
        <is>
          <t>EECKG23E02</t>
        </is>
      </c>
      <c r="I190" s="84" t="n">
        <v>699</v>
      </c>
      <c r="J190" s="84" t="n">
        <v>699</v>
      </c>
      <c r="K190" s="85" t="n"/>
      <c r="L190" s="85" t="n"/>
    </row>
    <row r="191" ht="12.75" customHeight="1" s="103">
      <c r="A191" s="78">
        <f>MID(H191,3,2)</f>
        <v/>
      </c>
      <c r="B191" s="84" t="inlineStr">
        <is>
          <t>B331</t>
        </is>
      </c>
      <c r="C191" s="84" t="inlineStr">
        <is>
          <t>上海区域</t>
        </is>
      </c>
      <c r="D191" s="84" t="inlineStr">
        <is>
          <t>CN0Q</t>
        </is>
      </c>
      <c r="E191" s="80" t="inlineStr">
        <is>
          <t>EE 苏州比斯特</t>
        </is>
      </c>
      <c r="F191" s="84" t="n">
        <v>4</v>
      </c>
      <c r="G191" s="84" t="inlineStr">
        <is>
          <t>奥特莱斯</t>
        </is>
      </c>
      <c r="H191" s="84" t="inlineStr">
        <is>
          <t>EECKG24E02</t>
        </is>
      </c>
      <c r="I191" s="84" t="n">
        <v>699</v>
      </c>
      <c r="J191" s="84" t="n">
        <v>699</v>
      </c>
      <c r="K191" s="85" t="n">
        <v>6</v>
      </c>
      <c r="L191" s="86" t="n">
        <v>2659</v>
      </c>
    </row>
    <row r="192" ht="12.75" customHeight="1" s="103">
      <c r="A192" s="78">
        <f>MID(H192,3,2)</f>
        <v/>
      </c>
      <c r="B192" s="84" t="inlineStr">
        <is>
          <t>B331</t>
        </is>
      </c>
      <c r="C192" s="84" t="inlineStr">
        <is>
          <t>上海区域</t>
        </is>
      </c>
      <c r="D192" s="84" t="inlineStr">
        <is>
          <t>CN0Q</t>
        </is>
      </c>
      <c r="E192" s="80" t="inlineStr">
        <is>
          <t>EE 苏州比斯特</t>
        </is>
      </c>
      <c r="F192" s="84" t="n">
        <v>4</v>
      </c>
      <c r="G192" s="84" t="inlineStr">
        <is>
          <t>奥特莱斯</t>
        </is>
      </c>
      <c r="H192" s="84" t="inlineStr">
        <is>
          <t>EECKG24E02</t>
        </is>
      </c>
      <c r="I192" s="84" t="n">
        <v>699</v>
      </c>
      <c r="J192" s="84" t="n">
        <v>699</v>
      </c>
      <c r="K192" s="85" t="n">
        <v>4</v>
      </c>
      <c r="L192" s="86" t="n">
        <v>1872</v>
      </c>
    </row>
    <row r="193" ht="12.75" customHeight="1" s="103">
      <c r="A193" s="78">
        <f>MID(H193,3,2)</f>
        <v/>
      </c>
      <c r="B193" s="84" t="inlineStr">
        <is>
          <t>B331</t>
        </is>
      </c>
      <c r="C193" s="84" t="inlineStr">
        <is>
          <t>上海区域</t>
        </is>
      </c>
      <c r="D193" s="84" t="inlineStr">
        <is>
          <t>CN0Q</t>
        </is>
      </c>
      <c r="E193" s="80" t="inlineStr">
        <is>
          <t>EE 苏州比斯特</t>
        </is>
      </c>
      <c r="F193" s="84" t="n">
        <v>4</v>
      </c>
      <c r="G193" s="84" t="inlineStr">
        <is>
          <t>奥特莱斯</t>
        </is>
      </c>
      <c r="H193" s="84" t="inlineStr">
        <is>
          <t>EECKG24E02</t>
        </is>
      </c>
      <c r="I193" s="84" t="n">
        <v>699</v>
      </c>
      <c r="J193" s="84" t="n">
        <v>699</v>
      </c>
      <c r="K193" s="85" t="n">
        <v>3</v>
      </c>
      <c r="L193" s="86" t="n">
        <v>1373</v>
      </c>
    </row>
    <row r="194" ht="12.75" customHeight="1" s="103">
      <c r="A194" s="78">
        <f>MID(H194,3,2)</f>
        <v/>
      </c>
      <c r="B194" s="84" t="inlineStr">
        <is>
          <t>B331</t>
        </is>
      </c>
      <c r="C194" s="84" t="inlineStr">
        <is>
          <t>上海区域</t>
        </is>
      </c>
      <c r="D194" s="84" t="inlineStr">
        <is>
          <t>CN0Q</t>
        </is>
      </c>
      <c r="E194" s="80" t="inlineStr">
        <is>
          <t>EE 苏州比斯特</t>
        </is>
      </c>
      <c r="F194" s="84" t="n">
        <v>4</v>
      </c>
      <c r="G194" s="84" t="inlineStr">
        <is>
          <t>奥特莱斯</t>
        </is>
      </c>
      <c r="H194" s="84" t="inlineStr">
        <is>
          <t>EECKG25B04</t>
        </is>
      </c>
      <c r="I194" s="84" t="n">
        <v>899</v>
      </c>
      <c r="J194" s="84" t="n">
        <v>599</v>
      </c>
      <c r="K194" s="85" t="n">
        <v>1</v>
      </c>
      <c r="L194" s="85" t="n">
        <v>383</v>
      </c>
    </row>
    <row r="195" ht="12.75" customHeight="1" s="103">
      <c r="A195" s="78">
        <f>MID(H195,3,2)</f>
        <v/>
      </c>
      <c r="B195" s="84" t="inlineStr">
        <is>
          <t>B331</t>
        </is>
      </c>
      <c r="C195" s="84" t="inlineStr">
        <is>
          <t>上海区域</t>
        </is>
      </c>
      <c r="D195" s="84" t="inlineStr">
        <is>
          <t>CN0Q</t>
        </is>
      </c>
      <c r="E195" s="80" t="inlineStr">
        <is>
          <t>EE 苏州比斯特</t>
        </is>
      </c>
      <c r="F195" s="84" t="n">
        <v>4</v>
      </c>
      <c r="G195" s="84" t="inlineStr">
        <is>
          <t>奥特莱斯</t>
        </is>
      </c>
      <c r="H195" s="84" t="inlineStr">
        <is>
          <t>EECKG25B04</t>
        </is>
      </c>
      <c r="I195" s="84" t="n">
        <v>899</v>
      </c>
      <c r="J195" s="84" t="n">
        <v>599</v>
      </c>
      <c r="K195" s="85" t="n">
        <v>1</v>
      </c>
      <c r="L195" s="85" t="n">
        <v>419</v>
      </c>
    </row>
    <row r="196" ht="12.75" customHeight="1" s="103">
      <c r="A196" s="78">
        <f>MID(H196,3,2)</f>
        <v/>
      </c>
      <c r="B196" s="84" t="inlineStr">
        <is>
          <t>B331</t>
        </is>
      </c>
      <c r="C196" s="84" t="inlineStr">
        <is>
          <t>上海区域</t>
        </is>
      </c>
      <c r="D196" s="84" t="inlineStr">
        <is>
          <t>CN0Q</t>
        </is>
      </c>
      <c r="E196" s="80" t="inlineStr">
        <is>
          <t>EE 苏州比斯特</t>
        </is>
      </c>
      <c r="F196" s="84" t="n">
        <v>4</v>
      </c>
      <c r="G196" s="84" t="inlineStr">
        <is>
          <t>奥特莱斯</t>
        </is>
      </c>
      <c r="H196" s="84" t="inlineStr">
        <is>
          <t>EECKG25B04</t>
        </is>
      </c>
      <c r="I196" s="84" t="n">
        <v>899</v>
      </c>
      <c r="J196" s="84" t="n">
        <v>599</v>
      </c>
      <c r="K196" s="85" t="n"/>
      <c r="L196" s="85" t="n"/>
    </row>
    <row r="197" ht="12.75" customHeight="1" s="103">
      <c r="A197" s="78">
        <f>MID(H197,3,2)</f>
        <v/>
      </c>
      <c r="B197" s="84" t="inlineStr">
        <is>
          <t>B331</t>
        </is>
      </c>
      <c r="C197" s="84" t="inlineStr">
        <is>
          <t>上海区域</t>
        </is>
      </c>
      <c r="D197" s="84" t="inlineStr">
        <is>
          <t>CN0Q</t>
        </is>
      </c>
      <c r="E197" s="80" t="inlineStr">
        <is>
          <t>EE 苏州比斯特</t>
        </is>
      </c>
      <c r="F197" s="84" t="n">
        <v>4</v>
      </c>
      <c r="G197" s="84" t="inlineStr">
        <is>
          <t>奥特莱斯</t>
        </is>
      </c>
      <c r="H197" s="84" t="inlineStr">
        <is>
          <t>EECKG25D03</t>
        </is>
      </c>
      <c r="I197" s="84" t="n">
        <v>899</v>
      </c>
      <c r="J197" s="84" t="n">
        <v>899</v>
      </c>
      <c r="K197" s="85" t="n">
        <v>2</v>
      </c>
      <c r="L197" s="86" t="n">
        <v>1154</v>
      </c>
    </row>
    <row r="198" ht="12.75" customHeight="1" s="103">
      <c r="A198" s="78">
        <f>MID(H198,3,2)</f>
        <v/>
      </c>
      <c r="B198" s="84" t="inlineStr">
        <is>
          <t>B331</t>
        </is>
      </c>
      <c r="C198" s="84" t="inlineStr">
        <is>
          <t>上海区域</t>
        </is>
      </c>
      <c r="D198" s="84" t="inlineStr">
        <is>
          <t>CN0Q</t>
        </is>
      </c>
      <c r="E198" s="80" t="inlineStr">
        <is>
          <t>EE 苏州比斯特</t>
        </is>
      </c>
      <c r="F198" s="84" t="n">
        <v>4</v>
      </c>
      <c r="G198" s="84" t="inlineStr">
        <is>
          <t>奥特莱斯</t>
        </is>
      </c>
      <c r="H198" s="84" t="inlineStr">
        <is>
          <t>EECKG25D03</t>
        </is>
      </c>
      <c r="I198" s="84" t="n">
        <v>899</v>
      </c>
      <c r="J198" s="84" t="n">
        <v>899</v>
      </c>
      <c r="K198" s="85" t="n">
        <v>2</v>
      </c>
      <c r="L198" s="85" t="n">
        <v>629</v>
      </c>
    </row>
    <row r="199" ht="12.75" customHeight="1" s="103">
      <c r="A199" s="78">
        <f>MID(H199,3,2)</f>
        <v/>
      </c>
      <c r="B199" s="84" t="inlineStr">
        <is>
          <t>B331</t>
        </is>
      </c>
      <c r="C199" s="84" t="inlineStr">
        <is>
          <t>上海区域</t>
        </is>
      </c>
      <c r="D199" s="84" t="inlineStr">
        <is>
          <t>CN0Q</t>
        </is>
      </c>
      <c r="E199" s="80" t="inlineStr">
        <is>
          <t>EE 苏州比斯特</t>
        </is>
      </c>
      <c r="F199" s="84" t="n">
        <v>4</v>
      </c>
      <c r="G199" s="84" t="inlineStr">
        <is>
          <t>奥特莱斯</t>
        </is>
      </c>
      <c r="H199" s="84" t="inlineStr">
        <is>
          <t>EECKG25D03</t>
        </is>
      </c>
      <c r="I199" s="84" t="n">
        <v>899</v>
      </c>
      <c r="J199" s="84" t="n">
        <v>899</v>
      </c>
      <c r="K199" s="85" t="n"/>
      <c r="L199" s="85" t="n"/>
    </row>
    <row r="200" ht="12.75" customHeight="1" s="103">
      <c r="A200" s="78">
        <f>MID(H200,3,2)</f>
        <v/>
      </c>
      <c r="B200" s="84" t="inlineStr">
        <is>
          <t>B331</t>
        </is>
      </c>
      <c r="C200" s="84" t="inlineStr">
        <is>
          <t>上海区域</t>
        </is>
      </c>
      <c r="D200" s="84" t="inlineStr">
        <is>
          <t>CN0Q</t>
        </is>
      </c>
      <c r="E200" s="80" t="inlineStr">
        <is>
          <t>EE 苏州比斯特</t>
        </is>
      </c>
      <c r="F200" s="84" t="n">
        <v>4</v>
      </c>
      <c r="G200" s="84" t="inlineStr">
        <is>
          <t>奥特莱斯</t>
        </is>
      </c>
      <c r="H200" s="84" t="inlineStr">
        <is>
          <t>EECKG62S01</t>
        </is>
      </c>
      <c r="I200" s="84" t="n">
        <v>899</v>
      </c>
      <c r="J200" s="84" t="n">
        <v>899</v>
      </c>
      <c r="K200" s="85" t="n"/>
      <c r="L200" s="85" t="n"/>
    </row>
    <row r="201" ht="12.75" customHeight="1" s="103">
      <c r="A201" s="78">
        <f>MID(H201,3,2)</f>
        <v/>
      </c>
      <c r="B201" s="84" t="inlineStr">
        <is>
          <t>B331</t>
        </is>
      </c>
      <c r="C201" s="84" t="inlineStr">
        <is>
          <t>上海区域</t>
        </is>
      </c>
      <c r="D201" s="84" t="inlineStr">
        <is>
          <t>CN0Q</t>
        </is>
      </c>
      <c r="E201" s="80" t="inlineStr">
        <is>
          <t>EE 苏州比斯特</t>
        </is>
      </c>
      <c r="F201" s="84" t="n">
        <v>4</v>
      </c>
      <c r="G201" s="84" t="inlineStr">
        <is>
          <t>奥特莱斯</t>
        </is>
      </c>
      <c r="H201" s="84" t="inlineStr">
        <is>
          <t>EECKG62S01</t>
        </is>
      </c>
      <c r="I201" s="84" t="n">
        <v>899</v>
      </c>
      <c r="J201" s="84" t="n">
        <v>899</v>
      </c>
      <c r="K201" s="85" t="n"/>
      <c r="L201" s="85" t="n"/>
    </row>
    <row r="202" ht="12.75" customHeight="1" s="103">
      <c r="A202" s="78">
        <f>MID(H202,3,2)</f>
        <v/>
      </c>
      <c r="B202" s="84" t="inlineStr">
        <is>
          <t>B331</t>
        </is>
      </c>
      <c r="C202" s="84" t="inlineStr">
        <is>
          <t>上海区域</t>
        </is>
      </c>
      <c r="D202" s="84" t="inlineStr">
        <is>
          <t>CN0Q</t>
        </is>
      </c>
      <c r="E202" s="80" t="inlineStr">
        <is>
          <t>EE 苏州比斯特</t>
        </is>
      </c>
      <c r="F202" s="84" t="n">
        <v>4</v>
      </c>
      <c r="G202" s="84" t="inlineStr">
        <is>
          <t>奥特莱斯</t>
        </is>
      </c>
      <c r="H202" s="84" t="inlineStr">
        <is>
          <t>EECKG62S01</t>
        </is>
      </c>
      <c r="I202" s="84" t="n">
        <v>899</v>
      </c>
      <c r="J202" s="84" t="n">
        <v>899</v>
      </c>
      <c r="K202" s="85" t="n"/>
      <c r="L202" s="85" t="n"/>
    </row>
    <row r="203" ht="12.75" customHeight="1" s="103">
      <c r="A203" s="78">
        <f>MID(H203,3,2)</f>
        <v/>
      </c>
      <c r="B203" s="84" t="inlineStr">
        <is>
          <t>B331</t>
        </is>
      </c>
      <c r="C203" s="84" t="inlineStr">
        <is>
          <t>上海区域</t>
        </is>
      </c>
      <c r="D203" s="84" t="inlineStr">
        <is>
          <t>CN0Q</t>
        </is>
      </c>
      <c r="E203" s="80" t="inlineStr">
        <is>
          <t>EE 苏州比斯特</t>
        </is>
      </c>
      <c r="F203" s="84" t="n">
        <v>4</v>
      </c>
      <c r="G203" s="84" t="inlineStr">
        <is>
          <t>奥特莱斯</t>
        </is>
      </c>
      <c r="H203" s="84" t="inlineStr">
        <is>
          <t>EECKG62S01</t>
        </is>
      </c>
      <c r="I203" s="84" t="n">
        <v>899</v>
      </c>
      <c r="J203" s="84" t="n">
        <v>899</v>
      </c>
      <c r="K203" s="85" t="n"/>
      <c r="L203" s="85" t="n"/>
    </row>
    <row r="204" ht="12.75" customHeight="1" s="103">
      <c r="A204" s="78">
        <f>MID(H204,3,2)</f>
        <v/>
      </c>
      <c r="B204" s="84" t="inlineStr">
        <is>
          <t>B331</t>
        </is>
      </c>
      <c r="C204" s="84" t="inlineStr">
        <is>
          <t>上海区域</t>
        </is>
      </c>
      <c r="D204" s="84" t="inlineStr">
        <is>
          <t>CN0Q</t>
        </is>
      </c>
      <c r="E204" s="80" t="inlineStr">
        <is>
          <t>EE 苏州比斯特</t>
        </is>
      </c>
      <c r="F204" s="84" t="n">
        <v>4</v>
      </c>
      <c r="G204" s="84" t="inlineStr">
        <is>
          <t>奥特莱斯</t>
        </is>
      </c>
      <c r="H204" s="84" t="inlineStr">
        <is>
          <t>EECKG62S01</t>
        </is>
      </c>
      <c r="I204" s="84" t="n">
        <v>899</v>
      </c>
      <c r="J204" s="84" t="n">
        <v>899</v>
      </c>
      <c r="K204" s="85" t="n"/>
      <c r="L204" s="85" t="n"/>
    </row>
    <row r="205" ht="12.75" customHeight="1" s="103">
      <c r="A205" s="78">
        <f>MID(H205,3,2)</f>
        <v/>
      </c>
      <c r="B205" s="84" t="inlineStr">
        <is>
          <t>B331</t>
        </is>
      </c>
      <c r="C205" s="84" t="inlineStr">
        <is>
          <t>上海区域</t>
        </is>
      </c>
      <c r="D205" s="84" t="inlineStr">
        <is>
          <t>CN0Q</t>
        </is>
      </c>
      <c r="E205" s="80" t="inlineStr">
        <is>
          <t>EE 苏州比斯特</t>
        </is>
      </c>
      <c r="F205" s="84" t="n">
        <v>4</v>
      </c>
      <c r="G205" s="84" t="inlineStr">
        <is>
          <t>奥特莱斯</t>
        </is>
      </c>
      <c r="H205" s="84" t="inlineStr">
        <is>
          <t>EECKG62S01</t>
        </is>
      </c>
      <c r="I205" s="84" t="n">
        <v>899</v>
      </c>
      <c r="J205" s="84" t="n">
        <v>899</v>
      </c>
      <c r="K205" s="85" t="n"/>
      <c r="L205" s="85" t="n"/>
    </row>
    <row r="206" ht="12.75" customHeight="1" s="103">
      <c r="A206" s="78">
        <f>MID(H206,3,2)</f>
        <v/>
      </c>
      <c r="B206" s="84" t="inlineStr">
        <is>
          <t>B331</t>
        </is>
      </c>
      <c r="C206" s="84" t="inlineStr">
        <is>
          <t>上海区域</t>
        </is>
      </c>
      <c r="D206" s="84" t="inlineStr">
        <is>
          <t>CN0Q</t>
        </is>
      </c>
      <c r="E206" s="80" t="inlineStr">
        <is>
          <t>EE 苏州比斯特</t>
        </is>
      </c>
      <c r="F206" s="84" t="n">
        <v>4</v>
      </c>
      <c r="G206" s="84" t="inlineStr">
        <is>
          <t>奥特莱斯</t>
        </is>
      </c>
      <c r="H206" s="84" t="inlineStr">
        <is>
          <t>EEHWF24E01</t>
        </is>
      </c>
      <c r="I206" s="84" t="n">
        <v>499</v>
      </c>
      <c r="J206" s="84" t="n">
        <v>499</v>
      </c>
      <c r="K206" s="85" t="n"/>
      <c r="L206" s="85" t="n"/>
    </row>
    <row r="207" ht="12.75" customHeight="1" s="103">
      <c r="A207" s="78">
        <f>MID(H207,3,2)</f>
        <v/>
      </c>
      <c r="B207" s="84" t="inlineStr">
        <is>
          <t>B331</t>
        </is>
      </c>
      <c r="C207" s="84" t="inlineStr">
        <is>
          <t>上海区域</t>
        </is>
      </c>
      <c r="D207" s="84" t="inlineStr">
        <is>
          <t>CN0Q</t>
        </is>
      </c>
      <c r="E207" s="80" t="inlineStr">
        <is>
          <t>EE 苏州比斯特</t>
        </is>
      </c>
      <c r="F207" s="84" t="n">
        <v>4</v>
      </c>
      <c r="G207" s="84" t="inlineStr">
        <is>
          <t>奥特莱斯</t>
        </is>
      </c>
      <c r="H207" s="84" t="inlineStr">
        <is>
          <t>EEHWF24E01</t>
        </is>
      </c>
      <c r="I207" s="84" t="n">
        <v>499</v>
      </c>
      <c r="J207" s="84" t="n">
        <v>499</v>
      </c>
      <c r="K207" s="85" t="n"/>
      <c r="L207" s="85" t="n"/>
    </row>
    <row r="208" ht="12.75" customHeight="1" s="103">
      <c r="A208" s="78">
        <f>MID(H208,3,2)</f>
        <v/>
      </c>
      <c r="B208" s="84" t="inlineStr">
        <is>
          <t>B331</t>
        </is>
      </c>
      <c r="C208" s="84" t="inlineStr">
        <is>
          <t>上海区域</t>
        </is>
      </c>
      <c r="D208" s="84" t="inlineStr">
        <is>
          <t>CN0Q</t>
        </is>
      </c>
      <c r="E208" s="80" t="inlineStr">
        <is>
          <t>EE 苏州比斯特</t>
        </is>
      </c>
      <c r="F208" s="84" t="n">
        <v>4</v>
      </c>
      <c r="G208" s="84" t="inlineStr">
        <is>
          <t>奥特莱斯</t>
        </is>
      </c>
      <c r="H208" s="84" t="inlineStr">
        <is>
          <t>EEHWF24E01</t>
        </is>
      </c>
      <c r="I208" s="84" t="n">
        <v>499</v>
      </c>
      <c r="J208" s="84" t="n">
        <v>499</v>
      </c>
      <c r="K208" s="85" t="n"/>
      <c r="L208" s="85" t="n"/>
    </row>
    <row r="209" ht="12.75" customHeight="1" s="103">
      <c r="A209" s="78">
        <f>MID(H209,3,2)</f>
        <v/>
      </c>
      <c r="B209" s="84" t="inlineStr">
        <is>
          <t>B331</t>
        </is>
      </c>
      <c r="C209" s="84" t="inlineStr">
        <is>
          <t>上海区域</t>
        </is>
      </c>
      <c r="D209" s="84" t="inlineStr">
        <is>
          <t>CN0Q</t>
        </is>
      </c>
      <c r="E209" s="80" t="inlineStr">
        <is>
          <t>EE 苏州比斯特</t>
        </is>
      </c>
      <c r="F209" s="84" t="n">
        <v>4</v>
      </c>
      <c r="G209" s="84" t="inlineStr">
        <is>
          <t>奥特莱斯</t>
        </is>
      </c>
      <c r="H209" s="84" t="inlineStr">
        <is>
          <t>EEHWF24E01</t>
        </is>
      </c>
      <c r="I209" s="84" t="n">
        <v>499</v>
      </c>
      <c r="J209" s="84" t="n">
        <v>499</v>
      </c>
      <c r="K209" s="85" t="n"/>
      <c r="L209" s="85" t="n"/>
    </row>
    <row r="210" ht="12.75" customHeight="1" s="103">
      <c r="A210" s="78">
        <f>MID(H210,3,2)</f>
        <v/>
      </c>
      <c r="B210" s="84" t="inlineStr">
        <is>
          <t>B331</t>
        </is>
      </c>
      <c r="C210" s="84" t="inlineStr">
        <is>
          <t>上海区域</t>
        </is>
      </c>
      <c r="D210" s="84" t="inlineStr">
        <is>
          <t>CN0Q</t>
        </is>
      </c>
      <c r="E210" s="80" t="inlineStr">
        <is>
          <t>EE 苏州比斯特</t>
        </is>
      </c>
      <c r="F210" s="84" t="n">
        <v>4</v>
      </c>
      <c r="G210" s="84" t="inlineStr">
        <is>
          <t>奥特莱斯</t>
        </is>
      </c>
      <c r="H210" s="84" t="inlineStr">
        <is>
          <t>EEHWF24E01</t>
        </is>
      </c>
      <c r="I210" s="84" t="n">
        <v>499</v>
      </c>
      <c r="J210" s="84" t="n">
        <v>499</v>
      </c>
      <c r="K210" s="85" t="n"/>
      <c r="L210" s="85" t="n"/>
    </row>
    <row r="211" ht="12.75" customHeight="1" s="103">
      <c r="A211" s="78">
        <f>MID(H211,3,2)</f>
        <v/>
      </c>
      <c r="B211" s="84" t="inlineStr">
        <is>
          <t>B331</t>
        </is>
      </c>
      <c r="C211" s="84" t="inlineStr">
        <is>
          <t>上海区域</t>
        </is>
      </c>
      <c r="D211" s="84" t="inlineStr">
        <is>
          <t>CN0Q</t>
        </is>
      </c>
      <c r="E211" s="80" t="inlineStr">
        <is>
          <t>EE 苏州比斯特</t>
        </is>
      </c>
      <c r="F211" s="84" t="n">
        <v>4</v>
      </c>
      <c r="G211" s="84" t="inlineStr">
        <is>
          <t>奥特莱斯</t>
        </is>
      </c>
      <c r="H211" s="84" t="inlineStr">
        <is>
          <t>EEHWF24E01</t>
        </is>
      </c>
      <c r="I211" s="84" t="n">
        <v>499</v>
      </c>
      <c r="J211" s="84" t="n">
        <v>499</v>
      </c>
      <c r="K211" s="85" t="n"/>
      <c r="L211" s="85" t="n"/>
    </row>
    <row r="212" ht="12.75" customHeight="1" s="103">
      <c r="A212" s="78">
        <f>MID(H212,3,2)</f>
        <v/>
      </c>
      <c r="B212" s="84" t="inlineStr">
        <is>
          <t>B331</t>
        </is>
      </c>
      <c r="C212" s="84" t="inlineStr">
        <is>
          <t>上海区域</t>
        </is>
      </c>
      <c r="D212" s="84" t="inlineStr">
        <is>
          <t>CN0Q</t>
        </is>
      </c>
      <c r="E212" s="80" t="inlineStr">
        <is>
          <t>EE 苏州比斯特</t>
        </is>
      </c>
      <c r="F212" s="84" t="n">
        <v>4</v>
      </c>
      <c r="G212" s="84" t="inlineStr">
        <is>
          <t>奥特莱斯</t>
        </is>
      </c>
      <c r="H212" s="84" t="inlineStr">
        <is>
          <t>EEHWF24E01</t>
        </is>
      </c>
      <c r="I212" s="84" t="n">
        <v>499</v>
      </c>
      <c r="J212" s="84" t="n">
        <v>499</v>
      </c>
      <c r="K212" s="85" t="n"/>
      <c r="L212" s="85" t="n"/>
    </row>
    <row r="213" ht="12.75" customHeight="1" s="103">
      <c r="A213" s="78">
        <f>MID(H213,3,2)</f>
        <v/>
      </c>
      <c r="B213" s="84" t="inlineStr">
        <is>
          <t>B331</t>
        </is>
      </c>
      <c r="C213" s="84" t="inlineStr">
        <is>
          <t>上海区域</t>
        </is>
      </c>
      <c r="D213" s="84" t="inlineStr">
        <is>
          <t>CN0Q</t>
        </is>
      </c>
      <c r="E213" s="80" t="inlineStr">
        <is>
          <t>EE 苏州比斯特</t>
        </is>
      </c>
      <c r="F213" s="84" t="n">
        <v>4</v>
      </c>
      <c r="G213" s="84" t="inlineStr">
        <is>
          <t>奥特莱斯</t>
        </is>
      </c>
      <c r="H213" s="84" t="inlineStr">
        <is>
          <t>EEHWF24E01</t>
        </is>
      </c>
      <c r="I213" s="84" t="n">
        <v>499</v>
      </c>
      <c r="J213" s="84" t="n">
        <v>499</v>
      </c>
      <c r="K213" s="85" t="n"/>
      <c r="L213" s="85" t="n"/>
    </row>
    <row r="214" ht="12.75" customHeight="1" s="103">
      <c r="A214" s="78">
        <f>MID(H214,3,2)</f>
        <v/>
      </c>
      <c r="B214" s="84" t="inlineStr">
        <is>
          <t>B331</t>
        </is>
      </c>
      <c r="C214" s="84" t="inlineStr">
        <is>
          <t>上海区域</t>
        </is>
      </c>
      <c r="D214" s="84" t="inlineStr">
        <is>
          <t>CN0Q</t>
        </is>
      </c>
      <c r="E214" s="80" t="inlineStr">
        <is>
          <t>EE 苏州比斯特</t>
        </is>
      </c>
      <c r="F214" s="84" t="n">
        <v>4</v>
      </c>
      <c r="G214" s="84" t="inlineStr">
        <is>
          <t>奥特莱斯</t>
        </is>
      </c>
      <c r="H214" s="84" t="inlineStr">
        <is>
          <t>EEHWF24E01</t>
        </is>
      </c>
      <c r="I214" s="84" t="n">
        <v>499</v>
      </c>
      <c r="J214" s="84" t="n">
        <v>499</v>
      </c>
      <c r="K214" s="85" t="n"/>
      <c r="L214" s="85" t="n"/>
    </row>
    <row r="215" ht="12.75" customHeight="1" s="103">
      <c r="A215" s="78">
        <f>MID(H215,3,2)</f>
        <v/>
      </c>
      <c r="B215" s="84" t="inlineStr">
        <is>
          <t>B331</t>
        </is>
      </c>
      <c r="C215" s="84" t="inlineStr">
        <is>
          <t>上海区域</t>
        </is>
      </c>
      <c r="D215" s="84" t="inlineStr">
        <is>
          <t>CN0Q</t>
        </is>
      </c>
      <c r="E215" s="80" t="inlineStr">
        <is>
          <t>EE 苏州比斯特</t>
        </is>
      </c>
      <c r="F215" s="84" t="n">
        <v>4</v>
      </c>
      <c r="G215" s="84" t="inlineStr">
        <is>
          <t>奥特莱斯</t>
        </is>
      </c>
      <c r="H215" s="84" t="inlineStr">
        <is>
          <t>EEHWF24E01</t>
        </is>
      </c>
      <c r="I215" s="84" t="n">
        <v>499</v>
      </c>
      <c r="J215" s="84" t="n">
        <v>499</v>
      </c>
      <c r="K215" s="85" t="n"/>
      <c r="L215" s="85" t="n"/>
    </row>
    <row r="216" ht="12.75" customHeight="1" s="103">
      <c r="A216" s="78">
        <f>MID(H216,3,2)</f>
        <v/>
      </c>
      <c r="B216" s="84" t="inlineStr">
        <is>
          <t>B331</t>
        </is>
      </c>
      <c r="C216" s="84" t="inlineStr">
        <is>
          <t>上海区域</t>
        </is>
      </c>
      <c r="D216" s="84" t="inlineStr">
        <is>
          <t>CN0Q</t>
        </is>
      </c>
      <c r="E216" s="80" t="inlineStr">
        <is>
          <t>EE 苏州比斯特</t>
        </is>
      </c>
      <c r="F216" s="84" t="n">
        <v>4</v>
      </c>
      <c r="G216" s="84" t="inlineStr">
        <is>
          <t>奥特莱斯</t>
        </is>
      </c>
      <c r="H216" s="84" t="inlineStr">
        <is>
          <t>EEHWF24E01</t>
        </is>
      </c>
      <c r="I216" s="84" t="n">
        <v>499</v>
      </c>
      <c r="J216" s="84" t="n">
        <v>499</v>
      </c>
      <c r="K216" s="85" t="n"/>
      <c r="L216" s="85" t="n"/>
    </row>
    <row r="217" ht="12.75" customHeight="1" s="103">
      <c r="A217" s="78">
        <f>MID(H217,3,2)</f>
        <v/>
      </c>
      <c r="B217" s="84" t="inlineStr">
        <is>
          <t>B331</t>
        </is>
      </c>
      <c r="C217" s="84" t="inlineStr">
        <is>
          <t>上海区域</t>
        </is>
      </c>
      <c r="D217" s="84" t="inlineStr">
        <is>
          <t>CN0Q</t>
        </is>
      </c>
      <c r="E217" s="80" t="inlineStr">
        <is>
          <t>EE 苏州比斯特</t>
        </is>
      </c>
      <c r="F217" s="84" t="n">
        <v>4</v>
      </c>
      <c r="G217" s="84" t="inlineStr">
        <is>
          <t>奥特莱斯</t>
        </is>
      </c>
      <c r="H217" s="84" t="inlineStr">
        <is>
          <t>EEHWF24E01</t>
        </is>
      </c>
      <c r="I217" s="84" t="n">
        <v>499</v>
      </c>
      <c r="J217" s="84" t="n">
        <v>499</v>
      </c>
      <c r="K217" s="85" t="n"/>
      <c r="L217" s="85" t="n"/>
    </row>
    <row r="218" ht="12.75" customHeight="1" s="103">
      <c r="A218" s="78">
        <f>MID(H218,3,2)</f>
        <v/>
      </c>
      <c r="B218" s="84" t="inlineStr">
        <is>
          <t>B331</t>
        </is>
      </c>
      <c r="C218" s="84" t="inlineStr">
        <is>
          <t>上海区域</t>
        </is>
      </c>
      <c r="D218" s="84" t="inlineStr">
        <is>
          <t>CN0Q</t>
        </is>
      </c>
      <c r="E218" s="80" t="inlineStr">
        <is>
          <t>EE 苏州比斯特</t>
        </is>
      </c>
      <c r="F218" s="84" t="n">
        <v>4</v>
      </c>
      <c r="G218" s="84" t="inlineStr">
        <is>
          <t>奥特莱斯</t>
        </is>
      </c>
      <c r="H218" s="84" t="inlineStr">
        <is>
          <t>EEHWF24E01</t>
        </is>
      </c>
      <c r="I218" s="84" t="n">
        <v>499</v>
      </c>
      <c r="J218" s="84" t="n">
        <v>499</v>
      </c>
      <c r="K218" s="85" t="n"/>
      <c r="L218" s="85" t="n"/>
    </row>
    <row r="219" ht="12.75" customHeight="1" s="103">
      <c r="A219" s="78">
        <f>MID(H219,3,2)</f>
        <v/>
      </c>
      <c r="B219" s="84" t="inlineStr">
        <is>
          <t>B331</t>
        </is>
      </c>
      <c r="C219" s="84" t="inlineStr">
        <is>
          <t>上海区域</t>
        </is>
      </c>
      <c r="D219" s="84" t="inlineStr">
        <is>
          <t>CN0Q</t>
        </is>
      </c>
      <c r="E219" s="80" t="inlineStr">
        <is>
          <t>EE 苏州比斯特</t>
        </is>
      </c>
      <c r="F219" s="84" t="n">
        <v>4</v>
      </c>
      <c r="G219" s="84" t="inlineStr">
        <is>
          <t>奥特莱斯</t>
        </is>
      </c>
      <c r="H219" s="84" t="inlineStr">
        <is>
          <t>EEHWF24E01</t>
        </is>
      </c>
      <c r="I219" s="84" t="n">
        <v>499</v>
      </c>
      <c r="J219" s="84" t="n">
        <v>499</v>
      </c>
      <c r="K219" s="85" t="n"/>
      <c r="L219" s="85" t="n"/>
    </row>
    <row r="220" ht="12.75" customHeight="1" s="103">
      <c r="A220" s="78">
        <f>MID(H220,3,2)</f>
        <v/>
      </c>
      <c r="B220" s="84" t="inlineStr">
        <is>
          <t>B331</t>
        </is>
      </c>
      <c r="C220" s="84" t="inlineStr">
        <is>
          <t>上海区域</t>
        </is>
      </c>
      <c r="D220" s="84" t="inlineStr">
        <is>
          <t>CN0Q</t>
        </is>
      </c>
      <c r="E220" s="80" t="inlineStr">
        <is>
          <t>EE 苏州比斯特</t>
        </is>
      </c>
      <c r="F220" s="84" t="n">
        <v>4</v>
      </c>
      <c r="G220" s="84" t="inlineStr">
        <is>
          <t>奥特莱斯</t>
        </is>
      </c>
      <c r="H220" s="84" t="inlineStr">
        <is>
          <t>EEHWF24E01</t>
        </is>
      </c>
      <c r="I220" s="84" t="n">
        <v>499</v>
      </c>
      <c r="J220" s="84" t="n">
        <v>499</v>
      </c>
      <c r="K220" s="85" t="n"/>
      <c r="L220" s="85" t="n"/>
    </row>
    <row r="221" ht="12.75" customHeight="1" s="103">
      <c r="A221" s="78">
        <f>MID(H221,3,2)</f>
        <v/>
      </c>
      <c r="B221" s="84" t="inlineStr">
        <is>
          <t>B331</t>
        </is>
      </c>
      <c r="C221" s="84" t="inlineStr">
        <is>
          <t>上海区域</t>
        </is>
      </c>
      <c r="D221" s="84" t="inlineStr">
        <is>
          <t>CN0Q</t>
        </is>
      </c>
      <c r="E221" s="80" t="inlineStr">
        <is>
          <t>EE 苏州比斯特</t>
        </is>
      </c>
      <c r="F221" s="84" t="n">
        <v>4</v>
      </c>
      <c r="G221" s="84" t="inlineStr">
        <is>
          <t>奥特莱斯</t>
        </is>
      </c>
      <c r="H221" s="84" t="inlineStr">
        <is>
          <t>EEHWF24E02</t>
        </is>
      </c>
      <c r="I221" s="84" t="n">
        <v>499</v>
      </c>
      <c r="J221" s="84" t="n">
        <v>499</v>
      </c>
      <c r="K221" s="85" t="n"/>
      <c r="L221" s="85" t="n"/>
    </row>
    <row r="222" ht="12.75" customHeight="1" s="103">
      <c r="A222" s="78">
        <f>MID(H222,3,2)</f>
        <v/>
      </c>
      <c r="B222" s="84" t="inlineStr">
        <is>
          <t>B331</t>
        </is>
      </c>
      <c r="C222" s="84" t="inlineStr">
        <is>
          <t>上海区域</t>
        </is>
      </c>
      <c r="D222" s="84" t="inlineStr">
        <is>
          <t>CN0Q</t>
        </is>
      </c>
      <c r="E222" s="80" t="inlineStr">
        <is>
          <t>EE 苏州比斯特</t>
        </is>
      </c>
      <c r="F222" s="84" t="n">
        <v>4</v>
      </c>
      <c r="G222" s="84" t="inlineStr">
        <is>
          <t>奥特莱斯</t>
        </is>
      </c>
      <c r="H222" s="84" t="inlineStr">
        <is>
          <t>EEHWF24E02</t>
        </is>
      </c>
      <c r="I222" s="84" t="n">
        <v>499</v>
      </c>
      <c r="J222" s="84" t="n">
        <v>499</v>
      </c>
      <c r="K222" s="85" t="n"/>
      <c r="L222" s="85" t="n"/>
    </row>
    <row r="223" ht="12.75" customHeight="1" s="103">
      <c r="A223" s="78">
        <f>MID(H223,3,2)</f>
        <v/>
      </c>
      <c r="B223" s="84" t="inlineStr">
        <is>
          <t>B331</t>
        </is>
      </c>
      <c r="C223" s="84" t="inlineStr">
        <is>
          <t>上海区域</t>
        </is>
      </c>
      <c r="D223" s="84" t="inlineStr">
        <is>
          <t>CN0Q</t>
        </is>
      </c>
      <c r="E223" s="80" t="inlineStr">
        <is>
          <t>EE 苏州比斯特</t>
        </is>
      </c>
      <c r="F223" s="84" t="n">
        <v>4</v>
      </c>
      <c r="G223" s="84" t="inlineStr">
        <is>
          <t>奥特莱斯</t>
        </is>
      </c>
      <c r="H223" s="84" t="inlineStr">
        <is>
          <t>EEHWF24E02</t>
        </is>
      </c>
      <c r="I223" s="84" t="n">
        <v>499</v>
      </c>
      <c r="J223" s="84" t="n">
        <v>499</v>
      </c>
      <c r="K223" s="85" t="n"/>
      <c r="L223" s="85" t="n"/>
    </row>
    <row r="224" ht="12.75" customHeight="1" s="103">
      <c r="A224" s="78">
        <f>MID(H224,3,2)</f>
        <v/>
      </c>
      <c r="B224" s="84" t="inlineStr">
        <is>
          <t>B331</t>
        </is>
      </c>
      <c r="C224" s="84" t="inlineStr">
        <is>
          <t>上海区域</t>
        </is>
      </c>
      <c r="D224" s="84" t="inlineStr">
        <is>
          <t>CN0Q</t>
        </is>
      </c>
      <c r="E224" s="80" t="inlineStr">
        <is>
          <t>EE 苏州比斯特</t>
        </is>
      </c>
      <c r="F224" s="84" t="n">
        <v>4</v>
      </c>
      <c r="G224" s="84" t="inlineStr">
        <is>
          <t>奥特莱斯</t>
        </is>
      </c>
      <c r="H224" s="84" t="inlineStr">
        <is>
          <t>EEHWF24E02</t>
        </is>
      </c>
      <c r="I224" s="84" t="n">
        <v>499</v>
      </c>
      <c r="J224" s="84" t="n">
        <v>499</v>
      </c>
      <c r="K224" s="85" t="n"/>
      <c r="L224" s="85" t="n"/>
    </row>
    <row r="225" ht="12.75" customHeight="1" s="103">
      <c r="A225" s="78">
        <f>MID(H225,3,2)</f>
        <v/>
      </c>
      <c r="B225" s="84" t="inlineStr">
        <is>
          <t>B331</t>
        </is>
      </c>
      <c r="C225" s="84" t="inlineStr">
        <is>
          <t>上海区域</t>
        </is>
      </c>
      <c r="D225" s="84" t="inlineStr">
        <is>
          <t>CN0Q</t>
        </is>
      </c>
      <c r="E225" s="80" t="inlineStr">
        <is>
          <t>EE 苏州比斯特</t>
        </is>
      </c>
      <c r="F225" s="84" t="n">
        <v>4</v>
      </c>
      <c r="G225" s="84" t="inlineStr">
        <is>
          <t>奥特莱斯</t>
        </is>
      </c>
      <c r="H225" s="84" t="inlineStr">
        <is>
          <t>EEHWF24E02</t>
        </is>
      </c>
      <c r="I225" s="84" t="n">
        <v>499</v>
      </c>
      <c r="J225" s="84" t="n">
        <v>499</v>
      </c>
      <c r="K225" s="85" t="n"/>
      <c r="L225" s="85" t="n"/>
    </row>
    <row r="226" ht="12.75" customHeight="1" s="103">
      <c r="A226" s="78">
        <f>MID(H226,3,2)</f>
        <v/>
      </c>
      <c r="B226" s="84" t="inlineStr">
        <is>
          <t>B331</t>
        </is>
      </c>
      <c r="C226" s="84" t="inlineStr">
        <is>
          <t>上海区域</t>
        </is>
      </c>
      <c r="D226" s="84" t="inlineStr">
        <is>
          <t>CN0Q</t>
        </is>
      </c>
      <c r="E226" s="80" t="inlineStr">
        <is>
          <t>EE 苏州比斯特</t>
        </is>
      </c>
      <c r="F226" s="84" t="n">
        <v>4</v>
      </c>
      <c r="G226" s="84" t="inlineStr">
        <is>
          <t>奥特莱斯</t>
        </is>
      </c>
      <c r="H226" s="84" t="inlineStr">
        <is>
          <t>EEHWF24E02</t>
        </is>
      </c>
      <c r="I226" s="84" t="n">
        <v>499</v>
      </c>
      <c r="J226" s="84" t="n">
        <v>499</v>
      </c>
      <c r="K226" s="85" t="n"/>
      <c r="L226" s="85" t="n"/>
    </row>
    <row r="227" ht="12.75" customHeight="1" s="103">
      <c r="A227" s="78">
        <f>MID(H227,3,2)</f>
        <v/>
      </c>
      <c r="B227" s="84" t="inlineStr">
        <is>
          <t>B331</t>
        </is>
      </c>
      <c r="C227" s="84" t="inlineStr">
        <is>
          <t>上海区域</t>
        </is>
      </c>
      <c r="D227" s="84" t="inlineStr">
        <is>
          <t>CN0Q</t>
        </is>
      </c>
      <c r="E227" s="80" t="inlineStr">
        <is>
          <t>EE 苏州比斯特</t>
        </is>
      </c>
      <c r="F227" s="84" t="n">
        <v>4</v>
      </c>
      <c r="G227" s="84" t="inlineStr">
        <is>
          <t>奥特莱斯</t>
        </is>
      </c>
      <c r="H227" s="84" t="inlineStr">
        <is>
          <t>EEHWF24E02</t>
        </is>
      </c>
      <c r="I227" s="84" t="n">
        <v>499</v>
      </c>
      <c r="J227" s="84" t="n">
        <v>499</v>
      </c>
      <c r="K227" s="85" t="n"/>
      <c r="L227" s="85" t="n"/>
    </row>
    <row r="228" ht="12.75" customHeight="1" s="103">
      <c r="A228" s="78">
        <f>MID(H228,3,2)</f>
        <v/>
      </c>
      <c r="B228" s="84" t="inlineStr">
        <is>
          <t>B331</t>
        </is>
      </c>
      <c r="C228" s="84" t="inlineStr">
        <is>
          <t>上海区域</t>
        </is>
      </c>
      <c r="D228" s="84" t="inlineStr">
        <is>
          <t>CN0Q</t>
        </is>
      </c>
      <c r="E228" s="80" t="inlineStr">
        <is>
          <t>EE 苏州比斯特</t>
        </is>
      </c>
      <c r="F228" s="84" t="n">
        <v>4</v>
      </c>
      <c r="G228" s="84" t="inlineStr">
        <is>
          <t>奥特莱斯</t>
        </is>
      </c>
      <c r="H228" s="84" t="inlineStr">
        <is>
          <t>EEHWF24E02</t>
        </is>
      </c>
      <c r="I228" s="84" t="n">
        <v>499</v>
      </c>
      <c r="J228" s="84" t="n">
        <v>499</v>
      </c>
      <c r="K228" s="85" t="n"/>
      <c r="L228" s="85" t="n"/>
    </row>
    <row r="229" ht="12.75" customHeight="1" s="103">
      <c r="A229" s="78">
        <f>MID(H229,3,2)</f>
        <v/>
      </c>
      <c r="B229" s="84" t="inlineStr">
        <is>
          <t>B331</t>
        </is>
      </c>
      <c r="C229" s="84" t="inlineStr">
        <is>
          <t>上海区域</t>
        </is>
      </c>
      <c r="D229" s="84" t="inlineStr">
        <is>
          <t>CN0Q</t>
        </is>
      </c>
      <c r="E229" s="80" t="inlineStr">
        <is>
          <t>EE 苏州比斯特</t>
        </is>
      </c>
      <c r="F229" s="84" t="n">
        <v>4</v>
      </c>
      <c r="G229" s="84" t="inlineStr">
        <is>
          <t>奥特莱斯</t>
        </is>
      </c>
      <c r="H229" s="84" t="inlineStr">
        <is>
          <t>EEHWF24E02</t>
        </is>
      </c>
      <c r="I229" s="84" t="n">
        <v>499</v>
      </c>
      <c r="J229" s="84" t="n">
        <v>499</v>
      </c>
      <c r="K229" s="85" t="n"/>
      <c r="L229" s="85" t="n"/>
    </row>
    <row r="230" ht="12.75" customHeight="1" s="103">
      <c r="A230" s="78">
        <f>MID(H230,3,2)</f>
        <v/>
      </c>
      <c r="B230" s="84" t="inlineStr">
        <is>
          <t>B331</t>
        </is>
      </c>
      <c r="C230" s="84" t="inlineStr">
        <is>
          <t>上海区域</t>
        </is>
      </c>
      <c r="D230" s="84" t="inlineStr">
        <is>
          <t>CN0Q</t>
        </is>
      </c>
      <c r="E230" s="80" t="inlineStr">
        <is>
          <t>EE 苏州比斯特</t>
        </is>
      </c>
      <c r="F230" s="84" t="n">
        <v>4</v>
      </c>
      <c r="G230" s="84" t="inlineStr">
        <is>
          <t>奥特莱斯</t>
        </is>
      </c>
      <c r="H230" s="84" t="inlineStr">
        <is>
          <t>EEHWF24E02</t>
        </is>
      </c>
      <c r="I230" s="84" t="n">
        <v>499</v>
      </c>
      <c r="J230" s="84" t="n">
        <v>499</v>
      </c>
      <c r="K230" s="85" t="n"/>
      <c r="L230" s="85" t="n"/>
    </row>
    <row r="231" ht="12.75" customHeight="1" s="103">
      <c r="A231" s="78">
        <f>MID(H231,3,2)</f>
        <v/>
      </c>
      <c r="B231" s="84" t="inlineStr">
        <is>
          <t>B331</t>
        </is>
      </c>
      <c r="C231" s="84" t="inlineStr">
        <is>
          <t>上海区域</t>
        </is>
      </c>
      <c r="D231" s="84" t="inlineStr">
        <is>
          <t>CN0Q</t>
        </is>
      </c>
      <c r="E231" s="80" t="inlineStr">
        <is>
          <t>EE 苏州比斯特</t>
        </is>
      </c>
      <c r="F231" s="84" t="n">
        <v>4</v>
      </c>
      <c r="G231" s="84" t="inlineStr">
        <is>
          <t>奥特莱斯</t>
        </is>
      </c>
      <c r="H231" s="84" t="inlineStr">
        <is>
          <t>EEHWF24E02</t>
        </is>
      </c>
      <c r="I231" s="84" t="n">
        <v>499</v>
      </c>
      <c r="J231" s="84" t="n">
        <v>499</v>
      </c>
      <c r="K231" s="85" t="n"/>
      <c r="L231" s="85" t="n"/>
    </row>
    <row r="232" ht="12.75" customHeight="1" s="103">
      <c r="A232" s="78">
        <f>MID(H232,3,2)</f>
        <v/>
      </c>
      <c r="B232" s="84" t="inlineStr">
        <is>
          <t>B331</t>
        </is>
      </c>
      <c r="C232" s="84" t="inlineStr">
        <is>
          <t>上海区域</t>
        </is>
      </c>
      <c r="D232" s="84" t="inlineStr">
        <is>
          <t>CN0Q</t>
        </is>
      </c>
      <c r="E232" s="80" t="inlineStr">
        <is>
          <t>EE 苏州比斯特</t>
        </is>
      </c>
      <c r="F232" s="84" t="n">
        <v>4</v>
      </c>
      <c r="G232" s="84" t="inlineStr">
        <is>
          <t>奥特莱斯</t>
        </is>
      </c>
      <c r="H232" s="84" t="inlineStr">
        <is>
          <t>EEHWF25M01</t>
        </is>
      </c>
      <c r="I232" s="84" t="n">
        <v>399</v>
      </c>
      <c r="J232" s="84" t="n">
        <v>499</v>
      </c>
      <c r="K232" s="85" t="n"/>
      <c r="L232" s="85" t="n"/>
    </row>
    <row r="233" ht="12.75" customHeight="1" s="103">
      <c r="A233" s="78">
        <f>MID(H233,3,2)</f>
        <v/>
      </c>
      <c r="B233" s="84" t="inlineStr">
        <is>
          <t>B331</t>
        </is>
      </c>
      <c r="C233" s="84" t="inlineStr">
        <is>
          <t>上海区域</t>
        </is>
      </c>
      <c r="D233" s="84" t="inlineStr">
        <is>
          <t>CN0Q</t>
        </is>
      </c>
      <c r="E233" s="80" t="inlineStr">
        <is>
          <t>EE 苏州比斯特</t>
        </is>
      </c>
      <c r="F233" s="84" t="n">
        <v>4</v>
      </c>
      <c r="G233" s="84" t="inlineStr">
        <is>
          <t>奥特莱斯</t>
        </is>
      </c>
      <c r="H233" s="84" t="inlineStr">
        <is>
          <t>EEHWF25M01</t>
        </is>
      </c>
      <c r="I233" s="84" t="n">
        <v>399</v>
      </c>
      <c r="J233" s="84" t="n">
        <v>499</v>
      </c>
      <c r="K233" s="85" t="n"/>
      <c r="L233" s="85" t="n"/>
    </row>
    <row r="234" ht="12.75" customHeight="1" s="103">
      <c r="A234" s="78">
        <f>MID(H234,3,2)</f>
        <v/>
      </c>
      <c r="B234" s="84" t="inlineStr">
        <is>
          <t>B331</t>
        </is>
      </c>
      <c r="C234" s="84" t="inlineStr">
        <is>
          <t>上海区域</t>
        </is>
      </c>
      <c r="D234" s="84" t="inlineStr">
        <is>
          <t>CN0Q</t>
        </is>
      </c>
      <c r="E234" s="80" t="inlineStr">
        <is>
          <t>EE 苏州比斯特</t>
        </is>
      </c>
      <c r="F234" s="84" t="n">
        <v>4</v>
      </c>
      <c r="G234" s="84" t="inlineStr">
        <is>
          <t>奥特莱斯</t>
        </is>
      </c>
      <c r="H234" s="84" t="inlineStr">
        <is>
          <t>EEHWF25M01</t>
        </is>
      </c>
      <c r="I234" s="84" t="n">
        <v>399</v>
      </c>
      <c r="J234" s="84" t="n">
        <v>499</v>
      </c>
      <c r="K234" s="85" t="n"/>
      <c r="L234" s="85" t="n"/>
    </row>
    <row r="235" ht="12.75" customHeight="1" s="103">
      <c r="A235" s="78">
        <f>MID(H235,3,2)</f>
        <v/>
      </c>
      <c r="B235" s="84" t="inlineStr">
        <is>
          <t>B331</t>
        </is>
      </c>
      <c r="C235" s="84" t="inlineStr">
        <is>
          <t>上海区域</t>
        </is>
      </c>
      <c r="D235" s="84" t="inlineStr">
        <is>
          <t>CN0Q</t>
        </is>
      </c>
      <c r="E235" s="80" t="inlineStr">
        <is>
          <t>EE 苏州比斯特</t>
        </is>
      </c>
      <c r="F235" s="84" t="n">
        <v>4</v>
      </c>
      <c r="G235" s="84" t="inlineStr">
        <is>
          <t>奥特莱斯</t>
        </is>
      </c>
      <c r="H235" s="84" t="inlineStr">
        <is>
          <t>EEHWF25M01</t>
        </is>
      </c>
      <c r="I235" s="84" t="n">
        <v>399</v>
      </c>
      <c r="J235" s="84" t="n">
        <v>499</v>
      </c>
      <c r="K235" s="85" t="n"/>
      <c r="L235" s="85" t="n"/>
    </row>
    <row r="236" ht="12.75" customHeight="1" s="103">
      <c r="A236" s="78">
        <f>MID(H236,3,2)</f>
        <v/>
      </c>
      <c r="B236" s="84" t="inlineStr">
        <is>
          <t>B331</t>
        </is>
      </c>
      <c r="C236" s="84" t="inlineStr">
        <is>
          <t>上海区域</t>
        </is>
      </c>
      <c r="D236" s="84" t="inlineStr">
        <is>
          <t>CN0Q</t>
        </is>
      </c>
      <c r="E236" s="80" t="inlineStr">
        <is>
          <t>EE 苏州比斯特</t>
        </is>
      </c>
      <c r="F236" s="84" t="n">
        <v>4</v>
      </c>
      <c r="G236" s="84" t="inlineStr">
        <is>
          <t>奥特莱斯</t>
        </is>
      </c>
      <c r="H236" s="84" t="inlineStr">
        <is>
          <t>EEHWF25M01</t>
        </is>
      </c>
      <c r="I236" s="84" t="n">
        <v>399</v>
      </c>
      <c r="J236" s="84" t="n">
        <v>499</v>
      </c>
      <c r="K236" s="85" t="n"/>
      <c r="L236" s="85" t="n"/>
    </row>
    <row r="237" ht="12.75" customHeight="1" s="103">
      <c r="A237" s="78">
        <f>MID(H237,3,2)</f>
        <v/>
      </c>
      <c r="B237" s="84" t="inlineStr">
        <is>
          <t>B331</t>
        </is>
      </c>
      <c r="C237" s="84" t="inlineStr">
        <is>
          <t>上海区域</t>
        </is>
      </c>
      <c r="D237" s="84" t="inlineStr">
        <is>
          <t>CN0Q</t>
        </is>
      </c>
      <c r="E237" s="80" t="inlineStr">
        <is>
          <t>EE 苏州比斯特</t>
        </is>
      </c>
      <c r="F237" s="84" t="n">
        <v>4</v>
      </c>
      <c r="G237" s="84" t="inlineStr">
        <is>
          <t>奥特莱斯</t>
        </is>
      </c>
      <c r="H237" s="84" t="inlineStr">
        <is>
          <t>EEHWF25M01</t>
        </is>
      </c>
      <c r="I237" s="84" t="n">
        <v>399</v>
      </c>
      <c r="J237" s="84" t="n">
        <v>499</v>
      </c>
      <c r="K237" s="85" t="n"/>
      <c r="L237" s="85" t="n"/>
    </row>
    <row r="238" ht="12.75" customHeight="1" s="103">
      <c r="A238" s="78">
        <f>MID(H238,3,2)</f>
        <v/>
      </c>
      <c r="B238" s="84" t="inlineStr">
        <is>
          <t>B331</t>
        </is>
      </c>
      <c r="C238" s="84" t="inlineStr">
        <is>
          <t>上海区域</t>
        </is>
      </c>
      <c r="D238" s="84" t="inlineStr">
        <is>
          <t>CN0Q</t>
        </is>
      </c>
      <c r="E238" s="80" t="inlineStr">
        <is>
          <t>EE 苏州比斯特</t>
        </is>
      </c>
      <c r="F238" s="84" t="n">
        <v>4</v>
      </c>
      <c r="G238" s="84" t="inlineStr">
        <is>
          <t>奥特莱斯</t>
        </is>
      </c>
      <c r="H238" s="84" t="inlineStr">
        <is>
          <t>EEHWF25M01</t>
        </is>
      </c>
      <c r="I238" s="84" t="n">
        <v>399</v>
      </c>
      <c r="J238" s="84" t="n">
        <v>499</v>
      </c>
      <c r="K238" s="85" t="n"/>
      <c r="L238" s="85" t="n"/>
    </row>
    <row r="239" ht="12.75" customHeight="1" s="103">
      <c r="A239" s="78">
        <f>MID(H239,3,2)</f>
        <v/>
      </c>
      <c r="B239" s="84" t="inlineStr">
        <is>
          <t>B331</t>
        </is>
      </c>
      <c r="C239" s="84" t="inlineStr">
        <is>
          <t>上海区域</t>
        </is>
      </c>
      <c r="D239" s="84" t="inlineStr">
        <is>
          <t>CN0Q</t>
        </is>
      </c>
      <c r="E239" s="80" t="inlineStr">
        <is>
          <t>EE 苏州比斯特</t>
        </is>
      </c>
      <c r="F239" s="84" t="n">
        <v>4</v>
      </c>
      <c r="G239" s="84" t="inlineStr">
        <is>
          <t>奥特莱斯</t>
        </is>
      </c>
      <c r="H239" s="84" t="inlineStr">
        <is>
          <t>EEHWG23B1G</t>
        </is>
      </c>
      <c r="I239" s="84" t="n">
        <v>699</v>
      </c>
      <c r="J239" s="84" t="n">
        <v>699</v>
      </c>
      <c r="K239" s="85" t="n">
        <v>1</v>
      </c>
      <c r="L239" s="85" t="n"/>
    </row>
    <row r="240" ht="12.75" customHeight="1" s="103">
      <c r="A240" s="78">
        <f>MID(H240,3,2)</f>
        <v/>
      </c>
      <c r="B240" s="84" t="inlineStr">
        <is>
          <t>B331</t>
        </is>
      </c>
      <c r="C240" s="84" t="inlineStr">
        <is>
          <t>上海区域</t>
        </is>
      </c>
      <c r="D240" s="84" t="inlineStr">
        <is>
          <t>CN0Q</t>
        </is>
      </c>
      <c r="E240" s="80" t="inlineStr">
        <is>
          <t>EE 苏州比斯特</t>
        </is>
      </c>
      <c r="F240" s="84" t="n">
        <v>4</v>
      </c>
      <c r="G240" s="84" t="inlineStr">
        <is>
          <t>奥特莱斯</t>
        </is>
      </c>
      <c r="H240" s="84" t="inlineStr">
        <is>
          <t>EEHWG23B1G</t>
        </is>
      </c>
      <c r="I240" s="84" t="n">
        <v>699</v>
      </c>
      <c r="J240" s="84" t="n">
        <v>699</v>
      </c>
      <c r="K240" s="85" t="n">
        <v>2</v>
      </c>
      <c r="L240" s="85" t="n">
        <v>447</v>
      </c>
    </row>
    <row r="241" ht="12.75" customHeight="1" s="103">
      <c r="A241" s="78">
        <f>MID(H241,3,2)</f>
        <v/>
      </c>
      <c r="B241" s="84" t="inlineStr">
        <is>
          <t>B331</t>
        </is>
      </c>
      <c r="C241" s="84" t="inlineStr">
        <is>
          <t>上海区域</t>
        </is>
      </c>
      <c r="D241" s="84" t="inlineStr">
        <is>
          <t>CN0Q</t>
        </is>
      </c>
      <c r="E241" s="80" t="inlineStr">
        <is>
          <t>EE 苏州比斯特</t>
        </is>
      </c>
      <c r="F241" s="84" t="n">
        <v>4</v>
      </c>
      <c r="G241" s="84" t="inlineStr">
        <is>
          <t>奥特莱斯</t>
        </is>
      </c>
      <c r="H241" s="84" t="inlineStr">
        <is>
          <t>EEHWG23B1G</t>
        </is>
      </c>
      <c r="I241" s="84" t="n">
        <v>699</v>
      </c>
      <c r="J241" s="84" t="n">
        <v>699</v>
      </c>
      <c r="K241" s="85" t="n"/>
      <c r="L241" s="85" t="n"/>
    </row>
    <row r="242" ht="12.75" customHeight="1" s="103">
      <c r="A242" s="78">
        <f>MID(H242,3,2)</f>
        <v/>
      </c>
      <c r="B242" s="84" t="inlineStr">
        <is>
          <t>B331</t>
        </is>
      </c>
      <c r="C242" s="84" t="inlineStr">
        <is>
          <t>上海区域</t>
        </is>
      </c>
      <c r="D242" s="84" t="inlineStr">
        <is>
          <t>CN0Q</t>
        </is>
      </c>
      <c r="E242" s="80" t="inlineStr">
        <is>
          <t>EE 苏州比斯特</t>
        </is>
      </c>
      <c r="F242" s="84" t="n">
        <v>4</v>
      </c>
      <c r="G242" s="84" t="inlineStr">
        <is>
          <t>奥特莱斯</t>
        </is>
      </c>
      <c r="H242" s="84" t="inlineStr">
        <is>
          <t>EEHWG23B1G</t>
        </is>
      </c>
      <c r="I242" s="84" t="n">
        <v>699</v>
      </c>
      <c r="J242" s="84" t="n">
        <v>699</v>
      </c>
      <c r="K242" s="85" t="n"/>
      <c r="L242" s="85" t="n"/>
    </row>
    <row r="243" ht="12.75" customHeight="1" s="103">
      <c r="A243" s="78">
        <f>MID(H243,3,2)</f>
        <v/>
      </c>
      <c r="B243" s="84" t="inlineStr">
        <is>
          <t>B331</t>
        </is>
      </c>
      <c r="C243" s="84" t="inlineStr">
        <is>
          <t>上海区域</t>
        </is>
      </c>
      <c r="D243" s="84" t="inlineStr">
        <is>
          <t>CN0Q</t>
        </is>
      </c>
      <c r="E243" s="80" t="inlineStr">
        <is>
          <t>EE 苏州比斯特</t>
        </is>
      </c>
      <c r="F243" s="84" t="n">
        <v>4</v>
      </c>
      <c r="G243" s="84" t="inlineStr">
        <is>
          <t>奥特莱斯</t>
        </is>
      </c>
      <c r="H243" s="84" t="inlineStr">
        <is>
          <t>EEHWG23E1G</t>
        </is>
      </c>
      <c r="I243" s="84" t="n">
        <v>599</v>
      </c>
      <c r="J243" s="84" t="n">
        <v>599</v>
      </c>
      <c r="K243" s="85" t="n">
        <v>1</v>
      </c>
      <c r="L243" s="85" t="n">
        <v>379</v>
      </c>
    </row>
    <row r="244" ht="12.75" customHeight="1" s="103">
      <c r="A244" s="78">
        <f>MID(H244,3,2)</f>
        <v/>
      </c>
      <c r="B244" s="84" t="inlineStr">
        <is>
          <t>B331</t>
        </is>
      </c>
      <c r="C244" s="84" t="inlineStr">
        <is>
          <t>上海区域</t>
        </is>
      </c>
      <c r="D244" s="84" t="inlineStr">
        <is>
          <t>CN0Q</t>
        </is>
      </c>
      <c r="E244" s="80" t="inlineStr">
        <is>
          <t>EE 苏州比斯特</t>
        </is>
      </c>
      <c r="F244" s="84" t="n">
        <v>4</v>
      </c>
      <c r="G244" s="84" t="inlineStr">
        <is>
          <t>奥特莱斯</t>
        </is>
      </c>
      <c r="H244" s="84" t="inlineStr">
        <is>
          <t>EEHWG23E1G</t>
        </is>
      </c>
      <c r="I244" s="84" t="n">
        <v>599</v>
      </c>
      <c r="J244" s="84" t="n">
        <v>599</v>
      </c>
      <c r="K244" s="85" t="n"/>
      <c r="L244" s="85" t="n"/>
    </row>
    <row r="245" ht="12.75" customHeight="1" s="103">
      <c r="A245" s="78">
        <f>MID(H245,3,2)</f>
        <v/>
      </c>
      <c r="B245" s="84" t="inlineStr">
        <is>
          <t>B331</t>
        </is>
      </c>
      <c r="C245" s="84" t="inlineStr">
        <is>
          <t>上海区域</t>
        </is>
      </c>
      <c r="D245" s="84" t="inlineStr">
        <is>
          <t>CN0Q</t>
        </is>
      </c>
      <c r="E245" s="80" t="inlineStr">
        <is>
          <t>EE 苏州比斯特</t>
        </is>
      </c>
      <c r="F245" s="84" t="n">
        <v>4</v>
      </c>
      <c r="G245" s="84" t="inlineStr">
        <is>
          <t>奥特莱斯</t>
        </is>
      </c>
      <c r="H245" s="84" t="inlineStr">
        <is>
          <t>EEHWG23E1G</t>
        </is>
      </c>
      <c r="I245" s="84" t="n">
        <v>599</v>
      </c>
      <c r="J245" s="84" t="n">
        <v>599</v>
      </c>
      <c r="K245" s="85" t="n"/>
      <c r="L245" s="85" t="n"/>
    </row>
    <row r="246" ht="12.75" customHeight="1" s="103">
      <c r="A246" s="78">
        <f>MID(H246,3,2)</f>
        <v/>
      </c>
      <c r="B246" s="84" t="inlineStr">
        <is>
          <t>B331</t>
        </is>
      </c>
      <c r="C246" s="84" t="inlineStr">
        <is>
          <t>上海区域</t>
        </is>
      </c>
      <c r="D246" s="84" t="inlineStr">
        <is>
          <t>CN0Q</t>
        </is>
      </c>
      <c r="E246" s="80" t="inlineStr">
        <is>
          <t>EE 苏州比斯特</t>
        </is>
      </c>
      <c r="F246" s="84" t="n">
        <v>4</v>
      </c>
      <c r="G246" s="84" t="inlineStr">
        <is>
          <t>奥特莱斯</t>
        </is>
      </c>
      <c r="H246" s="84" t="inlineStr">
        <is>
          <t>EEHWG23E1G</t>
        </is>
      </c>
      <c r="I246" s="84" t="n">
        <v>599</v>
      </c>
      <c r="J246" s="84" t="n">
        <v>599</v>
      </c>
      <c r="K246" s="85" t="n"/>
      <c r="L246" s="85" t="n"/>
    </row>
    <row r="247" ht="12.75" customHeight="1" s="103">
      <c r="A247" s="78">
        <f>MID(H247,3,2)</f>
        <v/>
      </c>
      <c r="B247" s="84" t="inlineStr">
        <is>
          <t>B331</t>
        </is>
      </c>
      <c r="C247" s="84" t="inlineStr">
        <is>
          <t>上海区域</t>
        </is>
      </c>
      <c r="D247" s="84" t="inlineStr">
        <is>
          <t>CN0Q</t>
        </is>
      </c>
      <c r="E247" s="80" t="inlineStr">
        <is>
          <t>EE 苏州比斯特</t>
        </is>
      </c>
      <c r="F247" s="84" t="n">
        <v>4</v>
      </c>
      <c r="G247" s="84" t="inlineStr">
        <is>
          <t>奥特莱斯</t>
        </is>
      </c>
      <c r="H247" s="84" t="inlineStr">
        <is>
          <t>EEHWG23E1G</t>
        </is>
      </c>
      <c r="I247" s="84" t="n">
        <v>599</v>
      </c>
      <c r="J247" s="84" t="n">
        <v>599</v>
      </c>
      <c r="K247" s="85" t="n">
        <v>2</v>
      </c>
      <c r="L247" s="85" t="n">
        <v>385</v>
      </c>
    </row>
    <row r="248" ht="12.75" customHeight="1" s="103">
      <c r="A248" s="78">
        <f>MID(H248,3,2)</f>
        <v/>
      </c>
      <c r="B248" s="84" t="inlineStr">
        <is>
          <t>B331</t>
        </is>
      </c>
      <c r="C248" s="84" t="inlineStr">
        <is>
          <t>上海区域</t>
        </is>
      </c>
      <c r="D248" s="84" t="inlineStr">
        <is>
          <t>CN0Q</t>
        </is>
      </c>
      <c r="E248" s="80" t="inlineStr">
        <is>
          <t>EE 苏州比斯特</t>
        </is>
      </c>
      <c r="F248" s="84" t="n">
        <v>4</v>
      </c>
      <c r="G248" s="84" t="inlineStr">
        <is>
          <t>奥特莱斯</t>
        </is>
      </c>
      <c r="H248" s="84" t="inlineStr">
        <is>
          <t>EEHWG23E1G</t>
        </is>
      </c>
      <c r="I248" s="84" t="n">
        <v>599</v>
      </c>
      <c r="J248" s="84" t="n">
        <v>599</v>
      </c>
      <c r="K248" s="85" t="n"/>
      <c r="L248" s="85" t="n"/>
    </row>
    <row r="249" ht="12.75" customHeight="1" s="103">
      <c r="A249" s="78">
        <f>MID(H249,3,2)</f>
        <v/>
      </c>
      <c r="B249" s="84" t="inlineStr">
        <is>
          <t>B331</t>
        </is>
      </c>
      <c r="C249" s="84" t="inlineStr">
        <is>
          <t>上海区域</t>
        </is>
      </c>
      <c r="D249" s="84" t="inlineStr">
        <is>
          <t>CN0Q</t>
        </is>
      </c>
      <c r="E249" s="80" t="inlineStr">
        <is>
          <t>EE 苏州比斯特</t>
        </is>
      </c>
      <c r="F249" s="84" t="n">
        <v>4</v>
      </c>
      <c r="G249" s="84" t="inlineStr">
        <is>
          <t>奥特莱斯</t>
        </is>
      </c>
      <c r="H249" s="84" t="inlineStr">
        <is>
          <t>EEHWG23E1G</t>
        </is>
      </c>
      <c r="I249" s="84" t="n">
        <v>599</v>
      </c>
      <c r="J249" s="84" t="n">
        <v>599</v>
      </c>
      <c r="K249" s="85" t="n">
        <v>2</v>
      </c>
      <c r="L249" s="85" t="n">
        <v>382</v>
      </c>
    </row>
    <row r="250" ht="12.75" customHeight="1" s="103">
      <c r="A250" s="78">
        <f>MID(H250,3,2)</f>
        <v/>
      </c>
      <c r="B250" s="84" t="inlineStr">
        <is>
          <t>B331</t>
        </is>
      </c>
      <c r="C250" s="84" t="inlineStr">
        <is>
          <t>上海区域</t>
        </is>
      </c>
      <c r="D250" s="84" t="inlineStr">
        <is>
          <t>CN0Q</t>
        </is>
      </c>
      <c r="E250" s="80" t="inlineStr">
        <is>
          <t>EE 苏州比斯特</t>
        </is>
      </c>
      <c r="F250" s="84" t="n">
        <v>4</v>
      </c>
      <c r="G250" s="84" t="inlineStr">
        <is>
          <t>奥特莱斯</t>
        </is>
      </c>
      <c r="H250" s="84" t="inlineStr">
        <is>
          <t>EEHWG23E1G</t>
        </is>
      </c>
      <c r="I250" s="84" t="n">
        <v>599</v>
      </c>
      <c r="J250" s="84" t="n">
        <v>599</v>
      </c>
      <c r="K250" s="85" t="n"/>
      <c r="L250" s="85" t="n"/>
    </row>
    <row r="251" ht="12.75" customHeight="1" s="103">
      <c r="A251" s="78">
        <f>MID(H251,3,2)</f>
        <v/>
      </c>
      <c r="B251" s="84" t="inlineStr">
        <is>
          <t>B331</t>
        </is>
      </c>
      <c r="C251" s="84" t="inlineStr">
        <is>
          <t>上海区域</t>
        </is>
      </c>
      <c r="D251" s="84" t="inlineStr">
        <is>
          <t>CN0Q</t>
        </is>
      </c>
      <c r="E251" s="80" t="inlineStr">
        <is>
          <t>EE 苏州比斯特</t>
        </is>
      </c>
      <c r="F251" s="84" t="n">
        <v>4</v>
      </c>
      <c r="G251" s="84" t="inlineStr">
        <is>
          <t>奥特莱斯</t>
        </is>
      </c>
      <c r="H251" s="84" t="inlineStr">
        <is>
          <t>EEHWG23E1G</t>
        </is>
      </c>
      <c r="I251" s="84" t="n">
        <v>599</v>
      </c>
      <c r="J251" s="84" t="n">
        <v>599</v>
      </c>
      <c r="K251" s="85" t="n"/>
      <c r="L251" s="85" t="n"/>
    </row>
    <row r="252" ht="12.75" customHeight="1" s="103">
      <c r="A252" s="78">
        <f>MID(H252,3,2)</f>
        <v/>
      </c>
      <c r="B252" s="84" t="inlineStr">
        <is>
          <t>B331</t>
        </is>
      </c>
      <c r="C252" s="84" t="inlineStr">
        <is>
          <t>上海区域</t>
        </is>
      </c>
      <c r="D252" s="84" t="inlineStr">
        <is>
          <t>CN0Q</t>
        </is>
      </c>
      <c r="E252" s="80" t="inlineStr">
        <is>
          <t>EE 苏州比斯特</t>
        </is>
      </c>
      <c r="F252" s="84" t="n">
        <v>4</v>
      </c>
      <c r="G252" s="84" t="inlineStr">
        <is>
          <t>奥特莱斯</t>
        </is>
      </c>
      <c r="H252" s="84" t="inlineStr">
        <is>
          <t>EEHWG23E1G</t>
        </is>
      </c>
      <c r="I252" s="84" t="n">
        <v>599</v>
      </c>
      <c r="J252" s="84" t="n">
        <v>599</v>
      </c>
      <c r="K252" s="85" t="n">
        <v>2</v>
      </c>
      <c r="L252" s="85" t="n">
        <v>384</v>
      </c>
    </row>
    <row r="253" ht="12.75" customHeight="1" s="103">
      <c r="A253" s="78">
        <f>MID(H253,3,2)</f>
        <v/>
      </c>
      <c r="B253" s="84" t="inlineStr">
        <is>
          <t>B331</t>
        </is>
      </c>
      <c r="C253" s="84" t="inlineStr">
        <is>
          <t>上海区域</t>
        </is>
      </c>
      <c r="D253" s="84" t="inlineStr">
        <is>
          <t>CN0Q</t>
        </is>
      </c>
      <c r="E253" s="80" t="inlineStr">
        <is>
          <t>EE 苏州比斯特</t>
        </is>
      </c>
      <c r="F253" s="84" t="n">
        <v>4</v>
      </c>
      <c r="G253" s="84" t="inlineStr">
        <is>
          <t>奥特莱斯</t>
        </is>
      </c>
      <c r="H253" s="84" t="inlineStr">
        <is>
          <t>EEHWG23E1G</t>
        </is>
      </c>
      <c r="I253" s="84" t="n">
        <v>599</v>
      </c>
      <c r="J253" s="84" t="n">
        <v>599</v>
      </c>
      <c r="K253" s="85" t="n">
        <v>1</v>
      </c>
      <c r="L253" s="85" t="n"/>
    </row>
    <row r="254" ht="12.75" customHeight="1" s="103">
      <c r="A254" s="78">
        <f>MID(H254,3,2)</f>
        <v/>
      </c>
      <c r="B254" s="84" t="inlineStr">
        <is>
          <t>B331</t>
        </is>
      </c>
      <c r="C254" s="84" t="inlineStr">
        <is>
          <t>上海区域</t>
        </is>
      </c>
      <c r="D254" s="84" t="inlineStr">
        <is>
          <t>CN0Q</t>
        </is>
      </c>
      <c r="E254" s="80" t="inlineStr">
        <is>
          <t>EE 苏州比斯特</t>
        </is>
      </c>
      <c r="F254" s="84" t="n">
        <v>4</v>
      </c>
      <c r="G254" s="84" t="inlineStr">
        <is>
          <t>奥特莱斯</t>
        </is>
      </c>
      <c r="H254" s="84" t="inlineStr">
        <is>
          <t>EEHWG23E1G</t>
        </is>
      </c>
      <c r="I254" s="84" t="n">
        <v>599</v>
      </c>
      <c r="J254" s="84" t="n">
        <v>599</v>
      </c>
      <c r="K254" s="85" t="n">
        <v>1</v>
      </c>
      <c r="L254" s="85" t="n"/>
    </row>
    <row r="255" ht="12.75" customHeight="1" s="103">
      <c r="A255" s="78">
        <f>MID(H255,3,2)</f>
        <v/>
      </c>
      <c r="B255" s="84" t="inlineStr">
        <is>
          <t>B331</t>
        </is>
      </c>
      <c r="C255" s="84" t="inlineStr">
        <is>
          <t>上海区域</t>
        </is>
      </c>
      <c r="D255" s="84" t="inlineStr">
        <is>
          <t>CN0Q</t>
        </is>
      </c>
      <c r="E255" s="80" t="inlineStr">
        <is>
          <t>EE 苏州比斯特</t>
        </is>
      </c>
      <c r="F255" s="84" t="n">
        <v>4</v>
      </c>
      <c r="G255" s="84" t="inlineStr">
        <is>
          <t>奥特莱斯</t>
        </is>
      </c>
      <c r="H255" s="84" t="inlineStr">
        <is>
          <t>EEHWG23E1G</t>
        </is>
      </c>
      <c r="I255" s="84" t="n">
        <v>599</v>
      </c>
      <c r="J255" s="84" t="n">
        <v>599</v>
      </c>
      <c r="K255" s="85" t="n"/>
      <c r="L255" s="85" t="n"/>
    </row>
    <row r="256" ht="12.75" customHeight="1" s="103">
      <c r="A256" s="78">
        <f>MID(H256,3,2)</f>
        <v/>
      </c>
      <c r="B256" s="84" t="inlineStr">
        <is>
          <t>B331</t>
        </is>
      </c>
      <c r="C256" s="84" t="inlineStr">
        <is>
          <t>上海区域</t>
        </is>
      </c>
      <c r="D256" s="84" t="inlineStr">
        <is>
          <t>CN0Q</t>
        </is>
      </c>
      <c r="E256" s="80" t="inlineStr">
        <is>
          <t>EE 苏州比斯特</t>
        </is>
      </c>
      <c r="F256" s="84" t="n">
        <v>4</v>
      </c>
      <c r="G256" s="84" t="inlineStr">
        <is>
          <t>奥特莱斯</t>
        </is>
      </c>
      <c r="H256" s="84" t="inlineStr">
        <is>
          <t>EEHWG23E1G</t>
        </is>
      </c>
      <c r="I256" s="84" t="n">
        <v>599</v>
      </c>
      <c r="J256" s="84" t="n">
        <v>599</v>
      </c>
      <c r="K256" s="85" t="n"/>
      <c r="L256" s="85" t="n"/>
    </row>
    <row r="257" ht="12.75" customHeight="1" s="103">
      <c r="A257" s="78">
        <f>MID(H257,3,2)</f>
        <v/>
      </c>
      <c r="B257" s="84" t="inlineStr">
        <is>
          <t>B331</t>
        </is>
      </c>
      <c r="C257" s="84" t="inlineStr">
        <is>
          <t>上海区域</t>
        </is>
      </c>
      <c r="D257" s="84" t="inlineStr">
        <is>
          <t>CN0Q</t>
        </is>
      </c>
      <c r="E257" s="80" t="inlineStr">
        <is>
          <t>EE 苏州比斯特</t>
        </is>
      </c>
      <c r="F257" s="84" t="n">
        <v>4</v>
      </c>
      <c r="G257" s="84" t="inlineStr">
        <is>
          <t>奥特莱斯</t>
        </is>
      </c>
      <c r="H257" s="84" t="inlineStr">
        <is>
          <t>EEHWG23E1G</t>
        </is>
      </c>
      <c r="I257" s="84" t="n">
        <v>599</v>
      </c>
      <c r="J257" s="84" t="n">
        <v>599</v>
      </c>
      <c r="K257" s="85" t="n">
        <v>1</v>
      </c>
      <c r="L257" s="85" t="n"/>
    </row>
    <row r="258" ht="12.75" customHeight="1" s="103">
      <c r="A258" s="78">
        <f>MID(H258,3,2)</f>
        <v/>
      </c>
      <c r="B258" s="84" t="inlineStr">
        <is>
          <t>B331</t>
        </is>
      </c>
      <c r="C258" s="84" t="inlineStr">
        <is>
          <t>上海区域</t>
        </is>
      </c>
      <c r="D258" s="84" t="inlineStr">
        <is>
          <t>CN0Q</t>
        </is>
      </c>
      <c r="E258" s="80" t="inlineStr">
        <is>
          <t>EE 苏州比斯特</t>
        </is>
      </c>
      <c r="F258" s="84" t="n">
        <v>4</v>
      </c>
      <c r="G258" s="84" t="inlineStr">
        <is>
          <t>奥特莱斯</t>
        </is>
      </c>
      <c r="H258" s="84" t="inlineStr">
        <is>
          <t>EEHWG23E1G</t>
        </is>
      </c>
      <c r="I258" s="84" t="n">
        <v>599</v>
      </c>
      <c r="J258" s="84" t="n">
        <v>599</v>
      </c>
      <c r="K258" s="85" t="n">
        <v>1</v>
      </c>
      <c r="L258" s="85" t="n">
        <v>391</v>
      </c>
    </row>
    <row r="259" ht="12.75" customHeight="1" s="103">
      <c r="A259" s="78">
        <f>MID(H259,3,2)</f>
        <v/>
      </c>
      <c r="B259" s="84" t="inlineStr">
        <is>
          <t>B331</t>
        </is>
      </c>
      <c r="C259" s="84" t="inlineStr">
        <is>
          <t>上海区域</t>
        </is>
      </c>
      <c r="D259" s="84" t="inlineStr">
        <is>
          <t>CN0Q</t>
        </is>
      </c>
      <c r="E259" s="80" t="inlineStr">
        <is>
          <t>EE 苏州比斯特</t>
        </is>
      </c>
      <c r="F259" s="84" t="n">
        <v>4</v>
      </c>
      <c r="G259" s="84" t="inlineStr">
        <is>
          <t>奥特莱斯</t>
        </is>
      </c>
      <c r="H259" s="84" t="inlineStr">
        <is>
          <t>EEHWG23E1G</t>
        </is>
      </c>
      <c r="I259" s="84" t="n">
        <v>599</v>
      </c>
      <c r="J259" s="84" t="n">
        <v>599</v>
      </c>
      <c r="K259" s="85" t="n"/>
      <c r="L259" s="85" t="n"/>
    </row>
    <row r="260" ht="12.75" customHeight="1" s="103">
      <c r="A260" s="78">
        <f>MID(H260,3,2)</f>
        <v/>
      </c>
      <c r="B260" s="84" t="inlineStr">
        <is>
          <t>B331</t>
        </is>
      </c>
      <c r="C260" s="84" t="inlineStr">
        <is>
          <t>上海区域</t>
        </is>
      </c>
      <c r="D260" s="84" t="inlineStr">
        <is>
          <t>CN0Q</t>
        </is>
      </c>
      <c r="E260" s="80" t="inlineStr">
        <is>
          <t>EE 苏州比斯特</t>
        </is>
      </c>
      <c r="F260" s="84" t="n">
        <v>4</v>
      </c>
      <c r="G260" s="84" t="inlineStr">
        <is>
          <t>奥特莱斯</t>
        </is>
      </c>
      <c r="H260" s="84" t="inlineStr">
        <is>
          <t>EEHWG23E1G</t>
        </is>
      </c>
      <c r="I260" s="84" t="n">
        <v>599</v>
      </c>
      <c r="J260" s="84" t="n">
        <v>599</v>
      </c>
      <c r="K260" s="85" t="n">
        <v>2</v>
      </c>
      <c r="L260" s="85" t="n">
        <v>386</v>
      </c>
    </row>
    <row r="261" ht="12.75" customHeight="1" s="103">
      <c r="A261" s="78">
        <f>MID(H261,3,2)</f>
        <v/>
      </c>
      <c r="B261" s="84" t="inlineStr">
        <is>
          <t>B331</t>
        </is>
      </c>
      <c r="C261" s="84" t="inlineStr">
        <is>
          <t>上海区域</t>
        </is>
      </c>
      <c r="D261" s="84" t="inlineStr">
        <is>
          <t>CN0Q</t>
        </is>
      </c>
      <c r="E261" s="80" t="inlineStr">
        <is>
          <t>EE 苏州比斯特</t>
        </is>
      </c>
      <c r="F261" s="84" t="n">
        <v>4</v>
      </c>
      <c r="G261" s="84" t="inlineStr">
        <is>
          <t>奥特莱斯</t>
        </is>
      </c>
      <c r="H261" s="84" t="inlineStr">
        <is>
          <t>EEHWG23E1G</t>
        </is>
      </c>
      <c r="I261" s="84" t="n">
        <v>599</v>
      </c>
      <c r="J261" s="84" t="n">
        <v>599</v>
      </c>
      <c r="K261" s="85" t="n">
        <v>1</v>
      </c>
      <c r="L261" s="85" t="n">
        <v>379</v>
      </c>
    </row>
    <row r="262" ht="12.75" customHeight="1" s="103">
      <c r="A262" s="78">
        <f>MID(H262,3,2)</f>
        <v/>
      </c>
      <c r="B262" s="84" t="inlineStr">
        <is>
          <t>B331</t>
        </is>
      </c>
      <c r="C262" s="84" t="inlineStr">
        <is>
          <t>上海区域</t>
        </is>
      </c>
      <c r="D262" s="84" t="inlineStr">
        <is>
          <t>CN0Q</t>
        </is>
      </c>
      <c r="E262" s="80" t="inlineStr">
        <is>
          <t>EE 苏州比斯特</t>
        </is>
      </c>
      <c r="F262" s="84" t="n">
        <v>4</v>
      </c>
      <c r="G262" s="84" t="inlineStr">
        <is>
          <t>奥特莱斯</t>
        </is>
      </c>
      <c r="H262" s="84" t="inlineStr">
        <is>
          <t>EEHWG23E1G</t>
        </is>
      </c>
      <c r="I262" s="84" t="n">
        <v>599</v>
      </c>
      <c r="J262" s="84" t="n">
        <v>599</v>
      </c>
      <c r="K262" s="85" t="n">
        <v>1</v>
      </c>
      <c r="L262" s="85" t="n"/>
    </row>
    <row r="263" ht="12.75" customHeight="1" s="103">
      <c r="A263" s="78">
        <f>MID(H263,3,2)</f>
        <v/>
      </c>
      <c r="B263" s="84" t="inlineStr">
        <is>
          <t>B331</t>
        </is>
      </c>
      <c r="C263" s="84" t="inlineStr">
        <is>
          <t>上海区域</t>
        </is>
      </c>
      <c r="D263" s="84" t="inlineStr">
        <is>
          <t>CN0Q</t>
        </is>
      </c>
      <c r="E263" s="80" t="inlineStr">
        <is>
          <t>EE 苏州比斯特</t>
        </is>
      </c>
      <c r="F263" s="84" t="n">
        <v>4</v>
      </c>
      <c r="G263" s="84" t="inlineStr">
        <is>
          <t>奥特莱斯</t>
        </is>
      </c>
      <c r="H263" s="84" t="inlineStr">
        <is>
          <t>EEHWG23E1G</t>
        </is>
      </c>
      <c r="I263" s="84" t="n">
        <v>599</v>
      </c>
      <c r="J263" s="84" t="n">
        <v>599</v>
      </c>
      <c r="K263" s="85" t="n"/>
      <c r="L263" s="85" t="n"/>
    </row>
    <row r="264" ht="12.75" customHeight="1" s="103">
      <c r="A264" s="78">
        <f>MID(H264,3,2)</f>
        <v/>
      </c>
      <c r="B264" s="84" t="inlineStr">
        <is>
          <t>B331</t>
        </is>
      </c>
      <c r="C264" s="84" t="inlineStr">
        <is>
          <t>上海区域</t>
        </is>
      </c>
      <c r="D264" s="84" t="inlineStr">
        <is>
          <t>CN0Q</t>
        </is>
      </c>
      <c r="E264" s="80" t="inlineStr">
        <is>
          <t>EE 苏州比斯特</t>
        </is>
      </c>
      <c r="F264" s="84" t="n">
        <v>4</v>
      </c>
      <c r="G264" s="84" t="inlineStr">
        <is>
          <t>奥特莱斯</t>
        </is>
      </c>
      <c r="H264" s="84" t="inlineStr">
        <is>
          <t>EEHWG23E1G</t>
        </is>
      </c>
      <c r="I264" s="84" t="n">
        <v>599</v>
      </c>
      <c r="J264" s="84" t="n">
        <v>599</v>
      </c>
      <c r="K264" s="85" t="n"/>
      <c r="L264" s="85" t="n"/>
    </row>
    <row r="265" ht="12.75" customHeight="1" s="103">
      <c r="A265" s="78">
        <f>MID(H265,3,2)</f>
        <v/>
      </c>
      <c r="B265" s="84" t="inlineStr">
        <is>
          <t>B331</t>
        </is>
      </c>
      <c r="C265" s="84" t="inlineStr">
        <is>
          <t>上海区域</t>
        </is>
      </c>
      <c r="D265" s="84" t="inlineStr">
        <is>
          <t>CN0Q</t>
        </is>
      </c>
      <c r="E265" s="80" t="inlineStr">
        <is>
          <t>EE 苏州比斯特</t>
        </is>
      </c>
      <c r="F265" s="84" t="n">
        <v>4</v>
      </c>
      <c r="G265" s="84" t="inlineStr">
        <is>
          <t>奥特莱斯</t>
        </is>
      </c>
      <c r="H265" s="84" t="inlineStr">
        <is>
          <t>EEHWG23E1G</t>
        </is>
      </c>
      <c r="I265" s="84" t="n">
        <v>599</v>
      </c>
      <c r="J265" s="84" t="n">
        <v>599</v>
      </c>
      <c r="K265" s="85" t="n"/>
      <c r="L265" s="85" t="n"/>
    </row>
    <row r="266" ht="12.75" customHeight="1" s="103">
      <c r="A266" s="78">
        <f>MID(H266,3,2)</f>
        <v/>
      </c>
      <c r="B266" s="84" t="inlineStr">
        <is>
          <t>B331</t>
        </is>
      </c>
      <c r="C266" s="84" t="inlineStr">
        <is>
          <t>上海区域</t>
        </is>
      </c>
      <c r="D266" s="84" t="inlineStr">
        <is>
          <t>CN0Q</t>
        </is>
      </c>
      <c r="E266" s="80" t="inlineStr">
        <is>
          <t>EE 苏州比斯特</t>
        </is>
      </c>
      <c r="F266" s="84" t="n">
        <v>4</v>
      </c>
      <c r="G266" s="84" t="inlineStr">
        <is>
          <t>奥特莱斯</t>
        </is>
      </c>
      <c r="H266" s="84" t="inlineStr">
        <is>
          <t>EEHWG24E02</t>
        </is>
      </c>
      <c r="I266" s="84" t="n">
        <v>599</v>
      </c>
      <c r="J266" s="84" t="n">
        <v>599</v>
      </c>
      <c r="K266" s="85" t="n"/>
      <c r="L266" s="85" t="n"/>
    </row>
    <row r="267" ht="12.75" customHeight="1" s="103">
      <c r="A267" s="78">
        <f>MID(H267,3,2)</f>
        <v/>
      </c>
      <c r="B267" s="84" t="inlineStr">
        <is>
          <t>B331</t>
        </is>
      </c>
      <c r="C267" s="84" t="inlineStr">
        <is>
          <t>上海区域</t>
        </is>
      </c>
      <c r="D267" s="84" t="inlineStr">
        <is>
          <t>CN0Q</t>
        </is>
      </c>
      <c r="E267" s="80" t="inlineStr">
        <is>
          <t>EE 苏州比斯特</t>
        </is>
      </c>
      <c r="F267" s="84" t="n">
        <v>4</v>
      </c>
      <c r="G267" s="84" t="inlineStr">
        <is>
          <t>奥特莱斯</t>
        </is>
      </c>
      <c r="H267" s="84" t="inlineStr">
        <is>
          <t>EEHWG24E02</t>
        </is>
      </c>
      <c r="I267" s="84" t="n">
        <v>599</v>
      </c>
      <c r="J267" s="84" t="n">
        <v>599</v>
      </c>
      <c r="K267" s="85" t="n">
        <v>2</v>
      </c>
      <c r="L267" s="85" t="n">
        <v>388</v>
      </c>
    </row>
    <row r="268" ht="12.75" customHeight="1" s="103">
      <c r="A268" s="78">
        <f>MID(H268,3,2)</f>
        <v/>
      </c>
      <c r="B268" s="84" t="inlineStr">
        <is>
          <t>B331</t>
        </is>
      </c>
      <c r="C268" s="84" t="inlineStr">
        <is>
          <t>上海区域</t>
        </is>
      </c>
      <c r="D268" s="84" t="inlineStr">
        <is>
          <t>CN0Q</t>
        </is>
      </c>
      <c r="E268" s="80" t="inlineStr">
        <is>
          <t>EE 苏州比斯特</t>
        </is>
      </c>
      <c r="F268" s="84" t="n">
        <v>4</v>
      </c>
      <c r="G268" s="84" t="inlineStr">
        <is>
          <t>奥特莱斯</t>
        </is>
      </c>
      <c r="H268" s="84" t="inlineStr">
        <is>
          <t>EEHWG24E02</t>
        </is>
      </c>
      <c r="I268" s="84" t="n">
        <v>599</v>
      </c>
      <c r="J268" s="84" t="n">
        <v>599</v>
      </c>
      <c r="K268" s="85" t="n"/>
      <c r="L268" s="85" t="n"/>
    </row>
    <row r="269" ht="12.75" customHeight="1" s="103">
      <c r="A269" s="78">
        <f>MID(H269,3,2)</f>
        <v/>
      </c>
      <c r="B269" s="84" t="inlineStr">
        <is>
          <t>B331</t>
        </is>
      </c>
      <c r="C269" s="84" t="inlineStr">
        <is>
          <t>上海区域</t>
        </is>
      </c>
      <c r="D269" s="84" t="inlineStr">
        <is>
          <t>CN0Q</t>
        </is>
      </c>
      <c r="E269" s="80" t="inlineStr">
        <is>
          <t>EE 苏州比斯特</t>
        </is>
      </c>
      <c r="F269" s="84" t="n">
        <v>4</v>
      </c>
      <c r="G269" s="84" t="inlineStr">
        <is>
          <t>奥特莱斯</t>
        </is>
      </c>
      <c r="H269" s="84" t="inlineStr">
        <is>
          <t>EEHWG24E02</t>
        </is>
      </c>
      <c r="I269" s="84" t="n">
        <v>599</v>
      </c>
      <c r="J269" s="84" t="n">
        <v>599</v>
      </c>
      <c r="K269" s="85" t="n"/>
      <c r="L269" s="85" t="n"/>
    </row>
    <row r="270" ht="12.75" customHeight="1" s="103">
      <c r="A270" s="78">
        <f>MID(H270,3,2)</f>
        <v/>
      </c>
      <c r="B270" s="84" t="inlineStr">
        <is>
          <t>B331</t>
        </is>
      </c>
      <c r="C270" s="84" t="inlineStr">
        <is>
          <t>上海区域</t>
        </is>
      </c>
      <c r="D270" s="84" t="inlineStr">
        <is>
          <t>CN0Q</t>
        </is>
      </c>
      <c r="E270" s="80" t="inlineStr">
        <is>
          <t>EE 苏州比斯特</t>
        </is>
      </c>
      <c r="F270" s="84" t="n">
        <v>4</v>
      </c>
      <c r="G270" s="84" t="inlineStr">
        <is>
          <t>奥特莱斯</t>
        </is>
      </c>
      <c r="H270" s="84" t="inlineStr">
        <is>
          <t>EEHWG24E02</t>
        </is>
      </c>
      <c r="I270" s="84" t="n">
        <v>599</v>
      </c>
      <c r="J270" s="84" t="n">
        <v>599</v>
      </c>
      <c r="K270" s="85" t="n"/>
      <c r="L270" s="85" t="n"/>
    </row>
    <row r="271" ht="12.75" customHeight="1" s="103">
      <c r="A271" s="78">
        <f>MID(H271,3,2)</f>
        <v/>
      </c>
      <c r="B271" s="84" t="inlineStr">
        <is>
          <t>B331</t>
        </is>
      </c>
      <c r="C271" s="84" t="inlineStr">
        <is>
          <t>上海区域</t>
        </is>
      </c>
      <c r="D271" s="84" t="inlineStr">
        <is>
          <t>CN0Q</t>
        </is>
      </c>
      <c r="E271" s="80" t="inlineStr">
        <is>
          <t>EE 苏州比斯特</t>
        </is>
      </c>
      <c r="F271" s="84" t="n">
        <v>4</v>
      </c>
      <c r="G271" s="84" t="inlineStr">
        <is>
          <t>奥特莱斯</t>
        </is>
      </c>
      <c r="H271" s="84" t="inlineStr">
        <is>
          <t>EEHWG24E02</t>
        </is>
      </c>
      <c r="I271" s="84" t="n">
        <v>599</v>
      </c>
      <c r="J271" s="84" t="n">
        <v>599</v>
      </c>
      <c r="K271" s="85" t="n"/>
      <c r="L271" s="85" t="n"/>
    </row>
    <row r="272" ht="12.75" customHeight="1" s="103">
      <c r="A272" s="78">
        <f>MID(H272,3,2)</f>
        <v/>
      </c>
      <c r="B272" s="84" t="inlineStr">
        <is>
          <t>B331</t>
        </is>
      </c>
      <c r="C272" s="84" t="inlineStr">
        <is>
          <t>上海区域</t>
        </is>
      </c>
      <c r="D272" s="84" t="inlineStr">
        <is>
          <t>CN0Q</t>
        </is>
      </c>
      <c r="E272" s="80" t="inlineStr">
        <is>
          <t>EE 苏州比斯特</t>
        </is>
      </c>
      <c r="F272" s="84" t="n">
        <v>4</v>
      </c>
      <c r="G272" s="84" t="inlineStr">
        <is>
          <t>奥特莱斯</t>
        </is>
      </c>
      <c r="H272" s="84" t="inlineStr">
        <is>
          <t>EEHWG25B01</t>
        </is>
      </c>
      <c r="I272" s="84" t="n">
        <v>599</v>
      </c>
      <c r="J272" s="84" t="n">
        <v>499</v>
      </c>
      <c r="K272" s="85" t="n">
        <v>2</v>
      </c>
      <c r="L272" s="85" t="n">
        <v>665</v>
      </c>
    </row>
    <row r="273" ht="12.75" customHeight="1" s="103">
      <c r="A273" s="78">
        <f>MID(H273,3,2)</f>
        <v/>
      </c>
      <c r="B273" s="84" t="inlineStr">
        <is>
          <t>B331</t>
        </is>
      </c>
      <c r="C273" s="84" t="inlineStr">
        <is>
          <t>上海区域</t>
        </is>
      </c>
      <c r="D273" s="84" t="inlineStr">
        <is>
          <t>CN0Q</t>
        </is>
      </c>
      <c r="E273" s="80" t="inlineStr">
        <is>
          <t>EE 苏州比斯特</t>
        </is>
      </c>
      <c r="F273" s="84" t="n">
        <v>4</v>
      </c>
      <c r="G273" s="84" t="inlineStr">
        <is>
          <t>奥特莱斯</t>
        </is>
      </c>
      <c r="H273" s="84" t="inlineStr">
        <is>
          <t>EEHWG25B01</t>
        </is>
      </c>
      <c r="I273" s="84" t="n">
        <v>599</v>
      </c>
      <c r="J273" s="84" t="n">
        <v>499</v>
      </c>
      <c r="K273" s="85" t="n">
        <v>2</v>
      </c>
      <c r="L273" s="85" t="n">
        <v>699</v>
      </c>
    </row>
    <row r="274" ht="12.75" customHeight="1" s="103">
      <c r="A274" s="78">
        <f>MID(H274,3,2)</f>
        <v/>
      </c>
      <c r="B274" s="84" t="inlineStr">
        <is>
          <t>B331</t>
        </is>
      </c>
      <c r="C274" s="84" t="inlineStr">
        <is>
          <t>上海区域</t>
        </is>
      </c>
      <c r="D274" s="84" t="inlineStr">
        <is>
          <t>CN0Q</t>
        </is>
      </c>
      <c r="E274" s="80" t="inlineStr">
        <is>
          <t>EE 苏州比斯特</t>
        </is>
      </c>
      <c r="F274" s="84" t="n">
        <v>4</v>
      </c>
      <c r="G274" s="84" t="inlineStr">
        <is>
          <t>奥特莱斯</t>
        </is>
      </c>
      <c r="H274" s="84" t="inlineStr">
        <is>
          <t>EEHWG25B01</t>
        </is>
      </c>
      <c r="I274" s="84" t="n">
        <v>599</v>
      </c>
      <c r="J274" s="84" t="n">
        <v>499</v>
      </c>
      <c r="K274" s="85" t="n">
        <v>2</v>
      </c>
      <c r="L274" s="85" t="n">
        <v>664</v>
      </c>
    </row>
    <row r="275" ht="12.75" customHeight="1" s="103">
      <c r="A275" s="78">
        <f>MID(H275,3,2)</f>
        <v/>
      </c>
      <c r="B275" s="84" t="inlineStr">
        <is>
          <t>B331</t>
        </is>
      </c>
      <c r="C275" s="84" t="inlineStr">
        <is>
          <t>上海区域</t>
        </is>
      </c>
      <c r="D275" s="84" t="inlineStr">
        <is>
          <t>CN0Q</t>
        </is>
      </c>
      <c r="E275" s="80" t="inlineStr">
        <is>
          <t>EE 苏州比斯特</t>
        </is>
      </c>
      <c r="F275" s="84" t="n">
        <v>4</v>
      </c>
      <c r="G275" s="84" t="inlineStr">
        <is>
          <t>奥特莱斯</t>
        </is>
      </c>
      <c r="H275" s="84" t="inlineStr">
        <is>
          <t>EEHWG25B01</t>
        </is>
      </c>
      <c r="I275" s="84" t="n">
        <v>599</v>
      </c>
      <c r="J275" s="84" t="n">
        <v>499</v>
      </c>
      <c r="K275" s="85" t="n">
        <v>1</v>
      </c>
      <c r="L275" s="85" t="n"/>
    </row>
    <row r="276" ht="12.75" customHeight="1" s="103">
      <c r="A276" s="78">
        <f>MID(H276,3,2)</f>
        <v/>
      </c>
      <c r="B276" s="84" t="inlineStr">
        <is>
          <t>B331</t>
        </is>
      </c>
      <c r="C276" s="84" t="inlineStr">
        <is>
          <t>上海区域</t>
        </is>
      </c>
      <c r="D276" s="84" t="inlineStr">
        <is>
          <t>CN0Q</t>
        </is>
      </c>
      <c r="E276" s="80" t="inlineStr">
        <is>
          <t>EE 苏州比斯特</t>
        </is>
      </c>
      <c r="F276" s="84" t="n">
        <v>4</v>
      </c>
      <c r="G276" s="84" t="inlineStr">
        <is>
          <t>奥特莱斯</t>
        </is>
      </c>
      <c r="H276" s="84" t="inlineStr">
        <is>
          <t>EEHWG25B1G</t>
        </is>
      </c>
      <c r="I276" s="84" t="n">
        <v>699</v>
      </c>
      <c r="J276" s="84" t="n">
        <v>699</v>
      </c>
      <c r="K276" s="85" t="n"/>
      <c r="L276" s="85" t="n"/>
    </row>
    <row r="277" ht="12.75" customHeight="1" s="103">
      <c r="A277" s="78">
        <f>MID(H277,3,2)</f>
        <v/>
      </c>
      <c r="B277" s="84" t="inlineStr">
        <is>
          <t>B331</t>
        </is>
      </c>
      <c r="C277" s="84" t="inlineStr">
        <is>
          <t>上海区域</t>
        </is>
      </c>
      <c r="D277" s="84" t="inlineStr">
        <is>
          <t>CN0Q</t>
        </is>
      </c>
      <c r="E277" s="80" t="inlineStr">
        <is>
          <t>EE 苏州比斯特</t>
        </is>
      </c>
      <c r="F277" s="84" t="n">
        <v>4</v>
      </c>
      <c r="G277" s="84" t="inlineStr">
        <is>
          <t>奥特莱斯</t>
        </is>
      </c>
      <c r="H277" s="84" t="inlineStr">
        <is>
          <t>EEHWG25B1G</t>
        </is>
      </c>
      <c r="I277" s="84" t="n">
        <v>699</v>
      </c>
      <c r="J277" s="84" t="n">
        <v>699</v>
      </c>
      <c r="K277" s="85" t="n">
        <v>1</v>
      </c>
      <c r="L277" s="85" t="n">
        <v>448</v>
      </c>
    </row>
    <row r="278" ht="12.75" customHeight="1" s="103">
      <c r="A278" s="78">
        <f>MID(H278,3,2)</f>
        <v/>
      </c>
      <c r="B278" s="84" t="inlineStr">
        <is>
          <t>B331</t>
        </is>
      </c>
      <c r="C278" s="84" t="inlineStr">
        <is>
          <t>上海区域</t>
        </is>
      </c>
      <c r="D278" s="84" t="inlineStr">
        <is>
          <t>CN0Q</t>
        </is>
      </c>
      <c r="E278" s="80" t="inlineStr">
        <is>
          <t>EE 苏州比斯特</t>
        </is>
      </c>
      <c r="F278" s="84" t="n">
        <v>4</v>
      </c>
      <c r="G278" s="84" t="inlineStr">
        <is>
          <t>奥特莱斯</t>
        </is>
      </c>
      <c r="H278" s="84" t="inlineStr">
        <is>
          <t>EEHWG25B1G</t>
        </is>
      </c>
      <c r="I278" s="84" t="n">
        <v>699</v>
      </c>
      <c r="J278" s="84" t="n">
        <v>699</v>
      </c>
      <c r="K278" s="85" t="n">
        <v>1</v>
      </c>
      <c r="L278" s="85" t="n">
        <v>447</v>
      </c>
    </row>
    <row r="279" ht="12.75" customHeight="1" s="103">
      <c r="A279" s="78">
        <f>MID(H279,3,2)</f>
        <v/>
      </c>
      <c r="B279" s="84" t="inlineStr">
        <is>
          <t>B331</t>
        </is>
      </c>
      <c r="C279" s="84" t="inlineStr">
        <is>
          <t>上海区域</t>
        </is>
      </c>
      <c r="D279" s="84" t="inlineStr">
        <is>
          <t>CN0Q</t>
        </is>
      </c>
      <c r="E279" s="80" t="inlineStr">
        <is>
          <t>EE 苏州比斯特</t>
        </is>
      </c>
      <c r="F279" s="84" t="n">
        <v>4</v>
      </c>
      <c r="G279" s="84" t="inlineStr">
        <is>
          <t>奥特莱斯</t>
        </is>
      </c>
      <c r="H279" s="84" t="inlineStr">
        <is>
          <t>EEHWG25B1G</t>
        </is>
      </c>
      <c r="I279" s="84" t="n">
        <v>699</v>
      </c>
      <c r="J279" s="84" t="n">
        <v>699</v>
      </c>
      <c r="K279" s="85" t="n"/>
      <c r="L279" s="85" t="n"/>
    </row>
    <row r="280" ht="12.75" customHeight="1" s="103">
      <c r="A280" s="78">
        <f>MID(H280,3,2)</f>
        <v/>
      </c>
      <c r="B280" s="84" t="inlineStr">
        <is>
          <t>B331</t>
        </is>
      </c>
      <c r="C280" s="84" t="inlineStr">
        <is>
          <t>上海区域</t>
        </is>
      </c>
      <c r="D280" s="84" t="inlineStr">
        <is>
          <t>CN0Q</t>
        </is>
      </c>
      <c r="E280" s="80" t="inlineStr">
        <is>
          <t>EE 苏州比斯特</t>
        </is>
      </c>
      <c r="F280" s="84" t="n">
        <v>4</v>
      </c>
      <c r="G280" s="84" t="inlineStr">
        <is>
          <t>奥特莱斯</t>
        </is>
      </c>
      <c r="H280" s="84" t="inlineStr">
        <is>
          <t>EEHWG25B1G</t>
        </is>
      </c>
      <c r="I280" s="84" t="n">
        <v>699</v>
      </c>
      <c r="J280" s="84" t="n">
        <v>699</v>
      </c>
      <c r="K280" s="85" t="n"/>
      <c r="L280" s="85" t="n"/>
    </row>
    <row r="281" ht="12.75" customHeight="1" s="103">
      <c r="A281" s="78">
        <f>MID(H281,3,2)</f>
        <v/>
      </c>
      <c r="B281" s="84" t="inlineStr">
        <is>
          <t>B331</t>
        </is>
      </c>
      <c r="C281" s="84" t="inlineStr">
        <is>
          <t>上海区域</t>
        </is>
      </c>
      <c r="D281" s="84" t="inlineStr">
        <is>
          <t>CN0Q</t>
        </is>
      </c>
      <c r="E281" s="80" t="inlineStr">
        <is>
          <t>EE 苏州比斯特</t>
        </is>
      </c>
      <c r="F281" s="84" t="n">
        <v>4</v>
      </c>
      <c r="G281" s="84" t="inlineStr">
        <is>
          <t>奥特莱斯</t>
        </is>
      </c>
      <c r="H281" s="84" t="inlineStr">
        <is>
          <t>EEHWG25B1G</t>
        </is>
      </c>
      <c r="I281" s="84" t="n">
        <v>699</v>
      </c>
      <c r="J281" s="84" t="n">
        <v>699</v>
      </c>
      <c r="K281" s="85" t="n"/>
      <c r="L281" s="85" t="n"/>
    </row>
    <row r="282" ht="12.75" customHeight="1" s="103">
      <c r="A282" s="78">
        <f>MID(H282,3,2)</f>
        <v/>
      </c>
      <c r="B282" s="84" t="inlineStr">
        <is>
          <t>B331</t>
        </is>
      </c>
      <c r="C282" s="84" t="inlineStr">
        <is>
          <t>上海区域</t>
        </is>
      </c>
      <c r="D282" s="84" t="inlineStr">
        <is>
          <t>CN0Q</t>
        </is>
      </c>
      <c r="E282" s="80" t="inlineStr">
        <is>
          <t>EE 苏州比斯特</t>
        </is>
      </c>
      <c r="F282" s="84" t="n">
        <v>4</v>
      </c>
      <c r="G282" s="84" t="inlineStr">
        <is>
          <t>奥特莱斯</t>
        </is>
      </c>
      <c r="H282" s="84" t="inlineStr">
        <is>
          <t>EEHWG25B2G</t>
        </is>
      </c>
      <c r="I282" s="84" t="n">
        <v>699</v>
      </c>
      <c r="J282" s="84" t="n">
        <v>699</v>
      </c>
      <c r="K282" s="85" t="n"/>
      <c r="L282" s="85" t="n"/>
    </row>
    <row r="283" ht="12.75" customHeight="1" s="103">
      <c r="A283" s="78">
        <f>MID(H283,3,2)</f>
        <v/>
      </c>
      <c r="B283" s="84" t="inlineStr">
        <is>
          <t>B331</t>
        </is>
      </c>
      <c r="C283" s="84" t="inlineStr">
        <is>
          <t>上海区域</t>
        </is>
      </c>
      <c r="D283" s="84" t="inlineStr">
        <is>
          <t>CN0Q</t>
        </is>
      </c>
      <c r="E283" s="80" t="inlineStr">
        <is>
          <t>EE 苏州比斯特</t>
        </is>
      </c>
      <c r="F283" s="84" t="n">
        <v>4</v>
      </c>
      <c r="G283" s="84" t="inlineStr">
        <is>
          <t>奥特莱斯</t>
        </is>
      </c>
      <c r="H283" s="84" t="inlineStr">
        <is>
          <t>EEHWG25B2G</t>
        </is>
      </c>
      <c r="I283" s="84" t="n">
        <v>699</v>
      </c>
      <c r="J283" s="84" t="n">
        <v>699</v>
      </c>
      <c r="K283" s="85" t="n"/>
      <c r="L283" s="85" t="n"/>
    </row>
    <row r="284" ht="12.75" customHeight="1" s="103">
      <c r="A284" s="78">
        <f>MID(H284,3,2)</f>
        <v/>
      </c>
      <c r="B284" s="84" t="inlineStr">
        <is>
          <t>B331</t>
        </is>
      </c>
      <c r="C284" s="84" t="inlineStr">
        <is>
          <t>上海区域</t>
        </is>
      </c>
      <c r="D284" s="84" t="inlineStr">
        <is>
          <t>CN0Q</t>
        </is>
      </c>
      <c r="E284" s="80" t="inlineStr">
        <is>
          <t>EE 苏州比斯特</t>
        </is>
      </c>
      <c r="F284" s="84" t="n">
        <v>4</v>
      </c>
      <c r="G284" s="84" t="inlineStr">
        <is>
          <t>奥特莱斯</t>
        </is>
      </c>
      <c r="H284" s="84" t="inlineStr">
        <is>
          <t>EEHWG25B2G</t>
        </is>
      </c>
      <c r="I284" s="84" t="n">
        <v>699</v>
      </c>
      <c r="J284" s="84" t="n">
        <v>699</v>
      </c>
      <c r="K284" s="85" t="n">
        <v>2</v>
      </c>
      <c r="L284" s="85" t="n">
        <v>945</v>
      </c>
    </row>
    <row r="285" ht="12.75" customHeight="1" s="103">
      <c r="A285" s="78">
        <f>MID(H285,3,2)</f>
        <v/>
      </c>
      <c r="B285" s="84" t="inlineStr">
        <is>
          <t>B331</t>
        </is>
      </c>
      <c r="C285" s="84" t="inlineStr">
        <is>
          <t>上海区域</t>
        </is>
      </c>
      <c r="D285" s="84" t="inlineStr">
        <is>
          <t>CN0Q</t>
        </is>
      </c>
      <c r="E285" s="80" t="inlineStr">
        <is>
          <t>EE 苏州比斯特</t>
        </is>
      </c>
      <c r="F285" s="84" t="n">
        <v>4</v>
      </c>
      <c r="G285" s="84" t="inlineStr">
        <is>
          <t>奥特莱斯</t>
        </is>
      </c>
      <c r="H285" s="84" t="inlineStr">
        <is>
          <t>EEHWG25B2G</t>
        </is>
      </c>
      <c r="I285" s="84" t="n">
        <v>699</v>
      </c>
      <c r="J285" s="84" t="n">
        <v>699</v>
      </c>
      <c r="K285" s="85" t="n"/>
      <c r="L285" s="85" t="n"/>
    </row>
    <row r="286" ht="12.75" customHeight="1" s="103">
      <c r="A286" s="78">
        <f>MID(H286,3,2)</f>
        <v/>
      </c>
      <c r="B286" s="84" t="inlineStr">
        <is>
          <t>B331</t>
        </is>
      </c>
      <c r="C286" s="84" t="inlineStr">
        <is>
          <t>上海区域</t>
        </is>
      </c>
      <c r="D286" s="84" t="inlineStr">
        <is>
          <t>CN0Q</t>
        </is>
      </c>
      <c r="E286" s="80" t="inlineStr">
        <is>
          <t>EE 苏州比斯特</t>
        </is>
      </c>
      <c r="F286" s="84" t="n">
        <v>4</v>
      </c>
      <c r="G286" s="84" t="inlineStr">
        <is>
          <t>奥特莱斯</t>
        </is>
      </c>
      <c r="H286" s="84" t="inlineStr">
        <is>
          <t>EEHWG25B2G</t>
        </is>
      </c>
      <c r="I286" s="84" t="n">
        <v>699</v>
      </c>
      <c r="J286" s="84" t="n">
        <v>699</v>
      </c>
      <c r="K286" s="85" t="n"/>
      <c r="L286" s="85" t="n"/>
    </row>
    <row r="287" ht="12.75" customHeight="1" s="103">
      <c r="A287" s="78">
        <f>MID(H287,3,2)</f>
        <v/>
      </c>
      <c r="B287" s="84" t="inlineStr">
        <is>
          <t>B331</t>
        </is>
      </c>
      <c r="C287" s="84" t="inlineStr">
        <is>
          <t>上海区域</t>
        </is>
      </c>
      <c r="D287" s="84" t="inlineStr">
        <is>
          <t>CN0Q</t>
        </is>
      </c>
      <c r="E287" s="80" t="inlineStr">
        <is>
          <t>EE 苏州比斯特</t>
        </is>
      </c>
      <c r="F287" s="84" t="n">
        <v>4</v>
      </c>
      <c r="G287" s="84" t="inlineStr">
        <is>
          <t>奥特莱斯</t>
        </is>
      </c>
      <c r="H287" s="84" t="inlineStr">
        <is>
          <t>EEHWG25B2G</t>
        </is>
      </c>
      <c r="I287" s="84" t="n">
        <v>699</v>
      </c>
      <c r="J287" s="84" t="n">
        <v>699</v>
      </c>
      <c r="K287" s="85" t="n"/>
      <c r="L287" s="85" t="n"/>
    </row>
    <row r="288" ht="12.75" customHeight="1" s="103">
      <c r="A288" s="78">
        <f>MID(H288,3,2)</f>
        <v/>
      </c>
      <c r="B288" s="84" t="inlineStr">
        <is>
          <t>B331</t>
        </is>
      </c>
      <c r="C288" s="84" t="inlineStr">
        <is>
          <t>上海区域</t>
        </is>
      </c>
      <c r="D288" s="84" t="inlineStr">
        <is>
          <t>CN0Q</t>
        </is>
      </c>
      <c r="E288" s="80" t="inlineStr">
        <is>
          <t>EE 苏州比斯特</t>
        </is>
      </c>
      <c r="F288" s="84" t="n">
        <v>4</v>
      </c>
      <c r="G288" s="84" t="inlineStr">
        <is>
          <t>奥特莱斯</t>
        </is>
      </c>
      <c r="H288" s="84" t="inlineStr">
        <is>
          <t>EEHWG25B2G</t>
        </is>
      </c>
      <c r="I288" s="84" t="n">
        <v>699</v>
      </c>
      <c r="J288" s="84" t="n">
        <v>699</v>
      </c>
      <c r="K288" s="85" t="n"/>
      <c r="L288" s="85" t="n"/>
    </row>
    <row r="289" ht="12.75" customHeight="1" s="103">
      <c r="A289" s="78">
        <f>MID(H289,3,2)</f>
        <v/>
      </c>
      <c r="B289" s="84" t="inlineStr">
        <is>
          <t>B331</t>
        </is>
      </c>
      <c r="C289" s="84" t="inlineStr">
        <is>
          <t>上海区域</t>
        </is>
      </c>
      <c r="D289" s="84" t="inlineStr">
        <is>
          <t>CN0Q</t>
        </is>
      </c>
      <c r="E289" s="80" t="inlineStr">
        <is>
          <t>EE 苏州比斯特</t>
        </is>
      </c>
      <c r="F289" s="84" t="n">
        <v>4</v>
      </c>
      <c r="G289" s="84" t="inlineStr">
        <is>
          <t>奥特莱斯</t>
        </is>
      </c>
      <c r="H289" s="84" t="inlineStr">
        <is>
          <t>EEHWG25B2G</t>
        </is>
      </c>
      <c r="I289" s="84" t="n">
        <v>699</v>
      </c>
      <c r="J289" s="84" t="n">
        <v>699</v>
      </c>
      <c r="K289" s="85" t="n"/>
      <c r="L289" s="85" t="n"/>
    </row>
    <row r="290" ht="12.75" customHeight="1" s="103">
      <c r="A290" s="78">
        <f>MID(H290,3,2)</f>
        <v/>
      </c>
      <c r="B290" s="84" t="inlineStr">
        <is>
          <t>B331</t>
        </is>
      </c>
      <c r="C290" s="84" t="inlineStr">
        <is>
          <t>上海区域</t>
        </is>
      </c>
      <c r="D290" s="84" t="inlineStr">
        <is>
          <t>CN0Q</t>
        </is>
      </c>
      <c r="E290" s="80" t="inlineStr">
        <is>
          <t>EE 苏州比斯特</t>
        </is>
      </c>
      <c r="F290" s="84" t="n">
        <v>4</v>
      </c>
      <c r="G290" s="84" t="inlineStr">
        <is>
          <t>奥特莱斯</t>
        </is>
      </c>
      <c r="H290" s="84" t="inlineStr">
        <is>
          <t>EEHWG25D1G</t>
        </is>
      </c>
      <c r="I290" s="84" t="n">
        <v>799</v>
      </c>
      <c r="J290" s="84" t="n">
        <v>799</v>
      </c>
      <c r="K290" s="85" t="n">
        <v>2</v>
      </c>
      <c r="L290" s="86" t="n">
        <v>1026</v>
      </c>
    </row>
    <row r="291" ht="12.75" customHeight="1" s="103">
      <c r="A291" s="78">
        <f>MID(H291,3,2)</f>
        <v/>
      </c>
      <c r="B291" s="84" t="inlineStr">
        <is>
          <t>B331</t>
        </is>
      </c>
      <c r="C291" s="84" t="inlineStr">
        <is>
          <t>上海区域</t>
        </is>
      </c>
      <c r="D291" s="84" t="inlineStr">
        <is>
          <t>CN0Q</t>
        </is>
      </c>
      <c r="E291" s="80" t="inlineStr">
        <is>
          <t>EE 苏州比斯特</t>
        </is>
      </c>
      <c r="F291" s="84" t="n">
        <v>4</v>
      </c>
      <c r="G291" s="84" t="inlineStr">
        <is>
          <t>奥特莱斯</t>
        </is>
      </c>
      <c r="H291" s="84" t="inlineStr">
        <is>
          <t>EEHWG25D1G</t>
        </is>
      </c>
      <c r="I291" s="84" t="n">
        <v>799</v>
      </c>
      <c r="J291" s="84" t="n">
        <v>799</v>
      </c>
      <c r="K291" s="85" t="n"/>
      <c r="L291" s="85" t="n"/>
    </row>
    <row r="292" ht="12.75" customHeight="1" s="103">
      <c r="A292" s="78">
        <f>MID(H292,3,2)</f>
        <v/>
      </c>
      <c r="B292" s="84" t="inlineStr">
        <is>
          <t>B331</t>
        </is>
      </c>
      <c r="C292" s="84" t="inlineStr">
        <is>
          <t>上海区域</t>
        </is>
      </c>
      <c r="D292" s="84" t="inlineStr">
        <is>
          <t>CN0Q</t>
        </is>
      </c>
      <c r="E292" s="80" t="inlineStr">
        <is>
          <t>EE 苏州比斯特</t>
        </is>
      </c>
      <c r="F292" s="84" t="n">
        <v>4</v>
      </c>
      <c r="G292" s="84" t="inlineStr">
        <is>
          <t>奥特莱斯</t>
        </is>
      </c>
      <c r="H292" s="84" t="inlineStr">
        <is>
          <t>EEHWG25D2G</t>
        </is>
      </c>
      <c r="I292" s="84" t="n">
        <v>699</v>
      </c>
      <c r="J292" s="84" t="n">
        <v>699</v>
      </c>
      <c r="K292" s="85" t="n">
        <v>1</v>
      </c>
      <c r="L292" s="85" t="n">
        <v>443</v>
      </c>
    </row>
    <row r="293" ht="12.75" customHeight="1" s="103">
      <c r="A293" s="78">
        <f>MID(H293,3,2)</f>
        <v/>
      </c>
      <c r="B293" s="84" t="inlineStr">
        <is>
          <t>B331</t>
        </is>
      </c>
      <c r="C293" s="84" t="inlineStr">
        <is>
          <t>上海区域</t>
        </is>
      </c>
      <c r="D293" s="84" t="inlineStr">
        <is>
          <t>CN0Q</t>
        </is>
      </c>
      <c r="E293" s="80" t="inlineStr">
        <is>
          <t>EE 苏州比斯特</t>
        </is>
      </c>
      <c r="F293" s="84" t="n">
        <v>4</v>
      </c>
      <c r="G293" s="84" t="inlineStr">
        <is>
          <t>奥特莱斯</t>
        </is>
      </c>
      <c r="H293" s="84" t="inlineStr">
        <is>
          <t>EEHWG25D2G</t>
        </is>
      </c>
      <c r="I293" s="84" t="n">
        <v>699</v>
      </c>
      <c r="J293" s="84" t="n">
        <v>699</v>
      </c>
      <c r="K293" s="85" t="n">
        <v>1</v>
      </c>
      <c r="L293" s="85" t="n"/>
    </row>
    <row r="294" ht="12.75" customHeight="1" s="103">
      <c r="A294" s="78">
        <f>MID(H294,3,2)</f>
        <v/>
      </c>
      <c r="B294" s="84" t="inlineStr">
        <is>
          <t>B331</t>
        </is>
      </c>
      <c r="C294" s="84" t="inlineStr">
        <is>
          <t>上海区域</t>
        </is>
      </c>
      <c r="D294" s="84" t="inlineStr">
        <is>
          <t>CN0Q</t>
        </is>
      </c>
      <c r="E294" s="80" t="inlineStr">
        <is>
          <t>EE 苏州比斯特</t>
        </is>
      </c>
      <c r="F294" s="84" t="n">
        <v>4</v>
      </c>
      <c r="G294" s="84" t="inlineStr">
        <is>
          <t>奥特莱斯</t>
        </is>
      </c>
      <c r="H294" s="84" t="inlineStr">
        <is>
          <t>EEHWG25D2G</t>
        </is>
      </c>
      <c r="I294" s="84" t="n">
        <v>699</v>
      </c>
      <c r="J294" s="84" t="n">
        <v>699</v>
      </c>
      <c r="K294" s="85" t="n"/>
      <c r="L294" s="85" t="n"/>
    </row>
    <row r="295" ht="12.75" customHeight="1" s="103">
      <c r="A295" s="78">
        <f>MID(H295,3,2)</f>
        <v/>
      </c>
      <c r="B295" s="84" t="inlineStr">
        <is>
          <t>B331</t>
        </is>
      </c>
      <c r="C295" s="84" t="inlineStr">
        <is>
          <t>上海区域</t>
        </is>
      </c>
      <c r="D295" s="84" t="inlineStr">
        <is>
          <t>CN0Q</t>
        </is>
      </c>
      <c r="E295" s="80" t="inlineStr">
        <is>
          <t>EE 苏州比斯特</t>
        </is>
      </c>
      <c r="F295" s="84" t="n">
        <v>4</v>
      </c>
      <c r="G295" s="84" t="inlineStr">
        <is>
          <t>奥特莱斯</t>
        </is>
      </c>
      <c r="H295" s="84" t="inlineStr">
        <is>
          <t>EEHWG25D2G</t>
        </is>
      </c>
      <c r="I295" s="84" t="n">
        <v>699</v>
      </c>
      <c r="J295" s="84" t="n">
        <v>699</v>
      </c>
      <c r="K295" s="85" t="n"/>
      <c r="L295" s="85" t="n"/>
    </row>
    <row r="296" ht="12.75" customHeight="1" s="103">
      <c r="A296" s="78">
        <f>MID(H296,3,2)</f>
        <v/>
      </c>
      <c r="B296" s="84" t="inlineStr">
        <is>
          <t>B331</t>
        </is>
      </c>
      <c r="C296" s="84" t="inlineStr">
        <is>
          <t>上海区域</t>
        </is>
      </c>
      <c r="D296" s="84" t="inlineStr">
        <is>
          <t>CN0Q</t>
        </is>
      </c>
      <c r="E296" s="80" t="inlineStr">
        <is>
          <t>EE 苏州比斯特</t>
        </is>
      </c>
      <c r="F296" s="84" t="n">
        <v>4</v>
      </c>
      <c r="G296" s="84" t="inlineStr">
        <is>
          <t>奥特莱斯</t>
        </is>
      </c>
      <c r="H296" s="84" t="inlineStr">
        <is>
          <t>EEJAG12B1G</t>
        </is>
      </c>
      <c r="I296" s="84" t="n">
        <v>1599</v>
      </c>
      <c r="J296" s="84" t="n">
        <v>1599</v>
      </c>
      <c r="K296" s="85" t="n"/>
      <c r="L296" s="85" t="n"/>
    </row>
    <row r="297" ht="12.75" customHeight="1" s="103">
      <c r="A297" s="78">
        <f>MID(H297,3,2)</f>
        <v/>
      </c>
      <c r="B297" s="84" t="inlineStr">
        <is>
          <t>B331</t>
        </is>
      </c>
      <c r="C297" s="84" t="inlineStr">
        <is>
          <t>上海区域</t>
        </is>
      </c>
      <c r="D297" s="84" t="inlineStr">
        <is>
          <t>CN0Q</t>
        </is>
      </c>
      <c r="E297" s="80" t="inlineStr">
        <is>
          <t>EE 苏州比斯特</t>
        </is>
      </c>
      <c r="F297" s="84" t="n">
        <v>4</v>
      </c>
      <c r="G297" s="84" t="inlineStr">
        <is>
          <t>奥特莱斯</t>
        </is>
      </c>
      <c r="H297" s="84" t="inlineStr">
        <is>
          <t>EEJAG12B1G</t>
        </is>
      </c>
      <c r="I297" s="84" t="n">
        <v>1599</v>
      </c>
      <c r="J297" s="84" t="n">
        <v>1599</v>
      </c>
      <c r="K297" s="85" t="n"/>
      <c r="L297" s="85" t="n"/>
    </row>
    <row r="298" ht="12.75" customHeight="1" s="103">
      <c r="A298" s="78">
        <f>MID(H298,3,2)</f>
        <v/>
      </c>
      <c r="B298" s="84" t="inlineStr">
        <is>
          <t>B331</t>
        </is>
      </c>
      <c r="C298" s="84" t="inlineStr">
        <is>
          <t>上海区域</t>
        </is>
      </c>
      <c r="D298" s="84" t="inlineStr">
        <is>
          <t>CN0Q</t>
        </is>
      </c>
      <c r="E298" s="80" t="inlineStr">
        <is>
          <t>EE 苏州比斯特</t>
        </is>
      </c>
      <c r="F298" s="84" t="n">
        <v>4</v>
      </c>
      <c r="G298" s="84" t="inlineStr">
        <is>
          <t>奥特莱斯</t>
        </is>
      </c>
      <c r="H298" s="84" t="inlineStr">
        <is>
          <t>EEJAG12B1G</t>
        </is>
      </c>
      <c r="I298" s="84" t="n">
        <v>1599</v>
      </c>
      <c r="J298" s="84" t="n">
        <v>1599</v>
      </c>
      <c r="K298" s="85" t="n"/>
      <c r="L298" s="85" t="n"/>
    </row>
    <row r="299" ht="12.75" customHeight="1" s="103">
      <c r="A299" s="78">
        <f>MID(H299,3,2)</f>
        <v/>
      </c>
      <c r="B299" s="84" t="inlineStr">
        <is>
          <t>B331</t>
        </is>
      </c>
      <c r="C299" s="84" t="inlineStr">
        <is>
          <t>上海区域</t>
        </is>
      </c>
      <c r="D299" s="84" t="inlineStr">
        <is>
          <t>CN0Q</t>
        </is>
      </c>
      <c r="E299" s="80" t="inlineStr">
        <is>
          <t>EE 苏州比斯特</t>
        </is>
      </c>
      <c r="F299" s="84" t="n">
        <v>4</v>
      </c>
      <c r="G299" s="84" t="inlineStr">
        <is>
          <t>奥特莱斯</t>
        </is>
      </c>
      <c r="H299" s="84" t="inlineStr">
        <is>
          <t>EEJAG12B1G</t>
        </is>
      </c>
      <c r="I299" s="84" t="n">
        <v>1599</v>
      </c>
      <c r="J299" s="84" t="n">
        <v>1599</v>
      </c>
      <c r="K299" s="85" t="n"/>
      <c r="L299" s="85" t="n"/>
    </row>
    <row r="300" ht="12.75" customHeight="1" s="103">
      <c r="A300" s="78">
        <f>MID(H300,3,2)</f>
        <v/>
      </c>
      <c r="B300" s="84" t="inlineStr">
        <is>
          <t>B331</t>
        </is>
      </c>
      <c r="C300" s="84" t="inlineStr">
        <is>
          <t>上海区域</t>
        </is>
      </c>
      <c r="D300" s="84" t="inlineStr">
        <is>
          <t>CN0Q</t>
        </is>
      </c>
      <c r="E300" s="80" t="inlineStr">
        <is>
          <t>EE 苏州比斯特</t>
        </is>
      </c>
      <c r="F300" s="84" t="n">
        <v>4</v>
      </c>
      <c r="G300" s="84" t="inlineStr">
        <is>
          <t>奥特莱斯</t>
        </is>
      </c>
      <c r="H300" s="84" t="inlineStr">
        <is>
          <t>EEJAG12B1G</t>
        </is>
      </c>
      <c r="I300" s="84" t="n">
        <v>1599</v>
      </c>
      <c r="J300" s="84" t="n">
        <v>1599</v>
      </c>
      <c r="K300" s="85" t="n"/>
      <c r="L300" s="85" t="n"/>
    </row>
    <row r="301" ht="12.75" customHeight="1" s="103">
      <c r="A301" s="78">
        <f>MID(H301,3,2)</f>
        <v/>
      </c>
      <c r="B301" s="84" t="inlineStr">
        <is>
          <t>B331</t>
        </is>
      </c>
      <c r="C301" s="84" t="inlineStr">
        <is>
          <t>上海区域</t>
        </is>
      </c>
      <c r="D301" s="84" t="inlineStr">
        <is>
          <t>CN0Q</t>
        </is>
      </c>
      <c r="E301" s="80" t="inlineStr">
        <is>
          <t>EE 苏州比斯特</t>
        </is>
      </c>
      <c r="F301" s="84" t="n">
        <v>4</v>
      </c>
      <c r="G301" s="84" t="inlineStr">
        <is>
          <t>奥特莱斯</t>
        </is>
      </c>
      <c r="H301" s="84" t="inlineStr">
        <is>
          <t>EEJAG12B1G</t>
        </is>
      </c>
      <c r="I301" s="84" t="n">
        <v>1599</v>
      </c>
      <c r="J301" s="84" t="n">
        <v>1599</v>
      </c>
      <c r="K301" s="85" t="n"/>
      <c r="L301" s="85" t="n"/>
    </row>
    <row r="302" ht="12.75" customHeight="1" s="103">
      <c r="A302" s="78">
        <f>MID(H302,3,2)</f>
        <v/>
      </c>
      <c r="B302" s="84" t="inlineStr">
        <is>
          <t>B331</t>
        </is>
      </c>
      <c r="C302" s="84" t="inlineStr">
        <is>
          <t>上海区域</t>
        </is>
      </c>
      <c r="D302" s="84" t="inlineStr">
        <is>
          <t>CN0Q</t>
        </is>
      </c>
      <c r="E302" s="80" t="inlineStr">
        <is>
          <t>EE 苏州比斯特</t>
        </is>
      </c>
      <c r="F302" s="84" t="n">
        <v>4</v>
      </c>
      <c r="G302" s="84" t="inlineStr">
        <is>
          <t>奥特莱斯</t>
        </is>
      </c>
      <c r="H302" s="84" t="inlineStr">
        <is>
          <t>EEJAG12B1G</t>
        </is>
      </c>
      <c r="I302" s="84" t="n">
        <v>1599</v>
      </c>
      <c r="J302" s="84" t="n">
        <v>1599</v>
      </c>
      <c r="K302" s="85" t="n"/>
      <c r="L302" s="85" t="n"/>
    </row>
    <row r="303" ht="12.75" customHeight="1" s="103">
      <c r="A303" s="78">
        <f>MID(H303,3,2)</f>
        <v/>
      </c>
      <c r="B303" s="84" t="inlineStr">
        <is>
          <t>B331</t>
        </is>
      </c>
      <c r="C303" s="84" t="inlineStr">
        <is>
          <t>上海区域</t>
        </is>
      </c>
      <c r="D303" s="84" t="inlineStr">
        <is>
          <t>CN0Q</t>
        </is>
      </c>
      <c r="E303" s="80" t="inlineStr">
        <is>
          <t>EE 苏州比斯特</t>
        </is>
      </c>
      <c r="F303" s="84" t="n">
        <v>4</v>
      </c>
      <c r="G303" s="84" t="inlineStr">
        <is>
          <t>奥特莱斯</t>
        </is>
      </c>
      <c r="H303" s="84" t="inlineStr">
        <is>
          <t>EEJAG12B1G</t>
        </is>
      </c>
      <c r="I303" s="84" t="n">
        <v>1599</v>
      </c>
      <c r="J303" s="84" t="n">
        <v>1599</v>
      </c>
      <c r="K303" s="85" t="n"/>
      <c r="L303" s="85" t="n"/>
    </row>
    <row r="304" ht="12.75" customHeight="1" s="103">
      <c r="A304" s="78">
        <f>MID(H304,3,2)</f>
        <v/>
      </c>
      <c r="B304" s="84" t="inlineStr">
        <is>
          <t>B331</t>
        </is>
      </c>
      <c r="C304" s="84" t="inlineStr">
        <is>
          <t>上海区域</t>
        </is>
      </c>
      <c r="D304" s="84" t="inlineStr">
        <is>
          <t>CN0Q</t>
        </is>
      </c>
      <c r="E304" s="80" t="inlineStr">
        <is>
          <t>EE 苏州比斯特</t>
        </is>
      </c>
      <c r="F304" s="84" t="n">
        <v>4</v>
      </c>
      <c r="G304" s="84" t="inlineStr">
        <is>
          <t>奥特莱斯</t>
        </is>
      </c>
      <c r="H304" s="84" t="inlineStr">
        <is>
          <t>EEJAG12E1G</t>
        </is>
      </c>
      <c r="I304" s="84" t="n">
        <v>1299</v>
      </c>
      <c r="J304" s="84" t="n">
        <v>1299</v>
      </c>
      <c r="K304" s="85" t="n"/>
      <c r="L304" s="85" t="n"/>
    </row>
    <row r="305" ht="12.75" customHeight="1" s="103">
      <c r="A305" s="78">
        <f>MID(H305,3,2)</f>
        <v/>
      </c>
      <c r="B305" s="84" t="inlineStr">
        <is>
          <t>B331</t>
        </is>
      </c>
      <c r="C305" s="84" t="inlineStr">
        <is>
          <t>上海区域</t>
        </is>
      </c>
      <c r="D305" s="84" t="inlineStr">
        <is>
          <t>CN0Q</t>
        </is>
      </c>
      <c r="E305" s="80" t="inlineStr">
        <is>
          <t>EE 苏州比斯特</t>
        </is>
      </c>
      <c r="F305" s="84" t="n">
        <v>4</v>
      </c>
      <c r="G305" s="84" t="inlineStr">
        <is>
          <t>奥特莱斯</t>
        </is>
      </c>
      <c r="H305" s="84" t="inlineStr">
        <is>
          <t>EEJAG12E1G</t>
        </is>
      </c>
      <c r="I305" s="84" t="n">
        <v>1299</v>
      </c>
      <c r="J305" s="84" t="n">
        <v>1299</v>
      </c>
      <c r="K305" s="85" t="n"/>
      <c r="L305" s="85" t="n"/>
    </row>
    <row r="306" ht="12.75" customHeight="1" s="103">
      <c r="A306" s="78">
        <f>MID(H306,3,2)</f>
        <v/>
      </c>
      <c r="B306" s="84" t="inlineStr">
        <is>
          <t>B331</t>
        </is>
      </c>
      <c r="C306" s="84" t="inlineStr">
        <is>
          <t>上海区域</t>
        </is>
      </c>
      <c r="D306" s="84" t="inlineStr">
        <is>
          <t>CN0Q</t>
        </is>
      </c>
      <c r="E306" s="80" t="inlineStr">
        <is>
          <t>EE 苏州比斯特</t>
        </is>
      </c>
      <c r="F306" s="84" t="n">
        <v>4</v>
      </c>
      <c r="G306" s="84" t="inlineStr">
        <is>
          <t>奥特莱斯</t>
        </is>
      </c>
      <c r="H306" s="84" t="inlineStr">
        <is>
          <t>EEJAG12E1G</t>
        </is>
      </c>
      <c r="I306" s="84" t="n">
        <v>1299</v>
      </c>
      <c r="J306" s="84" t="n">
        <v>1299</v>
      </c>
      <c r="K306" s="85" t="n"/>
      <c r="L306" s="85" t="n"/>
    </row>
    <row r="307" ht="12.75" customHeight="1" s="103">
      <c r="A307" s="78">
        <f>MID(H307,3,2)</f>
        <v/>
      </c>
      <c r="B307" s="84" t="inlineStr">
        <is>
          <t>B331</t>
        </is>
      </c>
      <c r="C307" s="84" t="inlineStr">
        <is>
          <t>上海区域</t>
        </is>
      </c>
      <c r="D307" s="84" t="inlineStr">
        <is>
          <t>CN0Q</t>
        </is>
      </c>
      <c r="E307" s="80" t="inlineStr">
        <is>
          <t>EE 苏州比斯特</t>
        </is>
      </c>
      <c r="F307" s="84" t="n">
        <v>4</v>
      </c>
      <c r="G307" s="84" t="inlineStr">
        <is>
          <t>奥特莱斯</t>
        </is>
      </c>
      <c r="H307" s="84" t="inlineStr">
        <is>
          <t>EEJAG12E1G</t>
        </is>
      </c>
      <c r="I307" s="84" t="n">
        <v>1299</v>
      </c>
      <c r="J307" s="84" t="n">
        <v>1299</v>
      </c>
      <c r="K307" s="85" t="n"/>
      <c r="L307" s="85" t="n"/>
    </row>
    <row r="308" ht="12.75" customHeight="1" s="103">
      <c r="A308" s="78">
        <f>MID(H308,3,2)</f>
        <v/>
      </c>
      <c r="B308" s="84" t="inlineStr">
        <is>
          <t>B331</t>
        </is>
      </c>
      <c r="C308" s="84" t="inlineStr">
        <is>
          <t>上海区域</t>
        </is>
      </c>
      <c r="D308" s="84" t="inlineStr">
        <is>
          <t>CN0Q</t>
        </is>
      </c>
      <c r="E308" s="80" t="inlineStr">
        <is>
          <t>EE 苏州比斯特</t>
        </is>
      </c>
      <c r="F308" s="84" t="n">
        <v>4</v>
      </c>
      <c r="G308" s="84" t="inlineStr">
        <is>
          <t>奥特莱斯</t>
        </is>
      </c>
      <c r="H308" s="84" t="inlineStr">
        <is>
          <t>EEJAG12E1G</t>
        </is>
      </c>
      <c r="I308" s="84" t="n">
        <v>1299</v>
      </c>
      <c r="J308" s="84" t="n">
        <v>1299</v>
      </c>
      <c r="K308" s="85" t="n"/>
      <c r="L308" s="85" t="n"/>
    </row>
    <row r="309" ht="12.75" customHeight="1" s="103">
      <c r="A309" s="78">
        <f>MID(H309,3,2)</f>
        <v/>
      </c>
      <c r="B309" s="84" t="inlineStr">
        <is>
          <t>B331</t>
        </is>
      </c>
      <c r="C309" s="84" t="inlineStr">
        <is>
          <t>上海区域</t>
        </is>
      </c>
      <c r="D309" s="84" t="inlineStr">
        <is>
          <t>CN0Q</t>
        </is>
      </c>
      <c r="E309" s="80" t="inlineStr">
        <is>
          <t>EE 苏州比斯特</t>
        </is>
      </c>
      <c r="F309" s="84" t="n">
        <v>4</v>
      </c>
      <c r="G309" s="84" t="inlineStr">
        <is>
          <t>奥特莱斯</t>
        </is>
      </c>
      <c r="H309" s="84" t="inlineStr">
        <is>
          <t>EEJAG12E1G</t>
        </is>
      </c>
      <c r="I309" s="84" t="n">
        <v>1299</v>
      </c>
      <c r="J309" s="84" t="n">
        <v>1299</v>
      </c>
      <c r="K309" s="85" t="n"/>
      <c r="L309" s="85" t="n"/>
    </row>
    <row r="310" ht="12.75" customHeight="1" s="103">
      <c r="A310" s="78">
        <f>MID(H310,3,2)</f>
        <v/>
      </c>
      <c r="B310" s="84" t="inlineStr">
        <is>
          <t>B331</t>
        </is>
      </c>
      <c r="C310" s="84" t="inlineStr">
        <is>
          <t>上海区域</t>
        </is>
      </c>
      <c r="D310" s="84" t="inlineStr">
        <is>
          <t>CN0Q</t>
        </is>
      </c>
      <c r="E310" s="80" t="inlineStr">
        <is>
          <t>EE 苏州比斯特</t>
        </is>
      </c>
      <c r="F310" s="84" t="n">
        <v>4</v>
      </c>
      <c r="G310" s="84" t="inlineStr">
        <is>
          <t>奥特莱斯</t>
        </is>
      </c>
      <c r="H310" s="84" t="inlineStr">
        <is>
          <t>EEJAG12E1G</t>
        </is>
      </c>
      <c r="I310" s="84" t="n">
        <v>1299</v>
      </c>
      <c r="J310" s="84" t="n">
        <v>1299</v>
      </c>
      <c r="K310" s="85" t="n"/>
      <c r="L310" s="85" t="n"/>
    </row>
    <row r="311" ht="12.75" customHeight="1" s="103">
      <c r="A311" s="78">
        <f>MID(H311,3,2)</f>
        <v/>
      </c>
      <c r="B311" s="84" t="inlineStr">
        <is>
          <t>B331</t>
        </is>
      </c>
      <c r="C311" s="84" t="inlineStr">
        <is>
          <t>上海区域</t>
        </is>
      </c>
      <c r="D311" s="84" t="inlineStr">
        <is>
          <t>CN0Q</t>
        </is>
      </c>
      <c r="E311" s="80" t="inlineStr">
        <is>
          <t>EE 苏州比斯特</t>
        </is>
      </c>
      <c r="F311" s="84" t="n">
        <v>4</v>
      </c>
      <c r="G311" s="84" t="inlineStr">
        <is>
          <t>奥特莱斯</t>
        </is>
      </c>
      <c r="H311" s="84" t="inlineStr">
        <is>
          <t>EEJAG12E1G</t>
        </is>
      </c>
      <c r="I311" s="84" t="n">
        <v>1299</v>
      </c>
      <c r="J311" s="84" t="n">
        <v>1299</v>
      </c>
      <c r="K311" s="85" t="n"/>
      <c r="L311" s="85" t="n"/>
    </row>
    <row r="312" ht="12.75" customHeight="1" s="103">
      <c r="A312" s="78">
        <f>MID(H312,3,2)</f>
        <v/>
      </c>
      <c r="B312" s="84" t="inlineStr">
        <is>
          <t>B331</t>
        </is>
      </c>
      <c r="C312" s="84" t="inlineStr">
        <is>
          <t>上海区域</t>
        </is>
      </c>
      <c r="D312" s="84" t="inlineStr">
        <is>
          <t>CN0Q</t>
        </is>
      </c>
      <c r="E312" s="80" t="inlineStr">
        <is>
          <t>EE 苏州比斯特</t>
        </is>
      </c>
      <c r="F312" s="84" t="n">
        <v>4</v>
      </c>
      <c r="G312" s="84" t="inlineStr">
        <is>
          <t>奥特莱斯</t>
        </is>
      </c>
      <c r="H312" s="84" t="inlineStr">
        <is>
          <t>EEJAG12E2G</t>
        </is>
      </c>
      <c r="I312" s="84" t="n">
        <v>1599</v>
      </c>
      <c r="J312" s="84" t="n">
        <v>1599</v>
      </c>
      <c r="K312" s="85" t="n"/>
      <c r="L312" s="85" t="n"/>
    </row>
    <row r="313" ht="12.75" customHeight="1" s="103">
      <c r="A313" s="78">
        <f>MID(H313,3,2)</f>
        <v/>
      </c>
      <c r="B313" s="84" t="inlineStr">
        <is>
          <t>B331</t>
        </is>
      </c>
      <c r="C313" s="84" t="inlineStr">
        <is>
          <t>上海区域</t>
        </is>
      </c>
      <c r="D313" s="84" t="inlineStr">
        <is>
          <t>CN0Q</t>
        </is>
      </c>
      <c r="E313" s="80" t="inlineStr">
        <is>
          <t>EE 苏州比斯特</t>
        </is>
      </c>
      <c r="F313" s="84" t="n">
        <v>4</v>
      </c>
      <c r="G313" s="84" t="inlineStr">
        <is>
          <t>奥特莱斯</t>
        </is>
      </c>
      <c r="H313" s="84" t="inlineStr">
        <is>
          <t>EEJAG12E2G</t>
        </is>
      </c>
      <c r="I313" s="84" t="n">
        <v>1599</v>
      </c>
      <c r="J313" s="84" t="n">
        <v>1599</v>
      </c>
      <c r="K313" s="85" t="n"/>
      <c r="L313" s="85" t="n"/>
    </row>
    <row r="314" ht="12.75" customHeight="1" s="103">
      <c r="A314" s="78">
        <f>MID(H314,3,2)</f>
        <v/>
      </c>
      <c r="B314" s="84" t="inlineStr">
        <is>
          <t>B331</t>
        </is>
      </c>
      <c r="C314" s="84" t="inlineStr">
        <is>
          <t>上海区域</t>
        </is>
      </c>
      <c r="D314" s="84" t="inlineStr">
        <is>
          <t>CN0Q</t>
        </is>
      </c>
      <c r="E314" s="80" t="inlineStr">
        <is>
          <t>EE 苏州比斯特</t>
        </is>
      </c>
      <c r="F314" s="84" t="n">
        <v>4</v>
      </c>
      <c r="G314" s="84" t="inlineStr">
        <is>
          <t>奥特莱斯</t>
        </is>
      </c>
      <c r="H314" s="84" t="inlineStr">
        <is>
          <t>EEJAG12E2G</t>
        </is>
      </c>
      <c r="I314" s="84" t="n">
        <v>1599</v>
      </c>
      <c r="J314" s="84" t="n">
        <v>1599</v>
      </c>
      <c r="K314" s="85" t="n"/>
      <c r="L314" s="85" t="n"/>
    </row>
    <row r="315" ht="12.75" customHeight="1" s="103">
      <c r="A315" s="78">
        <f>MID(H315,3,2)</f>
        <v/>
      </c>
      <c r="B315" s="84" t="inlineStr">
        <is>
          <t>B331</t>
        </is>
      </c>
      <c r="C315" s="84" t="inlineStr">
        <is>
          <t>上海区域</t>
        </is>
      </c>
      <c r="D315" s="84" t="inlineStr">
        <is>
          <t>CN0Q</t>
        </is>
      </c>
      <c r="E315" s="80" t="inlineStr">
        <is>
          <t>EE 苏州比斯特</t>
        </is>
      </c>
      <c r="F315" s="84" t="n">
        <v>4</v>
      </c>
      <c r="G315" s="84" t="inlineStr">
        <is>
          <t>奥特莱斯</t>
        </is>
      </c>
      <c r="H315" s="84" t="inlineStr">
        <is>
          <t>EEJAG12E2G</t>
        </is>
      </c>
      <c r="I315" s="84" t="n">
        <v>1599</v>
      </c>
      <c r="J315" s="84" t="n">
        <v>1599</v>
      </c>
      <c r="K315" s="85" t="n"/>
      <c r="L315" s="85" t="n"/>
    </row>
    <row r="316" ht="12.75" customHeight="1" s="103">
      <c r="A316" s="78">
        <f>MID(H316,3,2)</f>
        <v/>
      </c>
      <c r="B316" s="84" t="inlineStr">
        <is>
          <t>B331</t>
        </is>
      </c>
      <c r="C316" s="84" t="inlineStr">
        <is>
          <t>上海区域</t>
        </is>
      </c>
      <c r="D316" s="84" t="inlineStr">
        <is>
          <t>CN0Q</t>
        </is>
      </c>
      <c r="E316" s="80" t="inlineStr">
        <is>
          <t>EE 苏州比斯特</t>
        </is>
      </c>
      <c r="F316" s="84" t="n">
        <v>4</v>
      </c>
      <c r="G316" s="84" t="inlineStr">
        <is>
          <t>奥特莱斯</t>
        </is>
      </c>
      <c r="H316" s="84" t="inlineStr">
        <is>
          <t>EEJAG12E2G</t>
        </is>
      </c>
      <c r="I316" s="84" t="n">
        <v>1599</v>
      </c>
      <c r="J316" s="84" t="n">
        <v>1599</v>
      </c>
      <c r="K316" s="85" t="n"/>
      <c r="L316" s="85" t="n"/>
    </row>
    <row r="317" ht="12.75" customHeight="1" s="103">
      <c r="A317" s="78">
        <f>MID(H317,3,2)</f>
        <v/>
      </c>
      <c r="B317" s="84" t="inlineStr">
        <is>
          <t>B331</t>
        </is>
      </c>
      <c r="C317" s="84" t="inlineStr">
        <is>
          <t>上海区域</t>
        </is>
      </c>
      <c r="D317" s="84" t="inlineStr">
        <is>
          <t>CN0Q</t>
        </is>
      </c>
      <c r="E317" s="80" t="inlineStr">
        <is>
          <t>EE 苏州比斯特</t>
        </is>
      </c>
      <c r="F317" s="84" t="n">
        <v>4</v>
      </c>
      <c r="G317" s="84" t="inlineStr">
        <is>
          <t>奥特莱斯</t>
        </is>
      </c>
      <c r="H317" s="84" t="inlineStr">
        <is>
          <t>EEJAG12E2G</t>
        </is>
      </c>
      <c r="I317" s="84" t="n">
        <v>1599</v>
      </c>
      <c r="J317" s="84" t="n">
        <v>1599</v>
      </c>
      <c r="K317" s="85" t="n"/>
      <c r="L317" s="85" t="n"/>
    </row>
    <row r="318" ht="12.75" customHeight="1" s="103">
      <c r="A318" s="78">
        <f>MID(H318,3,2)</f>
        <v/>
      </c>
      <c r="B318" s="84" t="inlineStr">
        <is>
          <t>B331</t>
        </is>
      </c>
      <c r="C318" s="84" t="inlineStr">
        <is>
          <t>上海区域</t>
        </is>
      </c>
      <c r="D318" s="84" t="inlineStr">
        <is>
          <t>CN0Q</t>
        </is>
      </c>
      <c r="E318" s="80" t="inlineStr">
        <is>
          <t>EE 苏州比斯特</t>
        </is>
      </c>
      <c r="F318" s="84" t="n">
        <v>4</v>
      </c>
      <c r="G318" s="84" t="inlineStr">
        <is>
          <t>奥特莱斯</t>
        </is>
      </c>
      <c r="H318" s="84" t="inlineStr">
        <is>
          <t>EEJAG12E2G</t>
        </is>
      </c>
      <c r="I318" s="84" t="n">
        <v>1599</v>
      </c>
      <c r="J318" s="84" t="n">
        <v>1599</v>
      </c>
      <c r="K318" s="85" t="n"/>
      <c r="L318" s="85" t="n"/>
    </row>
    <row r="319" ht="12.75" customHeight="1" s="103">
      <c r="A319" s="78">
        <f>MID(H319,3,2)</f>
        <v/>
      </c>
      <c r="B319" s="84" t="inlineStr">
        <is>
          <t>B331</t>
        </is>
      </c>
      <c r="C319" s="84" t="inlineStr">
        <is>
          <t>上海区域</t>
        </is>
      </c>
      <c r="D319" s="84" t="inlineStr">
        <is>
          <t>CN0Q</t>
        </is>
      </c>
      <c r="E319" s="80" t="inlineStr">
        <is>
          <t>EE 苏州比斯特</t>
        </is>
      </c>
      <c r="F319" s="84" t="n">
        <v>4</v>
      </c>
      <c r="G319" s="84" t="inlineStr">
        <is>
          <t>奥特莱斯</t>
        </is>
      </c>
      <c r="H319" s="84" t="inlineStr">
        <is>
          <t>EEJAG12E2G</t>
        </is>
      </c>
      <c r="I319" s="84" t="n">
        <v>1599</v>
      </c>
      <c r="J319" s="84" t="n">
        <v>1599</v>
      </c>
      <c r="K319" s="85" t="n"/>
      <c r="L319" s="85" t="n"/>
    </row>
    <row r="320" ht="12.75" customHeight="1" s="103">
      <c r="A320" s="78">
        <f>MID(H320,3,2)</f>
        <v/>
      </c>
      <c r="B320" s="84" t="inlineStr">
        <is>
          <t>B331</t>
        </is>
      </c>
      <c r="C320" s="84" t="inlineStr">
        <is>
          <t>上海区域</t>
        </is>
      </c>
      <c r="D320" s="84" t="inlineStr">
        <is>
          <t>CN0Q</t>
        </is>
      </c>
      <c r="E320" s="80" t="inlineStr">
        <is>
          <t>EE 苏州比斯特</t>
        </is>
      </c>
      <c r="F320" s="84" t="n">
        <v>4</v>
      </c>
      <c r="G320" s="84" t="inlineStr">
        <is>
          <t>奥特莱斯</t>
        </is>
      </c>
      <c r="H320" s="84" t="inlineStr">
        <is>
          <t>EEJAG23B03</t>
        </is>
      </c>
      <c r="I320" s="84" t="n">
        <v>1599</v>
      </c>
      <c r="J320" s="84" t="n">
        <v>1599</v>
      </c>
      <c r="K320" s="85" t="n"/>
      <c r="L320" s="85" t="n"/>
    </row>
    <row r="321" ht="12.75" customHeight="1" s="103">
      <c r="A321" s="78">
        <f>MID(H321,3,2)</f>
        <v/>
      </c>
      <c r="B321" s="84" t="inlineStr">
        <is>
          <t>B331</t>
        </is>
      </c>
      <c r="C321" s="84" t="inlineStr">
        <is>
          <t>上海区域</t>
        </is>
      </c>
      <c r="D321" s="84" t="inlineStr">
        <is>
          <t>CN0Q</t>
        </is>
      </c>
      <c r="E321" s="80" t="inlineStr">
        <is>
          <t>EE 苏州比斯特</t>
        </is>
      </c>
      <c r="F321" s="84" t="n">
        <v>4</v>
      </c>
      <c r="G321" s="84" t="inlineStr">
        <is>
          <t>奥特莱斯</t>
        </is>
      </c>
      <c r="H321" s="84" t="inlineStr">
        <is>
          <t>EEJAG23B03</t>
        </is>
      </c>
      <c r="I321" s="84" t="n">
        <v>1599</v>
      </c>
      <c r="J321" s="84" t="n">
        <v>1599</v>
      </c>
      <c r="K321" s="85" t="n"/>
      <c r="L321" s="85" t="n"/>
    </row>
    <row r="322" ht="12.75" customHeight="1" s="103">
      <c r="A322" s="78">
        <f>MID(H322,3,2)</f>
        <v/>
      </c>
      <c r="B322" s="84" t="inlineStr">
        <is>
          <t>B331</t>
        </is>
      </c>
      <c r="C322" s="84" t="inlineStr">
        <is>
          <t>上海区域</t>
        </is>
      </c>
      <c r="D322" s="84" t="inlineStr">
        <is>
          <t>CN0Q</t>
        </is>
      </c>
      <c r="E322" s="80" t="inlineStr">
        <is>
          <t>EE 苏州比斯特</t>
        </is>
      </c>
      <c r="F322" s="84" t="n">
        <v>4</v>
      </c>
      <c r="G322" s="84" t="inlineStr">
        <is>
          <t>奥特莱斯</t>
        </is>
      </c>
      <c r="H322" s="84" t="inlineStr">
        <is>
          <t>EEJAG23B03</t>
        </is>
      </c>
      <c r="I322" s="84" t="n">
        <v>1599</v>
      </c>
      <c r="J322" s="84" t="n">
        <v>1599</v>
      </c>
      <c r="K322" s="85" t="n"/>
      <c r="L322" s="85" t="n"/>
    </row>
    <row r="323" ht="12.75" customHeight="1" s="103">
      <c r="A323" s="78">
        <f>MID(H323,3,2)</f>
        <v/>
      </c>
      <c r="B323" s="84" t="inlineStr">
        <is>
          <t>B331</t>
        </is>
      </c>
      <c r="C323" s="84" t="inlineStr">
        <is>
          <t>上海区域</t>
        </is>
      </c>
      <c r="D323" s="84" t="inlineStr">
        <is>
          <t>CN0Q</t>
        </is>
      </c>
      <c r="E323" s="80" t="inlineStr">
        <is>
          <t>EE 苏州比斯特</t>
        </is>
      </c>
      <c r="F323" s="84" t="n">
        <v>4</v>
      </c>
      <c r="G323" s="84" t="inlineStr">
        <is>
          <t>奥特莱斯</t>
        </is>
      </c>
      <c r="H323" s="84" t="inlineStr">
        <is>
          <t>EEJAG23B03</t>
        </is>
      </c>
      <c r="I323" s="84" t="n">
        <v>1599</v>
      </c>
      <c r="J323" s="84" t="n">
        <v>1599</v>
      </c>
      <c r="K323" s="85" t="n"/>
      <c r="L323" s="85" t="n"/>
    </row>
    <row r="324" ht="12.75" customHeight="1" s="103">
      <c r="A324" s="78">
        <f>MID(H324,3,2)</f>
        <v/>
      </c>
      <c r="B324" s="84" t="inlineStr">
        <is>
          <t>B331</t>
        </is>
      </c>
      <c r="C324" s="84" t="inlineStr">
        <is>
          <t>上海区域</t>
        </is>
      </c>
      <c r="D324" s="84" t="inlineStr">
        <is>
          <t>CN0Q</t>
        </is>
      </c>
      <c r="E324" s="80" t="inlineStr">
        <is>
          <t>EE 苏州比斯特</t>
        </is>
      </c>
      <c r="F324" s="84" t="n">
        <v>4</v>
      </c>
      <c r="G324" s="84" t="inlineStr">
        <is>
          <t>奥特莱斯</t>
        </is>
      </c>
      <c r="H324" s="84" t="inlineStr">
        <is>
          <t>EEJAG23B03</t>
        </is>
      </c>
      <c r="I324" s="84" t="n">
        <v>1599</v>
      </c>
      <c r="J324" s="84" t="n">
        <v>1599</v>
      </c>
      <c r="K324" s="85" t="n"/>
      <c r="L324" s="85" t="n"/>
    </row>
    <row r="325" ht="12.75" customHeight="1" s="103">
      <c r="A325" s="78">
        <f>MID(H325,3,2)</f>
        <v/>
      </c>
      <c r="B325" s="84" t="inlineStr">
        <is>
          <t>B331</t>
        </is>
      </c>
      <c r="C325" s="84" t="inlineStr">
        <is>
          <t>上海区域</t>
        </is>
      </c>
      <c r="D325" s="84" t="inlineStr">
        <is>
          <t>CN0Q</t>
        </is>
      </c>
      <c r="E325" s="80" t="inlineStr">
        <is>
          <t>EE 苏州比斯特</t>
        </is>
      </c>
      <c r="F325" s="84" t="n">
        <v>4</v>
      </c>
      <c r="G325" s="84" t="inlineStr">
        <is>
          <t>奥特莱斯</t>
        </is>
      </c>
      <c r="H325" s="84" t="inlineStr">
        <is>
          <t>EEJAG23B03</t>
        </is>
      </c>
      <c r="I325" s="84" t="n">
        <v>1599</v>
      </c>
      <c r="J325" s="84" t="n">
        <v>1599</v>
      </c>
      <c r="K325" s="85" t="n"/>
      <c r="L325" s="85" t="n"/>
    </row>
    <row r="326" ht="12.75" customHeight="1" s="103">
      <c r="A326" s="78">
        <f>MID(H326,3,2)</f>
        <v/>
      </c>
      <c r="B326" s="84" t="inlineStr">
        <is>
          <t>B331</t>
        </is>
      </c>
      <c r="C326" s="84" t="inlineStr">
        <is>
          <t>上海区域</t>
        </is>
      </c>
      <c r="D326" s="84" t="inlineStr">
        <is>
          <t>CN0Q</t>
        </is>
      </c>
      <c r="E326" s="80" t="inlineStr">
        <is>
          <t>EE 苏州比斯特</t>
        </is>
      </c>
      <c r="F326" s="84" t="n">
        <v>4</v>
      </c>
      <c r="G326" s="84" t="inlineStr">
        <is>
          <t>奥特莱斯</t>
        </is>
      </c>
      <c r="H326" s="84" t="inlineStr">
        <is>
          <t>EEJAG23B04</t>
        </is>
      </c>
      <c r="I326" s="84" t="n">
        <v>1599</v>
      </c>
      <c r="J326" s="84" t="n">
        <v>1599</v>
      </c>
      <c r="K326" s="85" t="n"/>
      <c r="L326" s="85" t="n"/>
    </row>
    <row r="327" ht="12.75" customHeight="1" s="103">
      <c r="A327" s="78">
        <f>MID(H327,3,2)</f>
        <v/>
      </c>
      <c r="B327" s="84" t="inlineStr">
        <is>
          <t>B331</t>
        </is>
      </c>
      <c r="C327" s="84" t="inlineStr">
        <is>
          <t>上海区域</t>
        </is>
      </c>
      <c r="D327" s="84" t="inlineStr">
        <is>
          <t>CN0Q</t>
        </is>
      </c>
      <c r="E327" s="80" t="inlineStr">
        <is>
          <t>EE 苏州比斯特</t>
        </is>
      </c>
      <c r="F327" s="84" t="n">
        <v>4</v>
      </c>
      <c r="G327" s="84" t="inlineStr">
        <is>
          <t>奥特莱斯</t>
        </is>
      </c>
      <c r="H327" s="84" t="inlineStr">
        <is>
          <t>EEJAG23B04</t>
        </is>
      </c>
      <c r="I327" s="84" t="n">
        <v>1599</v>
      </c>
      <c r="J327" s="84" t="n">
        <v>1599</v>
      </c>
      <c r="K327" s="85" t="n"/>
      <c r="L327" s="85" t="n"/>
    </row>
    <row r="328" ht="12.75" customHeight="1" s="103">
      <c r="A328" s="78">
        <f>MID(H328,3,2)</f>
        <v/>
      </c>
      <c r="B328" s="84" t="inlineStr">
        <is>
          <t>B331</t>
        </is>
      </c>
      <c r="C328" s="84" t="inlineStr">
        <is>
          <t>上海区域</t>
        </is>
      </c>
      <c r="D328" s="84" t="inlineStr">
        <is>
          <t>CN0Q</t>
        </is>
      </c>
      <c r="E328" s="80" t="inlineStr">
        <is>
          <t>EE 苏州比斯特</t>
        </is>
      </c>
      <c r="F328" s="84" t="n">
        <v>4</v>
      </c>
      <c r="G328" s="84" t="inlineStr">
        <is>
          <t>奥特莱斯</t>
        </is>
      </c>
      <c r="H328" s="84" t="inlineStr">
        <is>
          <t>EEJAG23B04</t>
        </is>
      </c>
      <c r="I328" s="84" t="n">
        <v>1599</v>
      </c>
      <c r="J328" s="84" t="n">
        <v>1599</v>
      </c>
      <c r="K328" s="85" t="n"/>
      <c r="L328" s="85" t="n"/>
    </row>
    <row r="329" ht="12.75" customHeight="1" s="103">
      <c r="A329" s="78">
        <f>MID(H329,3,2)</f>
        <v/>
      </c>
      <c r="B329" s="84" t="inlineStr">
        <is>
          <t>B331</t>
        </is>
      </c>
      <c r="C329" s="84" t="inlineStr">
        <is>
          <t>上海区域</t>
        </is>
      </c>
      <c r="D329" s="84" t="inlineStr">
        <is>
          <t>CN0Q</t>
        </is>
      </c>
      <c r="E329" s="80" t="inlineStr">
        <is>
          <t>EE 苏州比斯特</t>
        </is>
      </c>
      <c r="F329" s="84" t="n">
        <v>4</v>
      </c>
      <c r="G329" s="84" t="inlineStr">
        <is>
          <t>奥特莱斯</t>
        </is>
      </c>
      <c r="H329" s="84" t="inlineStr">
        <is>
          <t>EEJAG23B04</t>
        </is>
      </c>
      <c r="I329" s="84" t="n">
        <v>1599</v>
      </c>
      <c r="J329" s="84" t="n">
        <v>1599</v>
      </c>
      <c r="K329" s="85" t="n"/>
      <c r="L329" s="85" t="n"/>
    </row>
    <row r="330" ht="12.75" customHeight="1" s="103">
      <c r="A330" s="78">
        <f>MID(H330,3,2)</f>
        <v/>
      </c>
      <c r="B330" s="84" t="inlineStr">
        <is>
          <t>B331</t>
        </is>
      </c>
      <c r="C330" s="84" t="inlineStr">
        <is>
          <t>上海区域</t>
        </is>
      </c>
      <c r="D330" s="84" t="inlineStr">
        <is>
          <t>CN0Q</t>
        </is>
      </c>
      <c r="E330" s="80" t="inlineStr">
        <is>
          <t>EE 苏州比斯特</t>
        </is>
      </c>
      <c r="F330" s="84" t="n">
        <v>4</v>
      </c>
      <c r="G330" s="84" t="inlineStr">
        <is>
          <t>奥特莱斯</t>
        </is>
      </c>
      <c r="H330" s="84" t="inlineStr">
        <is>
          <t>EEJAG23B04</t>
        </is>
      </c>
      <c r="I330" s="84" t="n">
        <v>1599</v>
      </c>
      <c r="J330" s="84" t="n">
        <v>1599</v>
      </c>
      <c r="K330" s="85" t="n"/>
      <c r="L330" s="85" t="n"/>
    </row>
    <row r="331" ht="12.75" customHeight="1" s="103">
      <c r="A331" s="78">
        <f>MID(H331,3,2)</f>
        <v/>
      </c>
      <c r="B331" s="84" t="inlineStr">
        <is>
          <t>B331</t>
        </is>
      </c>
      <c r="C331" s="84" t="inlineStr">
        <is>
          <t>上海区域</t>
        </is>
      </c>
      <c r="D331" s="84" t="inlineStr">
        <is>
          <t>CN0Q</t>
        </is>
      </c>
      <c r="E331" s="80" t="inlineStr">
        <is>
          <t>EE 苏州比斯特</t>
        </is>
      </c>
      <c r="F331" s="84" t="n">
        <v>4</v>
      </c>
      <c r="G331" s="84" t="inlineStr">
        <is>
          <t>奥特莱斯</t>
        </is>
      </c>
      <c r="H331" s="84" t="inlineStr">
        <is>
          <t>EEJAG23B04</t>
        </is>
      </c>
      <c r="I331" s="84" t="n">
        <v>1599</v>
      </c>
      <c r="J331" s="84" t="n">
        <v>1599</v>
      </c>
      <c r="K331" s="85" t="n"/>
      <c r="L331" s="85" t="n"/>
    </row>
    <row r="332" ht="12.75" customHeight="1" s="103">
      <c r="A332" s="78">
        <f>MID(H332,3,2)</f>
        <v/>
      </c>
      <c r="B332" s="84" t="inlineStr">
        <is>
          <t>B331</t>
        </is>
      </c>
      <c r="C332" s="84" t="inlineStr">
        <is>
          <t>上海区域</t>
        </is>
      </c>
      <c r="D332" s="84" t="inlineStr">
        <is>
          <t>CN0Q</t>
        </is>
      </c>
      <c r="E332" s="80" t="inlineStr">
        <is>
          <t>EE 苏州比斯特</t>
        </is>
      </c>
      <c r="F332" s="84" t="n">
        <v>4</v>
      </c>
      <c r="G332" s="84" t="inlineStr">
        <is>
          <t>奥特莱斯</t>
        </is>
      </c>
      <c r="H332" s="84" t="inlineStr">
        <is>
          <t>EEJAG23B51</t>
        </is>
      </c>
      <c r="I332" s="84" t="n">
        <v>1599</v>
      </c>
      <c r="J332" s="84" t="n">
        <v>1599</v>
      </c>
      <c r="K332" s="85" t="n"/>
      <c r="L332" s="85" t="n"/>
    </row>
    <row r="333" ht="12.75" customHeight="1" s="103">
      <c r="A333" s="78">
        <f>MID(H333,3,2)</f>
        <v/>
      </c>
      <c r="B333" s="84" t="inlineStr">
        <is>
          <t>B331</t>
        </is>
      </c>
      <c r="C333" s="84" t="inlineStr">
        <is>
          <t>上海区域</t>
        </is>
      </c>
      <c r="D333" s="84" t="inlineStr">
        <is>
          <t>CN0Q</t>
        </is>
      </c>
      <c r="E333" s="80" t="inlineStr">
        <is>
          <t>EE 苏州比斯特</t>
        </is>
      </c>
      <c r="F333" s="84" t="n">
        <v>4</v>
      </c>
      <c r="G333" s="84" t="inlineStr">
        <is>
          <t>奥特莱斯</t>
        </is>
      </c>
      <c r="H333" s="84" t="inlineStr">
        <is>
          <t>EEJAG23B51</t>
        </is>
      </c>
      <c r="I333" s="84" t="n">
        <v>1599</v>
      </c>
      <c r="J333" s="84" t="n">
        <v>1599</v>
      </c>
      <c r="K333" s="85" t="n"/>
      <c r="L333" s="85" t="n"/>
    </row>
    <row r="334" ht="12.75" customHeight="1" s="103">
      <c r="A334" s="78">
        <f>MID(H334,3,2)</f>
        <v/>
      </c>
      <c r="B334" s="84" t="inlineStr">
        <is>
          <t>B331</t>
        </is>
      </c>
      <c r="C334" s="84" t="inlineStr">
        <is>
          <t>上海区域</t>
        </is>
      </c>
      <c r="D334" s="84" t="inlineStr">
        <is>
          <t>CN0Q</t>
        </is>
      </c>
      <c r="E334" s="80" t="inlineStr">
        <is>
          <t>EE 苏州比斯特</t>
        </is>
      </c>
      <c r="F334" s="84" t="n">
        <v>4</v>
      </c>
      <c r="G334" s="84" t="inlineStr">
        <is>
          <t>奥特莱斯</t>
        </is>
      </c>
      <c r="H334" s="84" t="inlineStr">
        <is>
          <t>EEJAG23B51</t>
        </is>
      </c>
      <c r="I334" s="84" t="n">
        <v>1599</v>
      </c>
      <c r="J334" s="84" t="n">
        <v>1599</v>
      </c>
      <c r="K334" s="85" t="n"/>
      <c r="L334" s="85" t="n"/>
    </row>
    <row r="335" ht="12.75" customHeight="1" s="103">
      <c r="A335" s="78">
        <f>MID(H335,3,2)</f>
        <v/>
      </c>
      <c r="B335" s="84" t="inlineStr">
        <is>
          <t>B331</t>
        </is>
      </c>
      <c r="C335" s="84" t="inlineStr">
        <is>
          <t>上海区域</t>
        </is>
      </c>
      <c r="D335" s="84" t="inlineStr">
        <is>
          <t>CN0Q</t>
        </is>
      </c>
      <c r="E335" s="80" t="inlineStr">
        <is>
          <t>EE 苏州比斯特</t>
        </is>
      </c>
      <c r="F335" s="84" t="n">
        <v>4</v>
      </c>
      <c r="G335" s="84" t="inlineStr">
        <is>
          <t>奥特莱斯</t>
        </is>
      </c>
      <c r="H335" s="84" t="inlineStr">
        <is>
          <t>EEJAG23D1G</t>
        </is>
      </c>
      <c r="I335" s="84" t="n">
        <v>1299</v>
      </c>
      <c r="J335" s="84" t="n">
        <v>1299</v>
      </c>
      <c r="K335" s="85" t="n">
        <v>1</v>
      </c>
      <c r="L335" s="85" t="n"/>
    </row>
    <row r="336" ht="12.75" customHeight="1" s="103">
      <c r="A336" s="78">
        <f>MID(H336,3,2)</f>
        <v/>
      </c>
      <c r="B336" s="84" t="inlineStr">
        <is>
          <t>B331</t>
        </is>
      </c>
      <c r="C336" s="84" t="inlineStr">
        <is>
          <t>上海区域</t>
        </is>
      </c>
      <c r="D336" s="84" t="inlineStr">
        <is>
          <t>CN0Q</t>
        </is>
      </c>
      <c r="E336" s="80" t="inlineStr">
        <is>
          <t>EE 苏州比斯特</t>
        </is>
      </c>
      <c r="F336" s="84" t="n">
        <v>4</v>
      </c>
      <c r="G336" s="84" t="inlineStr">
        <is>
          <t>奥特莱斯</t>
        </is>
      </c>
      <c r="H336" s="84" t="inlineStr">
        <is>
          <t>EEJAG23D1G</t>
        </is>
      </c>
      <c r="I336" s="84" t="n">
        <v>1299</v>
      </c>
      <c r="J336" s="84" t="n">
        <v>1299</v>
      </c>
      <c r="K336" s="85" t="n">
        <v>1</v>
      </c>
      <c r="L336" s="85" t="n">
        <v>821</v>
      </c>
    </row>
    <row r="337" ht="12.75" customHeight="1" s="103">
      <c r="A337" s="78">
        <f>MID(H337,3,2)</f>
        <v/>
      </c>
      <c r="B337" s="84" t="inlineStr">
        <is>
          <t>B331</t>
        </is>
      </c>
      <c r="C337" s="84" t="inlineStr">
        <is>
          <t>上海区域</t>
        </is>
      </c>
      <c r="D337" s="84" t="inlineStr">
        <is>
          <t>CN0Q</t>
        </is>
      </c>
      <c r="E337" s="80" t="inlineStr">
        <is>
          <t>EE 苏州比斯特</t>
        </is>
      </c>
      <c r="F337" s="84" t="n">
        <v>4</v>
      </c>
      <c r="G337" s="84" t="inlineStr">
        <is>
          <t>奥特莱斯</t>
        </is>
      </c>
      <c r="H337" s="84" t="inlineStr">
        <is>
          <t>EEJAG23D1G</t>
        </is>
      </c>
      <c r="I337" s="84" t="n">
        <v>1299</v>
      </c>
      <c r="J337" s="84" t="n">
        <v>1299</v>
      </c>
      <c r="K337" s="85" t="n"/>
      <c r="L337" s="85" t="n"/>
    </row>
    <row r="338" ht="12.75" customHeight="1" s="103">
      <c r="A338" s="78">
        <f>MID(H338,3,2)</f>
        <v/>
      </c>
      <c r="B338" s="84" t="inlineStr">
        <is>
          <t>B331</t>
        </is>
      </c>
      <c r="C338" s="84" t="inlineStr">
        <is>
          <t>上海区域</t>
        </is>
      </c>
      <c r="D338" s="84" t="inlineStr">
        <is>
          <t>CN0Q</t>
        </is>
      </c>
      <c r="E338" s="80" t="inlineStr">
        <is>
          <t>EE 苏州比斯特</t>
        </is>
      </c>
      <c r="F338" s="84" t="n">
        <v>4</v>
      </c>
      <c r="G338" s="84" t="inlineStr">
        <is>
          <t>奥特莱斯</t>
        </is>
      </c>
      <c r="H338" s="84" t="inlineStr">
        <is>
          <t>EEJAG23D1G</t>
        </is>
      </c>
      <c r="I338" s="84" t="n">
        <v>1299</v>
      </c>
      <c r="J338" s="84" t="n">
        <v>1299</v>
      </c>
      <c r="K338" s="85" t="n"/>
      <c r="L338" s="85" t="n"/>
    </row>
    <row r="339" ht="12.75" customHeight="1" s="103">
      <c r="A339" s="78">
        <f>MID(H339,3,2)</f>
        <v/>
      </c>
      <c r="B339" s="84" t="inlineStr">
        <is>
          <t>B331</t>
        </is>
      </c>
      <c r="C339" s="84" t="inlineStr">
        <is>
          <t>上海区域</t>
        </is>
      </c>
      <c r="D339" s="84" t="inlineStr">
        <is>
          <t>CN0Q</t>
        </is>
      </c>
      <c r="E339" s="80" t="inlineStr">
        <is>
          <t>EE 苏州比斯特</t>
        </is>
      </c>
      <c r="F339" s="84" t="n">
        <v>4</v>
      </c>
      <c r="G339" s="84" t="inlineStr">
        <is>
          <t>奥特莱斯</t>
        </is>
      </c>
      <c r="H339" s="84" t="inlineStr">
        <is>
          <t>EEJAG23E01</t>
        </is>
      </c>
      <c r="I339" s="84" t="n">
        <v>1299</v>
      </c>
      <c r="J339" s="84" t="n">
        <v>1299</v>
      </c>
      <c r="K339" s="85" t="n"/>
      <c r="L339" s="85" t="n"/>
    </row>
    <row r="340" ht="12.75" customHeight="1" s="103">
      <c r="A340" s="78">
        <f>MID(H340,3,2)</f>
        <v/>
      </c>
      <c r="B340" s="84" t="inlineStr">
        <is>
          <t>B331</t>
        </is>
      </c>
      <c r="C340" s="84" t="inlineStr">
        <is>
          <t>上海区域</t>
        </is>
      </c>
      <c r="D340" s="84" t="inlineStr">
        <is>
          <t>CN0Q</t>
        </is>
      </c>
      <c r="E340" s="80" t="inlineStr">
        <is>
          <t>EE 苏州比斯特</t>
        </is>
      </c>
      <c r="F340" s="84" t="n">
        <v>4</v>
      </c>
      <c r="G340" s="84" t="inlineStr">
        <is>
          <t>奥特莱斯</t>
        </is>
      </c>
      <c r="H340" s="84" t="inlineStr">
        <is>
          <t>EEJAG23E01</t>
        </is>
      </c>
      <c r="I340" s="84" t="n">
        <v>1299</v>
      </c>
      <c r="J340" s="84" t="n">
        <v>1299</v>
      </c>
      <c r="K340" s="85" t="n">
        <v>4</v>
      </c>
      <c r="L340" s="86" t="n">
        <v>2492</v>
      </c>
    </row>
    <row r="341" ht="12.75" customHeight="1" s="103">
      <c r="A341" s="78">
        <f>MID(H341,3,2)</f>
        <v/>
      </c>
      <c r="B341" s="84" t="inlineStr">
        <is>
          <t>B331</t>
        </is>
      </c>
      <c r="C341" s="84" t="inlineStr">
        <is>
          <t>上海区域</t>
        </is>
      </c>
      <c r="D341" s="84" t="inlineStr">
        <is>
          <t>CN0Q</t>
        </is>
      </c>
      <c r="E341" s="80" t="inlineStr">
        <is>
          <t>EE 苏州比斯特</t>
        </is>
      </c>
      <c r="F341" s="84" t="n">
        <v>4</v>
      </c>
      <c r="G341" s="84" t="inlineStr">
        <is>
          <t>奥特莱斯</t>
        </is>
      </c>
      <c r="H341" s="84" t="inlineStr">
        <is>
          <t>EEJAG23E01</t>
        </is>
      </c>
      <c r="I341" s="84" t="n">
        <v>1299</v>
      </c>
      <c r="J341" s="84" t="n">
        <v>1299</v>
      </c>
      <c r="K341" s="85" t="n">
        <v>2</v>
      </c>
      <c r="L341" s="85" t="n">
        <v>823</v>
      </c>
    </row>
    <row r="342" ht="12.75" customHeight="1" s="103">
      <c r="A342" s="78">
        <f>MID(H342,3,2)</f>
        <v/>
      </c>
      <c r="B342" s="84" t="inlineStr">
        <is>
          <t>B331</t>
        </is>
      </c>
      <c r="C342" s="84" t="inlineStr">
        <is>
          <t>上海区域</t>
        </is>
      </c>
      <c r="D342" s="84" t="inlineStr">
        <is>
          <t>CN0Q</t>
        </is>
      </c>
      <c r="E342" s="80" t="inlineStr">
        <is>
          <t>EE 苏州比斯特</t>
        </is>
      </c>
      <c r="F342" s="84" t="n">
        <v>4</v>
      </c>
      <c r="G342" s="84" t="inlineStr">
        <is>
          <t>奥特莱斯</t>
        </is>
      </c>
      <c r="H342" s="84" t="inlineStr">
        <is>
          <t>EEJAG23E01</t>
        </is>
      </c>
      <c r="I342" s="84" t="n">
        <v>1299</v>
      </c>
      <c r="J342" s="84" t="n">
        <v>1299</v>
      </c>
      <c r="K342" s="85" t="n">
        <v>3</v>
      </c>
      <c r="L342" s="85" t="n">
        <v>847</v>
      </c>
    </row>
    <row r="343" ht="12.75" customHeight="1" s="103">
      <c r="A343" s="78">
        <f>MID(H343,3,2)</f>
        <v/>
      </c>
      <c r="B343" s="84" t="inlineStr">
        <is>
          <t>B331</t>
        </is>
      </c>
      <c r="C343" s="84" t="inlineStr">
        <is>
          <t>上海区域</t>
        </is>
      </c>
      <c r="D343" s="84" t="inlineStr">
        <is>
          <t>CN0Q</t>
        </is>
      </c>
      <c r="E343" s="80" t="inlineStr">
        <is>
          <t>EE 苏州比斯特</t>
        </is>
      </c>
      <c r="F343" s="84" t="n">
        <v>4</v>
      </c>
      <c r="G343" s="84" t="inlineStr">
        <is>
          <t>奥特莱斯</t>
        </is>
      </c>
      <c r="H343" s="84" t="inlineStr">
        <is>
          <t>EEJAG23E01</t>
        </is>
      </c>
      <c r="I343" s="84" t="n">
        <v>1299</v>
      </c>
      <c r="J343" s="84" t="n">
        <v>1299</v>
      </c>
      <c r="K343" s="85" t="n">
        <v>3</v>
      </c>
      <c r="L343" s="85" t="n">
        <v>847</v>
      </c>
    </row>
    <row r="344" ht="12.75" customHeight="1" s="103">
      <c r="A344" s="78">
        <f>MID(H344,3,2)</f>
        <v/>
      </c>
      <c r="B344" s="84" t="inlineStr">
        <is>
          <t>B331</t>
        </is>
      </c>
      <c r="C344" s="84" t="inlineStr">
        <is>
          <t>上海区域</t>
        </is>
      </c>
      <c r="D344" s="84" t="inlineStr">
        <is>
          <t>CN0Q</t>
        </is>
      </c>
      <c r="E344" s="80" t="inlineStr">
        <is>
          <t>EE 苏州比斯特</t>
        </is>
      </c>
      <c r="F344" s="84" t="n">
        <v>4</v>
      </c>
      <c r="G344" s="84" t="inlineStr">
        <is>
          <t>奥特莱斯</t>
        </is>
      </c>
      <c r="H344" s="84" t="inlineStr">
        <is>
          <t>EEJAG23E01</t>
        </is>
      </c>
      <c r="I344" s="84" t="n">
        <v>1299</v>
      </c>
      <c r="J344" s="84" t="n">
        <v>1299</v>
      </c>
      <c r="K344" s="85" t="n">
        <v>2</v>
      </c>
      <c r="L344" s="85" t="n"/>
    </row>
    <row r="345" ht="12.75" customHeight="1" s="103">
      <c r="A345" s="78">
        <f>MID(H345,3,2)</f>
        <v/>
      </c>
      <c r="B345" s="84" t="inlineStr">
        <is>
          <t>B331</t>
        </is>
      </c>
      <c r="C345" s="84" t="inlineStr">
        <is>
          <t>上海区域</t>
        </is>
      </c>
      <c r="D345" s="84" t="inlineStr">
        <is>
          <t>CN0Q</t>
        </is>
      </c>
      <c r="E345" s="80" t="inlineStr">
        <is>
          <t>EE 苏州比斯特</t>
        </is>
      </c>
      <c r="F345" s="84" t="n">
        <v>4</v>
      </c>
      <c r="G345" s="84" t="inlineStr">
        <is>
          <t>奥特莱斯</t>
        </is>
      </c>
      <c r="H345" s="84" t="inlineStr">
        <is>
          <t>EEJAG23E02</t>
        </is>
      </c>
      <c r="I345" s="84" t="n">
        <v>1299</v>
      </c>
      <c r="J345" s="84" t="n">
        <v>1599</v>
      </c>
      <c r="K345" s="85" t="n"/>
      <c r="L345" s="85" t="n"/>
    </row>
    <row r="346" ht="12.75" customHeight="1" s="103">
      <c r="A346" s="78">
        <f>MID(H346,3,2)</f>
        <v/>
      </c>
      <c r="B346" s="84" t="inlineStr">
        <is>
          <t>B331</t>
        </is>
      </c>
      <c r="C346" s="84" t="inlineStr">
        <is>
          <t>上海区域</t>
        </is>
      </c>
      <c r="D346" s="84" t="inlineStr">
        <is>
          <t>CN0Q</t>
        </is>
      </c>
      <c r="E346" s="80" t="inlineStr">
        <is>
          <t>EE 苏州比斯特</t>
        </is>
      </c>
      <c r="F346" s="84" t="n">
        <v>4</v>
      </c>
      <c r="G346" s="84" t="inlineStr">
        <is>
          <t>奥特莱斯</t>
        </is>
      </c>
      <c r="H346" s="84" t="inlineStr">
        <is>
          <t>EEJAG23E02</t>
        </is>
      </c>
      <c r="I346" s="84" t="n">
        <v>1299</v>
      </c>
      <c r="J346" s="84" t="n">
        <v>1599</v>
      </c>
      <c r="K346" s="85" t="n"/>
      <c r="L346" s="85" t="n"/>
    </row>
    <row r="347" ht="12.75" customHeight="1" s="103">
      <c r="A347" s="78">
        <f>MID(H347,3,2)</f>
        <v/>
      </c>
      <c r="B347" s="84" t="inlineStr">
        <is>
          <t>B331</t>
        </is>
      </c>
      <c r="C347" s="84" t="inlineStr">
        <is>
          <t>上海区域</t>
        </is>
      </c>
      <c r="D347" s="84" t="inlineStr">
        <is>
          <t>CN0Q</t>
        </is>
      </c>
      <c r="E347" s="80" t="inlineStr">
        <is>
          <t>EE 苏州比斯特</t>
        </is>
      </c>
      <c r="F347" s="84" t="n">
        <v>4</v>
      </c>
      <c r="G347" s="84" t="inlineStr">
        <is>
          <t>奥特莱斯</t>
        </is>
      </c>
      <c r="H347" s="84" t="inlineStr">
        <is>
          <t>EEJAG23E02</t>
        </is>
      </c>
      <c r="I347" s="84" t="n">
        <v>1299</v>
      </c>
      <c r="J347" s="84" t="n">
        <v>1599</v>
      </c>
      <c r="K347" s="85" t="n"/>
      <c r="L347" s="85" t="n"/>
    </row>
    <row r="348" ht="12.75" customHeight="1" s="103">
      <c r="A348" s="78">
        <f>MID(H348,3,2)</f>
        <v/>
      </c>
      <c r="B348" s="84" t="inlineStr">
        <is>
          <t>B331</t>
        </is>
      </c>
      <c r="C348" s="84" t="inlineStr">
        <is>
          <t>上海区域</t>
        </is>
      </c>
      <c r="D348" s="84" t="inlineStr">
        <is>
          <t>CN0Q</t>
        </is>
      </c>
      <c r="E348" s="80" t="inlineStr">
        <is>
          <t>EE 苏州比斯特</t>
        </is>
      </c>
      <c r="F348" s="84" t="n">
        <v>4</v>
      </c>
      <c r="G348" s="84" t="inlineStr">
        <is>
          <t>奥特莱斯</t>
        </is>
      </c>
      <c r="H348" s="84" t="inlineStr">
        <is>
          <t>EEJAG23E02</t>
        </is>
      </c>
      <c r="I348" s="84" t="n">
        <v>1299</v>
      </c>
      <c r="J348" s="84" t="n">
        <v>1599</v>
      </c>
      <c r="K348" s="85" t="n"/>
      <c r="L348" s="85" t="n"/>
    </row>
    <row r="349" ht="12.75" customHeight="1" s="103">
      <c r="A349" s="78">
        <f>MID(H349,3,2)</f>
        <v/>
      </c>
      <c r="B349" s="84" t="inlineStr">
        <is>
          <t>B331</t>
        </is>
      </c>
      <c r="C349" s="84" t="inlineStr">
        <is>
          <t>上海区域</t>
        </is>
      </c>
      <c r="D349" s="84" t="inlineStr">
        <is>
          <t>CN0Q</t>
        </is>
      </c>
      <c r="E349" s="80" t="inlineStr">
        <is>
          <t>EE 苏州比斯特</t>
        </is>
      </c>
      <c r="F349" s="84" t="n">
        <v>4</v>
      </c>
      <c r="G349" s="84" t="inlineStr">
        <is>
          <t>奥特莱斯</t>
        </is>
      </c>
      <c r="H349" s="84" t="inlineStr">
        <is>
          <t>EEJAG23E02</t>
        </is>
      </c>
      <c r="I349" s="84" t="n">
        <v>1299</v>
      </c>
      <c r="J349" s="84" t="n">
        <v>1599</v>
      </c>
      <c r="K349" s="85" t="n"/>
      <c r="L349" s="85" t="n"/>
    </row>
    <row r="350" ht="12.75" customHeight="1" s="103">
      <c r="A350" s="78">
        <f>MID(H350,3,2)</f>
        <v/>
      </c>
      <c r="B350" s="84" t="inlineStr">
        <is>
          <t>B331</t>
        </is>
      </c>
      <c r="C350" s="84" t="inlineStr">
        <is>
          <t>上海区域</t>
        </is>
      </c>
      <c r="D350" s="84" t="inlineStr">
        <is>
          <t>CN0Q</t>
        </is>
      </c>
      <c r="E350" s="80" t="inlineStr">
        <is>
          <t>EE 苏州比斯特</t>
        </is>
      </c>
      <c r="F350" s="84" t="n">
        <v>4</v>
      </c>
      <c r="G350" s="84" t="inlineStr">
        <is>
          <t>奥特莱斯</t>
        </is>
      </c>
      <c r="H350" s="84" t="inlineStr">
        <is>
          <t>EEJAG23E02</t>
        </is>
      </c>
      <c r="I350" s="84" t="n">
        <v>1299</v>
      </c>
      <c r="J350" s="84" t="n">
        <v>1599</v>
      </c>
      <c r="K350" s="85" t="n"/>
      <c r="L350" s="85" t="n"/>
    </row>
    <row r="351" ht="12.75" customHeight="1" s="103">
      <c r="A351" s="78">
        <f>MID(H351,3,2)</f>
        <v/>
      </c>
      <c r="B351" s="84" t="inlineStr">
        <is>
          <t>B331</t>
        </is>
      </c>
      <c r="C351" s="84" t="inlineStr">
        <is>
          <t>上海区域</t>
        </is>
      </c>
      <c r="D351" s="84" t="inlineStr">
        <is>
          <t>CN0Q</t>
        </is>
      </c>
      <c r="E351" s="80" t="inlineStr">
        <is>
          <t>EE 苏州比斯特</t>
        </is>
      </c>
      <c r="F351" s="84" t="n">
        <v>4</v>
      </c>
      <c r="G351" s="84" t="inlineStr">
        <is>
          <t>奥特莱斯</t>
        </is>
      </c>
      <c r="H351" s="84" t="inlineStr">
        <is>
          <t>EEJAG23R01</t>
        </is>
      </c>
      <c r="I351" s="84" t="n">
        <v>1999</v>
      </c>
      <c r="J351" s="84" t="n">
        <v>1999</v>
      </c>
      <c r="K351" s="85" t="n"/>
      <c r="L351" s="85" t="n"/>
    </row>
    <row r="352" ht="12.75" customHeight="1" s="103">
      <c r="A352" s="78">
        <f>MID(H352,3,2)</f>
        <v/>
      </c>
      <c r="B352" s="84" t="inlineStr">
        <is>
          <t>B331</t>
        </is>
      </c>
      <c r="C352" s="84" t="inlineStr">
        <is>
          <t>上海区域</t>
        </is>
      </c>
      <c r="D352" s="84" t="inlineStr">
        <is>
          <t>CN0Q</t>
        </is>
      </c>
      <c r="E352" s="80" t="inlineStr">
        <is>
          <t>EE 苏州比斯特</t>
        </is>
      </c>
      <c r="F352" s="84" t="n">
        <v>4</v>
      </c>
      <c r="G352" s="84" t="inlineStr">
        <is>
          <t>奥特莱斯</t>
        </is>
      </c>
      <c r="H352" s="84" t="inlineStr">
        <is>
          <t>EEJAG23R01</t>
        </is>
      </c>
      <c r="I352" s="84" t="n">
        <v>1999</v>
      </c>
      <c r="J352" s="84" t="n">
        <v>1999</v>
      </c>
      <c r="K352" s="85" t="n"/>
      <c r="L352" s="85" t="n"/>
    </row>
    <row r="353" ht="12.75" customHeight="1" s="103">
      <c r="A353" s="78">
        <f>MID(H353,3,2)</f>
        <v/>
      </c>
      <c r="B353" s="84" t="inlineStr">
        <is>
          <t>B331</t>
        </is>
      </c>
      <c r="C353" s="84" t="inlineStr">
        <is>
          <t>上海区域</t>
        </is>
      </c>
      <c r="D353" s="84" t="inlineStr">
        <is>
          <t>CN0Q</t>
        </is>
      </c>
      <c r="E353" s="80" t="inlineStr">
        <is>
          <t>EE 苏州比斯特</t>
        </is>
      </c>
      <c r="F353" s="84" t="n">
        <v>4</v>
      </c>
      <c r="G353" s="84" t="inlineStr">
        <is>
          <t>奥特莱斯</t>
        </is>
      </c>
      <c r="H353" s="84" t="inlineStr">
        <is>
          <t>EEJAG23R01</t>
        </is>
      </c>
      <c r="I353" s="84" t="n">
        <v>1999</v>
      </c>
      <c r="J353" s="84" t="n">
        <v>1999</v>
      </c>
      <c r="K353" s="85" t="n"/>
      <c r="L353" s="85" t="n"/>
    </row>
    <row r="354" ht="12.75" customHeight="1" s="103">
      <c r="A354" s="78">
        <f>MID(H354,3,2)</f>
        <v/>
      </c>
      <c r="B354" s="84" t="inlineStr">
        <is>
          <t>B331</t>
        </is>
      </c>
      <c r="C354" s="84" t="inlineStr">
        <is>
          <t>上海区域</t>
        </is>
      </c>
      <c r="D354" s="84" t="inlineStr">
        <is>
          <t>CN0Q</t>
        </is>
      </c>
      <c r="E354" s="80" t="inlineStr">
        <is>
          <t>EE 苏州比斯特</t>
        </is>
      </c>
      <c r="F354" s="84" t="n">
        <v>4</v>
      </c>
      <c r="G354" s="84" t="inlineStr">
        <is>
          <t>奥特莱斯</t>
        </is>
      </c>
      <c r="H354" s="84" t="inlineStr">
        <is>
          <t>EEJAG24B01</t>
        </is>
      </c>
      <c r="I354" s="84" t="n">
        <v>1599</v>
      </c>
      <c r="J354" s="84" t="n">
        <v>1599</v>
      </c>
      <c r="K354" s="85" t="n"/>
      <c r="L354" s="85" t="n"/>
    </row>
    <row r="355" ht="12.75" customHeight="1" s="103">
      <c r="A355" s="78">
        <f>MID(H355,3,2)</f>
        <v/>
      </c>
      <c r="B355" s="84" t="inlineStr">
        <is>
          <t>B331</t>
        </is>
      </c>
      <c r="C355" s="84" t="inlineStr">
        <is>
          <t>上海区域</t>
        </is>
      </c>
      <c r="D355" s="84" t="inlineStr">
        <is>
          <t>CN0Q</t>
        </is>
      </c>
      <c r="E355" s="80" t="inlineStr">
        <is>
          <t>EE 苏州比斯特</t>
        </is>
      </c>
      <c r="F355" s="84" t="n">
        <v>4</v>
      </c>
      <c r="G355" s="84" t="inlineStr">
        <is>
          <t>奥特莱斯</t>
        </is>
      </c>
      <c r="H355" s="84" t="inlineStr">
        <is>
          <t>EEJAG24B01</t>
        </is>
      </c>
      <c r="I355" s="84" t="n">
        <v>1599</v>
      </c>
      <c r="J355" s="84" t="n">
        <v>1599</v>
      </c>
      <c r="K355" s="85" t="n">
        <v>1</v>
      </c>
      <c r="L355" s="86" t="n">
        <v>1030</v>
      </c>
    </row>
    <row r="356" ht="12.75" customHeight="1" s="103">
      <c r="A356" s="78">
        <f>MID(H356,3,2)</f>
        <v/>
      </c>
      <c r="B356" s="84" t="inlineStr">
        <is>
          <t>B331</t>
        </is>
      </c>
      <c r="C356" s="84" t="inlineStr">
        <is>
          <t>上海区域</t>
        </is>
      </c>
      <c r="D356" s="84" t="inlineStr">
        <is>
          <t>CN0Q</t>
        </is>
      </c>
      <c r="E356" s="80" t="inlineStr">
        <is>
          <t>EE 苏州比斯特</t>
        </is>
      </c>
      <c r="F356" s="84" t="n">
        <v>4</v>
      </c>
      <c r="G356" s="84" t="inlineStr">
        <is>
          <t>奥特莱斯</t>
        </is>
      </c>
      <c r="H356" s="84" t="inlineStr">
        <is>
          <t>EEJAG24B01</t>
        </is>
      </c>
      <c r="I356" s="84" t="n">
        <v>1599</v>
      </c>
      <c r="J356" s="84" t="n">
        <v>1599</v>
      </c>
      <c r="K356" s="85" t="n"/>
      <c r="L356" s="85" t="n"/>
    </row>
    <row r="357" ht="12.75" customHeight="1" s="103">
      <c r="A357" s="78">
        <f>MID(H357,3,2)</f>
        <v/>
      </c>
      <c r="B357" s="84" t="inlineStr">
        <is>
          <t>B331</t>
        </is>
      </c>
      <c r="C357" s="84" t="inlineStr">
        <is>
          <t>上海区域</t>
        </is>
      </c>
      <c r="D357" s="84" t="inlineStr">
        <is>
          <t>CN0Q</t>
        </is>
      </c>
      <c r="E357" s="80" t="inlineStr">
        <is>
          <t>EE 苏州比斯特</t>
        </is>
      </c>
      <c r="F357" s="84" t="n">
        <v>4</v>
      </c>
      <c r="G357" s="84" t="inlineStr">
        <is>
          <t>奥特莱斯</t>
        </is>
      </c>
      <c r="H357" s="84" t="inlineStr">
        <is>
          <t>EEJAG24B01</t>
        </is>
      </c>
      <c r="I357" s="84" t="n">
        <v>1599</v>
      </c>
      <c r="J357" s="84" t="n">
        <v>1599</v>
      </c>
      <c r="K357" s="85" t="n"/>
      <c r="L357" s="85" t="n"/>
    </row>
    <row r="358" ht="12.75" customHeight="1" s="103">
      <c r="A358" s="78">
        <f>MID(H358,3,2)</f>
        <v/>
      </c>
      <c r="B358" s="84" t="inlineStr">
        <is>
          <t>B331</t>
        </is>
      </c>
      <c r="C358" s="84" t="inlineStr">
        <is>
          <t>上海区域</t>
        </is>
      </c>
      <c r="D358" s="84" t="inlineStr">
        <is>
          <t>CN0Q</t>
        </is>
      </c>
      <c r="E358" s="80" t="inlineStr">
        <is>
          <t>EE 苏州比斯特</t>
        </is>
      </c>
      <c r="F358" s="84" t="n">
        <v>4</v>
      </c>
      <c r="G358" s="84" t="inlineStr">
        <is>
          <t>奥特莱斯</t>
        </is>
      </c>
      <c r="H358" s="84" t="inlineStr">
        <is>
          <t>EEJAG24B01</t>
        </is>
      </c>
      <c r="I358" s="84" t="n">
        <v>1599</v>
      </c>
      <c r="J358" s="84" t="n">
        <v>1599</v>
      </c>
      <c r="K358" s="85" t="n"/>
      <c r="L358" s="85" t="n"/>
    </row>
    <row r="359" ht="12.75" customHeight="1" s="103">
      <c r="A359" s="78">
        <f>MID(H359,3,2)</f>
        <v/>
      </c>
      <c r="B359" s="84" t="inlineStr">
        <is>
          <t>B331</t>
        </is>
      </c>
      <c r="C359" s="84" t="inlineStr">
        <is>
          <t>上海区域</t>
        </is>
      </c>
      <c r="D359" s="84" t="inlineStr">
        <is>
          <t>CN0Q</t>
        </is>
      </c>
      <c r="E359" s="80" t="inlineStr">
        <is>
          <t>EE 苏州比斯特</t>
        </is>
      </c>
      <c r="F359" s="84" t="n">
        <v>4</v>
      </c>
      <c r="G359" s="84" t="inlineStr">
        <is>
          <t>奥特莱斯</t>
        </is>
      </c>
      <c r="H359" s="84" t="inlineStr">
        <is>
          <t>EEJAG24B01</t>
        </is>
      </c>
      <c r="I359" s="84" t="n">
        <v>1599</v>
      </c>
      <c r="J359" s="84" t="n">
        <v>1599</v>
      </c>
      <c r="K359" s="85" t="n"/>
      <c r="L359" s="85" t="n"/>
    </row>
    <row r="360" ht="12.75" customHeight="1" s="103">
      <c r="A360" s="78">
        <f>MID(H360,3,2)</f>
        <v/>
      </c>
      <c r="B360" s="84" t="inlineStr">
        <is>
          <t>B331</t>
        </is>
      </c>
      <c r="C360" s="84" t="inlineStr">
        <is>
          <t>上海区域</t>
        </is>
      </c>
      <c r="D360" s="84" t="inlineStr">
        <is>
          <t>CN0Q</t>
        </is>
      </c>
      <c r="E360" s="80" t="inlineStr">
        <is>
          <t>EE 苏州比斯特</t>
        </is>
      </c>
      <c r="F360" s="84" t="n">
        <v>4</v>
      </c>
      <c r="G360" s="84" t="inlineStr">
        <is>
          <t>奥特莱斯</t>
        </is>
      </c>
      <c r="H360" s="84" t="inlineStr">
        <is>
          <t>EEJAG24B02</t>
        </is>
      </c>
      <c r="I360" s="84" t="n">
        <v>1599</v>
      </c>
      <c r="J360" s="84" t="n">
        <v>1599</v>
      </c>
      <c r="K360" s="85" t="n">
        <v>3</v>
      </c>
      <c r="L360" s="86" t="n">
        <v>2033</v>
      </c>
    </row>
    <row r="361" ht="12.75" customHeight="1" s="103">
      <c r="A361" s="78">
        <f>MID(H361,3,2)</f>
        <v/>
      </c>
      <c r="B361" s="84" t="inlineStr">
        <is>
          <t>B331</t>
        </is>
      </c>
      <c r="C361" s="84" t="inlineStr">
        <is>
          <t>上海区域</t>
        </is>
      </c>
      <c r="D361" s="84" t="inlineStr">
        <is>
          <t>CN0Q</t>
        </is>
      </c>
      <c r="E361" s="80" t="inlineStr">
        <is>
          <t>EE 苏州比斯特</t>
        </is>
      </c>
      <c r="F361" s="84" t="n">
        <v>4</v>
      </c>
      <c r="G361" s="84" t="inlineStr">
        <is>
          <t>奥特莱斯</t>
        </is>
      </c>
      <c r="H361" s="84" t="inlineStr">
        <is>
          <t>EEJAG24B02</t>
        </is>
      </c>
      <c r="I361" s="84" t="n">
        <v>1599</v>
      </c>
      <c r="J361" s="84" t="n">
        <v>1599</v>
      </c>
      <c r="K361" s="85" t="n">
        <v>1</v>
      </c>
      <c r="L361" s="86" t="n">
        <v>1019</v>
      </c>
    </row>
    <row r="362" ht="12.75" customHeight="1" s="103">
      <c r="A362" s="78">
        <f>MID(H362,3,2)</f>
        <v/>
      </c>
      <c r="B362" s="84" t="inlineStr">
        <is>
          <t>B331</t>
        </is>
      </c>
      <c r="C362" s="84" t="inlineStr">
        <is>
          <t>上海区域</t>
        </is>
      </c>
      <c r="D362" s="84" t="inlineStr">
        <is>
          <t>CN0Q</t>
        </is>
      </c>
      <c r="E362" s="80" t="inlineStr">
        <is>
          <t>EE 苏州比斯特</t>
        </is>
      </c>
      <c r="F362" s="84" t="n">
        <v>4</v>
      </c>
      <c r="G362" s="84" t="inlineStr">
        <is>
          <t>奥特莱斯</t>
        </is>
      </c>
      <c r="H362" s="84" t="inlineStr">
        <is>
          <t>EEJAG24B02</t>
        </is>
      </c>
      <c r="I362" s="84" t="n">
        <v>1599</v>
      </c>
      <c r="J362" s="84" t="n">
        <v>1599</v>
      </c>
      <c r="K362" s="85" t="n"/>
      <c r="L362" s="85" t="n"/>
    </row>
    <row r="363" ht="12.75" customHeight="1" s="103">
      <c r="A363" s="78">
        <f>MID(H363,3,2)</f>
        <v/>
      </c>
      <c r="B363" s="84" t="inlineStr">
        <is>
          <t>B331</t>
        </is>
      </c>
      <c r="C363" s="84" t="inlineStr">
        <is>
          <t>上海区域</t>
        </is>
      </c>
      <c r="D363" s="84" t="inlineStr">
        <is>
          <t>CN0Q</t>
        </is>
      </c>
      <c r="E363" s="80" t="inlineStr">
        <is>
          <t>EE 苏州比斯特</t>
        </is>
      </c>
      <c r="F363" s="84" t="n">
        <v>4</v>
      </c>
      <c r="G363" s="84" t="inlineStr">
        <is>
          <t>奥特莱斯</t>
        </is>
      </c>
      <c r="H363" s="84" t="inlineStr">
        <is>
          <t>EEJAG24B03</t>
        </is>
      </c>
      <c r="I363" s="84" t="n">
        <v>1299</v>
      </c>
      <c r="J363" s="84" t="n">
        <v>1299</v>
      </c>
      <c r="K363" s="85" t="n"/>
      <c r="L363" s="85" t="n"/>
    </row>
    <row r="364" ht="12.75" customHeight="1" s="103">
      <c r="A364" s="78">
        <f>MID(H364,3,2)</f>
        <v/>
      </c>
      <c r="B364" s="84" t="inlineStr">
        <is>
          <t>B331</t>
        </is>
      </c>
      <c r="C364" s="84" t="inlineStr">
        <is>
          <t>上海区域</t>
        </is>
      </c>
      <c r="D364" s="84" t="inlineStr">
        <is>
          <t>CN0Q</t>
        </is>
      </c>
      <c r="E364" s="80" t="inlineStr">
        <is>
          <t>EE 苏州比斯特</t>
        </is>
      </c>
      <c r="F364" s="84" t="n">
        <v>4</v>
      </c>
      <c r="G364" s="84" t="inlineStr">
        <is>
          <t>奥特莱斯</t>
        </is>
      </c>
      <c r="H364" s="84" t="inlineStr">
        <is>
          <t>EEJAG24B03</t>
        </is>
      </c>
      <c r="I364" s="84" t="n">
        <v>1299</v>
      </c>
      <c r="J364" s="84" t="n">
        <v>1299</v>
      </c>
      <c r="K364" s="85" t="n"/>
      <c r="L364" s="85" t="n"/>
    </row>
    <row r="365" ht="12.75" customHeight="1" s="103">
      <c r="A365" s="78">
        <f>MID(H365,3,2)</f>
        <v/>
      </c>
      <c r="B365" s="84" t="inlineStr">
        <is>
          <t>B331</t>
        </is>
      </c>
      <c r="C365" s="84" t="inlineStr">
        <is>
          <t>上海区域</t>
        </is>
      </c>
      <c r="D365" s="84" t="inlineStr">
        <is>
          <t>CN0Q</t>
        </is>
      </c>
      <c r="E365" s="80" t="inlineStr">
        <is>
          <t>EE 苏州比斯特</t>
        </is>
      </c>
      <c r="F365" s="84" t="n">
        <v>4</v>
      </c>
      <c r="G365" s="84" t="inlineStr">
        <is>
          <t>奥特莱斯</t>
        </is>
      </c>
      <c r="H365" s="84" t="inlineStr">
        <is>
          <t>EEJAG24B03</t>
        </is>
      </c>
      <c r="I365" s="84" t="n">
        <v>1299</v>
      </c>
      <c r="J365" s="84" t="n">
        <v>1299</v>
      </c>
      <c r="K365" s="85" t="n"/>
      <c r="L365" s="85" t="n"/>
    </row>
    <row r="366" ht="12.75" customHeight="1" s="103">
      <c r="A366" s="78">
        <f>MID(H366,3,2)</f>
        <v/>
      </c>
      <c r="B366" s="84" t="inlineStr">
        <is>
          <t>B331</t>
        </is>
      </c>
      <c r="C366" s="84" t="inlineStr">
        <is>
          <t>上海区域</t>
        </is>
      </c>
      <c r="D366" s="84" t="inlineStr">
        <is>
          <t>CN0Q</t>
        </is>
      </c>
      <c r="E366" s="80" t="inlineStr">
        <is>
          <t>EE 苏州比斯特</t>
        </is>
      </c>
      <c r="F366" s="84" t="n">
        <v>4</v>
      </c>
      <c r="G366" s="84" t="inlineStr">
        <is>
          <t>奥特莱斯</t>
        </is>
      </c>
      <c r="H366" s="84" t="inlineStr">
        <is>
          <t>EEJAG24B03</t>
        </is>
      </c>
      <c r="I366" s="84" t="n">
        <v>1299</v>
      </c>
      <c r="J366" s="84" t="n">
        <v>1299</v>
      </c>
      <c r="K366" s="85" t="n"/>
      <c r="L366" s="85" t="n"/>
    </row>
    <row r="367" ht="12.75" customHeight="1" s="103">
      <c r="A367" s="78">
        <f>MID(H367,3,2)</f>
        <v/>
      </c>
      <c r="B367" s="84" t="inlineStr">
        <is>
          <t>B331</t>
        </is>
      </c>
      <c r="C367" s="84" t="inlineStr">
        <is>
          <t>上海区域</t>
        </is>
      </c>
      <c r="D367" s="84" t="inlineStr">
        <is>
          <t>CN0Q</t>
        </is>
      </c>
      <c r="E367" s="80" t="inlineStr">
        <is>
          <t>EE 苏州比斯特</t>
        </is>
      </c>
      <c r="F367" s="84" t="n">
        <v>4</v>
      </c>
      <c r="G367" s="84" t="inlineStr">
        <is>
          <t>奥特莱斯</t>
        </is>
      </c>
      <c r="H367" s="84" t="inlineStr">
        <is>
          <t>EEJAG24B03</t>
        </is>
      </c>
      <c r="I367" s="84" t="n">
        <v>1299</v>
      </c>
      <c r="J367" s="84" t="n">
        <v>1299</v>
      </c>
      <c r="K367" s="85" t="n">
        <v>1</v>
      </c>
      <c r="L367" s="85" t="n">
        <v>909</v>
      </c>
    </row>
    <row r="368" ht="12.75" customHeight="1" s="103">
      <c r="A368" s="78">
        <f>MID(H368,3,2)</f>
        <v/>
      </c>
      <c r="B368" s="84" t="inlineStr">
        <is>
          <t>B331</t>
        </is>
      </c>
      <c r="C368" s="84" t="inlineStr">
        <is>
          <t>上海区域</t>
        </is>
      </c>
      <c r="D368" s="84" t="inlineStr">
        <is>
          <t>CN0Q</t>
        </is>
      </c>
      <c r="E368" s="80" t="inlineStr">
        <is>
          <t>EE 苏州比斯特</t>
        </is>
      </c>
      <c r="F368" s="84" t="n">
        <v>4</v>
      </c>
      <c r="G368" s="84" t="inlineStr">
        <is>
          <t>奥特莱斯</t>
        </is>
      </c>
      <c r="H368" s="84" t="inlineStr">
        <is>
          <t>EEJAG24B03</t>
        </is>
      </c>
      <c r="I368" s="84" t="n">
        <v>1299</v>
      </c>
      <c r="J368" s="84" t="n">
        <v>1299</v>
      </c>
      <c r="K368" s="85" t="n"/>
      <c r="L368" s="85" t="n"/>
    </row>
    <row r="369" ht="12.75" customHeight="1" s="103">
      <c r="A369" s="78">
        <f>MID(H369,3,2)</f>
        <v/>
      </c>
      <c r="B369" s="84" t="inlineStr">
        <is>
          <t>B331</t>
        </is>
      </c>
      <c r="C369" s="84" t="inlineStr">
        <is>
          <t>上海区域</t>
        </is>
      </c>
      <c r="D369" s="84" t="inlineStr">
        <is>
          <t>CN0Q</t>
        </is>
      </c>
      <c r="E369" s="80" t="inlineStr">
        <is>
          <t>EE 苏州比斯特</t>
        </is>
      </c>
      <c r="F369" s="84" t="n">
        <v>4</v>
      </c>
      <c r="G369" s="84" t="inlineStr">
        <is>
          <t>奥特莱斯</t>
        </is>
      </c>
      <c r="H369" s="84" t="inlineStr">
        <is>
          <t>EEJAG24B04</t>
        </is>
      </c>
      <c r="I369" s="84" t="n">
        <v>1999</v>
      </c>
      <c r="J369" s="84" t="n">
        <v>1599</v>
      </c>
      <c r="K369" s="85" t="n">
        <v>12</v>
      </c>
      <c r="L369" s="86" t="n">
        <v>8664</v>
      </c>
    </row>
    <row r="370" ht="12.75" customHeight="1" s="103">
      <c r="A370" s="78">
        <f>MID(H370,3,2)</f>
        <v/>
      </c>
      <c r="B370" s="84" t="inlineStr">
        <is>
          <t>B331</t>
        </is>
      </c>
      <c r="C370" s="84" t="inlineStr">
        <is>
          <t>上海区域</t>
        </is>
      </c>
      <c r="D370" s="84" t="inlineStr">
        <is>
          <t>CN0Q</t>
        </is>
      </c>
      <c r="E370" s="80" t="inlineStr">
        <is>
          <t>EE 苏州比斯特</t>
        </is>
      </c>
      <c r="F370" s="84" t="n">
        <v>4</v>
      </c>
      <c r="G370" s="84" t="inlineStr">
        <is>
          <t>奥特莱斯</t>
        </is>
      </c>
      <c r="H370" s="84" t="inlineStr">
        <is>
          <t>EEJAG24B04</t>
        </is>
      </c>
      <c r="I370" s="84" t="n">
        <v>1999</v>
      </c>
      <c r="J370" s="84" t="n">
        <v>1599</v>
      </c>
      <c r="K370" s="85" t="n">
        <v>10</v>
      </c>
      <c r="L370" s="86" t="n">
        <v>8311</v>
      </c>
    </row>
    <row r="371" ht="12.75" customHeight="1" s="103">
      <c r="A371" s="78">
        <f>MID(H371,3,2)</f>
        <v/>
      </c>
      <c r="B371" s="84" t="inlineStr">
        <is>
          <t>B331</t>
        </is>
      </c>
      <c r="C371" s="84" t="inlineStr">
        <is>
          <t>上海区域</t>
        </is>
      </c>
      <c r="D371" s="84" t="inlineStr">
        <is>
          <t>CN0Q</t>
        </is>
      </c>
      <c r="E371" s="80" t="inlineStr">
        <is>
          <t>EE 苏州比斯特</t>
        </is>
      </c>
      <c r="F371" s="84" t="n">
        <v>4</v>
      </c>
      <c r="G371" s="84" t="inlineStr">
        <is>
          <t>奥特莱斯</t>
        </is>
      </c>
      <c r="H371" s="84" t="inlineStr">
        <is>
          <t>EEJAG24B04</t>
        </is>
      </c>
      <c r="I371" s="84" t="n">
        <v>1999</v>
      </c>
      <c r="J371" s="84" t="n">
        <v>1599</v>
      </c>
      <c r="K371" s="85" t="n">
        <v>5</v>
      </c>
      <c r="L371" s="86" t="n">
        <v>3571</v>
      </c>
    </row>
    <row r="372" ht="12.75" customHeight="1" s="103">
      <c r="A372" s="78">
        <f>MID(H372,3,2)</f>
        <v/>
      </c>
      <c r="B372" s="84" t="inlineStr">
        <is>
          <t>B331</t>
        </is>
      </c>
      <c r="C372" s="84" t="inlineStr">
        <is>
          <t>上海区域</t>
        </is>
      </c>
      <c r="D372" s="84" t="inlineStr">
        <is>
          <t>CN0Q</t>
        </is>
      </c>
      <c r="E372" s="80" t="inlineStr">
        <is>
          <t>EE 苏州比斯特</t>
        </is>
      </c>
      <c r="F372" s="84" t="n">
        <v>4</v>
      </c>
      <c r="G372" s="84" t="inlineStr">
        <is>
          <t>奥特莱斯</t>
        </is>
      </c>
      <c r="H372" s="84" t="inlineStr">
        <is>
          <t>EEJJG23B01</t>
        </is>
      </c>
      <c r="I372" s="84" t="n">
        <v>899</v>
      </c>
      <c r="J372" s="84" t="n">
        <v>899</v>
      </c>
      <c r="K372" s="85" t="n"/>
      <c r="L372" s="85" t="n"/>
    </row>
    <row r="373" ht="12.75" customHeight="1" s="103">
      <c r="A373" s="78">
        <f>MID(H373,3,2)</f>
        <v/>
      </c>
      <c r="B373" s="84" t="inlineStr">
        <is>
          <t>B331</t>
        </is>
      </c>
      <c r="C373" s="84" t="inlineStr">
        <is>
          <t>上海区域</t>
        </is>
      </c>
      <c r="D373" s="84" t="inlineStr">
        <is>
          <t>CN0Q</t>
        </is>
      </c>
      <c r="E373" s="80" t="inlineStr">
        <is>
          <t>EE 苏州比斯特</t>
        </is>
      </c>
      <c r="F373" s="84" t="n">
        <v>4</v>
      </c>
      <c r="G373" s="84" t="inlineStr">
        <is>
          <t>奥特莱斯</t>
        </is>
      </c>
      <c r="H373" s="84" t="inlineStr">
        <is>
          <t>EEJJG23B01</t>
        </is>
      </c>
      <c r="I373" s="84" t="n">
        <v>899</v>
      </c>
      <c r="J373" s="84" t="n">
        <v>899</v>
      </c>
      <c r="K373" s="85" t="n"/>
      <c r="L373" s="85" t="n"/>
    </row>
    <row r="374" ht="12.75" customHeight="1" s="103">
      <c r="A374" s="78">
        <f>MID(H374,3,2)</f>
        <v/>
      </c>
      <c r="B374" s="84" t="inlineStr">
        <is>
          <t>B331</t>
        </is>
      </c>
      <c r="C374" s="84" t="inlineStr">
        <is>
          <t>上海区域</t>
        </is>
      </c>
      <c r="D374" s="84" t="inlineStr">
        <is>
          <t>CN0Q</t>
        </is>
      </c>
      <c r="E374" s="80" t="inlineStr">
        <is>
          <t>EE 苏州比斯特</t>
        </is>
      </c>
      <c r="F374" s="84" t="n">
        <v>4</v>
      </c>
      <c r="G374" s="84" t="inlineStr">
        <is>
          <t>奥特莱斯</t>
        </is>
      </c>
      <c r="H374" s="84" t="inlineStr">
        <is>
          <t>EEJJG23B01</t>
        </is>
      </c>
      <c r="I374" s="84" t="n">
        <v>899</v>
      </c>
      <c r="J374" s="84" t="n">
        <v>899</v>
      </c>
      <c r="K374" s="85" t="n"/>
      <c r="L374" s="85" t="n"/>
    </row>
    <row r="375" ht="12.75" customHeight="1" s="103">
      <c r="A375" s="78">
        <f>MID(H375,3,2)</f>
        <v/>
      </c>
      <c r="B375" s="84" t="inlineStr">
        <is>
          <t>B331</t>
        </is>
      </c>
      <c r="C375" s="84" t="inlineStr">
        <is>
          <t>上海区域</t>
        </is>
      </c>
      <c r="D375" s="84" t="inlineStr">
        <is>
          <t>CN0Q</t>
        </is>
      </c>
      <c r="E375" s="80" t="inlineStr">
        <is>
          <t>EE 苏州比斯特</t>
        </is>
      </c>
      <c r="F375" s="84" t="n">
        <v>4</v>
      </c>
      <c r="G375" s="84" t="inlineStr">
        <is>
          <t>奥特莱斯</t>
        </is>
      </c>
      <c r="H375" s="84" t="inlineStr">
        <is>
          <t>EEJJG23B01</t>
        </is>
      </c>
      <c r="I375" s="84" t="n">
        <v>899</v>
      </c>
      <c r="J375" s="84" t="n">
        <v>899</v>
      </c>
      <c r="K375" s="85" t="n">
        <v>1</v>
      </c>
      <c r="L375" s="85" t="n"/>
    </row>
    <row r="376" ht="12.75" customHeight="1" s="103">
      <c r="A376" s="78">
        <f>MID(H376,3,2)</f>
        <v/>
      </c>
      <c r="B376" s="84" t="inlineStr">
        <is>
          <t>B331</t>
        </is>
      </c>
      <c r="C376" s="84" t="inlineStr">
        <is>
          <t>上海区域</t>
        </is>
      </c>
      <c r="D376" s="84" t="inlineStr">
        <is>
          <t>CN0Q</t>
        </is>
      </c>
      <c r="E376" s="80" t="inlineStr">
        <is>
          <t>EE 苏州比斯特</t>
        </is>
      </c>
      <c r="F376" s="84" t="n">
        <v>4</v>
      </c>
      <c r="G376" s="84" t="inlineStr">
        <is>
          <t>奥特莱斯</t>
        </is>
      </c>
      <c r="H376" s="84" t="inlineStr">
        <is>
          <t>EEJJG23B01</t>
        </is>
      </c>
      <c r="I376" s="84" t="n">
        <v>899</v>
      </c>
      <c r="J376" s="84" t="n">
        <v>899</v>
      </c>
      <c r="K376" s="85" t="n"/>
      <c r="L376" s="85" t="n"/>
    </row>
    <row r="377" ht="12.75" customHeight="1" s="103">
      <c r="A377" s="78">
        <f>MID(H377,3,2)</f>
        <v/>
      </c>
      <c r="B377" s="84" t="inlineStr">
        <is>
          <t>B331</t>
        </is>
      </c>
      <c r="C377" s="84" t="inlineStr">
        <is>
          <t>上海区域</t>
        </is>
      </c>
      <c r="D377" s="84" t="inlineStr">
        <is>
          <t>CN0Q</t>
        </is>
      </c>
      <c r="E377" s="80" t="inlineStr">
        <is>
          <t>EE 苏州比斯特</t>
        </is>
      </c>
      <c r="F377" s="84" t="n">
        <v>4</v>
      </c>
      <c r="G377" s="84" t="inlineStr">
        <is>
          <t>奥特莱斯</t>
        </is>
      </c>
      <c r="H377" s="84" t="inlineStr">
        <is>
          <t>EEJJG23B01</t>
        </is>
      </c>
      <c r="I377" s="84" t="n">
        <v>899</v>
      </c>
      <c r="J377" s="84" t="n">
        <v>899</v>
      </c>
      <c r="K377" s="85" t="n"/>
      <c r="L377" s="85" t="n"/>
    </row>
    <row r="378" ht="12.75" customHeight="1" s="103">
      <c r="A378" s="78">
        <f>MID(H378,3,2)</f>
        <v/>
      </c>
      <c r="B378" s="84" t="inlineStr">
        <is>
          <t>B331</t>
        </is>
      </c>
      <c r="C378" s="84" t="inlineStr">
        <is>
          <t>上海区域</t>
        </is>
      </c>
      <c r="D378" s="84" t="inlineStr">
        <is>
          <t>CN0Q</t>
        </is>
      </c>
      <c r="E378" s="80" t="inlineStr">
        <is>
          <t>EE 苏州比斯特</t>
        </is>
      </c>
      <c r="F378" s="84" t="n">
        <v>4</v>
      </c>
      <c r="G378" s="84" t="inlineStr">
        <is>
          <t>奥特莱斯</t>
        </is>
      </c>
      <c r="H378" s="84" t="inlineStr">
        <is>
          <t>EEJJG23D03</t>
        </is>
      </c>
      <c r="I378" s="84" t="n">
        <v>1599</v>
      </c>
      <c r="J378" s="84" t="n">
        <v>1599</v>
      </c>
      <c r="K378" s="85" t="n"/>
      <c r="L378" s="85" t="n"/>
    </row>
    <row r="379" ht="12.75" customHeight="1" s="103">
      <c r="A379" s="78">
        <f>MID(H379,3,2)</f>
        <v/>
      </c>
      <c r="B379" s="84" t="inlineStr">
        <is>
          <t>B331</t>
        </is>
      </c>
      <c r="C379" s="84" t="inlineStr">
        <is>
          <t>上海区域</t>
        </is>
      </c>
      <c r="D379" s="84" t="inlineStr">
        <is>
          <t>CN0Q</t>
        </is>
      </c>
      <c r="E379" s="80" t="inlineStr">
        <is>
          <t>EE 苏州比斯特</t>
        </is>
      </c>
      <c r="F379" s="84" t="n">
        <v>4</v>
      </c>
      <c r="G379" s="84" t="inlineStr">
        <is>
          <t>奥特莱斯</t>
        </is>
      </c>
      <c r="H379" s="84" t="inlineStr">
        <is>
          <t>EEJJG23D03</t>
        </is>
      </c>
      <c r="I379" s="84" t="n">
        <v>1599</v>
      </c>
      <c r="J379" s="84" t="n">
        <v>1599</v>
      </c>
      <c r="K379" s="85" t="n"/>
      <c r="L379" s="85" t="n"/>
    </row>
    <row r="380" ht="12.75" customHeight="1" s="103">
      <c r="A380" s="78">
        <f>MID(H380,3,2)</f>
        <v/>
      </c>
      <c r="B380" s="84" t="inlineStr">
        <is>
          <t>B331</t>
        </is>
      </c>
      <c r="C380" s="84" t="inlineStr">
        <is>
          <t>上海区域</t>
        </is>
      </c>
      <c r="D380" s="84" t="inlineStr">
        <is>
          <t>CN0Q</t>
        </is>
      </c>
      <c r="E380" s="80" t="inlineStr">
        <is>
          <t>EE 苏州比斯特</t>
        </is>
      </c>
      <c r="F380" s="84" t="n">
        <v>4</v>
      </c>
      <c r="G380" s="84" t="inlineStr">
        <is>
          <t>奥特莱斯</t>
        </is>
      </c>
      <c r="H380" s="84" t="inlineStr">
        <is>
          <t>EEJJG23D03</t>
        </is>
      </c>
      <c r="I380" s="84" t="n">
        <v>1599</v>
      </c>
      <c r="J380" s="84" t="n">
        <v>1599</v>
      </c>
      <c r="K380" s="85" t="n"/>
      <c r="L380" s="85" t="n"/>
    </row>
    <row r="381" ht="12.75" customHeight="1" s="103">
      <c r="A381" s="78">
        <f>MID(H381,3,2)</f>
        <v/>
      </c>
      <c r="B381" s="84" t="inlineStr">
        <is>
          <t>B331</t>
        </is>
      </c>
      <c r="C381" s="84" t="inlineStr">
        <is>
          <t>上海区域</t>
        </is>
      </c>
      <c r="D381" s="84" t="inlineStr">
        <is>
          <t>CN0Q</t>
        </is>
      </c>
      <c r="E381" s="80" t="inlineStr">
        <is>
          <t>EE 苏州比斯特</t>
        </is>
      </c>
      <c r="F381" s="84" t="n">
        <v>4</v>
      </c>
      <c r="G381" s="84" t="inlineStr">
        <is>
          <t>奥特莱斯</t>
        </is>
      </c>
      <c r="H381" s="84" t="inlineStr">
        <is>
          <t>EEJJG23D1G</t>
        </is>
      </c>
      <c r="I381" s="84" t="n">
        <v>1299</v>
      </c>
      <c r="J381" s="84" t="n">
        <v>1299</v>
      </c>
      <c r="K381" s="85" t="n">
        <v>1</v>
      </c>
      <c r="L381" s="85" t="n"/>
    </row>
    <row r="382" ht="12.75" customHeight="1" s="103">
      <c r="A382" s="78">
        <f>MID(H382,3,2)</f>
        <v/>
      </c>
      <c r="B382" s="84" t="inlineStr">
        <is>
          <t>B331</t>
        </is>
      </c>
      <c r="C382" s="84" t="inlineStr">
        <is>
          <t>上海区域</t>
        </is>
      </c>
      <c r="D382" s="84" t="inlineStr">
        <is>
          <t>CN0Q</t>
        </is>
      </c>
      <c r="E382" s="80" t="inlineStr">
        <is>
          <t>EE 苏州比斯特</t>
        </is>
      </c>
      <c r="F382" s="84" t="n">
        <v>4</v>
      </c>
      <c r="G382" s="84" t="inlineStr">
        <is>
          <t>奥特莱斯</t>
        </is>
      </c>
      <c r="H382" s="84" t="inlineStr">
        <is>
          <t>EEJJG23D1G</t>
        </is>
      </c>
      <c r="I382" s="84" t="n">
        <v>1299</v>
      </c>
      <c r="J382" s="84" t="n">
        <v>1299</v>
      </c>
      <c r="K382" s="85" t="n">
        <v>1</v>
      </c>
      <c r="L382" s="85" t="n"/>
    </row>
    <row r="383" ht="12.75" customHeight="1" s="103">
      <c r="A383" s="78">
        <f>MID(H383,3,2)</f>
        <v/>
      </c>
      <c r="B383" s="84" t="inlineStr">
        <is>
          <t>B331</t>
        </is>
      </c>
      <c r="C383" s="84" t="inlineStr">
        <is>
          <t>上海区域</t>
        </is>
      </c>
      <c r="D383" s="84" t="inlineStr">
        <is>
          <t>CN0Q</t>
        </is>
      </c>
      <c r="E383" s="80" t="inlineStr">
        <is>
          <t>EE 苏州比斯特</t>
        </is>
      </c>
      <c r="F383" s="84" t="n">
        <v>4</v>
      </c>
      <c r="G383" s="84" t="inlineStr">
        <is>
          <t>奥特莱斯</t>
        </is>
      </c>
      <c r="H383" s="84" t="inlineStr">
        <is>
          <t>EEJJG23D1G</t>
        </is>
      </c>
      <c r="I383" s="84" t="n">
        <v>1299</v>
      </c>
      <c r="J383" s="84" t="n">
        <v>1299</v>
      </c>
      <c r="K383" s="85" t="n">
        <v>1</v>
      </c>
      <c r="L383" s="85" t="n">
        <v>830</v>
      </c>
    </row>
    <row r="384" ht="12.75" customHeight="1" s="103">
      <c r="A384" s="78">
        <f>MID(H384,3,2)</f>
        <v/>
      </c>
      <c r="B384" s="84" t="inlineStr">
        <is>
          <t>B331</t>
        </is>
      </c>
      <c r="C384" s="84" t="inlineStr">
        <is>
          <t>上海区域</t>
        </is>
      </c>
      <c r="D384" s="84" t="inlineStr">
        <is>
          <t>CN0Q</t>
        </is>
      </c>
      <c r="E384" s="80" t="inlineStr">
        <is>
          <t>EE 苏州比斯特</t>
        </is>
      </c>
      <c r="F384" s="84" t="n">
        <v>4</v>
      </c>
      <c r="G384" s="84" t="inlineStr">
        <is>
          <t>奥特莱斯</t>
        </is>
      </c>
      <c r="H384" s="84" t="inlineStr">
        <is>
          <t>EEJJG23D1G</t>
        </is>
      </c>
      <c r="I384" s="84" t="n">
        <v>1299</v>
      </c>
      <c r="J384" s="84" t="n">
        <v>1299</v>
      </c>
      <c r="K384" s="85" t="n"/>
      <c r="L384" s="85" t="n"/>
    </row>
    <row r="385" ht="12.75" customHeight="1" s="103">
      <c r="A385" s="78">
        <f>MID(H385,3,2)</f>
        <v/>
      </c>
      <c r="B385" s="84" t="inlineStr">
        <is>
          <t>B331</t>
        </is>
      </c>
      <c r="C385" s="84" t="inlineStr">
        <is>
          <t>上海区域</t>
        </is>
      </c>
      <c r="D385" s="84" t="inlineStr">
        <is>
          <t>CN0Q</t>
        </is>
      </c>
      <c r="E385" s="80" t="inlineStr">
        <is>
          <t>EE 苏州比斯特</t>
        </is>
      </c>
      <c r="F385" s="84" t="n">
        <v>4</v>
      </c>
      <c r="G385" s="84" t="inlineStr">
        <is>
          <t>奥特莱斯</t>
        </is>
      </c>
      <c r="H385" s="84" t="inlineStr">
        <is>
          <t>EEJJG23D2G</t>
        </is>
      </c>
      <c r="I385" s="84" t="n">
        <v>1299</v>
      </c>
      <c r="J385" s="84" t="n">
        <v>1299</v>
      </c>
      <c r="K385" s="85" t="n">
        <v>2</v>
      </c>
      <c r="L385" s="85" t="n"/>
    </row>
    <row r="386" ht="12.75" customHeight="1" s="103">
      <c r="A386" s="78">
        <f>MID(H386,3,2)</f>
        <v/>
      </c>
      <c r="B386" s="84" t="inlineStr">
        <is>
          <t>B331</t>
        </is>
      </c>
      <c r="C386" s="84" t="inlineStr">
        <is>
          <t>上海区域</t>
        </is>
      </c>
      <c r="D386" s="84" t="inlineStr">
        <is>
          <t>CN0Q</t>
        </is>
      </c>
      <c r="E386" s="80" t="inlineStr">
        <is>
          <t>EE 苏州比斯特</t>
        </is>
      </c>
      <c r="F386" s="84" t="n">
        <v>4</v>
      </c>
      <c r="G386" s="84" t="inlineStr">
        <is>
          <t>奥特莱斯</t>
        </is>
      </c>
      <c r="H386" s="84" t="inlineStr">
        <is>
          <t>EEJJG23D2G</t>
        </is>
      </c>
      <c r="I386" s="84" t="n">
        <v>1299</v>
      </c>
      <c r="J386" s="84" t="n">
        <v>1299</v>
      </c>
      <c r="K386" s="85" t="n"/>
      <c r="L386" s="85" t="n"/>
    </row>
    <row r="387" ht="12.75" customHeight="1" s="103">
      <c r="A387" s="78">
        <f>MID(H387,3,2)</f>
        <v/>
      </c>
      <c r="B387" s="84" t="inlineStr">
        <is>
          <t>B331</t>
        </is>
      </c>
      <c r="C387" s="84" t="inlineStr">
        <is>
          <t>上海区域</t>
        </is>
      </c>
      <c r="D387" s="84" t="inlineStr">
        <is>
          <t>CN0Q</t>
        </is>
      </c>
      <c r="E387" s="80" t="inlineStr">
        <is>
          <t>EE 苏州比斯特</t>
        </is>
      </c>
      <c r="F387" s="84" t="n">
        <v>4</v>
      </c>
      <c r="G387" s="84" t="inlineStr">
        <is>
          <t>奥特莱斯</t>
        </is>
      </c>
      <c r="H387" s="84" t="inlineStr">
        <is>
          <t>EEJJG23D2G</t>
        </is>
      </c>
      <c r="I387" s="84" t="n">
        <v>1299</v>
      </c>
      <c r="J387" s="84" t="n">
        <v>1299</v>
      </c>
      <c r="K387" s="85" t="n">
        <v>1</v>
      </c>
      <c r="L387" s="85" t="n">
        <v>909</v>
      </c>
    </row>
    <row r="388" ht="12.75" customHeight="1" s="103">
      <c r="A388" s="78">
        <f>MID(H388,3,2)</f>
        <v/>
      </c>
      <c r="B388" s="84" t="inlineStr">
        <is>
          <t>B331</t>
        </is>
      </c>
      <c r="C388" s="84" t="inlineStr">
        <is>
          <t>上海区域</t>
        </is>
      </c>
      <c r="D388" s="84" t="inlineStr">
        <is>
          <t>CN0Q</t>
        </is>
      </c>
      <c r="E388" s="80" t="inlineStr">
        <is>
          <t>EE 苏州比斯特</t>
        </is>
      </c>
      <c r="F388" s="84" t="n">
        <v>4</v>
      </c>
      <c r="G388" s="84" t="inlineStr">
        <is>
          <t>奥特莱斯</t>
        </is>
      </c>
      <c r="H388" s="84" t="inlineStr">
        <is>
          <t>EEJKF24M02</t>
        </is>
      </c>
      <c r="I388" s="84" t="n">
        <v>1399</v>
      </c>
      <c r="J388" s="84" t="n">
        <v>1299</v>
      </c>
      <c r="K388" s="85" t="n"/>
      <c r="L388" s="85" t="n"/>
    </row>
    <row r="389" ht="12.75" customHeight="1" s="103">
      <c r="A389" s="78">
        <f>MID(H389,3,2)</f>
        <v/>
      </c>
      <c r="B389" s="84" t="inlineStr">
        <is>
          <t>B331</t>
        </is>
      </c>
      <c r="C389" s="84" t="inlineStr">
        <is>
          <t>上海区域</t>
        </is>
      </c>
      <c r="D389" s="84" t="inlineStr">
        <is>
          <t>CN0Q</t>
        </is>
      </c>
      <c r="E389" s="80" t="inlineStr">
        <is>
          <t>EE 苏州比斯特</t>
        </is>
      </c>
      <c r="F389" s="84" t="n">
        <v>4</v>
      </c>
      <c r="G389" s="84" t="inlineStr">
        <is>
          <t>奥特莱斯</t>
        </is>
      </c>
      <c r="H389" s="84" t="inlineStr">
        <is>
          <t>EEJKF24M02</t>
        </is>
      </c>
      <c r="I389" s="84" t="n">
        <v>1399</v>
      </c>
      <c r="J389" s="84" t="n">
        <v>1299</v>
      </c>
      <c r="K389" s="85" t="n"/>
      <c r="L389" s="85" t="n"/>
    </row>
    <row r="390" ht="12.75" customHeight="1" s="103">
      <c r="A390" s="78">
        <f>MID(H390,3,2)</f>
        <v/>
      </c>
      <c r="B390" s="84" t="inlineStr">
        <is>
          <t>B331</t>
        </is>
      </c>
      <c r="C390" s="84" t="inlineStr">
        <is>
          <t>上海区域</t>
        </is>
      </c>
      <c r="D390" s="84" t="inlineStr">
        <is>
          <t>CN0Q</t>
        </is>
      </c>
      <c r="E390" s="80" t="inlineStr">
        <is>
          <t>EE 苏州比斯特</t>
        </is>
      </c>
      <c r="F390" s="84" t="n">
        <v>4</v>
      </c>
      <c r="G390" s="84" t="inlineStr">
        <is>
          <t>奥特莱斯</t>
        </is>
      </c>
      <c r="H390" s="84" t="inlineStr">
        <is>
          <t>EEJKF24M02</t>
        </is>
      </c>
      <c r="I390" s="84" t="n">
        <v>1399</v>
      </c>
      <c r="J390" s="84" t="n">
        <v>1299</v>
      </c>
      <c r="K390" s="85" t="n"/>
      <c r="L390" s="85" t="n"/>
    </row>
    <row r="391" ht="12.75" customHeight="1" s="103">
      <c r="A391" s="78">
        <f>MID(H391,3,2)</f>
        <v/>
      </c>
      <c r="B391" s="84" t="inlineStr">
        <is>
          <t>B331</t>
        </is>
      </c>
      <c r="C391" s="84" t="inlineStr">
        <is>
          <t>上海区域</t>
        </is>
      </c>
      <c r="D391" s="84" t="inlineStr">
        <is>
          <t>CN0Q</t>
        </is>
      </c>
      <c r="E391" s="80" t="inlineStr">
        <is>
          <t>EE 苏州比斯特</t>
        </is>
      </c>
      <c r="F391" s="84" t="n">
        <v>4</v>
      </c>
      <c r="G391" s="84" t="inlineStr">
        <is>
          <t>奥特莱斯</t>
        </is>
      </c>
      <c r="H391" s="84" t="inlineStr">
        <is>
          <t>EEJKF24M02</t>
        </is>
      </c>
      <c r="I391" s="84" t="n">
        <v>1399</v>
      </c>
      <c r="J391" s="84" t="n">
        <v>1299</v>
      </c>
      <c r="K391" s="85" t="n"/>
      <c r="L391" s="85" t="n"/>
    </row>
    <row r="392" ht="12.75" customHeight="1" s="103">
      <c r="A392" s="78">
        <f>MID(H392,3,2)</f>
        <v/>
      </c>
      <c r="B392" s="84" t="inlineStr">
        <is>
          <t>B331</t>
        </is>
      </c>
      <c r="C392" s="84" t="inlineStr">
        <is>
          <t>上海区域</t>
        </is>
      </c>
      <c r="D392" s="84" t="inlineStr">
        <is>
          <t>CN0Q</t>
        </is>
      </c>
      <c r="E392" s="80" t="inlineStr">
        <is>
          <t>EE 苏州比斯特</t>
        </is>
      </c>
      <c r="F392" s="84" t="n">
        <v>4</v>
      </c>
      <c r="G392" s="84" t="inlineStr">
        <is>
          <t>奥特莱斯</t>
        </is>
      </c>
      <c r="H392" s="84" t="inlineStr">
        <is>
          <t>EEJKF24M02</t>
        </is>
      </c>
      <c r="I392" s="84" t="n">
        <v>1399</v>
      </c>
      <c r="J392" s="84" t="n">
        <v>1299</v>
      </c>
      <c r="K392" s="85" t="n"/>
      <c r="L392" s="85" t="n"/>
    </row>
    <row r="393" ht="12.75" customHeight="1" s="103">
      <c r="A393" s="78">
        <f>MID(H393,3,2)</f>
        <v/>
      </c>
      <c r="B393" s="84" t="inlineStr">
        <is>
          <t>B331</t>
        </is>
      </c>
      <c r="C393" s="84" t="inlineStr">
        <is>
          <t>上海区域</t>
        </is>
      </c>
      <c r="D393" s="84" t="inlineStr">
        <is>
          <t>CN0Q</t>
        </is>
      </c>
      <c r="E393" s="80" t="inlineStr">
        <is>
          <t>EE 苏州比斯特</t>
        </is>
      </c>
      <c r="F393" s="84" t="n">
        <v>4</v>
      </c>
      <c r="G393" s="84" t="inlineStr">
        <is>
          <t>奥特莱斯</t>
        </is>
      </c>
      <c r="H393" s="84" t="inlineStr">
        <is>
          <t>EEJKF24M02</t>
        </is>
      </c>
      <c r="I393" s="84" t="n">
        <v>1399</v>
      </c>
      <c r="J393" s="84" t="n">
        <v>1299</v>
      </c>
      <c r="K393" s="85" t="n"/>
      <c r="L393" s="85" t="n"/>
    </row>
    <row r="394" ht="12.75" customHeight="1" s="103">
      <c r="A394" s="78">
        <f>MID(H394,3,2)</f>
        <v/>
      </c>
      <c r="B394" s="84" t="inlineStr">
        <is>
          <t>B331</t>
        </is>
      </c>
      <c r="C394" s="84" t="inlineStr">
        <is>
          <t>上海区域</t>
        </is>
      </c>
      <c r="D394" s="84" t="inlineStr">
        <is>
          <t>CN0Q</t>
        </is>
      </c>
      <c r="E394" s="80" t="inlineStr">
        <is>
          <t>EE 苏州比斯特</t>
        </is>
      </c>
      <c r="F394" s="84" t="n">
        <v>4</v>
      </c>
      <c r="G394" s="84" t="inlineStr">
        <is>
          <t>奥特莱斯</t>
        </is>
      </c>
      <c r="H394" s="84" t="inlineStr">
        <is>
          <t>EEJKF24M02</t>
        </is>
      </c>
      <c r="I394" s="84" t="n">
        <v>1399</v>
      </c>
      <c r="J394" s="84" t="n">
        <v>1299</v>
      </c>
      <c r="K394" s="85" t="n"/>
      <c r="L394" s="85" t="n"/>
    </row>
    <row r="395" ht="12.75" customHeight="1" s="103">
      <c r="A395" s="78">
        <f>MID(H395,3,2)</f>
        <v/>
      </c>
      <c r="B395" s="84" t="inlineStr">
        <is>
          <t>B331</t>
        </is>
      </c>
      <c r="C395" s="84" t="inlineStr">
        <is>
          <t>上海区域</t>
        </is>
      </c>
      <c r="D395" s="84" t="inlineStr">
        <is>
          <t>CN0Q</t>
        </is>
      </c>
      <c r="E395" s="80" t="inlineStr">
        <is>
          <t>EE 苏州比斯特</t>
        </is>
      </c>
      <c r="F395" s="84" t="n">
        <v>4</v>
      </c>
      <c r="G395" s="84" t="inlineStr">
        <is>
          <t>奥特莱斯</t>
        </is>
      </c>
      <c r="H395" s="84" t="inlineStr">
        <is>
          <t>EEJKF24M02</t>
        </is>
      </c>
      <c r="I395" s="84" t="n">
        <v>1399</v>
      </c>
      <c r="J395" s="84" t="n">
        <v>1299</v>
      </c>
      <c r="K395" s="85" t="n"/>
      <c r="L395" s="85" t="n"/>
    </row>
    <row r="396" ht="12.75" customHeight="1" s="103">
      <c r="A396" s="78">
        <f>MID(H396,3,2)</f>
        <v/>
      </c>
      <c r="B396" s="84" t="inlineStr">
        <is>
          <t>B331</t>
        </is>
      </c>
      <c r="C396" s="84" t="inlineStr">
        <is>
          <t>上海区域</t>
        </is>
      </c>
      <c r="D396" s="84" t="inlineStr">
        <is>
          <t>CN0Q</t>
        </is>
      </c>
      <c r="E396" s="80" t="inlineStr">
        <is>
          <t>EE 苏州比斯特</t>
        </is>
      </c>
      <c r="F396" s="84" t="n">
        <v>4</v>
      </c>
      <c r="G396" s="84" t="inlineStr">
        <is>
          <t>奥特莱斯</t>
        </is>
      </c>
      <c r="H396" s="84" t="inlineStr">
        <is>
          <t>EEJKF24M02</t>
        </is>
      </c>
      <c r="I396" s="84" t="n">
        <v>1399</v>
      </c>
      <c r="J396" s="84" t="n">
        <v>1299</v>
      </c>
      <c r="K396" s="85" t="n"/>
      <c r="L396" s="85" t="n"/>
    </row>
    <row r="397" ht="12.75" customHeight="1" s="103">
      <c r="A397" s="78">
        <f>MID(H397,3,2)</f>
        <v/>
      </c>
      <c r="B397" s="84" t="inlineStr">
        <is>
          <t>B331</t>
        </is>
      </c>
      <c r="C397" s="84" t="inlineStr">
        <is>
          <t>上海区域</t>
        </is>
      </c>
      <c r="D397" s="84" t="inlineStr">
        <is>
          <t>CN0Q</t>
        </is>
      </c>
      <c r="E397" s="80" t="inlineStr">
        <is>
          <t>EE 苏州比斯特</t>
        </is>
      </c>
      <c r="F397" s="84" t="n">
        <v>4</v>
      </c>
      <c r="G397" s="84" t="inlineStr">
        <is>
          <t>奥特莱斯</t>
        </is>
      </c>
      <c r="H397" s="84" t="inlineStr">
        <is>
          <t>EEJKG23B1G</t>
        </is>
      </c>
      <c r="I397" s="84" t="n">
        <v>1599</v>
      </c>
      <c r="J397" s="84" t="n">
        <v>1599</v>
      </c>
      <c r="K397" s="85" t="n">
        <v>1</v>
      </c>
      <c r="L397" s="86" t="n">
        <v>1050</v>
      </c>
    </row>
    <row r="398" ht="12.75" customHeight="1" s="103">
      <c r="A398" s="78">
        <f>MID(H398,3,2)</f>
        <v/>
      </c>
      <c r="B398" s="84" t="inlineStr">
        <is>
          <t>B331</t>
        </is>
      </c>
      <c r="C398" s="84" t="inlineStr">
        <is>
          <t>上海区域</t>
        </is>
      </c>
      <c r="D398" s="84" t="inlineStr">
        <is>
          <t>CN0Q</t>
        </is>
      </c>
      <c r="E398" s="80" t="inlineStr">
        <is>
          <t>EE 苏州比斯特</t>
        </is>
      </c>
      <c r="F398" s="84" t="n">
        <v>4</v>
      </c>
      <c r="G398" s="84" t="inlineStr">
        <is>
          <t>奥特莱斯</t>
        </is>
      </c>
      <c r="H398" s="84" t="inlineStr">
        <is>
          <t>EEJKG23B1G</t>
        </is>
      </c>
      <c r="I398" s="84" t="n">
        <v>1599</v>
      </c>
      <c r="J398" s="84" t="n">
        <v>1599</v>
      </c>
      <c r="K398" s="85" t="n"/>
      <c r="L398" s="85" t="n"/>
    </row>
    <row r="399" ht="12.75" customHeight="1" s="103">
      <c r="A399" s="78">
        <f>MID(H399,3,2)</f>
        <v/>
      </c>
      <c r="B399" s="84" t="inlineStr">
        <is>
          <t>B331</t>
        </is>
      </c>
      <c r="C399" s="84" t="inlineStr">
        <is>
          <t>上海区域</t>
        </is>
      </c>
      <c r="D399" s="84" t="inlineStr">
        <is>
          <t>CN0Q</t>
        </is>
      </c>
      <c r="E399" s="80" t="inlineStr">
        <is>
          <t>EE 苏州比斯特</t>
        </is>
      </c>
      <c r="F399" s="84" t="n">
        <v>4</v>
      </c>
      <c r="G399" s="84" t="inlineStr">
        <is>
          <t>奥特莱斯</t>
        </is>
      </c>
      <c r="H399" s="84" t="inlineStr">
        <is>
          <t>EEJKG23B1G</t>
        </is>
      </c>
      <c r="I399" s="84" t="n">
        <v>1599</v>
      </c>
      <c r="J399" s="84" t="n">
        <v>1599</v>
      </c>
      <c r="K399" s="85" t="n"/>
      <c r="L399" s="85" t="n"/>
    </row>
    <row r="400" ht="12.75" customHeight="1" s="103">
      <c r="A400" s="78">
        <f>MID(H400,3,2)</f>
        <v/>
      </c>
      <c r="B400" s="84" t="inlineStr">
        <is>
          <t>B331</t>
        </is>
      </c>
      <c r="C400" s="84" t="inlineStr">
        <is>
          <t>上海区域</t>
        </is>
      </c>
      <c r="D400" s="84" t="inlineStr">
        <is>
          <t>CN0Q</t>
        </is>
      </c>
      <c r="E400" s="80" t="inlineStr">
        <is>
          <t>EE 苏州比斯特</t>
        </is>
      </c>
      <c r="F400" s="84" t="n">
        <v>4</v>
      </c>
      <c r="G400" s="84" t="inlineStr">
        <is>
          <t>奥特莱斯</t>
        </is>
      </c>
      <c r="H400" s="84" t="inlineStr">
        <is>
          <t>EEJKG24B01</t>
        </is>
      </c>
      <c r="I400" s="84" t="n">
        <v>1599</v>
      </c>
      <c r="J400" s="84" t="n">
        <v>1599</v>
      </c>
      <c r="K400" s="85" t="n"/>
      <c r="L400" s="85" t="n"/>
    </row>
    <row r="401" ht="12.75" customHeight="1" s="103">
      <c r="A401" s="78">
        <f>MID(H401,3,2)</f>
        <v/>
      </c>
      <c r="B401" s="84" t="inlineStr">
        <is>
          <t>B331</t>
        </is>
      </c>
      <c r="C401" s="84" t="inlineStr">
        <is>
          <t>上海区域</t>
        </is>
      </c>
      <c r="D401" s="84" t="inlineStr">
        <is>
          <t>CN0Q</t>
        </is>
      </c>
      <c r="E401" s="80" t="inlineStr">
        <is>
          <t>EE 苏州比斯特</t>
        </is>
      </c>
      <c r="F401" s="84" t="n">
        <v>4</v>
      </c>
      <c r="G401" s="84" t="inlineStr">
        <is>
          <t>奥特莱斯</t>
        </is>
      </c>
      <c r="H401" s="84" t="inlineStr">
        <is>
          <t>EEJKG24B01</t>
        </is>
      </c>
      <c r="I401" s="84" t="n">
        <v>1599</v>
      </c>
      <c r="J401" s="84" t="n">
        <v>1599</v>
      </c>
      <c r="K401" s="85" t="n">
        <v>1</v>
      </c>
      <c r="L401" s="86" t="n">
        <v>1019</v>
      </c>
    </row>
    <row r="402" ht="12.75" customHeight="1" s="103">
      <c r="A402" s="78">
        <f>MID(H402,3,2)</f>
        <v/>
      </c>
      <c r="B402" s="84" t="inlineStr">
        <is>
          <t>B331</t>
        </is>
      </c>
      <c r="C402" s="84" t="inlineStr">
        <is>
          <t>上海区域</t>
        </is>
      </c>
      <c r="D402" s="84" t="inlineStr">
        <is>
          <t>CN0Q</t>
        </is>
      </c>
      <c r="E402" s="80" t="inlineStr">
        <is>
          <t>EE 苏州比斯特</t>
        </is>
      </c>
      <c r="F402" s="84" t="n">
        <v>4</v>
      </c>
      <c r="G402" s="84" t="inlineStr">
        <is>
          <t>奥特莱斯</t>
        </is>
      </c>
      <c r="H402" s="84" t="inlineStr">
        <is>
          <t>EEJKG24B01</t>
        </is>
      </c>
      <c r="I402" s="84" t="n">
        <v>1599</v>
      </c>
      <c r="J402" s="84" t="n">
        <v>1599</v>
      </c>
      <c r="K402" s="85" t="n">
        <v>1</v>
      </c>
      <c r="L402" s="86" t="n">
        <v>1010</v>
      </c>
    </row>
    <row r="403" ht="12.75" customHeight="1" s="103">
      <c r="A403" s="78">
        <f>MID(H403,3,2)</f>
        <v/>
      </c>
      <c r="B403" s="84" t="inlineStr">
        <is>
          <t>B331</t>
        </is>
      </c>
      <c r="C403" s="84" t="inlineStr">
        <is>
          <t>上海区域</t>
        </is>
      </c>
      <c r="D403" s="84" t="inlineStr">
        <is>
          <t>CN0Q</t>
        </is>
      </c>
      <c r="E403" s="80" t="inlineStr">
        <is>
          <t>EE 苏州比斯特</t>
        </is>
      </c>
      <c r="F403" s="84" t="n">
        <v>4</v>
      </c>
      <c r="G403" s="84" t="inlineStr">
        <is>
          <t>奥特莱斯</t>
        </is>
      </c>
      <c r="H403" s="84" t="inlineStr">
        <is>
          <t>EEJKG24B01</t>
        </is>
      </c>
      <c r="I403" s="84" t="n">
        <v>1599</v>
      </c>
      <c r="J403" s="84" t="n">
        <v>1599</v>
      </c>
      <c r="K403" s="85" t="n"/>
      <c r="L403" s="85" t="n"/>
    </row>
    <row r="404" ht="12.75" customHeight="1" s="103">
      <c r="A404" s="78">
        <f>MID(H404,3,2)</f>
        <v/>
      </c>
      <c r="B404" s="84" t="inlineStr">
        <is>
          <t>B331</t>
        </is>
      </c>
      <c r="C404" s="84" t="inlineStr">
        <is>
          <t>上海区域</t>
        </is>
      </c>
      <c r="D404" s="84" t="inlineStr">
        <is>
          <t>CN0Q</t>
        </is>
      </c>
      <c r="E404" s="80" t="inlineStr">
        <is>
          <t>EE 苏州比斯特</t>
        </is>
      </c>
      <c r="F404" s="84" t="n">
        <v>4</v>
      </c>
      <c r="G404" s="84" t="inlineStr">
        <is>
          <t>奥特莱斯</t>
        </is>
      </c>
      <c r="H404" s="84" t="inlineStr">
        <is>
          <t>EEJKG24B01</t>
        </is>
      </c>
      <c r="I404" s="84" t="n">
        <v>1599</v>
      </c>
      <c r="J404" s="84" t="n">
        <v>1599</v>
      </c>
      <c r="K404" s="85" t="n"/>
      <c r="L404" s="85" t="n"/>
    </row>
    <row r="405" ht="12.75" customHeight="1" s="103">
      <c r="A405" s="78">
        <f>MID(H405,3,2)</f>
        <v/>
      </c>
      <c r="B405" s="84" t="inlineStr">
        <is>
          <t>B331</t>
        </is>
      </c>
      <c r="C405" s="84" t="inlineStr">
        <is>
          <t>上海区域</t>
        </is>
      </c>
      <c r="D405" s="84" t="inlineStr">
        <is>
          <t>CN0Q</t>
        </is>
      </c>
      <c r="E405" s="80" t="inlineStr">
        <is>
          <t>EE 苏州比斯特</t>
        </is>
      </c>
      <c r="F405" s="84" t="n">
        <v>4</v>
      </c>
      <c r="G405" s="84" t="inlineStr">
        <is>
          <t>奥特莱斯</t>
        </is>
      </c>
      <c r="H405" s="84" t="inlineStr">
        <is>
          <t>EEJKG24B01</t>
        </is>
      </c>
      <c r="I405" s="84" t="n">
        <v>1599</v>
      </c>
      <c r="J405" s="84" t="n">
        <v>1599</v>
      </c>
      <c r="K405" s="85" t="n"/>
      <c r="L405" s="85" t="n"/>
    </row>
    <row r="406" ht="12.75" customHeight="1" s="103">
      <c r="A406" s="78">
        <f>MID(H406,3,2)</f>
        <v/>
      </c>
      <c r="B406" s="84" t="inlineStr">
        <is>
          <t>B331</t>
        </is>
      </c>
      <c r="C406" s="84" t="inlineStr">
        <is>
          <t>上海区域</t>
        </is>
      </c>
      <c r="D406" s="84" t="inlineStr">
        <is>
          <t>CN0Q</t>
        </is>
      </c>
      <c r="E406" s="80" t="inlineStr">
        <is>
          <t>EE 苏州比斯特</t>
        </is>
      </c>
      <c r="F406" s="84" t="n">
        <v>4</v>
      </c>
      <c r="G406" s="84" t="inlineStr">
        <is>
          <t>奥特莱斯</t>
        </is>
      </c>
      <c r="H406" s="84" t="inlineStr">
        <is>
          <t>EEJLG11D01</t>
        </is>
      </c>
      <c r="I406" s="84" t="n">
        <v>1599</v>
      </c>
      <c r="J406" s="84" t="n">
        <v>1599</v>
      </c>
      <c r="K406" s="85" t="n"/>
      <c r="L406" s="85" t="n"/>
    </row>
    <row r="407" ht="12.75" customHeight="1" s="103">
      <c r="A407" s="78">
        <f>MID(H407,3,2)</f>
        <v/>
      </c>
      <c r="B407" s="84" t="inlineStr">
        <is>
          <t>B331</t>
        </is>
      </c>
      <c r="C407" s="84" t="inlineStr">
        <is>
          <t>上海区域</t>
        </is>
      </c>
      <c r="D407" s="84" t="inlineStr">
        <is>
          <t>CN0Q</t>
        </is>
      </c>
      <c r="E407" s="80" t="inlineStr">
        <is>
          <t>EE 苏州比斯特</t>
        </is>
      </c>
      <c r="F407" s="84" t="n">
        <v>4</v>
      </c>
      <c r="G407" s="84" t="inlineStr">
        <is>
          <t>奥特莱斯</t>
        </is>
      </c>
      <c r="H407" s="84" t="inlineStr">
        <is>
          <t>EEJLG11D01</t>
        </is>
      </c>
      <c r="I407" s="84" t="n">
        <v>1599</v>
      </c>
      <c r="J407" s="84" t="n">
        <v>1599</v>
      </c>
      <c r="K407" s="85" t="n"/>
      <c r="L407" s="85" t="n"/>
    </row>
    <row r="408" ht="12.75" customHeight="1" s="103">
      <c r="A408" s="78">
        <f>MID(H408,3,2)</f>
        <v/>
      </c>
      <c r="B408" s="84" t="inlineStr">
        <is>
          <t>B331</t>
        </is>
      </c>
      <c r="C408" s="84" t="inlineStr">
        <is>
          <t>上海区域</t>
        </is>
      </c>
      <c r="D408" s="84" t="inlineStr">
        <is>
          <t>CN0Q</t>
        </is>
      </c>
      <c r="E408" s="80" t="inlineStr">
        <is>
          <t>EE 苏州比斯特</t>
        </is>
      </c>
      <c r="F408" s="84" t="n">
        <v>4</v>
      </c>
      <c r="G408" s="84" t="inlineStr">
        <is>
          <t>奥特莱斯</t>
        </is>
      </c>
      <c r="H408" s="84" t="inlineStr">
        <is>
          <t>EEJLG11D51</t>
        </is>
      </c>
      <c r="I408" s="84" t="n">
        <v>1599</v>
      </c>
      <c r="J408" s="84" t="n">
        <v>1999</v>
      </c>
      <c r="K408" s="85" t="n"/>
      <c r="L408" s="85" t="n"/>
    </row>
    <row r="409" ht="12.75" customHeight="1" s="103">
      <c r="A409" s="78">
        <f>MID(H409,3,2)</f>
        <v/>
      </c>
      <c r="B409" s="84" t="inlineStr">
        <is>
          <t>B331</t>
        </is>
      </c>
      <c r="C409" s="84" t="inlineStr">
        <is>
          <t>上海区域</t>
        </is>
      </c>
      <c r="D409" s="84" t="inlineStr">
        <is>
          <t>CN0Q</t>
        </is>
      </c>
      <c r="E409" s="80" t="inlineStr">
        <is>
          <t>EE 苏州比斯特</t>
        </is>
      </c>
      <c r="F409" s="84" t="n">
        <v>4</v>
      </c>
      <c r="G409" s="84" t="inlineStr">
        <is>
          <t>奥特莱斯</t>
        </is>
      </c>
      <c r="H409" s="84" t="inlineStr">
        <is>
          <t>EEJLG11D51</t>
        </is>
      </c>
      <c r="I409" s="84" t="n">
        <v>1599</v>
      </c>
      <c r="J409" s="84" t="n">
        <v>1999</v>
      </c>
      <c r="K409" s="85" t="n"/>
      <c r="L409" s="85" t="n"/>
    </row>
    <row r="410" ht="12.75" customHeight="1" s="103">
      <c r="A410" s="78">
        <f>MID(H410,3,2)</f>
        <v/>
      </c>
      <c r="B410" s="84" t="inlineStr">
        <is>
          <t>B331</t>
        </is>
      </c>
      <c r="C410" s="84" t="inlineStr">
        <is>
          <t>上海区域</t>
        </is>
      </c>
      <c r="D410" s="84" t="inlineStr">
        <is>
          <t>CN0Q</t>
        </is>
      </c>
      <c r="E410" s="80" t="inlineStr">
        <is>
          <t>EE 苏州比斯特</t>
        </is>
      </c>
      <c r="F410" s="84" t="n">
        <v>4</v>
      </c>
      <c r="G410" s="84" t="inlineStr">
        <is>
          <t>奥特莱斯</t>
        </is>
      </c>
      <c r="H410" s="84" t="inlineStr">
        <is>
          <t>EEJLG11D51</t>
        </is>
      </c>
      <c r="I410" s="84" t="n">
        <v>1599</v>
      </c>
      <c r="J410" s="84" t="n">
        <v>1999</v>
      </c>
      <c r="K410" s="85" t="n"/>
      <c r="L410" s="85" t="n"/>
    </row>
    <row r="411" ht="12.75" customHeight="1" s="103">
      <c r="A411" s="78">
        <f>MID(H411,3,2)</f>
        <v/>
      </c>
      <c r="B411" s="84" t="inlineStr">
        <is>
          <t>B331</t>
        </is>
      </c>
      <c r="C411" s="84" t="inlineStr">
        <is>
          <t>上海区域</t>
        </is>
      </c>
      <c r="D411" s="84" t="inlineStr">
        <is>
          <t>CN0Q</t>
        </is>
      </c>
      <c r="E411" s="80" t="inlineStr">
        <is>
          <t>EE 苏州比斯特</t>
        </is>
      </c>
      <c r="F411" s="84" t="n">
        <v>4</v>
      </c>
      <c r="G411" s="84" t="inlineStr">
        <is>
          <t>奥特莱斯</t>
        </is>
      </c>
      <c r="H411" s="84" t="inlineStr">
        <is>
          <t>EEJTF23M01</t>
        </is>
      </c>
      <c r="I411" s="84" t="n">
        <v>1799</v>
      </c>
      <c r="J411" s="84" t="n">
        <v>1799</v>
      </c>
      <c r="K411" s="85" t="n"/>
      <c r="L411" s="85" t="n"/>
    </row>
    <row r="412" ht="12.75" customHeight="1" s="103">
      <c r="A412" s="78">
        <f>MID(H412,3,2)</f>
        <v/>
      </c>
      <c r="B412" s="84" t="inlineStr">
        <is>
          <t>B331</t>
        </is>
      </c>
      <c r="C412" s="84" t="inlineStr">
        <is>
          <t>上海区域</t>
        </is>
      </c>
      <c r="D412" s="84" t="inlineStr">
        <is>
          <t>CN0Q</t>
        </is>
      </c>
      <c r="E412" s="80" t="inlineStr">
        <is>
          <t>EE 苏州比斯特</t>
        </is>
      </c>
      <c r="F412" s="84" t="n">
        <v>4</v>
      </c>
      <c r="G412" s="84" t="inlineStr">
        <is>
          <t>奥特莱斯</t>
        </is>
      </c>
      <c r="H412" s="84" t="inlineStr">
        <is>
          <t>EEJTF23M01</t>
        </is>
      </c>
      <c r="I412" s="84" t="n">
        <v>1799</v>
      </c>
      <c r="J412" s="84" t="n">
        <v>1799</v>
      </c>
      <c r="K412" s="85" t="n"/>
      <c r="L412" s="85" t="n"/>
    </row>
    <row r="413" ht="12.75" customHeight="1" s="103">
      <c r="A413" s="78">
        <f>MID(H413,3,2)</f>
        <v/>
      </c>
      <c r="B413" s="84" t="inlineStr">
        <is>
          <t>B331</t>
        </is>
      </c>
      <c r="C413" s="84" t="inlineStr">
        <is>
          <t>上海区域</t>
        </is>
      </c>
      <c r="D413" s="84" t="inlineStr">
        <is>
          <t>CN0Q</t>
        </is>
      </c>
      <c r="E413" s="80" t="inlineStr">
        <is>
          <t>EE 苏州比斯特</t>
        </is>
      </c>
      <c r="F413" s="84" t="n">
        <v>4</v>
      </c>
      <c r="G413" s="84" t="inlineStr">
        <is>
          <t>奥特莱斯</t>
        </is>
      </c>
      <c r="H413" s="84" t="inlineStr">
        <is>
          <t>EEJTF23M01</t>
        </is>
      </c>
      <c r="I413" s="84" t="n">
        <v>1799</v>
      </c>
      <c r="J413" s="84" t="n">
        <v>1799</v>
      </c>
      <c r="K413" s="85" t="n"/>
      <c r="L413" s="85" t="n"/>
    </row>
    <row r="414" ht="12.75" customHeight="1" s="103">
      <c r="A414" s="78">
        <f>MID(H414,3,2)</f>
        <v/>
      </c>
      <c r="B414" s="84" t="inlineStr">
        <is>
          <t>B331</t>
        </is>
      </c>
      <c r="C414" s="84" t="inlineStr">
        <is>
          <t>上海区域</t>
        </is>
      </c>
      <c r="D414" s="84" t="inlineStr">
        <is>
          <t>CN0Q</t>
        </is>
      </c>
      <c r="E414" s="80" t="inlineStr">
        <is>
          <t>EE 苏州比斯特</t>
        </is>
      </c>
      <c r="F414" s="84" t="n">
        <v>4</v>
      </c>
      <c r="G414" s="84" t="inlineStr">
        <is>
          <t>奥特莱斯</t>
        </is>
      </c>
      <c r="H414" s="84" t="inlineStr">
        <is>
          <t>EEJTG12E01</t>
        </is>
      </c>
      <c r="I414" s="84" t="n">
        <v>1999</v>
      </c>
      <c r="J414" s="84" t="n">
        <v>1999</v>
      </c>
      <c r="K414" s="85" t="n">
        <v>1</v>
      </c>
      <c r="L414" s="85" t="n">
        <v>600</v>
      </c>
    </row>
    <row r="415" ht="12.75" customHeight="1" s="103">
      <c r="A415" s="78">
        <f>MID(H415,3,2)</f>
        <v/>
      </c>
      <c r="B415" s="84" t="inlineStr">
        <is>
          <t>B331</t>
        </is>
      </c>
      <c r="C415" s="84" t="inlineStr">
        <is>
          <t>上海区域</t>
        </is>
      </c>
      <c r="D415" s="84" t="inlineStr">
        <is>
          <t>CN0Q</t>
        </is>
      </c>
      <c r="E415" s="80" t="inlineStr">
        <is>
          <t>EE 苏州比斯特</t>
        </is>
      </c>
      <c r="F415" s="84" t="n">
        <v>4</v>
      </c>
      <c r="G415" s="84" t="inlineStr">
        <is>
          <t>奥特莱斯</t>
        </is>
      </c>
      <c r="H415" s="84" t="inlineStr">
        <is>
          <t>EEJTG12E02</t>
        </is>
      </c>
      <c r="I415" s="84" t="n">
        <v>1999</v>
      </c>
      <c r="J415" s="84" t="n">
        <v>1999</v>
      </c>
      <c r="K415" s="85" t="n"/>
      <c r="L415" s="85" t="n"/>
    </row>
    <row r="416" ht="12.75" customHeight="1" s="103">
      <c r="A416" s="78">
        <f>MID(H416,3,2)</f>
        <v/>
      </c>
      <c r="B416" s="84" t="inlineStr">
        <is>
          <t>B331</t>
        </is>
      </c>
      <c r="C416" s="84" t="inlineStr">
        <is>
          <t>上海区域</t>
        </is>
      </c>
      <c r="D416" s="84" t="inlineStr">
        <is>
          <t>CN0Q</t>
        </is>
      </c>
      <c r="E416" s="80" t="inlineStr">
        <is>
          <t>EE 苏州比斯特</t>
        </is>
      </c>
      <c r="F416" s="84" t="n">
        <v>4</v>
      </c>
      <c r="G416" s="84" t="inlineStr">
        <is>
          <t>奥特莱斯</t>
        </is>
      </c>
      <c r="H416" s="84" t="inlineStr">
        <is>
          <t>EEJTG12E02</t>
        </is>
      </c>
      <c r="I416" s="84" t="n">
        <v>1999</v>
      </c>
      <c r="J416" s="84" t="n">
        <v>1999</v>
      </c>
      <c r="K416" s="85" t="n"/>
      <c r="L416" s="85" t="n"/>
    </row>
    <row r="417" ht="12.75" customHeight="1" s="103">
      <c r="A417" s="78">
        <f>MID(H417,3,2)</f>
        <v/>
      </c>
      <c r="B417" s="84" t="inlineStr">
        <is>
          <t>B331</t>
        </is>
      </c>
      <c r="C417" s="84" t="inlineStr">
        <is>
          <t>上海区域</t>
        </is>
      </c>
      <c r="D417" s="84" t="inlineStr">
        <is>
          <t>CN0Q</t>
        </is>
      </c>
      <c r="E417" s="80" t="inlineStr">
        <is>
          <t>EE 苏州比斯特</t>
        </is>
      </c>
      <c r="F417" s="84" t="n">
        <v>4</v>
      </c>
      <c r="G417" s="84" t="inlineStr">
        <is>
          <t>奥特莱斯</t>
        </is>
      </c>
      <c r="H417" s="84" t="inlineStr">
        <is>
          <t>EEJTG12E02</t>
        </is>
      </c>
      <c r="I417" s="84" t="n">
        <v>1999</v>
      </c>
      <c r="J417" s="84" t="n">
        <v>1999</v>
      </c>
      <c r="K417" s="85" t="n"/>
      <c r="L417" s="85" t="n"/>
    </row>
    <row r="418" ht="12.75" customHeight="1" s="103">
      <c r="A418" s="78">
        <f>MID(H418,3,2)</f>
        <v/>
      </c>
      <c r="B418" s="84" t="inlineStr">
        <is>
          <t>B331</t>
        </is>
      </c>
      <c r="C418" s="84" t="inlineStr">
        <is>
          <t>上海区域</t>
        </is>
      </c>
      <c r="D418" s="84" t="inlineStr">
        <is>
          <t>CN0Q</t>
        </is>
      </c>
      <c r="E418" s="80" t="inlineStr">
        <is>
          <t>EE 苏州比斯特</t>
        </is>
      </c>
      <c r="F418" s="84" t="n">
        <v>4</v>
      </c>
      <c r="G418" s="84" t="inlineStr">
        <is>
          <t>奥特莱斯</t>
        </is>
      </c>
      <c r="H418" s="84" t="inlineStr">
        <is>
          <t>EEKWF24E02</t>
        </is>
      </c>
      <c r="I418" s="84" t="n">
        <v>599</v>
      </c>
      <c r="J418" s="84" t="n">
        <v>599</v>
      </c>
      <c r="K418" s="85" t="n">
        <v>1</v>
      </c>
      <c r="L418" s="85" t="n">
        <v>300</v>
      </c>
    </row>
    <row r="419" ht="12.75" customHeight="1" s="103">
      <c r="A419" s="78">
        <f>MID(H419,3,2)</f>
        <v/>
      </c>
      <c r="B419" s="84" t="inlineStr">
        <is>
          <t>B331</t>
        </is>
      </c>
      <c r="C419" s="84" t="inlineStr">
        <is>
          <t>上海区域</t>
        </is>
      </c>
      <c r="D419" s="84" t="inlineStr">
        <is>
          <t>CN0Q</t>
        </is>
      </c>
      <c r="E419" s="80" t="inlineStr">
        <is>
          <t>EE 苏州比斯特</t>
        </is>
      </c>
      <c r="F419" s="84" t="n">
        <v>4</v>
      </c>
      <c r="G419" s="84" t="inlineStr">
        <is>
          <t>奥特莱斯</t>
        </is>
      </c>
      <c r="H419" s="84" t="inlineStr">
        <is>
          <t>EEKWF24E02</t>
        </is>
      </c>
      <c r="I419" s="84" t="n">
        <v>599</v>
      </c>
      <c r="J419" s="84" t="n">
        <v>599</v>
      </c>
      <c r="K419" s="85" t="n">
        <v>3</v>
      </c>
      <c r="L419" s="85" t="n">
        <v>874</v>
      </c>
    </row>
    <row r="420" ht="12.75" customHeight="1" s="103">
      <c r="A420" s="78">
        <f>MID(H420,3,2)</f>
        <v/>
      </c>
      <c r="B420" s="84" t="inlineStr">
        <is>
          <t>B331</t>
        </is>
      </c>
      <c r="C420" s="84" t="inlineStr">
        <is>
          <t>上海区域</t>
        </is>
      </c>
      <c r="D420" s="84" t="inlineStr">
        <is>
          <t>CN0Q</t>
        </is>
      </c>
      <c r="E420" s="80" t="inlineStr">
        <is>
          <t>EE 苏州比斯特</t>
        </is>
      </c>
      <c r="F420" s="84" t="n">
        <v>4</v>
      </c>
      <c r="G420" s="84" t="inlineStr">
        <is>
          <t>奥特莱斯</t>
        </is>
      </c>
      <c r="H420" s="84" t="inlineStr">
        <is>
          <t>EEKWF24E02</t>
        </is>
      </c>
      <c r="I420" s="84" t="n">
        <v>599</v>
      </c>
      <c r="J420" s="84" t="n">
        <v>599</v>
      </c>
      <c r="K420" s="85" t="n">
        <v>1</v>
      </c>
      <c r="L420" s="85" t="n">
        <v>300</v>
      </c>
    </row>
    <row r="421" ht="12.75" customHeight="1" s="103">
      <c r="A421" s="78">
        <f>MID(H421,3,2)</f>
        <v/>
      </c>
      <c r="B421" s="84" t="inlineStr">
        <is>
          <t>B331</t>
        </is>
      </c>
      <c r="C421" s="84" t="inlineStr">
        <is>
          <t>上海区域</t>
        </is>
      </c>
      <c r="D421" s="84" t="inlineStr">
        <is>
          <t>CN0Q</t>
        </is>
      </c>
      <c r="E421" s="80" t="inlineStr">
        <is>
          <t>EE 苏州比斯特</t>
        </is>
      </c>
      <c r="F421" s="84" t="n">
        <v>4</v>
      </c>
      <c r="G421" s="84" t="inlineStr">
        <is>
          <t>奥特莱斯</t>
        </is>
      </c>
      <c r="H421" s="84" t="inlineStr">
        <is>
          <t>EEKWF24E05</t>
        </is>
      </c>
      <c r="I421" s="84" t="n">
        <v>599</v>
      </c>
      <c r="J421" s="84" t="n">
        <v>599</v>
      </c>
      <c r="K421" s="85" t="n">
        <v>1</v>
      </c>
      <c r="L421" s="85" t="n"/>
    </row>
    <row r="422" ht="12.75" customHeight="1" s="103">
      <c r="A422" s="78">
        <f>MID(H422,3,2)</f>
        <v/>
      </c>
      <c r="B422" s="84" t="inlineStr">
        <is>
          <t>B331</t>
        </is>
      </c>
      <c r="C422" s="84" t="inlineStr">
        <is>
          <t>上海区域</t>
        </is>
      </c>
      <c r="D422" s="84" t="inlineStr">
        <is>
          <t>CN0Q</t>
        </is>
      </c>
      <c r="E422" s="80" t="inlineStr">
        <is>
          <t>EE 苏州比斯特</t>
        </is>
      </c>
      <c r="F422" s="84" t="n">
        <v>4</v>
      </c>
      <c r="G422" s="84" t="inlineStr">
        <is>
          <t>奥特莱斯</t>
        </is>
      </c>
      <c r="H422" s="84" t="inlineStr">
        <is>
          <t>EEKWF25E01</t>
        </is>
      </c>
      <c r="I422" s="84" t="n">
        <v>699</v>
      </c>
      <c r="J422" s="84" t="n">
        <v>599</v>
      </c>
      <c r="K422" s="85" t="n">
        <v>1</v>
      </c>
      <c r="L422" s="85" t="n"/>
    </row>
    <row r="423" ht="12.75" customHeight="1" s="103">
      <c r="A423" s="78">
        <f>MID(H423,3,2)</f>
        <v/>
      </c>
      <c r="B423" s="84" t="inlineStr">
        <is>
          <t>B331</t>
        </is>
      </c>
      <c r="C423" s="84" t="inlineStr">
        <is>
          <t>上海区域</t>
        </is>
      </c>
      <c r="D423" s="84" t="inlineStr">
        <is>
          <t>CN0Q</t>
        </is>
      </c>
      <c r="E423" s="80" t="inlineStr">
        <is>
          <t>EE 苏州比斯特</t>
        </is>
      </c>
      <c r="F423" s="84" t="n">
        <v>4</v>
      </c>
      <c r="G423" s="84" t="inlineStr">
        <is>
          <t>奥特莱斯</t>
        </is>
      </c>
      <c r="H423" s="84" t="inlineStr">
        <is>
          <t>EEKWF38E01</t>
        </is>
      </c>
      <c r="I423" s="84" t="n">
        <v>699</v>
      </c>
      <c r="J423" s="84" t="n">
        <v>599</v>
      </c>
      <c r="K423" s="85" t="n">
        <v>2</v>
      </c>
      <c r="L423" s="85" t="n">
        <v>570</v>
      </c>
    </row>
    <row r="424" ht="12.75" customHeight="1" s="103">
      <c r="A424" s="78">
        <f>MID(H424,3,2)</f>
        <v/>
      </c>
      <c r="B424" s="84" t="inlineStr">
        <is>
          <t>B331</t>
        </is>
      </c>
      <c r="C424" s="84" t="inlineStr">
        <is>
          <t>上海区域</t>
        </is>
      </c>
      <c r="D424" s="84" t="inlineStr">
        <is>
          <t>CN0Q</t>
        </is>
      </c>
      <c r="E424" s="80" t="inlineStr">
        <is>
          <t>EE 苏州比斯特</t>
        </is>
      </c>
      <c r="F424" s="84" t="n">
        <v>4</v>
      </c>
      <c r="G424" s="84" t="inlineStr">
        <is>
          <t>奥特莱斯</t>
        </is>
      </c>
      <c r="H424" s="84" t="inlineStr">
        <is>
          <t>EEKWF38E01</t>
        </is>
      </c>
      <c r="I424" s="84" t="n">
        <v>699</v>
      </c>
      <c r="J424" s="84" t="n">
        <v>599</v>
      </c>
      <c r="K424" s="85" t="n">
        <v>1</v>
      </c>
      <c r="L424" s="85" t="n">
        <v>271</v>
      </c>
    </row>
    <row r="425" ht="12.75" customHeight="1" s="103">
      <c r="A425" s="78">
        <f>MID(H425,3,2)</f>
        <v/>
      </c>
      <c r="B425" s="84" t="inlineStr">
        <is>
          <t>B331</t>
        </is>
      </c>
      <c r="C425" s="84" t="inlineStr">
        <is>
          <t>上海区域</t>
        </is>
      </c>
      <c r="D425" s="84" t="inlineStr">
        <is>
          <t>CN0Q</t>
        </is>
      </c>
      <c r="E425" s="80" t="inlineStr">
        <is>
          <t>EE 苏州比斯特</t>
        </is>
      </c>
      <c r="F425" s="84" t="n">
        <v>4</v>
      </c>
      <c r="G425" s="84" t="inlineStr">
        <is>
          <t>奥特莱斯</t>
        </is>
      </c>
      <c r="H425" s="84" t="inlineStr">
        <is>
          <t>EEKWG12B05</t>
        </is>
      </c>
      <c r="I425" s="84" t="n">
        <v>999</v>
      </c>
      <c r="J425" s="84" t="n">
        <v>999</v>
      </c>
      <c r="K425" s="85" t="n"/>
      <c r="L425" s="85" t="n"/>
    </row>
    <row r="426" ht="12.75" customHeight="1" s="103">
      <c r="A426" s="78">
        <f>MID(H426,3,2)</f>
        <v/>
      </c>
      <c r="B426" s="84" t="inlineStr">
        <is>
          <t>B331</t>
        </is>
      </c>
      <c r="C426" s="84" t="inlineStr">
        <is>
          <t>上海区域</t>
        </is>
      </c>
      <c r="D426" s="84" t="inlineStr">
        <is>
          <t>CN0Q</t>
        </is>
      </c>
      <c r="E426" s="80" t="inlineStr">
        <is>
          <t>EE 苏州比斯特</t>
        </is>
      </c>
      <c r="F426" s="84" t="n">
        <v>4</v>
      </c>
      <c r="G426" s="84" t="inlineStr">
        <is>
          <t>奥特莱斯</t>
        </is>
      </c>
      <c r="H426" s="84" t="inlineStr">
        <is>
          <t>EEKWG12B05</t>
        </is>
      </c>
      <c r="I426" s="84" t="n">
        <v>999</v>
      </c>
      <c r="J426" s="84" t="n">
        <v>999</v>
      </c>
      <c r="K426" s="85" t="n"/>
      <c r="L426" s="85" t="n"/>
    </row>
    <row r="427" ht="12.75" customHeight="1" s="103">
      <c r="A427" s="78">
        <f>MID(H427,3,2)</f>
        <v/>
      </c>
      <c r="B427" s="84" t="inlineStr">
        <is>
          <t>B331</t>
        </is>
      </c>
      <c r="C427" s="84" t="inlineStr">
        <is>
          <t>上海区域</t>
        </is>
      </c>
      <c r="D427" s="84" t="inlineStr">
        <is>
          <t>CN0Q</t>
        </is>
      </c>
      <c r="E427" s="80" t="inlineStr">
        <is>
          <t>EE 苏州比斯特</t>
        </is>
      </c>
      <c r="F427" s="84" t="n">
        <v>4</v>
      </c>
      <c r="G427" s="84" t="inlineStr">
        <is>
          <t>奥特莱斯</t>
        </is>
      </c>
      <c r="H427" s="84" t="inlineStr">
        <is>
          <t>EEKWG12B05</t>
        </is>
      </c>
      <c r="I427" s="84" t="n">
        <v>999</v>
      </c>
      <c r="J427" s="84" t="n">
        <v>999</v>
      </c>
      <c r="K427" s="85" t="n"/>
      <c r="L427" s="85" t="n"/>
    </row>
    <row r="428" ht="12.75" customHeight="1" s="103">
      <c r="A428" s="78">
        <f>MID(H428,3,2)</f>
        <v/>
      </c>
      <c r="B428" s="84" t="inlineStr">
        <is>
          <t>B331</t>
        </is>
      </c>
      <c r="C428" s="84" t="inlineStr">
        <is>
          <t>上海区域</t>
        </is>
      </c>
      <c r="D428" s="84" t="inlineStr">
        <is>
          <t>CN0Q</t>
        </is>
      </c>
      <c r="E428" s="80" t="inlineStr">
        <is>
          <t>EE 苏州比斯特</t>
        </is>
      </c>
      <c r="F428" s="84" t="n">
        <v>4</v>
      </c>
      <c r="G428" s="84" t="inlineStr">
        <is>
          <t>奥特莱斯</t>
        </is>
      </c>
      <c r="H428" s="84" t="inlineStr">
        <is>
          <t>EEKWG12B1G</t>
        </is>
      </c>
      <c r="I428" s="84" t="n">
        <v>799</v>
      </c>
      <c r="J428" s="84" t="n">
        <v>799</v>
      </c>
      <c r="K428" s="85" t="n"/>
      <c r="L428" s="85" t="n"/>
    </row>
    <row r="429" ht="12.75" customHeight="1" s="103">
      <c r="A429" s="78">
        <f>MID(H429,3,2)</f>
        <v/>
      </c>
      <c r="B429" s="84" t="inlineStr">
        <is>
          <t>B331</t>
        </is>
      </c>
      <c r="C429" s="84" t="inlineStr">
        <is>
          <t>上海区域</t>
        </is>
      </c>
      <c r="D429" s="84" t="inlineStr">
        <is>
          <t>CN0Q</t>
        </is>
      </c>
      <c r="E429" s="80" t="inlineStr">
        <is>
          <t>EE 苏州比斯特</t>
        </is>
      </c>
      <c r="F429" s="84" t="n">
        <v>4</v>
      </c>
      <c r="G429" s="84" t="inlineStr">
        <is>
          <t>奥特莱斯</t>
        </is>
      </c>
      <c r="H429" s="84" t="inlineStr">
        <is>
          <t>EEKWG12B1G</t>
        </is>
      </c>
      <c r="I429" s="84" t="n">
        <v>799</v>
      </c>
      <c r="J429" s="84" t="n">
        <v>799</v>
      </c>
      <c r="K429" s="85" t="n"/>
      <c r="L429" s="85" t="n"/>
    </row>
    <row r="430" ht="12.75" customHeight="1" s="103">
      <c r="A430" s="78">
        <f>MID(H430,3,2)</f>
        <v/>
      </c>
      <c r="B430" s="84" t="inlineStr">
        <is>
          <t>B331</t>
        </is>
      </c>
      <c r="C430" s="84" t="inlineStr">
        <is>
          <t>上海区域</t>
        </is>
      </c>
      <c r="D430" s="84" t="inlineStr">
        <is>
          <t>CN0Q</t>
        </is>
      </c>
      <c r="E430" s="80" t="inlineStr">
        <is>
          <t>EE 苏州比斯特</t>
        </is>
      </c>
      <c r="F430" s="84" t="n">
        <v>4</v>
      </c>
      <c r="G430" s="84" t="inlineStr">
        <is>
          <t>奥特莱斯</t>
        </is>
      </c>
      <c r="H430" s="84" t="inlineStr">
        <is>
          <t>EEKWG12B1G</t>
        </is>
      </c>
      <c r="I430" s="84" t="n">
        <v>799</v>
      </c>
      <c r="J430" s="84" t="n">
        <v>799</v>
      </c>
      <c r="K430" s="85" t="n"/>
      <c r="L430" s="85" t="n"/>
    </row>
    <row r="431" ht="12.75" customHeight="1" s="103">
      <c r="A431" s="78">
        <f>MID(H431,3,2)</f>
        <v/>
      </c>
      <c r="B431" s="84" t="inlineStr">
        <is>
          <t>B331</t>
        </is>
      </c>
      <c r="C431" s="84" t="inlineStr">
        <is>
          <t>上海区域</t>
        </is>
      </c>
      <c r="D431" s="84" t="inlineStr">
        <is>
          <t>CN0Q</t>
        </is>
      </c>
      <c r="E431" s="80" t="inlineStr">
        <is>
          <t>EE 苏州比斯特</t>
        </is>
      </c>
      <c r="F431" s="84" t="n">
        <v>4</v>
      </c>
      <c r="G431" s="84" t="inlineStr">
        <is>
          <t>奥特莱斯</t>
        </is>
      </c>
      <c r="H431" s="84" t="inlineStr">
        <is>
          <t>EEKWG12E1G</t>
        </is>
      </c>
      <c r="I431" s="84" t="n">
        <v>899</v>
      </c>
      <c r="J431" s="84" t="n">
        <v>899</v>
      </c>
      <c r="K431" s="85" t="n"/>
      <c r="L431" s="85" t="n"/>
    </row>
    <row r="432" ht="12.75" customHeight="1" s="103">
      <c r="A432" s="78">
        <f>MID(H432,3,2)</f>
        <v/>
      </c>
      <c r="B432" s="84" t="inlineStr">
        <is>
          <t>B331</t>
        </is>
      </c>
      <c r="C432" s="84" t="inlineStr">
        <is>
          <t>上海区域</t>
        </is>
      </c>
      <c r="D432" s="84" t="inlineStr">
        <is>
          <t>CN0Q</t>
        </is>
      </c>
      <c r="E432" s="80" t="inlineStr">
        <is>
          <t>EE 苏州比斯特</t>
        </is>
      </c>
      <c r="F432" s="84" t="n">
        <v>4</v>
      </c>
      <c r="G432" s="84" t="inlineStr">
        <is>
          <t>奥特莱斯</t>
        </is>
      </c>
      <c r="H432" s="84" t="inlineStr">
        <is>
          <t>EEKWG12E1G</t>
        </is>
      </c>
      <c r="I432" s="84" t="n">
        <v>899</v>
      </c>
      <c r="J432" s="84" t="n">
        <v>899</v>
      </c>
      <c r="K432" s="85" t="n"/>
      <c r="L432" s="85" t="n"/>
    </row>
    <row r="433" ht="12.75" customHeight="1" s="103">
      <c r="A433" s="78">
        <f>MID(H433,3,2)</f>
        <v/>
      </c>
      <c r="B433" s="84" t="inlineStr">
        <is>
          <t>B331</t>
        </is>
      </c>
      <c r="C433" s="84" t="inlineStr">
        <is>
          <t>上海区域</t>
        </is>
      </c>
      <c r="D433" s="84" t="inlineStr">
        <is>
          <t>CN0Q</t>
        </is>
      </c>
      <c r="E433" s="80" t="inlineStr">
        <is>
          <t>EE 苏州比斯特</t>
        </is>
      </c>
      <c r="F433" s="84" t="n">
        <v>4</v>
      </c>
      <c r="G433" s="84" t="inlineStr">
        <is>
          <t>奥特莱斯</t>
        </is>
      </c>
      <c r="H433" s="84" t="inlineStr">
        <is>
          <t>EEKWG12E1G</t>
        </is>
      </c>
      <c r="I433" s="84" t="n">
        <v>899</v>
      </c>
      <c r="J433" s="84" t="n">
        <v>899</v>
      </c>
      <c r="K433" s="85" t="n"/>
      <c r="L433" s="85" t="n"/>
    </row>
    <row r="434" ht="12.75" customHeight="1" s="103">
      <c r="A434" s="78">
        <f>MID(H434,3,2)</f>
        <v/>
      </c>
      <c r="B434" s="84" t="inlineStr">
        <is>
          <t>B331</t>
        </is>
      </c>
      <c r="C434" s="84" t="inlineStr">
        <is>
          <t>上海区域</t>
        </is>
      </c>
      <c r="D434" s="84" t="inlineStr">
        <is>
          <t>CN0Q</t>
        </is>
      </c>
      <c r="E434" s="80" t="inlineStr">
        <is>
          <t>EE 苏州比斯特</t>
        </is>
      </c>
      <c r="F434" s="84" t="n">
        <v>4</v>
      </c>
      <c r="G434" s="84" t="inlineStr">
        <is>
          <t>奥特莱斯</t>
        </is>
      </c>
      <c r="H434" s="84" t="inlineStr">
        <is>
          <t>EEKWG12E1G</t>
        </is>
      </c>
      <c r="I434" s="84" t="n">
        <v>899</v>
      </c>
      <c r="J434" s="84" t="n">
        <v>899</v>
      </c>
      <c r="K434" s="85" t="n">
        <v>1</v>
      </c>
      <c r="L434" s="85" t="n">
        <v>418</v>
      </c>
    </row>
    <row r="435" ht="12.75" customHeight="1" s="103">
      <c r="A435" s="78">
        <f>MID(H435,3,2)</f>
        <v/>
      </c>
      <c r="B435" s="84" t="inlineStr">
        <is>
          <t>B331</t>
        </is>
      </c>
      <c r="C435" s="84" t="inlineStr">
        <is>
          <t>上海区域</t>
        </is>
      </c>
      <c r="D435" s="84" t="inlineStr">
        <is>
          <t>CN0Q</t>
        </is>
      </c>
      <c r="E435" s="80" t="inlineStr">
        <is>
          <t>EE 苏州比斯特</t>
        </is>
      </c>
      <c r="F435" s="84" t="n">
        <v>4</v>
      </c>
      <c r="G435" s="84" t="inlineStr">
        <is>
          <t>奥特莱斯</t>
        </is>
      </c>
      <c r="H435" s="84" t="inlineStr">
        <is>
          <t>EEKWG12E1G</t>
        </is>
      </c>
      <c r="I435" s="84" t="n">
        <v>899</v>
      </c>
      <c r="J435" s="84" t="n">
        <v>899</v>
      </c>
      <c r="K435" s="85" t="n"/>
      <c r="L435" s="85" t="n"/>
    </row>
    <row r="436" ht="12.75" customHeight="1" s="103">
      <c r="A436" s="78">
        <f>MID(H436,3,2)</f>
        <v/>
      </c>
      <c r="B436" s="84" t="inlineStr">
        <is>
          <t>B331</t>
        </is>
      </c>
      <c r="C436" s="84" t="inlineStr">
        <is>
          <t>上海区域</t>
        </is>
      </c>
      <c r="D436" s="84" t="inlineStr">
        <is>
          <t>CN0Q</t>
        </is>
      </c>
      <c r="E436" s="80" t="inlineStr">
        <is>
          <t>EE 苏州比斯特</t>
        </is>
      </c>
      <c r="F436" s="84" t="n">
        <v>4</v>
      </c>
      <c r="G436" s="84" t="inlineStr">
        <is>
          <t>奥特莱斯</t>
        </is>
      </c>
      <c r="H436" s="84" t="inlineStr">
        <is>
          <t>EEKWG12E1G</t>
        </is>
      </c>
      <c r="I436" s="84" t="n">
        <v>899</v>
      </c>
      <c r="J436" s="84" t="n">
        <v>899</v>
      </c>
      <c r="K436" s="85" t="n"/>
      <c r="L436" s="85" t="n"/>
    </row>
    <row r="437" ht="12.75" customHeight="1" s="103">
      <c r="A437" s="78">
        <f>MID(H437,3,2)</f>
        <v/>
      </c>
      <c r="B437" s="84" t="inlineStr">
        <is>
          <t>B331</t>
        </is>
      </c>
      <c r="C437" s="84" t="inlineStr">
        <is>
          <t>上海区域</t>
        </is>
      </c>
      <c r="D437" s="84" t="inlineStr">
        <is>
          <t>CN0Q</t>
        </is>
      </c>
      <c r="E437" s="80" t="inlineStr">
        <is>
          <t>EE 苏州比斯特</t>
        </is>
      </c>
      <c r="F437" s="84" t="n">
        <v>4</v>
      </c>
      <c r="G437" s="84" t="inlineStr">
        <is>
          <t>奥特莱斯</t>
        </is>
      </c>
      <c r="H437" s="84" t="inlineStr">
        <is>
          <t>EEKWG12E1G</t>
        </is>
      </c>
      <c r="I437" s="84" t="n">
        <v>899</v>
      </c>
      <c r="J437" s="84" t="n">
        <v>899</v>
      </c>
      <c r="K437" s="85" t="n"/>
      <c r="L437" s="85" t="n"/>
    </row>
    <row r="438" ht="12.75" customHeight="1" s="103">
      <c r="A438" s="78">
        <f>MID(H438,3,2)</f>
        <v/>
      </c>
      <c r="B438" s="84" t="inlineStr">
        <is>
          <t>B331</t>
        </is>
      </c>
      <c r="C438" s="84" t="inlineStr">
        <is>
          <t>上海区域</t>
        </is>
      </c>
      <c r="D438" s="84" t="inlineStr">
        <is>
          <t>CN0Q</t>
        </is>
      </c>
      <c r="E438" s="80" t="inlineStr">
        <is>
          <t>EE 苏州比斯特</t>
        </is>
      </c>
      <c r="F438" s="84" t="n">
        <v>4</v>
      </c>
      <c r="G438" s="84" t="inlineStr">
        <is>
          <t>奥特莱斯</t>
        </is>
      </c>
      <c r="H438" s="84" t="inlineStr">
        <is>
          <t>EEKWG12E1G</t>
        </is>
      </c>
      <c r="I438" s="84" t="n">
        <v>899</v>
      </c>
      <c r="J438" s="84" t="n">
        <v>899</v>
      </c>
      <c r="K438" s="85" t="n"/>
      <c r="L438" s="85" t="n"/>
    </row>
    <row r="439" ht="12.75" customHeight="1" s="103">
      <c r="A439" s="78">
        <f>MID(H439,3,2)</f>
        <v/>
      </c>
      <c r="B439" s="84" t="inlineStr">
        <is>
          <t>B331</t>
        </is>
      </c>
      <c r="C439" s="84" t="inlineStr">
        <is>
          <t>上海区域</t>
        </is>
      </c>
      <c r="D439" s="84" t="inlineStr">
        <is>
          <t>CN0Q</t>
        </is>
      </c>
      <c r="E439" s="80" t="inlineStr">
        <is>
          <t>EE 苏州比斯特</t>
        </is>
      </c>
      <c r="F439" s="84" t="n">
        <v>4</v>
      </c>
      <c r="G439" s="84" t="inlineStr">
        <is>
          <t>奥特莱斯</t>
        </is>
      </c>
      <c r="H439" s="84" t="inlineStr">
        <is>
          <t>EEKWG12E1G</t>
        </is>
      </c>
      <c r="I439" s="84" t="n">
        <v>899</v>
      </c>
      <c r="J439" s="84" t="n">
        <v>899</v>
      </c>
      <c r="K439" s="85" t="n"/>
      <c r="L439" s="85" t="n"/>
    </row>
    <row r="440" ht="12.75" customHeight="1" s="103">
      <c r="A440" s="78">
        <f>MID(H440,3,2)</f>
        <v/>
      </c>
      <c r="B440" s="84" t="inlineStr">
        <is>
          <t>B331</t>
        </is>
      </c>
      <c r="C440" s="84" t="inlineStr">
        <is>
          <t>上海区域</t>
        </is>
      </c>
      <c r="D440" s="84" t="inlineStr">
        <is>
          <t>CN0Q</t>
        </is>
      </c>
      <c r="E440" s="80" t="inlineStr">
        <is>
          <t>EE 苏州比斯特</t>
        </is>
      </c>
      <c r="F440" s="84" t="n">
        <v>4</v>
      </c>
      <c r="G440" s="84" t="inlineStr">
        <is>
          <t>奥特莱斯</t>
        </is>
      </c>
      <c r="H440" s="84" t="inlineStr">
        <is>
          <t>EEKWG12E1G</t>
        </is>
      </c>
      <c r="I440" s="84" t="n">
        <v>899</v>
      </c>
      <c r="J440" s="84" t="n">
        <v>899</v>
      </c>
      <c r="K440" s="85" t="n"/>
      <c r="L440" s="85" t="n"/>
    </row>
    <row r="441" ht="12.75" customHeight="1" s="103">
      <c r="A441" s="78">
        <f>MID(H441,3,2)</f>
        <v/>
      </c>
      <c r="B441" s="84" t="inlineStr">
        <is>
          <t>B331</t>
        </is>
      </c>
      <c r="C441" s="84" t="inlineStr">
        <is>
          <t>上海区域</t>
        </is>
      </c>
      <c r="D441" s="84" t="inlineStr">
        <is>
          <t>CN0Q</t>
        </is>
      </c>
      <c r="E441" s="80" t="inlineStr">
        <is>
          <t>EE 苏州比斯特</t>
        </is>
      </c>
      <c r="F441" s="84" t="n">
        <v>4</v>
      </c>
      <c r="G441" s="84" t="inlineStr">
        <is>
          <t>奥特莱斯</t>
        </is>
      </c>
      <c r="H441" s="84" t="inlineStr">
        <is>
          <t>EEKWG12E1G</t>
        </is>
      </c>
      <c r="I441" s="84" t="n">
        <v>899</v>
      </c>
      <c r="J441" s="84" t="n">
        <v>899</v>
      </c>
      <c r="K441" s="85" t="n"/>
      <c r="L441" s="85" t="n"/>
    </row>
    <row r="442" ht="12.75" customHeight="1" s="103">
      <c r="A442" s="78">
        <f>MID(H442,3,2)</f>
        <v/>
      </c>
      <c r="B442" s="84" t="inlineStr">
        <is>
          <t>B331</t>
        </is>
      </c>
      <c r="C442" s="84" t="inlineStr">
        <is>
          <t>上海区域</t>
        </is>
      </c>
      <c r="D442" s="84" t="inlineStr">
        <is>
          <t>CN0Q</t>
        </is>
      </c>
      <c r="E442" s="80" t="inlineStr">
        <is>
          <t>EE 苏州比斯特</t>
        </is>
      </c>
      <c r="F442" s="84" t="n">
        <v>4</v>
      </c>
      <c r="G442" s="84" t="inlineStr">
        <is>
          <t>奥特莱斯</t>
        </is>
      </c>
      <c r="H442" s="84" t="inlineStr">
        <is>
          <t>EEKWG23D02</t>
        </is>
      </c>
      <c r="I442" s="84" t="n">
        <v>699</v>
      </c>
      <c r="J442" s="84" t="n">
        <v>699</v>
      </c>
      <c r="K442" s="85" t="n">
        <v>2</v>
      </c>
      <c r="L442" s="85" t="n">
        <v>945</v>
      </c>
    </row>
    <row r="443" ht="12.75" customHeight="1" s="103">
      <c r="A443" s="78">
        <f>MID(H443,3,2)</f>
        <v/>
      </c>
      <c r="B443" s="84" t="inlineStr">
        <is>
          <t>B331</t>
        </is>
      </c>
      <c r="C443" s="84" t="inlineStr">
        <is>
          <t>上海区域</t>
        </is>
      </c>
      <c r="D443" s="84" t="inlineStr">
        <is>
          <t>CN0Q</t>
        </is>
      </c>
      <c r="E443" s="80" t="inlineStr">
        <is>
          <t>EE 苏州比斯特</t>
        </is>
      </c>
      <c r="F443" s="84" t="n">
        <v>4</v>
      </c>
      <c r="G443" s="84" t="inlineStr">
        <is>
          <t>奥特莱斯</t>
        </is>
      </c>
      <c r="H443" s="84" t="inlineStr">
        <is>
          <t>EEKWG23D02</t>
        </is>
      </c>
      <c r="I443" s="84" t="n">
        <v>699</v>
      </c>
      <c r="J443" s="84" t="n">
        <v>699</v>
      </c>
      <c r="K443" s="85" t="n">
        <v>3</v>
      </c>
      <c r="L443" s="85" t="n">
        <v>895</v>
      </c>
    </row>
    <row r="444" ht="12.75" customHeight="1" s="103">
      <c r="A444" s="78">
        <f>MID(H444,3,2)</f>
        <v/>
      </c>
      <c r="B444" s="84" t="inlineStr">
        <is>
          <t>B331</t>
        </is>
      </c>
      <c r="C444" s="84" t="inlineStr">
        <is>
          <t>上海区域</t>
        </is>
      </c>
      <c r="D444" s="84" t="inlineStr">
        <is>
          <t>CN0Q</t>
        </is>
      </c>
      <c r="E444" s="80" t="inlineStr">
        <is>
          <t>EE 苏州比斯特</t>
        </is>
      </c>
      <c r="F444" s="84" t="n">
        <v>4</v>
      </c>
      <c r="G444" s="84" t="inlineStr">
        <is>
          <t>奥特莱斯</t>
        </is>
      </c>
      <c r="H444" s="84" t="inlineStr">
        <is>
          <t>EEKWG23D02</t>
        </is>
      </c>
      <c r="I444" s="84" t="n">
        <v>699</v>
      </c>
      <c r="J444" s="84" t="n">
        <v>699</v>
      </c>
      <c r="K444" s="85" t="n">
        <v>1</v>
      </c>
      <c r="L444" s="85" t="n">
        <v>443</v>
      </c>
    </row>
    <row r="445" ht="12.75" customHeight="1" s="103">
      <c r="A445" s="78">
        <f>MID(H445,3,2)</f>
        <v/>
      </c>
      <c r="B445" s="84" t="inlineStr">
        <is>
          <t>B331</t>
        </is>
      </c>
      <c r="C445" s="84" t="inlineStr">
        <is>
          <t>上海区域</t>
        </is>
      </c>
      <c r="D445" s="84" t="inlineStr">
        <is>
          <t>CN0Q</t>
        </is>
      </c>
      <c r="E445" s="80" t="inlineStr">
        <is>
          <t>EE 苏州比斯特</t>
        </is>
      </c>
      <c r="F445" s="84" t="n">
        <v>4</v>
      </c>
      <c r="G445" s="84" t="inlineStr">
        <is>
          <t>奥特莱斯</t>
        </is>
      </c>
      <c r="H445" s="84" t="inlineStr">
        <is>
          <t>EEKWG23E01</t>
        </is>
      </c>
      <c r="I445" s="84" t="n">
        <v>499</v>
      </c>
      <c r="J445" s="84" t="n">
        <v>499</v>
      </c>
      <c r="K445" s="85" t="n"/>
      <c r="L445" s="85" t="n"/>
    </row>
    <row r="446" ht="12.75" customHeight="1" s="103">
      <c r="A446" s="78">
        <f>MID(H446,3,2)</f>
        <v/>
      </c>
      <c r="B446" s="84" t="inlineStr">
        <is>
          <t>B331</t>
        </is>
      </c>
      <c r="C446" s="84" t="inlineStr">
        <is>
          <t>上海区域</t>
        </is>
      </c>
      <c r="D446" s="84" t="inlineStr">
        <is>
          <t>CN0Q</t>
        </is>
      </c>
      <c r="E446" s="80" t="inlineStr">
        <is>
          <t>EE 苏州比斯特</t>
        </is>
      </c>
      <c r="F446" s="84" t="n">
        <v>4</v>
      </c>
      <c r="G446" s="84" t="inlineStr">
        <is>
          <t>奥特莱斯</t>
        </is>
      </c>
      <c r="H446" s="84" t="inlineStr">
        <is>
          <t>EEKWG23E01</t>
        </is>
      </c>
      <c r="I446" s="84" t="n">
        <v>499</v>
      </c>
      <c r="J446" s="84" t="n">
        <v>499</v>
      </c>
      <c r="K446" s="85" t="n"/>
      <c r="L446" s="85" t="n"/>
    </row>
    <row r="447" ht="12.75" customHeight="1" s="103">
      <c r="A447" s="78">
        <f>MID(H447,3,2)</f>
        <v/>
      </c>
      <c r="B447" s="84" t="inlineStr">
        <is>
          <t>B331</t>
        </is>
      </c>
      <c r="C447" s="84" t="inlineStr">
        <is>
          <t>上海区域</t>
        </is>
      </c>
      <c r="D447" s="84" t="inlineStr">
        <is>
          <t>CN0Q</t>
        </is>
      </c>
      <c r="E447" s="80" t="inlineStr">
        <is>
          <t>EE 苏州比斯特</t>
        </is>
      </c>
      <c r="F447" s="84" t="n">
        <v>4</v>
      </c>
      <c r="G447" s="84" t="inlineStr">
        <is>
          <t>奥特莱斯</t>
        </is>
      </c>
      <c r="H447" s="84" t="inlineStr">
        <is>
          <t>EEKWG23E01</t>
        </is>
      </c>
      <c r="I447" s="84" t="n">
        <v>499</v>
      </c>
      <c r="J447" s="84" t="n">
        <v>499</v>
      </c>
      <c r="K447" s="85" t="n"/>
      <c r="L447" s="85" t="n"/>
    </row>
    <row r="448" ht="12.75" customHeight="1" s="103">
      <c r="A448" s="78">
        <f>MID(H448,3,2)</f>
        <v/>
      </c>
      <c r="B448" s="84" t="inlineStr">
        <is>
          <t>B331</t>
        </is>
      </c>
      <c r="C448" s="84" t="inlineStr">
        <is>
          <t>上海区域</t>
        </is>
      </c>
      <c r="D448" s="84" t="inlineStr">
        <is>
          <t>CN0Q</t>
        </is>
      </c>
      <c r="E448" s="80" t="inlineStr">
        <is>
          <t>EE 苏州比斯特</t>
        </is>
      </c>
      <c r="F448" s="84" t="n">
        <v>4</v>
      </c>
      <c r="G448" s="84" t="inlineStr">
        <is>
          <t>奥特莱斯</t>
        </is>
      </c>
      <c r="H448" s="84" t="inlineStr">
        <is>
          <t>EEKWG23E01</t>
        </is>
      </c>
      <c r="I448" s="84" t="n">
        <v>499</v>
      </c>
      <c r="J448" s="84" t="n">
        <v>499</v>
      </c>
      <c r="K448" s="85" t="n"/>
      <c r="L448" s="85" t="n"/>
    </row>
    <row r="449" ht="12.75" customHeight="1" s="103">
      <c r="A449" s="78">
        <f>MID(H449,3,2)</f>
        <v/>
      </c>
      <c r="B449" s="84" t="inlineStr">
        <is>
          <t>B331</t>
        </is>
      </c>
      <c r="C449" s="84" t="inlineStr">
        <is>
          <t>上海区域</t>
        </is>
      </c>
      <c r="D449" s="84" t="inlineStr">
        <is>
          <t>CN0Q</t>
        </is>
      </c>
      <c r="E449" s="80" t="inlineStr">
        <is>
          <t>EE 苏州比斯特</t>
        </is>
      </c>
      <c r="F449" s="84" t="n">
        <v>4</v>
      </c>
      <c r="G449" s="84" t="inlineStr">
        <is>
          <t>奥特莱斯</t>
        </is>
      </c>
      <c r="H449" s="84" t="inlineStr">
        <is>
          <t>EEKWG23E01</t>
        </is>
      </c>
      <c r="I449" s="84" t="n">
        <v>499</v>
      </c>
      <c r="J449" s="84" t="n">
        <v>499</v>
      </c>
      <c r="K449" s="85" t="n"/>
      <c r="L449" s="85" t="n"/>
    </row>
    <row r="450" ht="12.75" customHeight="1" s="103">
      <c r="A450" s="78">
        <f>MID(H450,3,2)</f>
        <v/>
      </c>
      <c r="B450" s="84" t="inlineStr">
        <is>
          <t>B331</t>
        </is>
      </c>
      <c r="C450" s="84" t="inlineStr">
        <is>
          <t>上海区域</t>
        </is>
      </c>
      <c r="D450" s="84" t="inlineStr">
        <is>
          <t>CN0Q</t>
        </is>
      </c>
      <c r="E450" s="80" t="inlineStr">
        <is>
          <t>EE 苏州比斯特</t>
        </is>
      </c>
      <c r="F450" s="84" t="n">
        <v>4</v>
      </c>
      <c r="G450" s="84" t="inlineStr">
        <is>
          <t>奥特莱斯</t>
        </is>
      </c>
      <c r="H450" s="84" t="inlineStr">
        <is>
          <t>EEKWG23E01</t>
        </is>
      </c>
      <c r="I450" s="84" t="n">
        <v>499</v>
      </c>
      <c r="J450" s="84" t="n">
        <v>499</v>
      </c>
      <c r="K450" s="85" t="n"/>
      <c r="L450" s="85" t="n"/>
    </row>
    <row r="451" ht="12.75" customHeight="1" s="103">
      <c r="A451" s="78">
        <f>MID(H451,3,2)</f>
        <v/>
      </c>
      <c r="B451" s="84" t="inlineStr">
        <is>
          <t>B331</t>
        </is>
      </c>
      <c r="C451" s="84" t="inlineStr">
        <is>
          <t>上海区域</t>
        </is>
      </c>
      <c r="D451" s="84" t="inlineStr">
        <is>
          <t>CN0Q</t>
        </is>
      </c>
      <c r="E451" s="80" t="inlineStr">
        <is>
          <t>EE 苏州比斯特</t>
        </is>
      </c>
      <c r="F451" s="84" t="n">
        <v>4</v>
      </c>
      <c r="G451" s="84" t="inlineStr">
        <is>
          <t>奥特莱斯</t>
        </is>
      </c>
      <c r="H451" s="84" t="inlineStr">
        <is>
          <t>EEKWG23E01</t>
        </is>
      </c>
      <c r="I451" s="84" t="n">
        <v>499</v>
      </c>
      <c r="J451" s="84" t="n">
        <v>499</v>
      </c>
      <c r="K451" s="85" t="n"/>
      <c r="L451" s="85" t="n"/>
    </row>
    <row r="452" ht="12.75" customHeight="1" s="103">
      <c r="A452" s="78">
        <f>MID(H452,3,2)</f>
        <v/>
      </c>
      <c r="B452" s="84" t="inlineStr">
        <is>
          <t>B331</t>
        </is>
      </c>
      <c r="C452" s="84" t="inlineStr">
        <is>
          <t>上海区域</t>
        </is>
      </c>
      <c r="D452" s="84" t="inlineStr">
        <is>
          <t>CN0Q</t>
        </is>
      </c>
      <c r="E452" s="80" t="inlineStr">
        <is>
          <t>EE 苏州比斯特</t>
        </is>
      </c>
      <c r="F452" s="84" t="n">
        <v>4</v>
      </c>
      <c r="G452" s="84" t="inlineStr">
        <is>
          <t>奥特莱斯</t>
        </is>
      </c>
      <c r="H452" s="84" t="inlineStr">
        <is>
          <t>EEKWG23E01</t>
        </is>
      </c>
      <c r="I452" s="84" t="n">
        <v>499</v>
      </c>
      <c r="J452" s="84" t="n">
        <v>499</v>
      </c>
      <c r="K452" s="85" t="n"/>
      <c r="L452" s="85" t="n"/>
    </row>
    <row r="453" ht="12.75" customHeight="1" s="103">
      <c r="A453" s="78">
        <f>MID(H453,3,2)</f>
        <v/>
      </c>
      <c r="B453" s="84" t="inlineStr">
        <is>
          <t>B331</t>
        </is>
      </c>
      <c r="C453" s="84" t="inlineStr">
        <is>
          <t>上海区域</t>
        </is>
      </c>
      <c r="D453" s="84" t="inlineStr">
        <is>
          <t>CN0Q</t>
        </is>
      </c>
      <c r="E453" s="80" t="inlineStr">
        <is>
          <t>EE 苏州比斯特</t>
        </is>
      </c>
      <c r="F453" s="84" t="n">
        <v>4</v>
      </c>
      <c r="G453" s="84" t="inlineStr">
        <is>
          <t>奥特莱斯</t>
        </is>
      </c>
      <c r="H453" s="84" t="inlineStr">
        <is>
          <t>EEKWG23E01</t>
        </is>
      </c>
      <c r="I453" s="84" t="n">
        <v>499</v>
      </c>
      <c r="J453" s="84" t="n">
        <v>499</v>
      </c>
      <c r="K453" s="85" t="n">
        <v>3</v>
      </c>
      <c r="L453" s="85" t="n">
        <v>646</v>
      </c>
    </row>
    <row r="454" ht="12.75" customHeight="1" s="103">
      <c r="A454" s="78">
        <f>MID(H454,3,2)</f>
        <v/>
      </c>
      <c r="B454" s="84" t="inlineStr">
        <is>
          <t>B331</t>
        </is>
      </c>
      <c r="C454" s="84" t="inlineStr">
        <is>
          <t>上海区域</t>
        </is>
      </c>
      <c r="D454" s="84" t="inlineStr">
        <is>
          <t>CN0Q</t>
        </is>
      </c>
      <c r="E454" s="80" t="inlineStr">
        <is>
          <t>EE 苏州比斯特</t>
        </is>
      </c>
      <c r="F454" s="84" t="n">
        <v>4</v>
      </c>
      <c r="G454" s="84" t="inlineStr">
        <is>
          <t>奥特莱斯</t>
        </is>
      </c>
      <c r="H454" s="84" t="inlineStr">
        <is>
          <t>EEKWG23E01</t>
        </is>
      </c>
      <c r="I454" s="84" t="n">
        <v>499</v>
      </c>
      <c r="J454" s="84" t="n">
        <v>499</v>
      </c>
      <c r="K454" s="85" t="n">
        <v>9</v>
      </c>
      <c r="L454" s="86" t="n">
        <v>2042</v>
      </c>
    </row>
    <row r="455" ht="12.75" customHeight="1" s="103">
      <c r="A455" s="78">
        <f>MID(H455,3,2)</f>
        <v/>
      </c>
      <c r="B455" s="84" t="inlineStr">
        <is>
          <t>B331</t>
        </is>
      </c>
      <c r="C455" s="84" t="inlineStr">
        <is>
          <t>上海区域</t>
        </is>
      </c>
      <c r="D455" s="84" t="inlineStr">
        <is>
          <t>CN0Q</t>
        </is>
      </c>
      <c r="E455" s="80" t="inlineStr">
        <is>
          <t>EE 苏州比斯特</t>
        </is>
      </c>
      <c r="F455" s="84" t="n">
        <v>4</v>
      </c>
      <c r="G455" s="84" t="inlineStr">
        <is>
          <t>奥特莱斯</t>
        </is>
      </c>
      <c r="H455" s="84" t="inlineStr">
        <is>
          <t>EEKWG23E01</t>
        </is>
      </c>
      <c r="I455" s="84" t="n">
        <v>499</v>
      </c>
      <c r="J455" s="84" t="n">
        <v>499</v>
      </c>
      <c r="K455" s="85" t="n">
        <v>2</v>
      </c>
      <c r="L455" s="85" t="n">
        <v>679</v>
      </c>
    </row>
    <row r="456" ht="12.75" customHeight="1" s="103">
      <c r="A456" s="78">
        <f>MID(H456,3,2)</f>
        <v/>
      </c>
      <c r="B456" s="84" t="inlineStr">
        <is>
          <t>B331</t>
        </is>
      </c>
      <c r="C456" s="84" t="inlineStr">
        <is>
          <t>上海区域</t>
        </is>
      </c>
      <c r="D456" s="84" t="inlineStr">
        <is>
          <t>CN0Q</t>
        </is>
      </c>
      <c r="E456" s="80" t="inlineStr">
        <is>
          <t>EE 苏州比斯特</t>
        </is>
      </c>
      <c r="F456" s="84" t="n">
        <v>4</v>
      </c>
      <c r="G456" s="84" t="inlineStr">
        <is>
          <t>奥特莱斯</t>
        </is>
      </c>
      <c r="H456" s="84" t="inlineStr">
        <is>
          <t>EEKWG23E01</t>
        </is>
      </c>
      <c r="I456" s="84" t="n">
        <v>499</v>
      </c>
      <c r="J456" s="84" t="n">
        <v>499</v>
      </c>
      <c r="K456" s="85" t="n"/>
      <c r="L456" s="85" t="n"/>
    </row>
    <row r="457" ht="12.75" customHeight="1" s="103">
      <c r="A457" s="78">
        <f>MID(H457,3,2)</f>
        <v/>
      </c>
      <c r="B457" s="84" t="inlineStr">
        <is>
          <t>B331</t>
        </is>
      </c>
      <c r="C457" s="84" t="inlineStr">
        <is>
          <t>上海区域</t>
        </is>
      </c>
      <c r="D457" s="84" t="inlineStr">
        <is>
          <t>CN0Q</t>
        </is>
      </c>
      <c r="E457" s="80" t="inlineStr">
        <is>
          <t>EE 苏州比斯特</t>
        </is>
      </c>
      <c r="F457" s="84" t="n">
        <v>4</v>
      </c>
      <c r="G457" s="84" t="inlineStr">
        <is>
          <t>奥特莱斯</t>
        </is>
      </c>
      <c r="H457" s="84" t="inlineStr">
        <is>
          <t>EEKWG23E01</t>
        </is>
      </c>
      <c r="I457" s="84" t="n">
        <v>499</v>
      </c>
      <c r="J457" s="84" t="n">
        <v>499</v>
      </c>
      <c r="K457" s="85" t="n"/>
      <c r="L457" s="85" t="n"/>
    </row>
    <row r="458" ht="12.75" customHeight="1" s="103">
      <c r="A458" s="78">
        <f>MID(H458,3,2)</f>
        <v/>
      </c>
      <c r="B458" s="84" t="inlineStr">
        <is>
          <t>B331</t>
        </is>
      </c>
      <c r="C458" s="84" t="inlineStr">
        <is>
          <t>上海区域</t>
        </is>
      </c>
      <c r="D458" s="84" t="inlineStr">
        <is>
          <t>CN0Q</t>
        </is>
      </c>
      <c r="E458" s="80" t="inlineStr">
        <is>
          <t>EE 苏州比斯特</t>
        </is>
      </c>
      <c r="F458" s="84" t="n">
        <v>4</v>
      </c>
      <c r="G458" s="84" t="inlineStr">
        <is>
          <t>奥特莱斯</t>
        </is>
      </c>
      <c r="H458" s="84" t="inlineStr">
        <is>
          <t>EEKWG23E01</t>
        </is>
      </c>
      <c r="I458" s="84" t="n">
        <v>499</v>
      </c>
      <c r="J458" s="84" t="n">
        <v>499</v>
      </c>
      <c r="K458" s="85" t="n"/>
      <c r="L458" s="85" t="n"/>
    </row>
    <row r="459" ht="12.75" customHeight="1" s="103">
      <c r="A459" s="78">
        <f>MID(H459,3,2)</f>
        <v/>
      </c>
      <c r="B459" s="84" t="inlineStr">
        <is>
          <t>B331</t>
        </is>
      </c>
      <c r="C459" s="84" t="inlineStr">
        <is>
          <t>上海区域</t>
        </is>
      </c>
      <c r="D459" s="84" t="inlineStr">
        <is>
          <t>CN0Q</t>
        </is>
      </c>
      <c r="E459" s="80" t="inlineStr">
        <is>
          <t>EE 苏州比斯特</t>
        </is>
      </c>
      <c r="F459" s="84" t="n">
        <v>4</v>
      </c>
      <c r="G459" s="84" t="inlineStr">
        <is>
          <t>奥特莱斯</t>
        </is>
      </c>
      <c r="H459" s="84" t="inlineStr">
        <is>
          <t>EEKWG23E01</t>
        </is>
      </c>
      <c r="I459" s="84" t="n">
        <v>499</v>
      </c>
      <c r="J459" s="84" t="n">
        <v>499</v>
      </c>
      <c r="K459" s="85" t="n"/>
      <c r="L459" s="85" t="n"/>
    </row>
    <row r="460" ht="12.75" customHeight="1" s="103">
      <c r="A460" s="78">
        <f>MID(H460,3,2)</f>
        <v/>
      </c>
      <c r="B460" s="84" t="inlineStr">
        <is>
          <t>B331</t>
        </is>
      </c>
      <c r="C460" s="84" t="inlineStr">
        <is>
          <t>上海区域</t>
        </is>
      </c>
      <c r="D460" s="84" t="inlineStr">
        <is>
          <t>CN0Q</t>
        </is>
      </c>
      <c r="E460" s="80" t="inlineStr">
        <is>
          <t>EE 苏州比斯特</t>
        </is>
      </c>
      <c r="F460" s="84" t="n">
        <v>4</v>
      </c>
      <c r="G460" s="84" t="inlineStr">
        <is>
          <t>奥特莱斯</t>
        </is>
      </c>
      <c r="H460" s="84" t="inlineStr">
        <is>
          <t>EEKWG23E01</t>
        </is>
      </c>
      <c r="I460" s="84" t="n">
        <v>499</v>
      </c>
      <c r="J460" s="84" t="n">
        <v>499</v>
      </c>
      <c r="K460" s="85" t="n"/>
      <c r="L460" s="85" t="n"/>
    </row>
    <row r="461" ht="12.75" customHeight="1" s="103">
      <c r="A461" s="78">
        <f>MID(H461,3,2)</f>
        <v/>
      </c>
      <c r="B461" s="84" t="inlineStr">
        <is>
          <t>B331</t>
        </is>
      </c>
      <c r="C461" s="84" t="inlineStr">
        <is>
          <t>上海区域</t>
        </is>
      </c>
      <c r="D461" s="84" t="inlineStr">
        <is>
          <t>CN0Q</t>
        </is>
      </c>
      <c r="E461" s="80" t="inlineStr">
        <is>
          <t>EE 苏州比斯特</t>
        </is>
      </c>
      <c r="F461" s="84" t="n">
        <v>4</v>
      </c>
      <c r="G461" s="84" t="inlineStr">
        <is>
          <t>奥特莱斯</t>
        </is>
      </c>
      <c r="H461" s="84" t="inlineStr">
        <is>
          <t>EEKWG23E1G</t>
        </is>
      </c>
      <c r="I461" s="84" t="n">
        <v>599</v>
      </c>
      <c r="J461" s="84" t="n">
        <v>599</v>
      </c>
      <c r="K461" s="85" t="n"/>
      <c r="L461" s="85" t="n"/>
    </row>
    <row r="462" ht="12.75" customHeight="1" s="103">
      <c r="A462" s="78">
        <f>MID(H462,3,2)</f>
        <v/>
      </c>
      <c r="B462" s="84" t="inlineStr">
        <is>
          <t>B331</t>
        </is>
      </c>
      <c r="C462" s="84" t="inlineStr">
        <is>
          <t>上海区域</t>
        </is>
      </c>
      <c r="D462" s="84" t="inlineStr">
        <is>
          <t>CN0Q</t>
        </is>
      </c>
      <c r="E462" s="80" t="inlineStr">
        <is>
          <t>EE 苏州比斯特</t>
        </is>
      </c>
      <c r="F462" s="84" t="n">
        <v>4</v>
      </c>
      <c r="G462" s="84" t="inlineStr">
        <is>
          <t>奥特莱斯</t>
        </is>
      </c>
      <c r="H462" s="84" t="inlineStr">
        <is>
          <t>EEKWG23E1G</t>
        </is>
      </c>
      <c r="I462" s="84" t="n">
        <v>599</v>
      </c>
      <c r="J462" s="84" t="n">
        <v>599</v>
      </c>
      <c r="K462" s="85" t="n"/>
      <c r="L462" s="85" t="n"/>
    </row>
    <row r="463" ht="12.75" customHeight="1" s="103">
      <c r="A463" s="78">
        <f>MID(H463,3,2)</f>
        <v/>
      </c>
      <c r="B463" s="84" t="inlineStr">
        <is>
          <t>B331</t>
        </is>
      </c>
      <c r="C463" s="84" t="inlineStr">
        <is>
          <t>上海区域</t>
        </is>
      </c>
      <c r="D463" s="84" t="inlineStr">
        <is>
          <t>CN0Q</t>
        </is>
      </c>
      <c r="E463" s="80" t="inlineStr">
        <is>
          <t>EE 苏州比斯特</t>
        </is>
      </c>
      <c r="F463" s="84" t="n">
        <v>4</v>
      </c>
      <c r="G463" s="84" t="inlineStr">
        <is>
          <t>奥特莱斯</t>
        </is>
      </c>
      <c r="H463" s="84" t="inlineStr">
        <is>
          <t>EEKWG23E1G</t>
        </is>
      </c>
      <c r="I463" s="84" t="n">
        <v>599</v>
      </c>
      <c r="J463" s="84" t="n">
        <v>599</v>
      </c>
      <c r="K463" s="85" t="n"/>
      <c r="L463" s="85" t="n"/>
    </row>
    <row r="464" ht="12.75" customHeight="1" s="103">
      <c r="A464" s="78">
        <f>MID(H464,3,2)</f>
        <v/>
      </c>
      <c r="B464" s="84" t="inlineStr">
        <is>
          <t>B331</t>
        </is>
      </c>
      <c r="C464" s="84" t="inlineStr">
        <is>
          <t>上海区域</t>
        </is>
      </c>
      <c r="D464" s="84" t="inlineStr">
        <is>
          <t>CN0Q</t>
        </is>
      </c>
      <c r="E464" s="80" t="inlineStr">
        <is>
          <t>EE 苏州比斯特</t>
        </is>
      </c>
      <c r="F464" s="84" t="n">
        <v>4</v>
      </c>
      <c r="G464" s="84" t="inlineStr">
        <is>
          <t>奥特莱斯</t>
        </is>
      </c>
      <c r="H464" s="84" t="inlineStr">
        <is>
          <t>EEKWG23E1G</t>
        </is>
      </c>
      <c r="I464" s="84" t="n">
        <v>599</v>
      </c>
      <c r="J464" s="84" t="n">
        <v>599</v>
      </c>
      <c r="K464" s="85" t="n"/>
      <c r="L464" s="85" t="n"/>
    </row>
    <row r="465" ht="12.75" customHeight="1" s="103">
      <c r="A465" s="78">
        <f>MID(H465,3,2)</f>
        <v/>
      </c>
      <c r="B465" s="84" t="inlineStr">
        <is>
          <t>B331</t>
        </is>
      </c>
      <c r="C465" s="84" t="inlineStr">
        <is>
          <t>上海区域</t>
        </is>
      </c>
      <c r="D465" s="84" t="inlineStr">
        <is>
          <t>CN0Q</t>
        </is>
      </c>
      <c r="E465" s="80" t="inlineStr">
        <is>
          <t>EE 苏州比斯特</t>
        </is>
      </c>
      <c r="F465" s="84" t="n">
        <v>4</v>
      </c>
      <c r="G465" s="84" t="inlineStr">
        <is>
          <t>奥特莱斯</t>
        </is>
      </c>
      <c r="H465" s="84" t="inlineStr">
        <is>
          <t>EEKWG23E1G</t>
        </is>
      </c>
      <c r="I465" s="84" t="n">
        <v>599</v>
      </c>
      <c r="J465" s="84" t="n">
        <v>599</v>
      </c>
      <c r="K465" s="85" t="n"/>
      <c r="L465" s="85" t="n"/>
    </row>
    <row r="466" ht="12.75" customHeight="1" s="103">
      <c r="A466" s="78">
        <f>MID(H466,3,2)</f>
        <v/>
      </c>
      <c r="B466" s="84" t="inlineStr">
        <is>
          <t>B331</t>
        </is>
      </c>
      <c r="C466" s="84" t="inlineStr">
        <is>
          <t>上海区域</t>
        </is>
      </c>
      <c r="D466" s="84" t="inlineStr">
        <is>
          <t>CN0Q</t>
        </is>
      </c>
      <c r="E466" s="80" t="inlineStr">
        <is>
          <t>EE 苏州比斯特</t>
        </is>
      </c>
      <c r="F466" s="84" t="n">
        <v>4</v>
      </c>
      <c r="G466" s="84" t="inlineStr">
        <is>
          <t>奥特莱斯</t>
        </is>
      </c>
      <c r="H466" s="84" t="inlineStr">
        <is>
          <t>EEKWG23E1G</t>
        </is>
      </c>
      <c r="I466" s="84" t="n">
        <v>599</v>
      </c>
      <c r="J466" s="84" t="n">
        <v>599</v>
      </c>
      <c r="K466" s="85" t="n"/>
      <c r="L466" s="85" t="n"/>
    </row>
    <row r="467" ht="12.75" customHeight="1" s="103">
      <c r="A467" s="78">
        <f>MID(H467,3,2)</f>
        <v/>
      </c>
      <c r="B467" s="84" t="inlineStr">
        <is>
          <t>B331</t>
        </is>
      </c>
      <c r="C467" s="84" t="inlineStr">
        <is>
          <t>上海区域</t>
        </is>
      </c>
      <c r="D467" s="84" t="inlineStr">
        <is>
          <t>CN0Q</t>
        </is>
      </c>
      <c r="E467" s="80" t="inlineStr">
        <is>
          <t>EE 苏州比斯特</t>
        </is>
      </c>
      <c r="F467" s="84" t="n">
        <v>4</v>
      </c>
      <c r="G467" s="84" t="inlineStr">
        <is>
          <t>奥特莱斯</t>
        </is>
      </c>
      <c r="H467" s="84" t="inlineStr">
        <is>
          <t>EEKWG23E1G</t>
        </is>
      </c>
      <c r="I467" s="84" t="n">
        <v>599</v>
      </c>
      <c r="J467" s="84" t="n">
        <v>599</v>
      </c>
      <c r="K467" s="85" t="n"/>
      <c r="L467" s="85" t="n"/>
    </row>
    <row r="468" ht="12.75" customHeight="1" s="103">
      <c r="A468" s="78">
        <f>MID(H468,3,2)</f>
        <v/>
      </c>
      <c r="B468" s="84" t="inlineStr">
        <is>
          <t>B331</t>
        </is>
      </c>
      <c r="C468" s="84" t="inlineStr">
        <is>
          <t>上海区域</t>
        </is>
      </c>
      <c r="D468" s="84" t="inlineStr">
        <is>
          <t>CN0Q</t>
        </is>
      </c>
      <c r="E468" s="80" t="inlineStr">
        <is>
          <t>EE 苏州比斯特</t>
        </is>
      </c>
      <c r="F468" s="84" t="n">
        <v>4</v>
      </c>
      <c r="G468" s="84" t="inlineStr">
        <is>
          <t>奥特莱斯</t>
        </is>
      </c>
      <c r="H468" s="84" t="inlineStr">
        <is>
          <t>EEKWG23E1G</t>
        </is>
      </c>
      <c r="I468" s="84" t="n">
        <v>599</v>
      </c>
      <c r="J468" s="84" t="n">
        <v>599</v>
      </c>
      <c r="K468" s="85" t="n"/>
      <c r="L468" s="85" t="n"/>
    </row>
    <row r="469" ht="12.75" customHeight="1" s="103">
      <c r="A469" s="78">
        <f>MID(H469,3,2)</f>
        <v/>
      </c>
      <c r="B469" s="84" t="inlineStr">
        <is>
          <t>B331</t>
        </is>
      </c>
      <c r="C469" s="84" t="inlineStr">
        <is>
          <t>上海区域</t>
        </is>
      </c>
      <c r="D469" s="84" t="inlineStr">
        <is>
          <t>CN0Q</t>
        </is>
      </c>
      <c r="E469" s="80" t="inlineStr">
        <is>
          <t>EE 苏州比斯特</t>
        </is>
      </c>
      <c r="F469" s="84" t="n">
        <v>4</v>
      </c>
      <c r="G469" s="84" t="inlineStr">
        <is>
          <t>奥特莱斯</t>
        </is>
      </c>
      <c r="H469" s="84" t="inlineStr">
        <is>
          <t>EEKWG23E2G</t>
        </is>
      </c>
      <c r="I469" s="84" t="n">
        <v>699</v>
      </c>
      <c r="J469" s="84" t="n">
        <v>699</v>
      </c>
      <c r="K469" s="85" t="n">
        <v>4</v>
      </c>
      <c r="L469" s="86" t="n">
        <v>1141</v>
      </c>
    </row>
    <row r="470" ht="12.75" customHeight="1" s="103">
      <c r="A470" s="78">
        <f>MID(H470,3,2)</f>
        <v/>
      </c>
      <c r="B470" s="84" t="inlineStr">
        <is>
          <t>B331</t>
        </is>
      </c>
      <c r="C470" s="84" t="inlineStr">
        <is>
          <t>上海区域</t>
        </is>
      </c>
      <c r="D470" s="84" t="inlineStr">
        <is>
          <t>CN0Q</t>
        </is>
      </c>
      <c r="E470" s="80" t="inlineStr">
        <is>
          <t>EE 苏州比斯特</t>
        </is>
      </c>
      <c r="F470" s="84" t="n">
        <v>4</v>
      </c>
      <c r="G470" s="84" t="inlineStr">
        <is>
          <t>奥特莱斯</t>
        </is>
      </c>
      <c r="H470" s="84" t="inlineStr">
        <is>
          <t>EEKWG23E2G</t>
        </is>
      </c>
      <c r="I470" s="84" t="n">
        <v>699</v>
      </c>
      <c r="J470" s="84" t="n">
        <v>699</v>
      </c>
      <c r="K470" s="85" t="n">
        <v>5</v>
      </c>
      <c r="L470" s="86" t="n">
        <v>1787</v>
      </c>
    </row>
    <row r="471" ht="12.75" customHeight="1" s="103">
      <c r="A471" s="78">
        <f>MID(H471,3,2)</f>
        <v/>
      </c>
      <c r="B471" s="84" t="inlineStr">
        <is>
          <t>B331</t>
        </is>
      </c>
      <c r="C471" s="84" t="inlineStr">
        <is>
          <t>上海区域</t>
        </is>
      </c>
      <c r="D471" s="84" t="inlineStr">
        <is>
          <t>CN0Q</t>
        </is>
      </c>
      <c r="E471" s="80" t="inlineStr">
        <is>
          <t>EE 苏州比斯特</t>
        </is>
      </c>
      <c r="F471" s="84" t="n">
        <v>4</v>
      </c>
      <c r="G471" s="84" t="inlineStr">
        <is>
          <t>奥特莱斯</t>
        </is>
      </c>
      <c r="H471" s="84" t="inlineStr">
        <is>
          <t>EEKWG23E2G</t>
        </is>
      </c>
      <c r="I471" s="84" t="n">
        <v>699</v>
      </c>
      <c r="J471" s="84" t="n">
        <v>699</v>
      </c>
      <c r="K471" s="85" t="n">
        <v>2</v>
      </c>
      <c r="L471" s="85" t="n">
        <v>894</v>
      </c>
    </row>
    <row r="472" ht="12.75" customHeight="1" s="103">
      <c r="A472" s="78">
        <f>MID(H472,3,2)</f>
        <v/>
      </c>
      <c r="B472" s="84" t="inlineStr">
        <is>
          <t>B331</t>
        </is>
      </c>
      <c r="C472" s="84" t="inlineStr">
        <is>
          <t>上海区域</t>
        </is>
      </c>
      <c r="D472" s="84" t="inlineStr">
        <is>
          <t>CN0Q</t>
        </is>
      </c>
      <c r="E472" s="80" t="inlineStr">
        <is>
          <t>EE 苏州比斯特</t>
        </is>
      </c>
      <c r="F472" s="84" t="n">
        <v>4</v>
      </c>
      <c r="G472" s="84" t="inlineStr">
        <is>
          <t>奥特莱斯</t>
        </is>
      </c>
      <c r="H472" s="84" t="inlineStr">
        <is>
          <t>EEKWG23E2G</t>
        </is>
      </c>
      <c r="I472" s="84" t="n">
        <v>699</v>
      </c>
      <c r="J472" s="84" t="n">
        <v>699</v>
      </c>
      <c r="K472" s="85" t="n">
        <v>1</v>
      </c>
      <c r="L472" s="85" t="n">
        <v>454</v>
      </c>
    </row>
    <row r="473" ht="12.75" customHeight="1" s="103">
      <c r="A473" s="78">
        <f>MID(H473,3,2)</f>
        <v/>
      </c>
      <c r="B473" s="84" t="inlineStr">
        <is>
          <t>B331</t>
        </is>
      </c>
      <c r="C473" s="84" t="inlineStr">
        <is>
          <t>上海区域</t>
        </is>
      </c>
      <c r="D473" s="84" t="inlineStr">
        <is>
          <t>CN0Q</t>
        </is>
      </c>
      <c r="E473" s="80" t="inlineStr">
        <is>
          <t>EE 苏州比斯特</t>
        </is>
      </c>
      <c r="F473" s="84" t="n">
        <v>4</v>
      </c>
      <c r="G473" s="84" t="inlineStr">
        <is>
          <t>奥特莱斯</t>
        </is>
      </c>
      <c r="H473" s="84" t="inlineStr">
        <is>
          <t>EEKWG23E2G</t>
        </is>
      </c>
      <c r="I473" s="84" t="n">
        <v>699</v>
      </c>
      <c r="J473" s="84" t="n">
        <v>699</v>
      </c>
      <c r="K473" s="85" t="n">
        <v>2</v>
      </c>
      <c r="L473" s="85" t="n"/>
    </row>
    <row r="474" ht="12.75" customHeight="1" s="103">
      <c r="A474" s="78">
        <f>MID(H474,3,2)</f>
        <v/>
      </c>
      <c r="B474" s="84" t="inlineStr">
        <is>
          <t>B331</t>
        </is>
      </c>
      <c r="C474" s="84" t="inlineStr">
        <is>
          <t>上海区域</t>
        </is>
      </c>
      <c r="D474" s="84" t="inlineStr">
        <is>
          <t>CN0Q</t>
        </is>
      </c>
      <c r="E474" s="80" t="inlineStr">
        <is>
          <t>EE 苏州比斯特</t>
        </is>
      </c>
      <c r="F474" s="84" t="n">
        <v>4</v>
      </c>
      <c r="G474" s="84" t="inlineStr">
        <is>
          <t>奥特莱斯</t>
        </is>
      </c>
      <c r="H474" s="84" t="inlineStr">
        <is>
          <t>EEKWG23E2G</t>
        </is>
      </c>
      <c r="I474" s="84" t="n">
        <v>699</v>
      </c>
      <c r="J474" s="84" t="n">
        <v>699</v>
      </c>
      <c r="K474" s="85" t="n">
        <v>1</v>
      </c>
      <c r="L474" s="85" t="n">
        <v>451</v>
      </c>
    </row>
    <row r="475" ht="12.75" customHeight="1" s="103">
      <c r="A475" s="78">
        <f>MID(H475,3,2)</f>
        <v/>
      </c>
      <c r="B475" s="84" t="inlineStr">
        <is>
          <t>B331</t>
        </is>
      </c>
      <c r="C475" s="84" t="inlineStr">
        <is>
          <t>上海区域</t>
        </is>
      </c>
      <c r="D475" s="84" t="inlineStr">
        <is>
          <t>CN0Q</t>
        </is>
      </c>
      <c r="E475" s="80" t="inlineStr">
        <is>
          <t>EE 苏州比斯特</t>
        </is>
      </c>
      <c r="F475" s="84" t="n">
        <v>4</v>
      </c>
      <c r="G475" s="84" t="inlineStr">
        <is>
          <t>奥特莱斯</t>
        </is>
      </c>
      <c r="H475" s="84" t="inlineStr">
        <is>
          <t>EEKWG23E2G</t>
        </is>
      </c>
      <c r="I475" s="84" t="n">
        <v>699</v>
      </c>
      <c r="J475" s="84" t="n">
        <v>699</v>
      </c>
      <c r="K475" s="85" t="n">
        <v>2</v>
      </c>
      <c r="L475" s="85" t="n">
        <v>897</v>
      </c>
    </row>
    <row r="476" ht="12.75" customHeight="1" s="103">
      <c r="A476" s="78">
        <f>MID(H476,3,2)</f>
        <v/>
      </c>
      <c r="B476" s="84" t="inlineStr">
        <is>
          <t>B331</t>
        </is>
      </c>
      <c r="C476" s="84" t="inlineStr">
        <is>
          <t>上海区域</t>
        </is>
      </c>
      <c r="D476" s="84" t="inlineStr">
        <is>
          <t>CN0Q</t>
        </is>
      </c>
      <c r="E476" s="80" t="inlineStr">
        <is>
          <t>EE 苏州比斯特</t>
        </is>
      </c>
      <c r="F476" s="84" t="n">
        <v>4</v>
      </c>
      <c r="G476" s="84" t="inlineStr">
        <is>
          <t>奥特莱斯</t>
        </is>
      </c>
      <c r="H476" s="84" t="inlineStr">
        <is>
          <t>EEKWG23E2G</t>
        </is>
      </c>
      <c r="I476" s="84" t="n">
        <v>699</v>
      </c>
      <c r="J476" s="84" t="n">
        <v>699</v>
      </c>
      <c r="K476" s="85" t="n"/>
      <c r="L476" s="85" t="n"/>
    </row>
    <row r="477" ht="12.75" customHeight="1" s="103">
      <c r="A477" s="78">
        <f>MID(H477,3,2)</f>
        <v/>
      </c>
      <c r="B477" s="84" t="inlineStr">
        <is>
          <t>B331</t>
        </is>
      </c>
      <c r="C477" s="84" t="inlineStr">
        <is>
          <t>上海区域</t>
        </is>
      </c>
      <c r="D477" s="84" t="inlineStr">
        <is>
          <t>CN0Q</t>
        </is>
      </c>
      <c r="E477" s="80" t="inlineStr">
        <is>
          <t>EE 苏州比斯特</t>
        </is>
      </c>
      <c r="F477" s="84" t="n">
        <v>4</v>
      </c>
      <c r="G477" s="84" t="inlineStr">
        <is>
          <t>奥特莱斯</t>
        </is>
      </c>
      <c r="H477" s="84" t="inlineStr">
        <is>
          <t>EEKWG23E2G</t>
        </is>
      </c>
      <c r="I477" s="84" t="n">
        <v>699</v>
      </c>
      <c r="J477" s="84" t="n">
        <v>699</v>
      </c>
      <c r="K477" s="85" t="n">
        <v>5</v>
      </c>
      <c r="L477" s="86" t="n">
        <v>1351</v>
      </c>
    </row>
    <row r="478" ht="12.75" customHeight="1" s="103">
      <c r="A478" s="78">
        <f>MID(H478,3,2)</f>
        <v/>
      </c>
      <c r="B478" s="84" t="inlineStr">
        <is>
          <t>B331</t>
        </is>
      </c>
      <c r="C478" s="84" t="inlineStr">
        <is>
          <t>上海区域</t>
        </is>
      </c>
      <c r="D478" s="84" t="inlineStr">
        <is>
          <t>CN0Q</t>
        </is>
      </c>
      <c r="E478" s="80" t="inlineStr">
        <is>
          <t>EE 苏州比斯特</t>
        </is>
      </c>
      <c r="F478" s="84" t="n">
        <v>4</v>
      </c>
      <c r="G478" s="84" t="inlineStr">
        <is>
          <t>奥特莱斯</t>
        </is>
      </c>
      <c r="H478" s="84" t="inlineStr">
        <is>
          <t>EEKWG23E2G</t>
        </is>
      </c>
      <c r="I478" s="84" t="n">
        <v>699</v>
      </c>
      <c r="J478" s="84" t="n">
        <v>699</v>
      </c>
      <c r="K478" s="85" t="n">
        <v>2</v>
      </c>
      <c r="L478" s="85" t="n">
        <v>935</v>
      </c>
    </row>
    <row r="479" ht="12.75" customHeight="1" s="103">
      <c r="A479" s="78">
        <f>MID(H479,3,2)</f>
        <v/>
      </c>
      <c r="B479" s="84" t="inlineStr">
        <is>
          <t>B331</t>
        </is>
      </c>
      <c r="C479" s="84" t="inlineStr">
        <is>
          <t>上海区域</t>
        </is>
      </c>
      <c r="D479" s="84" t="inlineStr">
        <is>
          <t>CN0Q</t>
        </is>
      </c>
      <c r="E479" s="80" t="inlineStr">
        <is>
          <t>EE 苏州比斯特</t>
        </is>
      </c>
      <c r="F479" s="84" t="n">
        <v>4</v>
      </c>
      <c r="G479" s="84" t="inlineStr">
        <is>
          <t>奥特莱斯</t>
        </is>
      </c>
      <c r="H479" s="84" t="inlineStr">
        <is>
          <t>EEKWG23E2G</t>
        </is>
      </c>
      <c r="I479" s="84" t="n">
        <v>699</v>
      </c>
      <c r="J479" s="84" t="n">
        <v>699</v>
      </c>
      <c r="K479" s="85" t="n">
        <v>2</v>
      </c>
      <c r="L479" s="85" t="n">
        <v>441</v>
      </c>
    </row>
    <row r="480" ht="12.75" customHeight="1" s="103">
      <c r="A480" s="78">
        <f>MID(H480,3,2)</f>
        <v/>
      </c>
      <c r="B480" s="84" t="inlineStr">
        <is>
          <t>B331</t>
        </is>
      </c>
      <c r="C480" s="84" t="inlineStr">
        <is>
          <t>上海区域</t>
        </is>
      </c>
      <c r="D480" s="84" t="inlineStr">
        <is>
          <t>CN0Q</t>
        </is>
      </c>
      <c r="E480" s="80" t="inlineStr">
        <is>
          <t>EE 苏州比斯特</t>
        </is>
      </c>
      <c r="F480" s="84" t="n">
        <v>4</v>
      </c>
      <c r="G480" s="84" t="inlineStr">
        <is>
          <t>奥特莱斯</t>
        </is>
      </c>
      <c r="H480" s="84" t="inlineStr">
        <is>
          <t>EEKWG23E2G</t>
        </is>
      </c>
      <c r="I480" s="84" t="n">
        <v>699</v>
      </c>
      <c r="J480" s="84" t="n">
        <v>699</v>
      </c>
      <c r="K480" s="85" t="n">
        <v>1</v>
      </c>
      <c r="L480" s="85" t="n">
        <v>443</v>
      </c>
    </row>
    <row r="481" ht="12.75" customHeight="1" s="103">
      <c r="A481" s="78">
        <f>MID(H481,3,2)</f>
        <v/>
      </c>
      <c r="B481" s="84" t="inlineStr">
        <is>
          <t>B331</t>
        </is>
      </c>
      <c r="C481" s="84" t="inlineStr">
        <is>
          <t>上海区域</t>
        </is>
      </c>
      <c r="D481" s="84" t="inlineStr">
        <is>
          <t>CN0Q</t>
        </is>
      </c>
      <c r="E481" s="80" t="inlineStr">
        <is>
          <t>EE 苏州比斯特</t>
        </is>
      </c>
      <c r="F481" s="84" t="n">
        <v>4</v>
      </c>
      <c r="G481" s="84" t="inlineStr">
        <is>
          <t>奥特莱斯</t>
        </is>
      </c>
      <c r="H481" s="84" t="inlineStr">
        <is>
          <t>EEKWG23E2G</t>
        </is>
      </c>
      <c r="I481" s="84" t="n">
        <v>699</v>
      </c>
      <c r="J481" s="84" t="n">
        <v>699</v>
      </c>
      <c r="K481" s="85" t="n">
        <v>3</v>
      </c>
      <c r="L481" s="85" t="n">
        <v>441</v>
      </c>
    </row>
    <row r="482" ht="12.75" customHeight="1" s="103">
      <c r="A482" s="78">
        <f>MID(H482,3,2)</f>
        <v/>
      </c>
      <c r="B482" s="84" t="inlineStr">
        <is>
          <t>B331</t>
        </is>
      </c>
      <c r="C482" s="84" t="inlineStr">
        <is>
          <t>上海区域</t>
        </is>
      </c>
      <c r="D482" s="84" t="inlineStr">
        <is>
          <t>CN0Q</t>
        </is>
      </c>
      <c r="E482" s="80" t="inlineStr">
        <is>
          <t>EE 苏州比斯特</t>
        </is>
      </c>
      <c r="F482" s="84" t="n">
        <v>4</v>
      </c>
      <c r="G482" s="84" t="inlineStr">
        <is>
          <t>奥特莱斯</t>
        </is>
      </c>
      <c r="H482" s="84" t="inlineStr">
        <is>
          <t>EEKWG23E2G</t>
        </is>
      </c>
      <c r="I482" s="84" t="n">
        <v>699</v>
      </c>
      <c r="J482" s="84" t="n">
        <v>699</v>
      </c>
      <c r="K482" s="85" t="n">
        <v>1</v>
      </c>
      <c r="L482" s="85" t="n">
        <v>455</v>
      </c>
    </row>
    <row r="483" ht="12.75" customHeight="1" s="103">
      <c r="A483" s="78">
        <f>MID(H483,3,2)</f>
        <v/>
      </c>
      <c r="B483" s="84" t="inlineStr">
        <is>
          <t>B331</t>
        </is>
      </c>
      <c r="C483" s="84" t="inlineStr">
        <is>
          <t>上海区域</t>
        </is>
      </c>
      <c r="D483" s="84" t="inlineStr">
        <is>
          <t>CN0Q</t>
        </is>
      </c>
      <c r="E483" s="80" t="inlineStr">
        <is>
          <t>EE 苏州比斯特</t>
        </is>
      </c>
      <c r="F483" s="84" t="n">
        <v>4</v>
      </c>
      <c r="G483" s="84" t="inlineStr">
        <is>
          <t>奥特莱斯</t>
        </is>
      </c>
      <c r="H483" s="84" t="inlineStr">
        <is>
          <t>EEKWG23E2G</t>
        </is>
      </c>
      <c r="I483" s="84" t="n">
        <v>699</v>
      </c>
      <c r="J483" s="84" t="n">
        <v>699</v>
      </c>
      <c r="K483" s="85" t="n"/>
      <c r="L483" s="85" t="n"/>
    </row>
    <row r="484" ht="12.75" customHeight="1" s="103">
      <c r="A484" s="78">
        <f>MID(H484,3,2)</f>
        <v/>
      </c>
      <c r="B484" s="84" t="inlineStr">
        <is>
          <t>B331</t>
        </is>
      </c>
      <c r="C484" s="84" t="inlineStr">
        <is>
          <t>上海区域</t>
        </is>
      </c>
      <c r="D484" s="84" t="inlineStr">
        <is>
          <t>CN0Q</t>
        </is>
      </c>
      <c r="E484" s="80" t="inlineStr">
        <is>
          <t>EE 苏州比斯特</t>
        </is>
      </c>
      <c r="F484" s="84" t="n">
        <v>4</v>
      </c>
      <c r="G484" s="84" t="inlineStr">
        <is>
          <t>奥特莱斯</t>
        </is>
      </c>
      <c r="H484" s="84" t="inlineStr">
        <is>
          <t>EEKWG23Q1G</t>
        </is>
      </c>
      <c r="I484" s="84" t="n">
        <v>899</v>
      </c>
      <c r="J484" s="84" t="n">
        <v>899</v>
      </c>
      <c r="K484" s="85" t="n"/>
      <c r="L484" s="85" t="n"/>
    </row>
    <row r="485" ht="12.75" customHeight="1" s="103">
      <c r="A485" s="78">
        <f>MID(H485,3,2)</f>
        <v/>
      </c>
      <c r="B485" s="84" t="inlineStr">
        <is>
          <t>B331</t>
        </is>
      </c>
      <c r="C485" s="84" t="inlineStr">
        <is>
          <t>上海区域</t>
        </is>
      </c>
      <c r="D485" s="84" t="inlineStr">
        <is>
          <t>CN0Q</t>
        </is>
      </c>
      <c r="E485" s="80" t="inlineStr">
        <is>
          <t>EE 苏州比斯特</t>
        </is>
      </c>
      <c r="F485" s="84" t="n">
        <v>4</v>
      </c>
      <c r="G485" s="84" t="inlineStr">
        <is>
          <t>奥特莱斯</t>
        </is>
      </c>
      <c r="H485" s="84" t="inlineStr">
        <is>
          <t>EEKWG23Q1G</t>
        </is>
      </c>
      <c r="I485" s="84" t="n">
        <v>899</v>
      </c>
      <c r="J485" s="84" t="n">
        <v>899</v>
      </c>
      <c r="K485" s="85" t="n"/>
      <c r="L485" s="85" t="n"/>
    </row>
    <row r="486" ht="12.75" customHeight="1" s="103">
      <c r="A486" s="78">
        <f>MID(H486,3,2)</f>
        <v/>
      </c>
      <c r="B486" s="84" t="inlineStr">
        <is>
          <t>B331</t>
        </is>
      </c>
      <c r="C486" s="84" t="inlineStr">
        <is>
          <t>上海区域</t>
        </is>
      </c>
      <c r="D486" s="84" t="inlineStr">
        <is>
          <t>CN0Q</t>
        </is>
      </c>
      <c r="E486" s="80" t="inlineStr">
        <is>
          <t>EE 苏州比斯特</t>
        </is>
      </c>
      <c r="F486" s="84" t="n">
        <v>4</v>
      </c>
      <c r="G486" s="84" t="inlineStr">
        <is>
          <t>奥特莱斯</t>
        </is>
      </c>
      <c r="H486" s="84" t="inlineStr">
        <is>
          <t>EEKWG23Q1G</t>
        </is>
      </c>
      <c r="I486" s="84" t="n">
        <v>899</v>
      </c>
      <c r="J486" s="84" t="n">
        <v>899</v>
      </c>
      <c r="K486" s="85" t="n"/>
      <c r="L486" s="85" t="n"/>
    </row>
    <row r="487" ht="12.75" customHeight="1" s="103">
      <c r="A487" s="78">
        <f>MID(H487,3,2)</f>
        <v/>
      </c>
      <c r="B487" s="84" t="inlineStr">
        <is>
          <t>B331</t>
        </is>
      </c>
      <c r="C487" s="84" t="inlineStr">
        <is>
          <t>上海区域</t>
        </is>
      </c>
      <c r="D487" s="84" t="inlineStr">
        <is>
          <t>CN0Q</t>
        </is>
      </c>
      <c r="E487" s="80" t="inlineStr">
        <is>
          <t>EE 苏州比斯特</t>
        </is>
      </c>
      <c r="F487" s="84" t="n">
        <v>4</v>
      </c>
      <c r="G487" s="84" t="inlineStr">
        <is>
          <t>奥特莱斯</t>
        </is>
      </c>
      <c r="H487" s="84" t="inlineStr">
        <is>
          <t>EEKWG23Q1G</t>
        </is>
      </c>
      <c r="I487" s="84" t="n">
        <v>899</v>
      </c>
      <c r="J487" s="84" t="n">
        <v>899</v>
      </c>
      <c r="K487" s="85" t="n"/>
      <c r="L487" s="85" t="n"/>
    </row>
    <row r="488" ht="12.75" customHeight="1" s="103">
      <c r="A488" s="78">
        <f>MID(H488,3,2)</f>
        <v/>
      </c>
      <c r="B488" s="84" t="inlineStr">
        <is>
          <t>B331</t>
        </is>
      </c>
      <c r="C488" s="84" t="inlineStr">
        <is>
          <t>上海区域</t>
        </is>
      </c>
      <c r="D488" s="84" t="inlineStr">
        <is>
          <t>CN0Q</t>
        </is>
      </c>
      <c r="E488" s="80" t="inlineStr">
        <is>
          <t>EE 苏州比斯特</t>
        </is>
      </c>
      <c r="F488" s="84" t="n">
        <v>4</v>
      </c>
      <c r="G488" s="84" t="inlineStr">
        <is>
          <t>奥特莱斯</t>
        </is>
      </c>
      <c r="H488" s="84" t="inlineStr">
        <is>
          <t>EEKWG24B08</t>
        </is>
      </c>
      <c r="I488" s="84" t="n">
        <v>799</v>
      </c>
      <c r="J488" s="84" t="n">
        <v>799</v>
      </c>
      <c r="K488" s="85" t="n"/>
      <c r="L488" s="85" t="n"/>
    </row>
    <row r="489" ht="12.75" customHeight="1" s="103">
      <c r="A489" s="78">
        <f>MID(H489,3,2)</f>
        <v/>
      </c>
      <c r="B489" s="84" t="inlineStr">
        <is>
          <t>B331</t>
        </is>
      </c>
      <c r="C489" s="84" t="inlineStr">
        <is>
          <t>上海区域</t>
        </is>
      </c>
      <c r="D489" s="84" t="inlineStr">
        <is>
          <t>CN0Q</t>
        </is>
      </c>
      <c r="E489" s="80" t="inlineStr">
        <is>
          <t>EE 苏州比斯特</t>
        </is>
      </c>
      <c r="F489" s="84" t="n">
        <v>4</v>
      </c>
      <c r="G489" s="84" t="inlineStr">
        <is>
          <t>奥特莱斯</t>
        </is>
      </c>
      <c r="H489" s="84" t="inlineStr">
        <is>
          <t>EEKWG24B08</t>
        </is>
      </c>
      <c r="I489" s="84" t="n">
        <v>799</v>
      </c>
      <c r="J489" s="84" t="n">
        <v>799</v>
      </c>
      <c r="K489" s="85" t="n"/>
      <c r="L489" s="85" t="n"/>
    </row>
    <row r="490" ht="12.75" customHeight="1" s="103">
      <c r="A490" s="78">
        <f>MID(H490,3,2)</f>
        <v/>
      </c>
      <c r="B490" s="84" t="inlineStr">
        <is>
          <t>B331</t>
        </is>
      </c>
      <c r="C490" s="84" t="inlineStr">
        <is>
          <t>上海区域</t>
        </is>
      </c>
      <c r="D490" s="84" t="inlineStr">
        <is>
          <t>CN0Q</t>
        </is>
      </c>
      <c r="E490" s="80" t="inlineStr">
        <is>
          <t>EE 苏州比斯特</t>
        </is>
      </c>
      <c r="F490" s="84" t="n">
        <v>4</v>
      </c>
      <c r="G490" s="84" t="inlineStr">
        <is>
          <t>奥特莱斯</t>
        </is>
      </c>
      <c r="H490" s="84" t="inlineStr">
        <is>
          <t>EEKWG24B08</t>
        </is>
      </c>
      <c r="I490" s="84" t="n">
        <v>799</v>
      </c>
      <c r="J490" s="84" t="n">
        <v>799</v>
      </c>
      <c r="K490" s="85" t="n"/>
      <c r="L490" s="85" t="n"/>
    </row>
    <row r="491" ht="12.75" customHeight="1" s="103">
      <c r="A491" s="78">
        <f>MID(H491,3,2)</f>
        <v/>
      </c>
      <c r="B491" s="84" t="inlineStr">
        <is>
          <t>B331</t>
        </is>
      </c>
      <c r="C491" s="84" t="inlineStr">
        <is>
          <t>上海区域</t>
        </is>
      </c>
      <c r="D491" s="84" t="inlineStr">
        <is>
          <t>CN0Q</t>
        </is>
      </c>
      <c r="E491" s="80" t="inlineStr">
        <is>
          <t>EE 苏州比斯特</t>
        </is>
      </c>
      <c r="F491" s="84" t="n">
        <v>4</v>
      </c>
      <c r="G491" s="84" t="inlineStr">
        <is>
          <t>奥特莱斯</t>
        </is>
      </c>
      <c r="H491" s="84" t="inlineStr">
        <is>
          <t>EEKWG24B08</t>
        </is>
      </c>
      <c r="I491" s="84" t="n">
        <v>799</v>
      </c>
      <c r="J491" s="84" t="n">
        <v>799</v>
      </c>
      <c r="K491" s="85" t="n">
        <v>2</v>
      </c>
      <c r="L491" s="86" t="n">
        <v>1119</v>
      </c>
    </row>
    <row r="492" ht="12.75" customHeight="1" s="103">
      <c r="A492" s="78">
        <f>MID(H492,3,2)</f>
        <v/>
      </c>
      <c r="B492" s="84" t="inlineStr">
        <is>
          <t>B331</t>
        </is>
      </c>
      <c r="C492" s="84" t="inlineStr">
        <is>
          <t>上海区域</t>
        </is>
      </c>
      <c r="D492" s="84" t="inlineStr">
        <is>
          <t>CN0Q</t>
        </is>
      </c>
      <c r="E492" s="80" t="inlineStr">
        <is>
          <t>EE 苏州比斯特</t>
        </is>
      </c>
      <c r="F492" s="84" t="n">
        <v>4</v>
      </c>
      <c r="G492" s="84" t="inlineStr">
        <is>
          <t>奥特莱斯</t>
        </is>
      </c>
      <c r="H492" s="84" t="inlineStr">
        <is>
          <t>EEKWG24B08</t>
        </is>
      </c>
      <c r="I492" s="84" t="n">
        <v>799</v>
      </c>
      <c r="J492" s="84" t="n">
        <v>799</v>
      </c>
      <c r="K492" s="85" t="n">
        <v>1</v>
      </c>
      <c r="L492" s="85" t="n">
        <v>515</v>
      </c>
    </row>
    <row r="493" ht="12.75" customHeight="1" s="103">
      <c r="A493" s="78">
        <f>MID(H493,3,2)</f>
        <v/>
      </c>
      <c r="B493" s="84" t="inlineStr">
        <is>
          <t>B331</t>
        </is>
      </c>
      <c r="C493" s="84" t="inlineStr">
        <is>
          <t>上海区域</t>
        </is>
      </c>
      <c r="D493" s="84" t="inlineStr">
        <is>
          <t>CN0Q</t>
        </is>
      </c>
      <c r="E493" s="80" t="inlineStr">
        <is>
          <t>EE 苏州比斯特</t>
        </is>
      </c>
      <c r="F493" s="84" t="n">
        <v>4</v>
      </c>
      <c r="G493" s="84" t="inlineStr">
        <is>
          <t>奥特莱斯</t>
        </is>
      </c>
      <c r="H493" s="84" t="inlineStr">
        <is>
          <t>EEKWG24B08</t>
        </is>
      </c>
      <c r="I493" s="84" t="n">
        <v>799</v>
      </c>
      <c r="J493" s="84" t="n">
        <v>799</v>
      </c>
      <c r="K493" s="85" t="n"/>
      <c r="L493" s="85" t="n"/>
    </row>
    <row r="494" ht="12.75" customHeight="1" s="103">
      <c r="A494" s="78">
        <f>MID(H494,3,2)</f>
        <v/>
      </c>
      <c r="B494" s="84" t="inlineStr">
        <is>
          <t>B331</t>
        </is>
      </c>
      <c r="C494" s="84" t="inlineStr">
        <is>
          <t>上海区域</t>
        </is>
      </c>
      <c r="D494" s="84" t="inlineStr">
        <is>
          <t>CN0Q</t>
        </is>
      </c>
      <c r="E494" s="80" t="inlineStr">
        <is>
          <t>EE 苏州比斯特</t>
        </is>
      </c>
      <c r="F494" s="84" t="n">
        <v>4</v>
      </c>
      <c r="G494" s="84" t="inlineStr">
        <is>
          <t>奥特莱斯</t>
        </is>
      </c>
      <c r="H494" s="84" t="inlineStr">
        <is>
          <t>EEKWG24B09</t>
        </is>
      </c>
      <c r="I494" s="84" t="n">
        <v>799</v>
      </c>
      <c r="J494" s="84" t="n">
        <v>799</v>
      </c>
      <c r="K494" s="85" t="n"/>
      <c r="L494" s="85" t="n"/>
    </row>
    <row r="495" ht="12.75" customHeight="1" s="103">
      <c r="A495" s="78">
        <f>MID(H495,3,2)</f>
        <v/>
      </c>
      <c r="B495" s="84" t="inlineStr">
        <is>
          <t>B331</t>
        </is>
      </c>
      <c r="C495" s="84" t="inlineStr">
        <is>
          <t>上海区域</t>
        </is>
      </c>
      <c r="D495" s="84" t="inlineStr">
        <is>
          <t>CN0Q</t>
        </is>
      </c>
      <c r="E495" s="80" t="inlineStr">
        <is>
          <t>EE 苏州比斯特</t>
        </is>
      </c>
      <c r="F495" s="84" t="n">
        <v>4</v>
      </c>
      <c r="G495" s="84" t="inlineStr">
        <is>
          <t>奥特莱斯</t>
        </is>
      </c>
      <c r="H495" s="84" t="inlineStr">
        <is>
          <t>EEKWG24B09</t>
        </is>
      </c>
      <c r="I495" s="84" t="n">
        <v>799</v>
      </c>
      <c r="J495" s="84" t="n">
        <v>799</v>
      </c>
      <c r="K495" s="85" t="n">
        <v>2</v>
      </c>
      <c r="L495" s="86" t="n">
        <v>1036</v>
      </c>
    </row>
    <row r="496" ht="12.75" customHeight="1" s="103">
      <c r="A496" s="78">
        <f>MID(H496,3,2)</f>
        <v/>
      </c>
      <c r="B496" s="84" t="inlineStr">
        <is>
          <t>B331</t>
        </is>
      </c>
      <c r="C496" s="84" t="inlineStr">
        <is>
          <t>上海区域</t>
        </is>
      </c>
      <c r="D496" s="84" t="inlineStr">
        <is>
          <t>CN0Q</t>
        </is>
      </c>
      <c r="E496" s="80" t="inlineStr">
        <is>
          <t>EE 苏州比斯特</t>
        </is>
      </c>
      <c r="F496" s="84" t="n">
        <v>4</v>
      </c>
      <c r="G496" s="84" t="inlineStr">
        <is>
          <t>奥特莱斯</t>
        </is>
      </c>
      <c r="H496" s="84" t="inlineStr">
        <is>
          <t>EEKWG24B09</t>
        </is>
      </c>
      <c r="I496" s="84" t="n">
        <v>799</v>
      </c>
      <c r="J496" s="84" t="n">
        <v>799</v>
      </c>
      <c r="K496" s="85" t="n">
        <v>1</v>
      </c>
      <c r="L496" s="85" t="n">
        <v>509</v>
      </c>
    </row>
    <row r="497" ht="12.75" customHeight="1" s="103">
      <c r="A497" s="78">
        <f>MID(H497,3,2)</f>
        <v/>
      </c>
      <c r="B497" s="84" t="inlineStr">
        <is>
          <t>B331</t>
        </is>
      </c>
      <c r="C497" s="84" t="inlineStr">
        <is>
          <t>上海区域</t>
        </is>
      </c>
      <c r="D497" s="84" t="inlineStr">
        <is>
          <t>CN0Q</t>
        </is>
      </c>
      <c r="E497" s="80" t="inlineStr">
        <is>
          <t>EE 苏州比斯特</t>
        </is>
      </c>
      <c r="F497" s="84" t="n">
        <v>4</v>
      </c>
      <c r="G497" s="84" t="inlineStr">
        <is>
          <t>奥特莱斯</t>
        </is>
      </c>
      <c r="H497" s="84" t="inlineStr">
        <is>
          <t>EEKWG24B09</t>
        </is>
      </c>
      <c r="I497" s="84" t="n">
        <v>799</v>
      </c>
      <c r="J497" s="84" t="n">
        <v>799</v>
      </c>
      <c r="K497" s="85" t="n">
        <v>1</v>
      </c>
      <c r="L497" s="85" t="n"/>
    </row>
    <row r="498" ht="12.75" customHeight="1" s="103">
      <c r="A498" s="78">
        <f>MID(H498,3,2)</f>
        <v/>
      </c>
      <c r="B498" s="84" t="inlineStr">
        <is>
          <t>B331</t>
        </is>
      </c>
      <c r="C498" s="84" t="inlineStr">
        <is>
          <t>上海区域</t>
        </is>
      </c>
      <c r="D498" s="84" t="inlineStr">
        <is>
          <t>CN0Q</t>
        </is>
      </c>
      <c r="E498" s="80" t="inlineStr">
        <is>
          <t>EE 苏州比斯特</t>
        </is>
      </c>
      <c r="F498" s="84" t="n">
        <v>4</v>
      </c>
      <c r="G498" s="84" t="inlineStr">
        <is>
          <t>奥特莱斯</t>
        </is>
      </c>
      <c r="H498" s="84" t="inlineStr">
        <is>
          <t>EEKWG24B09</t>
        </is>
      </c>
      <c r="I498" s="84" t="n">
        <v>799</v>
      </c>
      <c r="J498" s="84" t="n">
        <v>799</v>
      </c>
      <c r="K498" s="85" t="n"/>
      <c r="L498" s="85" t="n"/>
    </row>
    <row r="499" ht="12.75" customHeight="1" s="103">
      <c r="A499" s="78">
        <f>MID(H499,3,2)</f>
        <v/>
      </c>
      <c r="B499" s="84" t="inlineStr">
        <is>
          <t>B331</t>
        </is>
      </c>
      <c r="C499" s="84" t="inlineStr">
        <is>
          <t>上海区域</t>
        </is>
      </c>
      <c r="D499" s="84" t="inlineStr">
        <is>
          <t>CN0Q</t>
        </is>
      </c>
      <c r="E499" s="80" t="inlineStr">
        <is>
          <t>EE 苏州比斯特</t>
        </is>
      </c>
      <c r="F499" s="84" t="n">
        <v>4</v>
      </c>
      <c r="G499" s="84" t="inlineStr">
        <is>
          <t>奥特莱斯</t>
        </is>
      </c>
      <c r="H499" s="84" t="inlineStr">
        <is>
          <t>EEKWG24B09</t>
        </is>
      </c>
      <c r="I499" s="84" t="n">
        <v>799</v>
      </c>
      <c r="J499" s="84" t="n">
        <v>799</v>
      </c>
      <c r="K499" s="85" t="n">
        <v>1</v>
      </c>
      <c r="L499" s="85" t="n"/>
    </row>
    <row r="500" ht="12.75" customHeight="1" s="103">
      <c r="A500" s="78">
        <f>MID(H500,3,2)</f>
        <v/>
      </c>
      <c r="B500" s="84" t="inlineStr">
        <is>
          <t>B331</t>
        </is>
      </c>
      <c r="C500" s="84" t="inlineStr">
        <is>
          <t>上海区域</t>
        </is>
      </c>
      <c r="D500" s="84" t="inlineStr">
        <is>
          <t>CN0Q</t>
        </is>
      </c>
      <c r="E500" s="80" t="inlineStr">
        <is>
          <t>EE 苏州比斯特</t>
        </is>
      </c>
      <c r="F500" s="84" t="n">
        <v>4</v>
      </c>
      <c r="G500" s="84" t="inlineStr">
        <is>
          <t>奥特莱斯</t>
        </is>
      </c>
      <c r="H500" s="84" t="inlineStr">
        <is>
          <t>EEKWG24B51</t>
        </is>
      </c>
      <c r="I500" s="84" t="n">
        <v>799</v>
      </c>
      <c r="J500" s="84" t="n">
        <v>799</v>
      </c>
      <c r="K500" s="85" t="n">
        <v>4</v>
      </c>
      <c r="L500" s="86" t="n">
        <v>2099</v>
      </c>
    </row>
    <row r="501" ht="12.75" customHeight="1" s="103">
      <c r="A501" s="78">
        <f>MID(H501,3,2)</f>
        <v/>
      </c>
      <c r="B501" s="84" t="inlineStr">
        <is>
          <t>B331</t>
        </is>
      </c>
      <c r="C501" s="84" t="inlineStr">
        <is>
          <t>上海区域</t>
        </is>
      </c>
      <c r="D501" s="84" t="inlineStr">
        <is>
          <t>CN0Q</t>
        </is>
      </c>
      <c r="E501" s="80" t="inlineStr">
        <is>
          <t>EE 苏州比斯特</t>
        </is>
      </c>
      <c r="F501" s="84" t="n">
        <v>4</v>
      </c>
      <c r="G501" s="84" t="inlineStr">
        <is>
          <t>奥特莱斯</t>
        </is>
      </c>
      <c r="H501" s="84" t="inlineStr">
        <is>
          <t>EEKWG24B51</t>
        </is>
      </c>
      <c r="I501" s="84" t="n">
        <v>799</v>
      </c>
      <c r="J501" s="84" t="n">
        <v>799</v>
      </c>
      <c r="K501" s="85" t="n">
        <v>5</v>
      </c>
      <c r="L501" s="86" t="n">
        <v>2090</v>
      </c>
    </row>
    <row r="502" ht="12.75" customHeight="1" s="103">
      <c r="A502" s="78">
        <f>MID(H502,3,2)</f>
        <v/>
      </c>
      <c r="B502" s="84" t="inlineStr">
        <is>
          <t>B331</t>
        </is>
      </c>
      <c r="C502" s="84" t="inlineStr">
        <is>
          <t>上海区域</t>
        </is>
      </c>
      <c r="D502" s="84" t="inlineStr">
        <is>
          <t>CN0Q</t>
        </is>
      </c>
      <c r="E502" s="80" t="inlineStr">
        <is>
          <t>EE 苏州比斯特</t>
        </is>
      </c>
      <c r="F502" s="84" t="n">
        <v>4</v>
      </c>
      <c r="G502" s="84" t="inlineStr">
        <is>
          <t>奥特莱斯</t>
        </is>
      </c>
      <c r="H502" s="84" t="inlineStr">
        <is>
          <t>EEKWG24B51</t>
        </is>
      </c>
      <c r="I502" s="84" t="n">
        <v>799</v>
      </c>
      <c r="J502" s="84" t="n">
        <v>799</v>
      </c>
      <c r="K502" s="85" t="n"/>
      <c r="L502" s="85" t="n"/>
    </row>
    <row r="503" ht="12.75" customHeight="1" s="103">
      <c r="A503" s="78">
        <f>MID(H503,3,2)</f>
        <v/>
      </c>
      <c r="B503" s="84" t="inlineStr">
        <is>
          <t>B331</t>
        </is>
      </c>
      <c r="C503" s="84" t="inlineStr">
        <is>
          <t>上海区域</t>
        </is>
      </c>
      <c r="D503" s="84" t="inlineStr">
        <is>
          <t>CN0Q</t>
        </is>
      </c>
      <c r="E503" s="80" t="inlineStr">
        <is>
          <t>EE 苏州比斯特</t>
        </is>
      </c>
      <c r="F503" s="84" t="n">
        <v>4</v>
      </c>
      <c r="G503" s="84" t="inlineStr">
        <is>
          <t>奥特莱斯</t>
        </is>
      </c>
      <c r="H503" s="84" t="inlineStr">
        <is>
          <t>EEKWG24B51</t>
        </is>
      </c>
      <c r="I503" s="84" t="n">
        <v>799</v>
      </c>
      <c r="J503" s="84" t="n">
        <v>799</v>
      </c>
      <c r="K503" s="85" t="n">
        <v>3</v>
      </c>
      <c r="L503" s="86" t="n">
        <v>1550</v>
      </c>
    </row>
    <row r="504" ht="12.75" customHeight="1" s="103">
      <c r="A504" s="78">
        <f>MID(H504,3,2)</f>
        <v/>
      </c>
      <c r="B504" s="84" t="inlineStr">
        <is>
          <t>B331</t>
        </is>
      </c>
      <c r="C504" s="84" t="inlineStr">
        <is>
          <t>上海区域</t>
        </is>
      </c>
      <c r="D504" s="84" t="inlineStr">
        <is>
          <t>CN0Q</t>
        </is>
      </c>
      <c r="E504" s="80" t="inlineStr">
        <is>
          <t>EE 苏州比斯特</t>
        </is>
      </c>
      <c r="F504" s="84" t="n">
        <v>4</v>
      </c>
      <c r="G504" s="84" t="inlineStr">
        <is>
          <t>奥特莱斯</t>
        </is>
      </c>
      <c r="H504" s="84" t="inlineStr">
        <is>
          <t>EEKWG24B51</t>
        </is>
      </c>
      <c r="I504" s="84" t="n">
        <v>799</v>
      </c>
      <c r="J504" s="84" t="n">
        <v>799</v>
      </c>
      <c r="K504" s="85" t="n">
        <v>3</v>
      </c>
      <c r="L504" s="86" t="n">
        <v>1576</v>
      </c>
    </row>
    <row r="505" ht="12.75" customHeight="1" s="103">
      <c r="A505" s="78">
        <f>MID(H505,3,2)</f>
        <v/>
      </c>
      <c r="B505" s="84" t="inlineStr">
        <is>
          <t>B331</t>
        </is>
      </c>
      <c r="C505" s="84" t="inlineStr">
        <is>
          <t>上海区域</t>
        </is>
      </c>
      <c r="D505" s="84" t="inlineStr">
        <is>
          <t>CN0Q</t>
        </is>
      </c>
      <c r="E505" s="80" t="inlineStr">
        <is>
          <t>EE 苏州比斯特</t>
        </is>
      </c>
      <c r="F505" s="84" t="n">
        <v>4</v>
      </c>
      <c r="G505" s="84" t="inlineStr">
        <is>
          <t>奥特莱斯</t>
        </is>
      </c>
      <c r="H505" s="84" t="inlineStr">
        <is>
          <t>EEKWG24B51</t>
        </is>
      </c>
      <c r="I505" s="84" t="n">
        <v>799</v>
      </c>
      <c r="J505" s="84" t="n">
        <v>799</v>
      </c>
      <c r="K505" s="85" t="n">
        <v>1</v>
      </c>
      <c r="L505" s="85" t="n">
        <v>512</v>
      </c>
    </row>
    <row r="506" ht="12.75" customHeight="1" s="103">
      <c r="A506" s="78">
        <f>MID(H506,3,2)</f>
        <v/>
      </c>
      <c r="B506" s="84" t="inlineStr">
        <is>
          <t>B331</t>
        </is>
      </c>
      <c r="C506" s="84" t="inlineStr">
        <is>
          <t>上海区域</t>
        </is>
      </c>
      <c r="D506" s="84" t="inlineStr">
        <is>
          <t>CN0Q</t>
        </is>
      </c>
      <c r="E506" s="80" t="inlineStr">
        <is>
          <t>EE 苏州比斯特</t>
        </is>
      </c>
      <c r="F506" s="84" t="n">
        <v>4</v>
      </c>
      <c r="G506" s="84" t="inlineStr">
        <is>
          <t>奥特莱斯</t>
        </is>
      </c>
      <c r="H506" s="84" t="inlineStr">
        <is>
          <t>EEKWG24B51</t>
        </is>
      </c>
      <c r="I506" s="84" t="n">
        <v>799</v>
      </c>
      <c r="J506" s="84" t="n">
        <v>799</v>
      </c>
      <c r="K506" s="85" t="n">
        <v>3</v>
      </c>
      <c r="L506" s="86" t="n">
        <v>1525</v>
      </c>
    </row>
    <row r="507" ht="12.75" customHeight="1" s="103">
      <c r="A507" s="78">
        <f>MID(H507,3,2)</f>
        <v/>
      </c>
      <c r="B507" s="84" t="inlineStr">
        <is>
          <t>B331</t>
        </is>
      </c>
      <c r="C507" s="84" t="inlineStr">
        <is>
          <t>上海区域</t>
        </is>
      </c>
      <c r="D507" s="84" t="inlineStr">
        <is>
          <t>CN0Q</t>
        </is>
      </c>
      <c r="E507" s="80" t="inlineStr">
        <is>
          <t>EE 苏州比斯特</t>
        </is>
      </c>
      <c r="F507" s="84" t="n">
        <v>4</v>
      </c>
      <c r="G507" s="84" t="inlineStr">
        <is>
          <t>奥特莱斯</t>
        </is>
      </c>
      <c r="H507" s="84" t="inlineStr">
        <is>
          <t>EEKWG24B51</t>
        </is>
      </c>
      <c r="I507" s="84" t="n">
        <v>799</v>
      </c>
      <c r="J507" s="84" t="n">
        <v>799</v>
      </c>
      <c r="K507" s="85" t="n">
        <v>4</v>
      </c>
      <c r="L507" s="86" t="n">
        <v>1525</v>
      </c>
    </row>
    <row r="508" ht="12.75" customHeight="1" s="103">
      <c r="A508" s="78">
        <f>MID(H508,3,2)</f>
        <v/>
      </c>
      <c r="B508" s="84" t="inlineStr">
        <is>
          <t>B331</t>
        </is>
      </c>
      <c r="C508" s="84" t="inlineStr">
        <is>
          <t>上海区域</t>
        </is>
      </c>
      <c r="D508" s="84" t="inlineStr">
        <is>
          <t>CN0Q</t>
        </is>
      </c>
      <c r="E508" s="80" t="inlineStr">
        <is>
          <t>EE 苏州比斯特</t>
        </is>
      </c>
      <c r="F508" s="84" t="n">
        <v>4</v>
      </c>
      <c r="G508" s="84" t="inlineStr">
        <is>
          <t>奥特莱斯</t>
        </is>
      </c>
      <c r="H508" s="84" t="inlineStr">
        <is>
          <t>EEKWG24B51</t>
        </is>
      </c>
      <c r="I508" s="84" t="n">
        <v>799</v>
      </c>
      <c r="J508" s="84" t="n">
        <v>799</v>
      </c>
      <c r="K508" s="85" t="n"/>
      <c r="L508" s="85" t="n"/>
    </row>
    <row r="509" ht="12.75" customHeight="1" s="103">
      <c r="A509" s="78">
        <f>MID(H509,3,2)</f>
        <v/>
      </c>
      <c r="B509" s="84" t="inlineStr">
        <is>
          <t>B331</t>
        </is>
      </c>
      <c r="C509" s="84" t="inlineStr">
        <is>
          <t>上海区域</t>
        </is>
      </c>
      <c r="D509" s="84" t="inlineStr">
        <is>
          <t>CN0Q</t>
        </is>
      </c>
      <c r="E509" s="80" t="inlineStr">
        <is>
          <t>EE 苏州比斯特</t>
        </is>
      </c>
      <c r="F509" s="84" t="n">
        <v>4</v>
      </c>
      <c r="G509" s="84" t="inlineStr">
        <is>
          <t>奥特莱斯</t>
        </is>
      </c>
      <c r="H509" s="84" t="inlineStr">
        <is>
          <t>EEKWG24B52</t>
        </is>
      </c>
      <c r="I509" s="84" t="n">
        <v>699</v>
      </c>
      <c r="J509" s="84" t="n">
        <v>599</v>
      </c>
      <c r="K509" s="85" t="n">
        <v>4</v>
      </c>
      <c r="L509" s="86" t="n">
        <v>1600</v>
      </c>
    </row>
    <row r="510" ht="12.75" customHeight="1" s="103">
      <c r="A510" s="78">
        <f>MID(H510,3,2)</f>
        <v/>
      </c>
      <c r="B510" s="84" t="inlineStr">
        <is>
          <t>B331</t>
        </is>
      </c>
      <c r="C510" s="84" t="inlineStr">
        <is>
          <t>上海区域</t>
        </is>
      </c>
      <c r="D510" s="84" t="inlineStr">
        <is>
          <t>CN0Q</t>
        </is>
      </c>
      <c r="E510" s="80" t="inlineStr">
        <is>
          <t>EE 苏州比斯特</t>
        </is>
      </c>
      <c r="F510" s="84" t="n">
        <v>4</v>
      </c>
      <c r="G510" s="84" t="inlineStr">
        <is>
          <t>奥特莱斯</t>
        </is>
      </c>
      <c r="H510" s="84" t="inlineStr">
        <is>
          <t>EEKWG24B52</t>
        </is>
      </c>
      <c r="I510" s="84" t="n">
        <v>699</v>
      </c>
      <c r="J510" s="84" t="n">
        <v>599</v>
      </c>
      <c r="K510" s="85" t="n">
        <v>5</v>
      </c>
      <c r="L510" s="86" t="n">
        <v>2039</v>
      </c>
    </row>
    <row r="511" ht="12.75" customHeight="1" s="103">
      <c r="A511" s="78">
        <f>MID(H511,3,2)</f>
        <v/>
      </c>
      <c r="B511" s="84" t="inlineStr">
        <is>
          <t>B331</t>
        </is>
      </c>
      <c r="C511" s="84" t="inlineStr">
        <is>
          <t>上海区域</t>
        </is>
      </c>
      <c r="D511" s="84" t="inlineStr">
        <is>
          <t>CN0Q</t>
        </is>
      </c>
      <c r="E511" s="80" t="inlineStr">
        <is>
          <t>EE 苏州比斯特</t>
        </is>
      </c>
      <c r="F511" s="84" t="n">
        <v>4</v>
      </c>
      <c r="G511" s="84" t="inlineStr">
        <is>
          <t>奥特莱斯</t>
        </is>
      </c>
      <c r="H511" s="84" t="inlineStr">
        <is>
          <t>EEKWG24B52</t>
        </is>
      </c>
      <c r="I511" s="84" t="n">
        <v>699</v>
      </c>
      <c r="J511" s="84" t="n">
        <v>599</v>
      </c>
      <c r="K511" s="85" t="n">
        <v>4</v>
      </c>
      <c r="L511" s="86" t="n">
        <v>1677</v>
      </c>
    </row>
    <row r="512" ht="12.75" customHeight="1" s="103">
      <c r="A512" s="78">
        <f>MID(H512,3,2)</f>
        <v/>
      </c>
      <c r="B512" s="84" t="inlineStr">
        <is>
          <t>B331</t>
        </is>
      </c>
      <c r="C512" s="84" t="inlineStr">
        <is>
          <t>上海区域</t>
        </is>
      </c>
      <c r="D512" s="84" t="inlineStr">
        <is>
          <t>CN0Q</t>
        </is>
      </c>
      <c r="E512" s="80" t="inlineStr">
        <is>
          <t>EE 苏州比斯特</t>
        </is>
      </c>
      <c r="F512" s="84" t="n">
        <v>4</v>
      </c>
      <c r="G512" s="84" t="inlineStr">
        <is>
          <t>奥特莱斯</t>
        </is>
      </c>
      <c r="H512" s="84" t="inlineStr">
        <is>
          <t>EEKWG24B52</t>
        </is>
      </c>
      <c r="I512" s="84" t="n">
        <v>699</v>
      </c>
      <c r="J512" s="84" t="n">
        <v>599</v>
      </c>
      <c r="K512" s="85" t="n"/>
      <c r="L512" s="85" t="n"/>
    </row>
    <row r="513" ht="12.75" customHeight="1" s="103">
      <c r="A513" s="78">
        <f>MID(H513,3,2)</f>
        <v/>
      </c>
      <c r="B513" s="84" t="inlineStr">
        <is>
          <t>B331</t>
        </is>
      </c>
      <c r="C513" s="84" t="inlineStr">
        <is>
          <t>上海区域</t>
        </is>
      </c>
      <c r="D513" s="84" t="inlineStr">
        <is>
          <t>CN0Q</t>
        </is>
      </c>
      <c r="E513" s="80" t="inlineStr">
        <is>
          <t>EE 苏州比斯特</t>
        </is>
      </c>
      <c r="F513" s="84" t="n">
        <v>4</v>
      </c>
      <c r="G513" s="84" t="inlineStr">
        <is>
          <t>奥特莱斯</t>
        </is>
      </c>
      <c r="H513" s="84" t="inlineStr">
        <is>
          <t>EEKWG24B52</t>
        </is>
      </c>
      <c r="I513" s="84" t="n">
        <v>699</v>
      </c>
      <c r="J513" s="84" t="n">
        <v>599</v>
      </c>
      <c r="K513" s="85" t="n">
        <v>5</v>
      </c>
      <c r="L513" s="86" t="n">
        <v>1965</v>
      </c>
    </row>
    <row r="514" ht="12.75" customHeight="1" s="103">
      <c r="A514" s="78">
        <f>MID(H514,3,2)</f>
        <v/>
      </c>
      <c r="B514" s="84" t="inlineStr">
        <is>
          <t>B331</t>
        </is>
      </c>
      <c r="C514" s="84" t="inlineStr">
        <is>
          <t>上海区域</t>
        </is>
      </c>
      <c r="D514" s="84" t="inlineStr">
        <is>
          <t>CN0Q</t>
        </is>
      </c>
      <c r="E514" s="80" t="inlineStr">
        <is>
          <t>EE 苏州比斯特</t>
        </is>
      </c>
      <c r="F514" s="84" t="n">
        <v>4</v>
      </c>
      <c r="G514" s="84" t="inlineStr">
        <is>
          <t>奥特莱斯</t>
        </is>
      </c>
      <c r="H514" s="84" t="inlineStr">
        <is>
          <t>EEKWG24B52</t>
        </is>
      </c>
      <c r="I514" s="84" t="n">
        <v>699</v>
      </c>
      <c r="J514" s="84" t="n">
        <v>599</v>
      </c>
      <c r="K514" s="85" t="n">
        <v>2</v>
      </c>
      <c r="L514" s="85" t="n">
        <v>769</v>
      </c>
    </row>
    <row r="515" ht="12.75" customHeight="1" s="103">
      <c r="A515" s="78">
        <f>MID(H515,3,2)</f>
        <v/>
      </c>
      <c r="B515" s="84" t="inlineStr">
        <is>
          <t>B331</t>
        </is>
      </c>
      <c r="C515" s="84" t="inlineStr">
        <is>
          <t>上海区域</t>
        </is>
      </c>
      <c r="D515" s="84" t="inlineStr">
        <is>
          <t>CN0Q</t>
        </is>
      </c>
      <c r="E515" s="80" t="inlineStr">
        <is>
          <t>EE 苏州比斯特</t>
        </is>
      </c>
      <c r="F515" s="84" t="n">
        <v>4</v>
      </c>
      <c r="G515" s="84" t="inlineStr">
        <is>
          <t>奥特莱斯</t>
        </is>
      </c>
      <c r="H515" s="84" t="inlineStr">
        <is>
          <t>EEKWG24E01</t>
        </is>
      </c>
      <c r="I515" s="84" t="n">
        <v>699</v>
      </c>
      <c r="J515" s="84" t="n">
        <v>699</v>
      </c>
      <c r="K515" s="85" t="n">
        <v>5</v>
      </c>
      <c r="L515" s="86" t="n">
        <v>1820</v>
      </c>
    </row>
    <row r="516" ht="12.75" customHeight="1" s="103">
      <c r="A516" s="78">
        <f>MID(H516,3,2)</f>
        <v/>
      </c>
      <c r="B516" s="84" t="inlineStr">
        <is>
          <t>B331</t>
        </is>
      </c>
      <c r="C516" s="84" t="inlineStr">
        <is>
          <t>上海区域</t>
        </is>
      </c>
      <c r="D516" s="84" t="inlineStr">
        <is>
          <t>CN0Q</t>
        </is>
      </c>
      <c r="E516" s="80" t="inlineStr">
        <is>
          <t>EE 苏州比斯特</t>
        </is>
      </c>
      <c r="F516" s="84" t="n">
        <v>4</v>
      </c>
      <c r="G516" s="84" t="inlineStr">
        <is>
          <t>奥特莱斯</t>
        </is>
      </c>
      <c r="H516" s="84" t="inlineStr">
        <is>
          <t>EEKWG24E01</t>
        </is>
      </c>
      <c r="I516" s="84" t="n">
        <v>699</v>
      </c>
      <c r="J516" s="84" t="n">
        <v>699</v>
      </c>
      <c r="K516" s="85" t="n">
        <v>9</v>
      </c>
      <c r="L516" s="86" t="n">
        <v>3219</v>
      </c>
    </row>
    <row r="517" ht="12.75" customHeight="1" s="103">
      <c r="A517" s="78">
        <f>MID(H517,3,2)</f>
        <v/>
      </c>
      <c r="B517" s="84" t="inlineStr">
        <is>
          <t>B331</t>
        </is>
      </c>
      <c r="C517" s="84" t="inlineStr">
        <is>
          <t>上海区域</t>
        </is>
      </c>
      <c r="D517" s="84" t="inlineStr">
        <is>
          <t>CN0Q</t>
        </is>
      </c>
      <c r="E517" s="80" t="inlineStr">
        <is>
          <t>EE 苏州比斯特</t>
        </is>
      </c>
      <c r="F517" s="84" t="n">
        <v>4</v>
      </c>
      <c r="G517" s="84" t="inlineStr">
        <is>
          <t>奥特莱斯</t>
        </is>
      </c>
      <c r="H517" s="84" t="inlineStr">
        <is>
          <t>EEKWG24E01</t>
        </is>
      </c>
      <c r="I517" s="84" t="n">
        <v>699</v>
      </c>
      <c r="J517" s="84" t="n">
        <v>699</v>
      </c>
      <c r="K517" s="85" t="n">
        <v>1</v>
      </c>
      <c r="L517" s="85" t="n">
        <v>446</v>
      </c>
    </row>
    <row r="518" ht="12.75" customHeight="1" s="103">
      <c r="A518" s="78">
        <f>MID(H518,3,2)</f>
        <v/>
      </c>
      <c r="B518" s="84" t="inlineStr">
        <is>
          <t>B331</t>
        </is>
      </c>
      <c r="C518" s="84" t="inlineStr">
        <is>
          <t>上海区域</t>
        </is>
      </c>
      <c r="D518" s="84" t="inlineStr">
        <is>
          <t>CN0Q</t>
        </is>
      </c>
      <c r="E518" s="80" t="inlineStr">
        <is>
          <t>EE 苏州比斯特</t>
        </is>
      </c>
      <c r="F518" s="84" t="n">
        <v>4</v>
      </c>
      <c r="G518" s="84" t="inlineStr">
        <is>
          <t>奥特莱斯</t>
        </is>
      </c>
      <c r="H518" s="84" t="inlineStr">
        <is>
          <t>EEKWG24E01</t>
        </is>
      </c>
      <c r="I518" s="84" t="n">
        <v>699</v>
      </c>
      <c r="J518" s="84" t="n">
        <v>699</v>
      </c>
      <c r="K518" s="85" t="n">
        <v>2</v>
      </c>
      <c r="L518" s="85" t="n">
        <v>896</v>
      </c>
    </row>
    <row r="519" ht="12.75" customHeight="1" s="103">
      <c r="A519" s="78">
        <f>MID(H519,3,2)</f>
        <v/>
      </c>
      <c r="B519" s="84" t="inlineStr">
        <is>
          <t>B331</t>
        </is>
      </c>
      <c r="C519" s="84" t="inlineStr">
        <is>
          <t>上海区域</t>
        </is>
      </c>
      <c r="D519" s="84" t="inlineStr">
        <is>
          <t>CN0Q</t>
        </is>
      </c>
      <c r="E519" s="80" t="inlineStr">
        <is>
          <t>EE 苏州比斯特</t>
        </is>
      </c>
      <c r="F519" s="84" t="n">
        <v>4</v>
      </c>
      <c r="G519" s="84" t="inlineStr">
        <is>
          <t>奥特莱斯</t>
        </is>
      </c>
      <c r="H519" s="84" t="inlineStr">
        <is>
          <t>EEKWG24E01</t>
        </is>
      </c>
      <c r="I519" s="84" t="n">
        <v>699</v>
      </c>
      <c r="J519" s="84" t="n">
        <v>699</v>
      </c>
      <c r="K519" s="85" t="n">
        <v>3</v>
      </c>
      <c r="L519" s="85" t="n">
        <v>450</v>
      </c>
    </row>
    <row r="520" ht="12.75" customHeight="1" s="103">
      <c r="A520" s="78">
        <f>MID(H520,3,2)</f>
        <v/>
      </c>
      <c r="B520" s="84" t="inlineStr">
        <is>
          <t>B331</t>
        </is>
      </c>
      <c r="C520" s="84" t="inlineStr">
        <is>
          <t>上海区域</t>
        </is>
      </c>
      <c r="D520" s="84" t="inlineStr">
        <is>
          <t>CN0Q</t>
        </is>
      </c>
      <c r="E520" s="80" t="inlineStr">
        <is>
          <t>EE 苏州比斯特</t>
        </is>
      </c>
      <c r="F520" s="84" t="n">
        <v>4</v>
      </c>
      <c r="G520" s="84" t="inlineStr">
        <is>
          <t>奥特莱斯</t>
        </is>
      </c>
      <c r="H520" s="84" t="inlineStr">
        <is>
          <t>EEKWG24E01</t>
        </is>
      </c>
      <c r="I520" s="84" t="n">
        <v>699</v>
      </c>
      <c r="J520" s="84" t="n">
        <v>699</v>
      </c>
      <c r="K520" s="85" t="n">
        <v>4</v>
      </c>
      <c r="L520" s="86" t="n">
        <v>1341</v>
      </c>
    </row>
    <row r="521" ht="12.75" customHeight="1" s="103">
      <c r="A521" s="78">
        <f>MID(H521,3,2)</f>
        <v/>
      </c>
      <c r="B521" s="84" t="inlineStr">
        <is>
          <t>B331</t>
        </is>
      </c>
      <c r="C521" s="84" t="inlineStr">
        <is>
          <t>上海区域</t>
        </is>
      </c>
      <c r="D521" s="84" t="inlineStr">
        <is>
          <t>CN0Q</t>
        </is>
      </c>
      <c r="E521" s="80" t="inlineStr">
        <is>
          <t>EE 苏州比斯特</t>
        </is>
      </c>
      <c r="F521" s="84" t="n">
        <v>4</v>
      </c>
      <c r="G521" s="84" t="inlineStr">
        <is>
          <t>奥特莱斯</t>
        </is>
      </c>
      <c r="H521" s="84" t="inlineStr">
        <is>
          <t>EEKWG24E01</t>
        </is>
      </c>
      <c r="I521" s="84" t="n">
        <v>699</v>
      </c>
      <c r="J521" s="84" t="n">
        <v>699</v>
      </c>
      <c r="K521" s="85" t="n">
        <v>5</v>
      </c>
      <c r="L521" s="86" t="n">
        <v>1557</v>
      </c>
    </row>
    <row r="522" ht="12.75" customHeight="1" s="103">
      <c r="A522" s="78">
        <f>MID(H522,3,2)</f>
        <v/>
      </c>
      <c r="B522" s="84" t="inlineStr">
        <is>
          <t>B331</t>
        </is>
      </c>
      <c r="C522" s="84" t="inlineStr">
        <is>
          <t>上海区域</t>
        </is>
      </c>
      <c r="D522" s="84" t="inlineStr">
        <is>
          <t>CN0Q</t>
        </is>
      </c>
      <c r="E522" s="80" t="inlineStr">
        <is>
          <t>EE 苏州比斯特</t>
        </is>
      </c>
      <c r="F522" s="84" t="n">
        <v>4</v>
      </c>
      <c r="G522" s="84" t="inlineStr">
        <is>
          <t>奥特莱斯</t>
        </is>
      </c>
      <c r="H522" s="84" t="inlineStr">
        <is>
          <t>EEKWG24E01</t>
        </is>
      </c>
      <c r="I522" s="84" t="n">
        <v>699</v>
      </c>
      <c r="J522" s="84" t="n">
        <v>699</v>
      </c>
      <c r="K522" s="85" t="n">
        <v>1</v>
      </c>
      <c r="L522" s="85" t="n">
        <v>489</v>
      </c>
    </row>
    <row r="523" ht="12.75" customHeight="1" s="103">
      <c r="A523" s="78">
        <f>MID(H523,3,2)</f>
        <v/>
      </c>
      <c r="B523" s="84" t="inlineStr">
        <is>
          <t>B331</t>
        </is>
      </c>
      <c r="C523" s="84" t="inlineStr">
        <is>
          <t>上海区域</t>
        </is>
      </c>
      <c r="D523" s="84" t="inlineStr">
        <is>
          <t>CN0Q</t>
        </is>
      </c>
      <c r="E523" s="80" t="inlineStr">
        <is>
          <t>EE 苏州比斯特</t>
        </is>
      </c>
      <c r="F523" s="84" t="n">
        <v>4</v>
      </c>
      <c r="G523" s="84" t="inlineStr">
        <is>
          <t>奥特莱斯</t>
        </is>
      </c>
      <c r="H523" s="84" t="inlineStr">
        <is>
          <t>EEKWG24E01</t>
        </is>
      </c>
      <c r="I523" s="84" t="n">
        <v>699</v>
      </c>
      <c r="J523" s="84" t="n">
        <v>699</v>
      </c>
      <c r="K523" s="85" t="n">
        <v>5</v>
      </c>
      <c r="L523" s="86" t="n">
        <v>1108</v>
      </c>
    </row>
    <row r="524" ht="12.75" customHeight="1" s="103">
      <c r="A524" s="78">
        <f>MID(H524,3,2)</f>
        <v/>
      </c>
      <c r="B524" s="84" t="inlineStr">
        <is>
          <t>B331</t>
        </is>
      </c>
      <c r="C524" s="84" t="inlineStr">
        <is>
          <t>上海区域</t>
        </is>
      </c>
      <c r="D524" s="84" t="inlineStr">
        <is>
          <t>CN0Q</t>
        </is>
      </c>
      <c r="E524" s="80" t="inlineStr">
        <is>
          <t>EE 苏州比斯特</t>
        </is>
      </c>
      <c r="F524" s="84" t="n">
        <v>4</v>
      </c>
      <c r="G524" s="84" t="inlineStr">
        <is>
          <t>奥特莱斯</t>
        </is>
      </c>
      <c r="H524" s="84" t="inlineStr">
        <is>
          <t>EEKWG24E01</t>
        </is>
      </c>
      <c r="I524" s="84" t="n">
        <v>699</v>
      </c>
      <c r="J524" s="84" t="n">
        <v>699</v>
      </c>
      <c r="K524" s="85" t="n">
        <v>5</v>
      </c>
      <c r="L524" s="86" t="n">
        <v>1827</v>
      </c>
    </row>
    <row r="525" ht="12.75" customHeight="1" s="103">
      <c r="A525" s="78">
        <f>MID(H525,3,2)</f>
        <v/>
      </c>
      <c r="B525" s="84" t="inlineStr">
        <is>
          <t>B331</t>
        </is>
      </c>
      <c r="C525" s="84" t="inlineStr">
        <is>
          <t>上海区域</t>
        </is>
      </c>
      <c r="D525" s="84" t="inlineStr">
        <is>
          <t>CN0Q</t>
        </is>
      </c>
      <c r="E525" s="80" t="inlineStr">
        <is>
          <t>EE 苏州比斯特</t>
        </is>
      </c>
      <c r="F525" s="84" t="n">
        <v>4</v>
      </c>
      <c r="G525" s="84" t="inlineStr">
        <is>
          <t>奥特莱斯</t>
        </is>
      </c>
      <c r="H525" s="84" t="inlineStr">
        <is>
          <t>EEKWG24E01</t>
        </is>
      </c>
      <c r="I525" s="84" t="n">
        <v>699</v>
      </c>
      <c r="J525" s="84" t="n">
        <v>699</v>
      </c>
      <c r="K525" s="85" t="n">
        <v>2</v>
      </c>
      <c r="L525" s="85" t="n">
        <v>896</v>
      </c>
    </row>
    <row r="526" ht="12.75" customHeight="1" s="103">
      <c r="A526" s="78">
        <f>MID(H526,3,2)</f>
        <v/>
      </c>
      <c r="B526" s="84" t="inlineStr">
        <is>
          <t>B331</t>
        </is>
      </c>
      <c r="C526" s="84" t="inlineStr">
        <is>
          <t>上海区域</t>
        </is>
      </c>
      <c r="D526" s="84" t="inlineStr">
        <is>
          <t>CN0Q</t>
        </is>
      </c>
      <c r="E526" s="80" t="inlineStr">
        <is>
          <t>EE 苏州比斯特</t>
        </is>
      </c>
      <c r="F526" s="84" t="n">
        <v>4</v>
      </c>
      <c r="G526" s="84" t="inlineStr">
        <is>
          <t>奥特莱斯</t>
        </is>
      </c>
      <c r="H526" s="84" t="inlineStr">
        <is>
          <t>EEKWG24E01</t>
        </is>
      </c>
      <c r="I526" s="84" t="n">
        <v>699</v>
      </c>
      <c r="J526" s="84" t="n">
        <v>699</v>
      </c>
      <c r="K526" s="85" t="n"/>
      <c r="L526" s="85" t="n"/>
    </row>
    <row r="527" ht="12.75" customHeight="1" s="103">
      <c r="A527" s="78">
        <f>MID(H527,3,2)</f>
        <v/>
      </c>
      <c r="B527" s="84" t="inlineStr">
        <is>
          <t>B331</t>
        </is>
      </c>
      <c r="C527" s="84" t="inlineStr">
        <is>
          <t>上海区域</t>
        </is>
      </c>
      <c r="D527" s="84" t="inlineStr">
        <is>
          <t>CN0Q</t>
        </is>
      </c>
      <c r="E527" s="80" t="inlineStr">
        <is>
          <t>EE 苏州比斯特</t>
        </is>
      </c>
      <c r="F527" s="84" t="n">
        <v>4</v>
      </c>
      <c r="G527" s="84" t="inlineStr">
        <is>
          <t>奥特莱斯</t>
        </is>
      </c>
      <c r="H527" s="84" t="inlineStr">
        <is>
          <t>EEKWG24E02</t>
        </is>
      </c>
      <c r="I527" s="84" t="n">
        <v>599</v>
      </c>
      <c r="J527" s="84" t="n">
        <v>699</v>
      </c>
      <c r="K527" s="85" t="n">
        <v>3</v>
      </c>
      <c r="L527" s="86" t="n">
        <v>1393</v>
      </c>
    </row>
    <row r="528" ht="12.75" customHeight="1" s="103">
      <c r="A528" s="78">
        <f>MID(H528,3,2)</f>
        <v/>
      </c>
      <c r="B528" s="84" t="inlineStr">
        <is>
          <t>B331</t>
        </is>
      </c>
      <c r="C528" s="84" t="inlineStr">
        <is>
          <t>上海区域</t>
        </is>
      </c>
      <c r="D528" s="84" t="inlineStr">
        <is>
          <t>CN0Q</t>
        </is>
      </c>
      <c r="E528" s="80" t="inlineStr">
        <is>
          <t>EE 苏州比斯特</t>
        </is>
      </c>
      <c r="F528" s="84" t="n">
        <v>4</v>
      </c>
      <c r="G528" s="84" t="inlineStr">
        <is>
          <t>奥特莱斯</t>
        </is>
      </c>
      <c r="H528" s="84" t="inlineStr">
        <is>
          <t>EEKWG24E02</t>
        </is>
      </c>
      <c r="I528" s="84" t="n">
        <v>599</v>
      </c>
      <c r="J528" s="84" t="n">
        <v>699</v>
      </c>
      <c r="K528" s="85" t="n">
        <v>5</v>
      </c>
      <c r="L528" s="86" t="n">
        <v>2281</v>
      </c>
    </row>
    <row r="529" ht="12.75" customHeight="1" s="103">
      <c r="A529" s="78">
        <f>MID(H529,3,2)</f>
        <v/>
      </c>
      <c r="B529" s="84" t="inlineStr">
        <is>
          <t>B331</t>
        </is>
      </c>
      <c r="C529" s="84" t="inlineStr">
        <is>
          <t>上海区域</t>
        </is>
      </c>
      <c r="D529" s="84" t="inlineStr">
        <is>
          <t>CN0Q</t>
        </is>
      </c>
      <c r="E529" s="80" t="inlineStr">
        <is>
          <t>EE 苏州比斯特</t>
        </is>
      </c>
      <c r="F529" s="84" t="n">
        <v>4</v>
      </c>
      <c r="G529" s="84" t="inlineStr">
        <is>
          <t>奥特莱斯</t>
        </is>
      </c>
      <c r="H529" s="84" t="inlineStr">
        <is>
          <t>EEKWG24E02</t>
        </is>
      </c>
      <c r="I529" s="84" t="n">
        <v>599</v>
      </c>
      <c r="J529" s="84" t="n">
        <v>699</v>
      </c>
      <c r="K529" s="85" t="n">
        <v>1</v>
      </c>
      <c r="L529" s="85" t="n">
        <v>451</v>
      </c>
    </row>
    <row r="530" ht="12.75" customHeight="1" s="103">
      <c r="A530" s="78">
        <f>MID(H530,3,2)</f>
        <v/>
      </c>
      <c r="B530" s="84" t="inlineStr">
        <is>
          <t>B331</t>
        </is>
      </c>
      <c r="C530" s="84" t="inlineStr">
        <is>
          <t>上海区域</t>
        </is>
      </c>
      <c r="D530" s="84" t="inlineStr">
        <is>
          <t>CN0Q</t>
        </is>
      </c>
      <c r="E530" s="80" t="inlineStr">
        <is>
          <t>EE 苏州比斯特</t>
        </is>
      </c>
      <c r="F530" s="84" t="n">
        <v>4</v>
      </c>
      <c r="G530" s="84" t="inlineStr">
        <is>
          <t>奥特莱斯</t>
        </is>
      </c>
      <c r="H530" s="84" t="inlineStr">
        <is>
          <t>EEKWG24E02</t>
        </is>
      </c>
      <c r="I530" s="84" t="n">
        <v>599</v>
      </c>
      <c r="J530" s="84" t="n">
        <v>699</v>
      </c>
      <c r="K530" s="85" t="n">
        <v>1</v>
      </c>
      <c r="L530" s="85" t="n">
        <v>489</v>
      </c>
    </row>
    <row r="531" ht="12.75" customHeight="1" s="103">
      <c r="A531" s="78">
        <f>MID(H531,3,2)</f>
        <v/>
      </c>
      <c r="B531" s="84" t="inlineStr">
        <is>
          <t>B331</t>
        </is>
      </c>
      <c r="C531" s="84" t="inlineStr">
        <is>
          <t>上海区域</t>
        </is>
      </c>
      <c r="D531" s="84" t="inlineStr">
        <is>
          <t>CN0Q</t>
        </is>
      </c>
      <c r="E531" s="80" t="inlineStr">
        <is>
          <t>EE 苏州比斯特</t>
        </is>
      </c>
      <c r="F531" s="84" t="n">
        <v>4</v>
      </c>
      <c r="G531" s="84" t="inlineStr">
        <is>
          <t>奥特莱斯</t>
        </is>
      </c>
      <c r="H531" s="84" t="inlineStr">
        <is>
          <t>EEKWG24E02</t>
        </is>
      </c>
      <c r="I531" s="84" t="n">
        <v>599</v>
      </c>
      <c r="J531" s="84" t="n">
        <v>699</v>
      </c>
      <c r="K531" s="85" t="n">
        <v>3</v>
      </c>
      <c r="L531" s="85" t="n">
        <v>443</v>
      </c>
    </row>
    <row r="532" ht="12.75" customHeight="1" s="103">
      <c r="A532" s="78">
        <f>MID(H532,3,2)</f>
        <v/>
      </c>
      <c r="B532" s="84" t="inlineStr">
        <is>
          <t>B331</t>
        </is>
      </c>
      <c r="C532" s="84" t="inlineStr">
        <is>
          <t>上海区域</t>
        </is>
      </c>
      <c r="D532" s="84" t="inlineStr">
        <is>
          <t>CN0Q</t>
        </is>
      </c>
      <c r="E532" s="80" t="inlineStr">
        <is>
          <t>EE 苏州比斯特</t>
        </is>
      </c>
      <c r="F532" s="84" t="n">
        <v>4</v>
      </c>
      <c r="G532" s="84" t="inlineStr">
        <is>
          <t>奥特莱斯</t>
        </is>
      </c>
      <c r="H532" s="84" t="inlineStr">
        <is>
          <t>EEKWG24E02</t>
        </is>
      </c>
      <c r="I532" s="84" t="n">
        <v>599</v>
      </c>
      <c r="J532" s="84" t="n">
        <v>699</v>
      </c>
      <c r="K532" s="85" t="n">
        <v>8</v>
      </c>
      <c r="L532" s="86" t="n">
        <v>1390</v>
      </c>
    </row>
    <row r="533" ht="12.75" customHeight="1" s="103">
      <c r="A533" s="78">
        <f>MID(H533,3,2)</f>
        <v/>
      </c>
      <c r="B533" s="84" t="inlineStr">
        <is>
          <t>B331</t>
        </is>
      </c>
      <c r="C533" s="84" t="inlineStr">
        <is>
          <t>上海区域</t>
        </is>
      </c>
      <c r="D533" s="84" t="inlineStr">
        <is>
          <t>CN0Q</t>
        </is>
      </c>
      <c r="E533" s="80" t="inlineStr">
        <is>
          <t>EE 苏州比斯特</t>
        </is>
      </c>
      <c r="F533" s="84" t="n">
        <v>4</v>
      </c>
      <c r="G533" s="84" t="inlineStr">
        <is>
          <t>奥特莱斯</t>
        </is>
      </c>
      <c r="H533" s="84" t="inlineStr">
        <is>
          <t>EEKWG24E02</t>
        </is>
      </c>
      <c r="I533" s="84" t="n">
        <v>599</v>
      </c>
      <c r="J533" s="84" t="n">
        <v>699</v>
      </c>
      <c r="K533" s="85" t="n">
        <v>2</v>
      </c>
      <c r="L533" s="85" t="n"/>
    </row>
    <row r="534" ht="12.75" customHeight="1" s="103">
      <c r="A534" s="78">
        <f>MID(H534,3,2)</f>
        <v/>
      </c>
      <c r="B534" s="84" t="inlineStr">
        <is>
          <t>B331</t>
        </is>
      </c>
      <c r="C534" s="84" t="inlineStr">
        <is>
          <t>上海区域</t>
        </is>
      </c>
      <c r="D534" s="84" t="inlineStr">
        <is>
          <t>CN0Q</t>
        </is>
      </c>
      <c r="E534" s="80" t="inlineStr">
        <is>
          <t>EE 苏州比斯特</t>
        </is>
      </c>
      <c r="F534" s="84" t="n">
        <v>4</v>
      </c>
      <c r="G534" s="84" t="inlineStr">
        <is>
          <t>奥特莱斯</t>
        </is>
      </c>
      <c r="H534" s="84" t="inlineStr">
        <is>
          <t>EEKWG24E02</t>
        </is>
      </c>
      <c r="I534" s="84" t="n">
        <v>599</v>
      </c>
      <c r="J534" s="84" t="n">
        <v>699</v>
      </c>
      <c r="K534" s="85" t="n">
        <v>1</v>
      </c>
      <c r="L534" s="85" t="n">
        <v>489</v>
      </c>
    </row>
    <row r="535" ht="12.75" customHeight="1" s="103">
      <c r="A535" s="78">
        <f>MID(H535,3,2)</f>
        <v/>
      </c>
      <c r="B535" s="84" t="inlineStr">
        <is>
          <t>B331</t>
        </is>
      </c>
      <c r="C535" s="84" t="inlineStr">
        <is>
          <t>上海区域</t>
        </is>
      </c>
      <c r="D535" s="84" t="inlineStr">
        <is>
          <t>CN0Q</t>
        </is>
      </c>
      <c r="E535" s="80" t="inlineStr">
        <is>
          <t>EE 苏州比斯特</t>
        </is>
      </c>
      <c r="F535" s="84" t="n">
        <v>4</v>
      </c>
      <c r="G535" s="84" t="inlineStr">
        <is>
          <t>奥特莱斯</t>
        </is>
      </c>
      <c r="H535" s="84" t="inlineStr">
        <is>
          <t>EEKWG24E02</t>
        </is>
      </c>
      <c r="I535" s="84" t="n">
        <v>599</v>
      </c>
      <c r="J535" s="84" t="n">
        <v>699</v>
      </c>
      <c r="K535" s="85" t="n">
        <v>4</v>
      </c>
      <c r="L535" s="86" t="n">
        <v>1366</v>
      </c>
    </row>
    <row r="536" ht="12.75" customHeight="1" s="103">
      <c r="A536" s="78">
        <f>MID(H536,3,2)</f>
        <v/>
      </c>
      <c r="B536" s="84" t="inlineStr">
        <is>
          <t>B331</t>
        </is>
      </c>
      <c r="C536" s="84" t="inlineStr">
        <is>
          <t>上海区域</t>
        </is>
      </c>
      <c r="D536" s="84" t="inlineStr">
        <is>
          <t>CN0Q</t>
        </is>
      </c>
      <c r="E536" s="80" t="inlineStr">
        <is>
          <t>EE 苏州比斯特</t>
        </is>
      </c>
      <c r="F536" s="84" t="n">
        <v>4</v>
      </c>
      <c r="G536" s="84" t="inlineStr">
        <is>
          <t>奥特莱斯</t>
        </is>
      </c>
      <c r="H536" s="84" t="inlineStr">
        <is>
          <t>EEKWG24E02</t>
        </is>
      </c>
      <c r="I536" s="84" t="n">
        <v>599</v>
      </c>
      <c r="J536" s="84" t="n">
        <v>699</v>
      </c>
      <c r="K536" s="85" t="n">
        <v>6</v>
      </c>
      <c r="L536" s="86" t="n">
        <v>1834</v>
      </c>
    </row>
    <row r="537" ht="12.75" customHeight="1" s="103">
      <c r="A537" s="78">
        <f>MID(H537,3,2)</f>
        <v/>
      </c>
      <c r="B537" s="84" t="inlineStr">
        <is>
          <t>B331</t>
        </is>
      </c>
      <c r="C537" s="84" t="inlineStr">
        <is>
          <t>上海区域</t>
        </is>
      </c>
      <c r="D537" s="84" t="inlineStr">
        <is>
          <t>CN0Q</t>
        </is>
      </c>
      <c r="E537" s="80" t="inlineStr">
        <is>
          <t>EE 苏州比斯特</t>
        </is>
      </c>
      <c r="F537" s="84" t="n">
        <v>4</v>
      </c>
      <c r="G537" s="84" t="inlineStr">
        <is>
          <t>奥特莱斯</t>
        </is>
      </c>
      <c r="H537" s="84" t="inlineStr">
        <is>
          <t>EEKWG24E02</t>
        </is>
      </c>
      <c r="I537" s="84" t="n">
        <v>599</v>
      </c>
      <c r="J537" s="84" t="n">
        <v>699</v>
      </c>
      <c r="K537" s="85" t="n">
        <v>1</v>
      </c>
      <c r="L537" s="85" t="n">
        <v>443</v>
      </c>
    </row>
    <row r="538" ht="12.75" customHeight="1" s="103">
      <c r="A538" s="78">
        <f>MID(H538,3,2)</f>
        <v/>
      </c>
      <c r="B538" s="84" t="inlineStr">
        <is>
          <t>B331</t>
        </is>
      </c>
      <c r="C538" s="84" t="inlineStr">
        <is>
          <t>上海区域</t>
        </is>
      </c>
      <c r="D538" s="84" t="inlineStr">
        <is>
          <t>CN0Q</t>
        </is>
      </c>
      <c r="E538" s="80" t="inlineStr">
        <is>
          <t>EE 苏州比斯特</t>
        </is>
      </c>
      <c r="F538" s="84" t="n">
        <v>4</v>
      </c>
      <c r="G538" s="84" t="inlineStr">
        <is>
          <t>奥特莱斯</t>
        </is>
      </c>
      <c r="H538" s="84" t="inlineStr">
        <is>
          <t>EEKWG24E02</t>
        </is>
      </c>
      <c r="I538" s="84" t="n">
        <v>599</v>
      </c>
      <c r="J538" s="84" t="n">
        <v>699</v>
      </c>
      <c r="K538" s="85" t="n"/>
      <c r="L538" s="85" t="n"/>
    </row>
    <row r="539" ht="12.75" customHeight="1" s="103">
      <c r="A539" s="78">
        <f>MID(H539,3,2)</f>
        <v/>
      </c>
      <c r="B539" s="84" t="inlineStr">
        <is>
          <t>B331</t>
        </is>
      </c>
      <c r="C539" s="84" t="inlineStr">
        <is>
          <t>上海区域</t>
        </is>
      </c>
      <c r="D539" s="84" t="inlineStr">
        <is>
          <t>CN0Q</t>
        </is>
      </c>
      <c r="E539" s="80" t="inlineStr">
        <is>
          <t>EE 苏州比斯特</t>
        </is>
      </c>
      <c r="F539" s="84" t="n">
        <v>4</v>
      </c>
      <c r="G539" s="84" t="inlineStr">
        <is>
          <t>奥特莱斯</t>
        </is>
      </c>
      <c r="H539" s="84" t="inlineStr">
        <is>
          <t>EEKWG24E02</t>
        </is>
      </c>
      <c r="I539" s="84" t="n">
        <v>599</v>
      </c>
      <c r="J539" s="84" t="n">
        <v>699</v>
      </c>
      <c r="K539" s="85" t="n">
        <v>6</v>
      </c>
      <c r="L539" s="86" t="n">
        <v>1792</v>
      </c>
    </row>
    <row r="540" ht="12.75" customHeight="1" s="103">
      <c r="A540" s="78">
        <f>MID(H540,3,2)</f>
        <v/>
      </c>
      <c r="B540" s="84" t="inlineStr">
        <is>
          <t>B331</t>
        </is>
      </c>
      <c r="C540" s="84" t="inlineStr">
        <is>
          <t>上海区域</t>
        </is>
      </c>
      <c r="D540" s="84" t="inlineStr">
        <is>
          <t>CN0Q</t>
        </is>
      </c>
      <c r="E540" s="80" t="inlineStr">
        <is>
          <t>EE 苏州比斯特</t>
        </is>
      </c>
      <c r="F540" s="84" t="n">
        <v>4</v>
      </c>
      <c r="G540" s="84" t="inlineStr">
        <is>
          <t>奥特莱斯</t>
        </is>
      </c>
      <c r="H540" s="84" t="inlineStr">
        <is>
          <t>EEKWG24E02</t>
        </is>
      </c>
      <c r="I540" s="84" t="n">
        <v>599</v>
      </c>
      <c r="J540" s="84" t="n">
        <v>699</v>
      </c>
      <c r="K540" s="85" t="n">
        <v>4</v>
      </c>
      <c r="L540" s="85" t="n">
        <v>940</v>
      </c>
    </row>
    <row r="541" ht="12.75" customHeight="1" s="103">
      <c r="A541" s="78">
        <f>MID(H541,3,2)</f>
        <v/>
      </c>
      <c r="B541" s="84" t="inlineStr">
        <is>
          <t>B331</t>
        </is>
      </c>
      <c r="C541" s="84" t="inlineStr">
        <is>
          <t>上海区域</t>
        </is>
      </c>
      <c r="D541" s="84" t="inlineStr">
        <is>
          <t>CN0Q</t>
        </is>
      </c>
      <c r="E541" s="80" t="inlineStr">
        <is>
          <t>EE 苏州比斯特</t>
        </is>
      </c>
      <c r="F541" s="84" t="n">
        <v>4</v>
      </c>
      <c r="G541" s="84" t="inlineStr">
        <is>
          <t>奥特莱斯</t>
        </is>
      </c>
      <c r="H541" s="84" t="inlineStr">
        <is>
          <t>EEKWG24E02</t>
        </is>
      </c>
      <c r="I541" s="84" t="n">
        <v>599</v>
      </c>
      <c r="J541" s="84" t="n">
        <v>699</v>
      </c>
      <c r="K541" s="85" t="n">
        <v>3</v>
      </c>
      <c r="L541" s="86" t="n">
        <v>1396</v>
      </c>
    </row>
    <row r="542" ht="12.75" customHeight="1" s="103">
      <c r="A542" s="78">
        <f>MID(H542,3,2)</f>
        <v/>
      </c>
      <c r="B542" s="84" t="inlineStr">
        <is>
          <t>B331</t>
        </is>
      </c>
      <c r="C542" s="84" t="inlineStr">
        <is>
          <t>上海区域</t>
        </is>
      </c>
      <c r="D542" s="84" t="inlineStr">
        <is>
          <t>CN0Q</t>
        </is>
      </c>
      <c r="E542" s="80" t="inlineStr">
        <is>
          <t>EE 苏州比斯特</t>
        </is>
      </c>
      <c r="F542" s="84" t="n">
        <v>4</v>
      </c>
      <c r="G542" s="84" t="inlineStr">
        <is>
          <t>奥特莱斯</t>
        </is>
      </c>
      <c r="H542" s="84" t="inlineStr">
        <is>
          <t>EEKWG24E02</t>
        </is>
      </c>
      <c r="I542" s="84" t="n">
        <v>599</v>
      </c>
      <c r="J542" s="84" t="n">
        <v>699</v>
      </c>
      <c r="K542" s="85" t="n">
        <v>1</v>
      </c>
      <c r="L542" s="85" t="n">
        <v>489</v>
      </c>
    </row>
    <row r="543" ht="12.75" customHeight="1" s="103">
      <c r="A543" s="78">
        <f>MID(H543,3,2)</f>
        <v/>
      </c>
      <c r="B543" s="84" t="inlineStr">
        <is>
          <t>B331</t>
        </is>
      </c>
      <c r="C543" s="84" t="inlineStr">
        <is>
          <t>上海区域</t>
        </is>
      </c>
      <c r="D543" s="84" t="inlineStr">
        <is>
          <t>CN0Q</t>
        </is>
      </c>
      <c r="E543" s="80" t="inlineStr">
        <is>
          <t>EE 苏州比斯特</t>
        </is>
      </c>
      <c r="F543" s="84" t="n">
        <v>4</v>
      </c>
      <c r="G543" s="84" t="inlineStr">
        <is>
          <t>奥特莱斯</t>
        </is>
      </c>
      <c r="H543" s="84" t="inlineStr">
        <is>
          <t>EEKWG24E02</t>
        </is>
      </c>
      <c r="I543" s="84" t="n">
        <v>599</v>
      </c>
      <c r="J543" s="84" t="n">
        <v>699</v>
      </c>
      <c r="K543" s="85" t="n">
        <v>2</v>
      </c>
      <c r="L543" s="85" t="n">
        <v>885</v>
      </c>
    </row>
    <row r="544" ht="12.75" customHeight="1" s="103">
      <c r="A544" s="78">
        <f>MID(H544,3,2)</f>
        <v/>
      </c>
      <c r="B544" s="84" t="inlineStr">
        <is>
          <t>B331</t>
        </is>
      </c>
      <c r="C544" s="84" t="inlineStr">
        <is>
          <t>上海区域</t>
        </is>
      </c>
      <c r="D544" s="84" t="inlineStr">
        <is>
          <t>CN0Q</t>
        </is>
      </c>
      <c r="E544" s="80" t="inlineStr">
        <is>
          <t>EE 苏州比斯特</t>
        </is>
      </c>
      <c r="F544" s="84" t="n">
        <v>4</v>
      </c>
      <c r="G544" s="84" t="inlineStr">
        <is>
          <t>奥特莱斯</t>
        </is>
      </c>
      <c r="H544" s="84" t="inlineStr">
        <is>
          <t>EEKWG24E02</t>
        </is>
      </c>
      <c r="I544" s="84" t="n">
        <v>599</v>
      </c>
      <c r="J544" s="84" t="n">
        <v>699</v>
      </c>
      <c r="K544" s="85" t="n">
        <v>1</v>
      </c>
      <c r="L544" s="85" t="n">
        <v>443</v>
      </c>
    </row>
    <row r="545" ht="12.75" customHeight="1" s="103">
      <c r="A545" s="78">
        <f>MID(H545,3,2)</f>
        <v/>
      </c>
      <c r="B545" s="84" t="inlineStr">
        <is>
          <t>B331</t>
        </is>
      </c>
      <c r="C545" s="84" t="inlineStr">
        <is>
          <t>上海区域</t>
        </is>
      </c>
      <c r="D545" s="84" t="inlineStr">
        <is>
          <t>CN0Q</t>
        </is>
      </c>
      <c r="E545" s="80" t="inlineStr">
        <is>
          <t>EE 苏州比斯特</t>
        </is>
      </c>
      <c r="F545" s="84" t="n">
        <v>4</v>
      </c>
      <c r="G545" s="84" t="inlineStr">
        <is>
          <t>奥特莱斯</t>
        </is>
      </c>
      <c r="H545" s="84" t="inlineStr">
        <is>
          <t>EEKWG24E02</t>
        </is>
      </c>
      <c r="I545" s="84" t="n">
        <v>599</v>
      </c>
      <c r="J545" s="84" t="n">
        <v>699</v>
      </c>
      <c r="K545" s="85" t="n">
        <v>2</v>
      </c>
      <c r="L545" s="85" t="n">
        <v>458</v>
      </c>
    </row>
    <row r="546" ht="12.75" customHeight="1" s="103">
      <c r="A546" s="78">
        <f>MID(H546,3,2)</f>
        <v/>
      </c>
      <c r="B546" s="84" t="inlineStr">
        <is>
          <t>B331</t>
        </is>
      </c>
      <c r="C546" s="84" t="inlineStr">
        <is>
          <t>上海区域</t>
        </is>
      </c>
      <c r="D546" s="84" t="inlineStr">
        <is>
          <t>CN0Q</t>
        </is>
      </c>
      <c r="E546" s="80" t="inlineStr">
        <is>
          <t>EE 苏州比斯特</t>
        </is>
      </c>
      <c r="F546" s="84" t="n">
        <v>4</v>
      </c>
      <c r="G546" s="84" t="inlineStr">
        <is>
          <t>奥特莱斯</t>
        </is>
      </c>
      <c r="H546" s="84" t="inlineStr">
        <is>
          <t>EEKWG24E02</t>
        </is>
      </c>
      <c r="I546" s="84" t="n">
        <v>599</v>
      </c>
      <c r="J546" s="84" t="n">
        <v>699</v>
      </c>
      <c r="K546" s="85" t="n">
        <v>1</v>
      </c>
      <c r="L546" s="85" t="n">
        <v>489</v>
      </c>
    </row>
    <row r="547" ht="12.75" customHeight="1" s="103">
      <c r="A547" s="78">
        <f>MID(H547,3,2)</f>
        <v/>
      </c>
      <c r="B547" s="84" t="inlineStr">
        <is>
          <t>B331</t>
        </is>
      </c>
      <c r="C547" s="84" t="inlineStr">
        <is>
          <t>上海区域</t>
        </is>
      </c>
      <c r="D547" s="84" t="inlineStr">
        <is>
          <t>CN0Q</t>
        </is>
      </c>
      <c r="E547" s="80" t="inlineStr">
        <is>
          <t>EE 苏州比斯特</t>
        </is>
      </c>
      <c r="F547" s="84" t="n">
        <v>4</v>
      </c>
      <c r="G547" s="84" t="inlineStr">
        <is>
          <t>奥特莱斯</t>
        </is>
      </c>
      <c r="H547" s="84" t="inlineStr">
        <is>
          <t>EEKWG24E03</t>
        </is>
      </c>
      <c r="I547" s="84" t="n">
        <v>699</v>
      </c>
      <c r="J547" s="84" t="n">
        <v>699</v>
      </c>
      <c r="K547" s="85" t="n"/>
      <c r="L547" s="85" t="n"/>
    </row>
    <row r="548" ht="12.75" customHeight="1" s="103">
      <c r="A548" s="78">
        <f>MID(H548,3,2)</f>
        <v/>
      </c>
      <c r="B548" s="84" t="inlineStr">
        <is>
          <t>B331</t>
        </is>
      </c>
      <c r="C548" s="84" t="inlineStr">
        <is>
          <t>上海区域</t>
        </is>
      </c>
      <c r="D548" s="84" t="inlineStr">
        <is>
          <t>CN0Q</t>
        </is>
      </c>
      <c r="E548" s="80" t="inlineStr">
        <is>
          <t>EE 苏州比斯特</t>
        </is>
      </c>
      <c r="F548" s="84" t="n">
        <v>4</v>
      </c>
      <c r="G548" s="84" t="inlineStr">
        <is>
          <t>奥特莱斯</t>
        </is>
      </c>
      <c r="H548" s="84" t="inlineStr">
        <is>
          <t>EEKWG24E03</t>
        </is>
      </c>
      <c r="I548" s="84" t="n">
        <v>699</v>
      </c>
      <c r="J548" s="84" t="n">
        <v>699</v>
      </c>
      <c r="K548" s="85" t="n">
        <v>2</v>
      </c>
      <c r="L548" s="85" t="n">
        <v>447</v>
      </c>
    </row>
    <row r="549" ht="12.75" customHeight="1" s="103">
      <c r="A549" s="78">
        <f>MID(H549,3,2)</f>
        <v/>
      </c>
      <c r="B549" s="84" t="inlineStr">
        <is>
          <t>B331</t>
        </is>
      </c>
      <c r="C549" s="84" t="inlineStr">
        <is>
          <t>上海区域</t>
        </is>
      </c>
      <c r="D549" s="84" t="inlineStr">
        <is>
          <t>CN0Q</t>
        </is>
      </c>
      <c r="E549" s="80" t="inlineStr">
        <is>
          <t>EE 苏州比斯特</t>
        </is>
      </c>
      <c r="F549" s="84" t="n">
        <v>4</v>
      </c>
      <c r="G549" s="84" t="inlineStr">
        <is>
          <t>奥特莱斯</t>
        </is>
      </c>
      <c r="H549" s="84" t="inlineStr">
        <is>
          <t>EEKWG24E03</t>
        </is>
      </c>
      <c r="I549" s="84" t="n">
        <v>699</v>
      </c>
      <c r="J549" s="84" t="n">
        <v>699</v>
      </c>
      <c r="K549" s="85" t="n">
        <v>1</v>
      </c>
      <c r="L549" s="85" t="n">
        <v>489</v>
      </c>
    </row>
    <row r="550" ht="12.75" customHeight="1" s="103">
      <c r="A550" s="78">
        <f>MID(H550,3,2)</f>
        <v/>
      </c>
      <c r="B550" s="84" t="inlineStr">
        <is>
          <t>B331</t>
        </is>
      </c>
      <c r="C550" s="84" t="inlineStr">
        <is>
          <t>上海区域</t>
        </is>
      </c>
      <c r="D550" s="84" t="inlineStr">
        <is>
          <t>CN0Q</t>
        </is>
      </c>
      <c r="E550" s="80" t="inlineStr">
        <is>
          <t>EE 苏州比斯特</t>
        </is>
      </c>
      <c r="F550" s="84" t="n">
        <v>4</v>
      </c>
      <c r="G550" s="84" t="inlineStr">
        <is>
          <t>奥特莱斯</t>
        </is>
      </c>
      <c r="H550" s="84" t="inlineStr">
        <is>
          <t>EEKWG24E03</t>
        </is>
      </c>
      <c r="I550" s="84" t="n">
        <v>699</v>
      </c>
      <c r="J550" s="84" t="n">
        <v>699</v>
      </c>
      <c r="K550" s="85" t="n"/>
      <c r="L550" s="85" t="n"/>
    </row>
    <row r="551" ht="12.75" customHeight="1" s="103">
      <c r="A551" s="78">
        <f>MID(H551,3,2)</f>
        <v/>
      </c>
      <c r="B551" s="84" t="inlineStr">
        <is>
          <t>B331</t>
        </is>
      </c>
      <c r="C551" s="84" t="inlineStr">
        <is>
          <t>上海区域</t>
        </is>
      </c>
      <c r="D551" s="84" t="inlineStr">
        <is>
          <t>CN0Q</t>
        </is>
      </c>
      <c r="E551" s="80" t="inlineStr">
        <is>
          <t>EE 苏州比斯特</t>
        </is>
      </c>
      <c r="F551" s="84" t="n">
        <v>4</v>
      </c>
      <c r="G551" s="84" t="inlineStr">
        <is>
          <t>奥特莱斯</t>
        </is>
      </c>
      <c r="H551" s="84" t="inlineStr">
        <is>
          <t>EEKWG24E03</t>
        </is>
      </c>
      <c r="I551" s="84" t="n">
        <v>699</v>
      </c>
      <c r="J551" s="84" t="n">
        <v>699</v>
      </c>
      <c r="K551" s="85" t="n">
        <v>2</v>
      </c>
      <c r="L551" s="85" t="n">
        <v>443</v>
      </c>
    </row>
    <row r="552" ht="12.75" customHeight="1" s="103">
      <c r="A552" s="78">
        <f>MID(H552,3,2)</f>
        <v/>
      </c>
      <c r="B552" s="84" t="inlineStr">
        <is>
          <t>B331</t>
        </is>
      </c>
      <c r="C552" s="84" t="inlineStr">
        <is>
          <t>上海区域</t>
        </is>
      </c>
      <c r="D552" s="84" t="inlineStr">
        <is>
          <t>CN0Q</t>
        </is>
      </c>
      <c r="E552" s="80" t="inlineStr">
        <is>
          <t>EE 苏州比斯特</t>
        </is>
      </c>
      <c r="F552" s="84" t="n">
        <v>4</v>
      </c>
      <c r="G552" s="84" t="inlineStr">
        <is>
          <t>奥特莱斯</t>
        </is>
      </c>
      <c r="H552" s="84" t="inlineStr">
        <is>
          <t>EEKWG24E03</t>
        </is>
      </c>
      <c r="I552" s="84" t="n">
        <v>699</v>
      </c>
      <c r="J552" s="84" t="n">
        <v>699</v>
      </c>
      <c r="K552" s="85" t="n">
        <v>3</v>
      </c>
      <c r="L552" s="86" t="n">
        <v>1376</v>
      </c>
    </row>
    <row r="553" ht="12.75" customHeight="1" s="103">
      <c r="A553" s="78">
        <f>MID(H553,3,2)</f>
        <v/>
      </c>
      <c r="B553" s="84" t="inlineStr">
        <is>
          <t>B331</t>
        </is>
      </c>
      <c r="C553" s="84" t="inlineStr">
        <is>
          <t>上海区域</t>
        </is>
      </c>
      <c r="D553" s="84" t="inlineStr">
        <is>
          <t>CN0Q</t>
        </is>
      </c>
      <c r="E553" s="80" t="inlineStr">
        <is>
          <t>EE 苏州比斯特</t>
        </is>
      </c>
      <c r="F553" s="84" t="n">
        <v>4</v>
      </c>
      <c r="G553" s="84" t="inlineStr">
        <is>
          <t>奥特莱斯</t>
        </is>
      </c>
      <c r="H553" s="84" t="inlineStr">
        <is>
          <t>EEKWG24E03</t>
        </is>
      </c>
      <c r="I553" s="84" t="n">
        <v>699</v>
      </c>
      <c r="J553" s="84" t="n">
        <v>699</v>
      </c>
      <c r="K553" s="85" t="n">
        <v>1</v>
      </c>
      <c r="L553" s="85" t="n">
        <v>452</v>
      </c>
    </row>
    <row r="554" ht="12.75" customHeight="1" s="103">
      <c r="A554" s="78">
        <f>MID(H554,3,2)</f>
        <v/>
      </c>
      <c r="B554" s="84" t="inlineStr">
        <is>
          <t>B331</t>
        </is>
      </c>
      <c r="C554" s="84" t="inlineStr">
        <is>
          <t>上海区域</t>
        </is>
      </c>
      <c r="D554" s="84" t="inlineStr">
        <is>
          <t>CN0Q</t>
        </is>
      </c>
      <c r="E554" s="80" t="inlineStr">
        <is>
          <t>EE 苏州比斯特</t>
        </is>
      </c>
      <c r="F554" s="84" t="n">
        <v>4</v>
      </c>
      <c r="G554" s="84" t="inlineStr">
        <is>
          <t>奥特莱斯</t>
        </is>
      </c>
      <c r="H554" s="84" t="inlineStr">
        <is>
          <t>EEKWG24E03</t>
        </is>
      </c>
      <c r="I554" s="84" t="n">
        <v>699</v>
      </c>
      <c r="J554" s="84" t="n">
        <v>699</v>
      </c>
      <c r="K554" s="85" t="n"/>
      <c r="L554" s="85" t="n"/>
    </row>
    <row r="555" ht="12.75" customHeight="1" s="103">
      <c r="A555" s="78">
        <f>MID(H555,3,2)</f>
        <v/>
      </c>
      <c r="B555" s="84" t="inlineStr">
        <is>
          <t>B331</t>
        </is>
      </c>
      <c r="C555" s="84" t="inlineStr">
        <is>
          <t>上海区域</t>
        </is>
      </c>
      <c r="D555" s="84" t="inlineStr">
        <is>
          <t>CN0Q</t>
        </is>
      </c>
      <c r="E555" s="80" t="inlineStr">
        <is>
          <t>EE 苏州比斯特</t>
        </is>
      </c>
      <c r="F555" s="84" t="n">
        <v>4</v>
      </c>
      <c r="G555" s="84" t="inlineStr">
        <is>
          <t>奥特莱斯</t>
        </is>
      </c>
      <c r="H555" s="84" t="inlineStr">
        <is>
          <t>EEKWG24E03</t>
        </is>
      </c>
      <c r="I555" s="84" t="n">
        <v>699</v>
      </c>
      <c r="J555" s="84" t="n">
        <v>699</v>
      </c>
      <c r="K555" s="85" t="n">
        <v>2</v>
      </c>
      <c r="L555" s="85" t="n">
        <v>442</v>
      </c>
    </row>
    <row r="556" ht="12.75" customHeight="1" s="103">
      <c r="A556" s="78">
        <f>MID(H556,3,2)</f>
        <v/>
      </c>
      <c r="B556" s="84" t="inlineStr">
        <is>
          <t>B331</t>
        </is>
      </c>
      <c r="C556" s="84" t="inlineStr">
        <is>
          <t>上海区域</t>
        </is>
      </c>
      <c r="D556" s="84" t="inlineStr">
        <is>
          <t>CN0Q</t>
        </is>
      </c>
      <c r="E556" s="80" t="inlineStr">
        <is>
          <t>EE 苏州比斯特</t>
        </is>
      </c>
      <c r="F556" s="84" t="n">
        <v>4</v>
      </c>
      <c r="G556" s="84" t="inlineStr">
        <is>
          <t>奥特莱斯</t>
        </is>
      </c>
      <c r="H556" s="84" t="inlineStr">
        <is>
          <t>EEKWG24E03</t>
        </is>
      </c>
      <c r="I556" s="84" t="n">
        <v>699</v>
      </c>
      <c r="J556" s="84" t="n">
        <v>699</v>
      </c>
      <c r="K556" s="85" t="n">
        <v>2</v>
      </c>
      <c r="L556" s="85" t="n">
        <v>895</v>
      </c>
    </row>
    <row r="557" ht="12.75" customHeight="1" s="103">
      <c r="A557" s="78">
        <f>MID(H557,3,2)</f>
        <v/>
      </c>
      <c r="B557" s="84" t="inlineStr">
        <is>
          <t>B331</t>
        </is>
      </c>
      <c r="C557" s="84" t="inlineStr">
        <is>
          <t>上海区域</t>
        </is>
      </c>
      <c r="D557" s="84" t="inlineStr">
        <is>
          <t>CN0Q</t>
        </is>
      </c>
      <c r="E557" s="80" t="inlineStr">
        <is>
          <t>EE 苏州比斯特</t>
        </is>
      </c>
      <c r="F557" s="84" t="n">
        <v>4</v>
      </c>
      <c r="G557" s="84" t="inlineStr">
        <is>
          <t>奥特莱斯</t>
        </is>
      </c>
      <c r="H557" s="84" t="inlineStr">
        <is>
          <t>EEKWG24E03</t>
        </is>
      </c>
      <c r="I557" s="84" t="n">
        <v>699</v>
      </c>
      <c r="J557" s="84" t="n">
        <v>699</v>
      </c>
      <c r="K557" s="85" t="n"/>
      <c r="L557" s="85" t="n"/>
    </row>
    <row r="558" ht="12.75" customHeight="1" s="103">
      <c r="A558" s="78">
        <f>MID(H558,3,2)</f>
        <v/>
      </c>
      <c r="B558" s="84" t="inlineStr">
        <is>
          <t>B331</t>
        </is>
      </c>
      <c r="C558" s="84" t="inlineStr">
        <is>
          <t>上海区域</t>
        </is>
      </c>
      <c r="D558" s="84" t="inlineStr">
        <is>
          <t>CN0Q</t>
        </is>
      </c>
      <c r="E558" s="80" t="inlineStr">
        <is>
          <t>EE 苏州比斯特</t>
        </is>
      </c>
      <c r="F558" s="84" t="n">
        <v>4</v>
      </c>
      <c r="G558" s="84" t="inlineStr">
        <is>
          <t>奥特莱斯</t>
        </is>
      </c>
      <c r="H558" s="84" t="inlineStr">
        <is>
          <t>EEKWG24E03</t>
        </is>
      </c>
      <c r="I558" s="84" t="n">
        <v>699</v>
      </c>
      <c r="J558" s="84" t="n">
        <v>699</v>
      </c>
      <c r="K558" s="85" t="n">
        <v>1</v>
      </c>
      <c r="L558" s="85" t="n">
        <v>442</v>
      </c>
    </row>
    <row r="559" ht="12.75" customHeight="1" s="103">
      <c r="A559" s="78">
        <f>MID(H559,3,2)</f>
        <v/>
      </c>
      <c r="B559" s="84" t="inlineStr">
        <is>
          <t>B331</t>
        </is>
      </c>
      <c r="C559" s="84" t="inlineStr">
        <is>
          <t>上海区域</t>
        </is>
      </c>
      <c r="D559" s="84" t="inlineStr">
        <is>
          <t>CN0Q</t>
        </is>
      </c>
      <c r="E559" s="80" t="inlineStr">
        <is>
          <t>EE 苏州比斯特</t>
        </is>
      </c>
      <c r="F559" s="84" t="n">
        <v>4</v>
      </c>
      <c r="G559" s="84" t="inlineStr">
        <is>
          <t>奥特莱斯</t>
        </is>
      </c>
      <c r="H559" s="84" t="inlineStr">
        <is>
          <t>EEKWG24E03</t>
        </is>
      </c>
      <c r="I559" s="84" t="n">
        <v>699</v>
      </c>
      <c r="J559" s="84" t="n">
        <v>699</v>
      </c>
      <c r="K559" s="85" t="n">
        <v>1</v>
      </c>
      <c r="L559" s="85" t="n">
        <v>452</v>
      </c>
    </row>
    <row r="560" ht="12.75" customHeight="1" s="103">
      <c r="A560" s="78">
        <f>MID(H560,3,2)</f>
        <v/>
      </c>
      <c r="B560" s="84" t="inlineStr">
        <is>
          <t>B331</t>
        </is>
      </c>
      <c r="C560" s="84" t="inlineStr">
        <is>
          <t>上海区域</t>
        </is>
      </c>
      <c r="D560" s="84" t="inlineStr">
        <is>
          <t>CN0Q</t>
        </is>
      </c>
      <c r="E560" s="80" t="inlineStr">
        <is>
          <t>EE 苏州比斯特</t>
        </is>
      </c>
      <c r="F560" s="84" t="n">
        <v>4</v>
      </c>
      <c r="G560" s="84" t="inlineStr">
        <is>
          <t>奥特莱斯</t>
        </is>
      </c>
      <c r="H560" s="84" t="inlineStr">
        <is>
          <t>EEKWG24E03</t>
        </is>
      </c>
      <c r="I560" s="84" t="n">
        <v>699</v>
      </c>
      <c r="J560" s="84" t="n">
        <v>699</v>
      </c>
      <c r="K560" s="85" t="n"/>
      <c r="L560" s="85" t="n"/>
    </row>
    <row r="561" ht="12.75" customHeight="1" s="103">
      <c r="A561" s="78">
        <f>MID(H561,3,2)</f>
        <v/>
      </c>
      <c r="B561" s="84" t="inlineStr">
        <is>
          <t>B331</t>
        </is>
      </c>
      <c r="C561" s="84" t="inlineStr">
        <is>
          <t>上海区域</t>
        </is>
      </c>
      <c r="D561" s="84" t="inlineStr">
        <is>
          <t>CN0Q</t>
        </is>
      </c>
      <c r="E561" s="80" t="inlineStr">
        <is>
          <t>EE 苏州比斯特</t>
        </is>
      </c>
      <c r="F561" s="84" t="n">
        <v>4</v>
      </c>
      <c r="G561" s="84" t="inlineStr">
        <is>
          <t>奥特莱斯</t>
        </is>
      </c>
      <c r="H561" s="84" t="inlineStr">
        <is>
          <t>EEKWG24E03</t>
        </is>
      </c>
      <c r="I561" s="84" t="n">
        <v>699</v>
      </c>
      <c r="J561" s="84" t="n">
        <v>699</v>
      </c>
      <c r="K561" s="85" t="n">
        <v>1</v>
      </c>
      <c r="L561" s="85" t="n">
        <v>489</v>
      </c>
    </row>
    <row r="562" ht="12.75" customHeight="1" s="103">
      <c r="A562" s="78">
        <f>MID(H562,3,2)</f>
        <v/>
      </c>
      <c r="B562" s="84" t="inlineStr">
        <is>
          <t>B331</t>
        </is>
      </c>
      <c r="C562" s="84" t="inlineStr">
        <is>
          <t>上海区域</t>
        </is>
      </c>
      <c r="D562" s="84" t="inlineStr">
        <is>
          <t>CN0Q</t>
        </is>
      </c>
      <c r="E562" s="80" t="inlineStr">
        <is>
          <t>EE 苏州比斯特</t>
        </is>
      </c>
      <c r="F562" s="84" t="n">
        <v>4</v>
      </c>
      <c r="G562" s="84" t="inlineStr">
        <is>
          <t>奥特莱斯</t>
        </is>
      </c>
      <c r="H562" s="84" t="inlineStr">
        <is>
          <t>EEKWG24Q93</t>
        </is>
      </c>
      <c r="I562" s="84" t="n">
        <v>799</v>
      </c>
      <c r="J562" s="84" t="n">
        <v>699</v>
      </c>
      <c r="K562" s="85" t="n"/>
      <c r="L562" s="85" t="n"/>
    </row>
    <row r="563" ht="12.75" customHeight="1" s="103">
      <c r="A563" s="78">
        <f>MID(H563,3,2)</f>
        <v/>
      </c>
      <c r="B563" s="84" t="inlineStr">
        <is>
          <t>B331</t>
        </is>
      </c>
      <c r="C563" s="84" t="inlineStr">
        <is>
          <t>上海区域</t>
        </is>
      </c>
      <c r="D563" s="84" t="inlineStr">
        <is>
          <t>CN0Q</t>
        </is>
      </c>
      <c r="E563" s="80" t="inlineStr">
        <is>
          <t>EE 苏州比斯特</t>
        </is>
      </c>
      <c r="F563" s="84" t="n">
        <v>4</v>
      </c>
      <c r="G563" s="84" t="inlineStr">
        <is>
          <t>奥特莱斯</t>
        </is>
      </c>
      <c r="H563" s="84" t="inlineStr">
        <is>
          <t>EEKWG24Q93</t>
        </is>
      </c>
      <c r="I563" s="84" t="n">
        <v>799</v>
      </c>
      <c r="J563" s="84" t="n">
        <v>699</v>
      </c>
      <c r="K563" s="85" t="n"/>
      <c r="L563" s="85" t="n"/>
    </row>
    <row r="564" ht="12.75" customHeight="1" s="103">
      <c r="A564" s="78">
        <f>MID(H564,3,2)</f>
        <v/>
      </c>
      <c r="B564" s="84" t="inlineStr">
        <is>
          <t>B331</t>
        </is>
      </c>
      <c r="C564" s="84" t="inlineStr">
        <is>
          <t>上海区域</t>
        </is>
      </c>
      <c r="D564" s="84" t="inlineStr">
        <is>
          <t>CN0Q</t>
        </is>
      </c>
      <c r="E564" s="80" t="inlineStr">
        <is>
          <t>EE 苏州比斯特</t>
        </is>
      </c>
      <c r="F564" s="84" t="n">
        <v>4</v>
      </c>
      <c r="G564" s="84" t="inlineStr">
        <is>
          <t>奥特莱斯</t>
        </is>
      </c>
      <c r="H564" s="84" t="inlineStr">
        <is>
          <t>EEKWG24Q93</t>
        </is>
      </c>
      <c r="I564" s="84" t="n">
        <v>799</v>
      </c>
      <c r="J564" s="84" t="n">
        <v>699</v>
      </c>
      <c r="K564" s="85" t="n"/>
      <c r="L564" s="85" t="n"/>
    </row>
    <row r="565" ht="12.75" customHeight="1" s="103">
      <c r="A565" s="78">
        <f>MID(H565,3,2)</f>
        <v/>
      </c>
      <c r="B565" s="84" t="inlineStr">
        <is>
          <t>B331</t>
        </is>
      </c>
      <c r="C565" s="84" t="inlineStr">
        <is>
          <t>上海区域</t>
        </is>
      </c>
      <c r="D565" s="84" t="inlineStr">
        <is>
          <t>CN0Q</t>
        </is>
      </c>
      <c r="E565" s="80" t="inlineStr">
        <is>
          <t>EE 苏州比斯特</t>
        </is>
      </c>
      <c r="F565" s="84" t="n">
        <v>4</v>
      </c>
      <c r="G565" s="84" t="inlineStr">
        <is>
          <t>奥特莱斯</t>
        </is>
      </c>
      <c r="H565" s="84" t="inlineStr">
        <is>
          <t>EEKWG25E01</t>
        </is>
      </c>
      <c r="I565" s="84" t="n">
        <v>599</v>
      </c>
      <c r="J565" s="84" t="n">
        <v>599</v>
      </c>
      <c r="K565" s="85" t="n"/>
      <c r="L565" s="85" t="n"/>
    </row>
    <row r="566" ht="12.75" customHeight="1" s="103">
      <c r="A566" s="78">
        <f>MID(H566,3,2)</f>
        <v/>
      </c>
      <c r="B566" s="84" t="inlineStr">
        <is>
          <t>B331</t>
        </is>
      </c>
      <c r="C566" s="84" t="inlineStr">
        <is>
          <t>上海区域</t>
        </is>
      </c>
      <c r="D566" s="84" t="inlineStr">
        <is>
          <t>CN0Q</t>
        </is>
      </c>
      <c r="E566" s="80" t="inlineStr">
        <is>
          <t>EE 苏州比斯特</t>
        </is>
      </c>
      <c r="F566" s="84" t="n">
        <v>4</v>
      </c>
      <c r="G566" s="84" t="inlineStr">
        <is>
          <t>奥特莱斯</t>
        </is>
      </c>
      <c r="H566" s="84" t="inlineStr">
        <is>
          <t>EEKWG25E01</t>
        </is>
      </c>
      <c r="I566" s="84" t="n">
        <v>599</v>
      </c>
      <c r="J566" s="84" t="n">
        <v>599</v>
      </c>
      <c r="K566" s="85" t="n"/>
      <c r="L566" s="85" t="n"/>
    </row>
    <row r="567" ht="12.75" customHeight="1" s="103">
      <c r="A567" s="78">
        <f>MID(H567,3,2)</f>
        <v/>
      </c>
      <c r="B567" s="84" t="inlineStr">
        <is>
          <t>B331</t>
        </is>
      </c>
      <c r="C567" s="84" t="inlineStr">
        <is>
          <t>上海区域</t>
        </is>
      </c>
      <c r="D567" s="84" t="inlineStr">
        <is>
          <t>CN0Q</t>
        </is>
      </c>
      <c r="E567" s="80" t="inlineStr">
        <is>
          <t>EE 苏州比斯特</t>
        </is>
      </c>
      <c r="F567" s="84" t="n">
        <v>4</v>
      </c>
      <c r="G567" s="84" t="inlineStr">
        <is>
          <t>奥特莱斯</t>
        </is>
      </c>
      <c r="H567" s="84" t="inlineStr">
        <is>
          <t>EEKWG25E01</t>
        </is>
      </c>
      <c r="I567" s="84" t="n">
        <v>599</v>
      </c>
      <c r="J567" s="84" t="n">
        <v>599</v>
      </c>
      <c r="K567" s="85" t="n">
        <v>1</v>
      </c>
      <c r="L567" s="85" t="n">
        <v>384</v>
      </c>
    </row>
    <row r="568" ht="12.75" customHeight="1" s="103">
      <c r="A568" s="78">
        <f>MID(H568,3,2)</f>
        <v/>
      </c>
      <c r="B568" s="84" t="inlineStr">
        <is>
          <t>B331</t>
        </is>
      </c>
      <c r="C568" s="84" t="inlineStr">
        <is>
          <t>上海区域</t>
        </is>
      </c>
      <c r="D568" s="84" t="inlineStr">
        <is>
          <t>CN0Q</t>
        </is>
      </c>
      <c r="E568" s="80" t="inlineStr">
        <is>
          <t>EE 苏州比斯特</t>
        </is>
      </c>
      <c r="F568" s="84" t="n">
        <v>4</v>
      </c>
      <c r="G568" s="84" t="inlineStr">
        <is>
          <t>奥特莱斯</t>
        </is>
      </c>
      <c r="H568" s="84" t="inlineStr">
        <is>
          <t>EEKWG25E01</t>
        </is>
      </c>
      <c r="I568" s="84" t="n">
        <v>599</v>
      </c>
      <c r="J568" s="84" t="n">
        <v>599</v>
      </c>
      <c r="K568" s="85" t="n"/>
      <c r="L568" s="85" t="n"/>
    </row>
    <row r="569" ht="12.75" customHeight="1" s="103">
      <c r="A569" s="78">
        <f>MID(H569,3,2)</f>
        <v/>
      </c>
      <c r="B569" s="84" t="inlineStr">
        <is>
          <t>B331</t>
        </is>
      </c>
      <c r="C569" s="84" t="inlineStr">
        <is>
          <t>上海区域</t>
        </is>
      </c>
      <c r="D569" s="84" t="inlineStr">
        <is>
          <t>CN0Q</t>
        </is>
      </c>
      <c r="E569" s="80" t="inlineStr">
        <is>
          <t>EE 苏州比斯特</t>
        </is>
      </c>
      <c r="F569" s="84" t="n">
        <v>4</v>
      </c>
      <c r="G569" s="84" t="inlineStr">
        <is>
          <t>奥特莱斯</t>
        </is>
      </c>
      <c r="H569" s="84" t="inlineStr">
        <is>
          <t>EEKWG25E01</t>
        </is>
      </c>
      <c r="I569" s="84" t="n">
        <v>599</v>
      </c>
      <c r="J569" s="84" t="n">
        <v>599</v>
      </c>
      <c r="K569" s="85" t="n"/>
      <c r="L569" s="85" t="n"/>
    </row>
    <row r="570" ht="12.75" customHeight="1" s="103">
      <c r="A570" s="78">
        <f>MID(H570,3,2)</f>
        <v/>
      </c>
      <c r="B570" s="84" t="inlineStr">
        <is>
          <t>B331</t>
        </is>
      </c>
      <c r="C570" s="84" t="inlineStr">
        <is>
          <t>上海区域</t>
        </is>
      </c>
      <c r="D570" s="84" t="inlineStr">
        <is>
          <t>CN0Q</t>
        </is>
      </c>
      <c r="E570" s="80" t="inlineStr">
        <is>
          <t>EE 苏州比斯特</t>
        </is>
      </c>
      <c r="F570" s="84" t="n">
        <v>4</v>
      </c>
      <c r="G570" s="84" t="inlineStr">
        <is>
          <t>奥特莱斯</t>
        </is>
      </c>
      <c r="H570" s="84" t="inlineStr">
        <is>
          <t>EEKWG25E01</t>
        </is>
      </c>
      <c r="I570" s="84" t="n">
        <v>599</v>
      </c>
      <c r="J570" s="84" t="n">
        <v>599</v>
      </c>
      <c r="K570" s="85" t="n"/>
      <c r="L570" s="85" t="n"/>
    </row>
    <row r="571" ht="12.75" customHeight="1" s="103">
      <c r="A571" s="78">
        <f>MID(H571,3,2)</f>
        <v/>
      </c>
      <c r="B571" s="84" t="inlineStr">
        <is>
          <t>B331</t>
        </is>
      </c>
      <c r="C571" s="84" t="inlineStr">
        <is>
          <t>上海区域</t>
        </is>
      </c>
      <c r="D571" s="84" t="inlineStr">
        <is>
          <t>CN0Q</t>
        </is>
      </c>
      <c r="E571" s="80" t="inlineStr">
        <is>
          <t>EE 苏州比斯特</t>
        </is>
      </c>
      <c r="F571" s="84" t="n">
        <v>4</v>
      </c>
      <c r="G571" s="84" t="inlineStr">
        <is>
          <t>奥特莱斯</t>
        </is>
      </c>
      <c r="H571" s="84" t="inlineStr">
        <is>
          <t>EEKWG25E01</t>
        </is>
      </c>
      <c r="I571" s="84" t="n">
        <v>599</v>
      </c>
      <c r="J571" s="84" t="n">
        <v>599</v>
      </c>
      <c r="K571" s="85" t="n"/>
      <c r="L571" s="85" t="n"/>
    </row>
    <row r="572" ht="12.75" customHeight="1" s="103">
      <c r="A572" s="78">
        <f>MID(H572,3,2)</f>
        <v/>
      </c>
      <c r="B572" s="84" t="inlineStr">
        <is>
          <t>B331</t>
        </is>
      </c>
      <c r="C572" s="84" t="inlineStr">
        <is>
          <t>上海区域</t>
        </is>
      </c>
      <c r="D572" s="84" t="inlineStr">
        <is>
          <t>CN0Q</t>
        </is>
      </c>
      <c r="E572" s="80" t="inlineStr">
        <is>
          <t>EE 苏州比斯特</t>
        </is>
      </c>
      <c r="F572" s="84" t="n">
        <v>4</v>
      </c>
      <c r="G572" s="84" t="inlineStr">
        <is>
          <t>奥特莱斯</t>
        </is>
      </c>
      <c r="H572" s="84" t="inlineStr">
        <is>
          <t>EEKWG25E01</t>
        </is>
      </c>
      <c r="I572" s="84" t="n">
        <v>599</v>
      </c>
      <c r="J572" s="84" t="n">
        <v>599</v>
      </c>
      <c r="K572" s="85" t="n"/>
      <c r="L572" s="85" t="n"/>
    </row>
    <row r="573" ht="12.75" customHeight="1" s="103">
      <c r="A573" s="78">
        <f>MID(H573,3,2)</f>
        <v/>
      </c>
      <c r="B573" s="84" t="inlineStr">
        <is>
          <t>B331</t>
        </is>
      </c>
      <c r="C573" s="84" t="inlineStr">
        <is>
          <t>上海区域</t>
        </is>
      </c>
      <c r="D573" s="84" t="inlineStr">
        <is>
          <t>CN0Q</t>
        </is>
      </c>
      <c r="E573" s="80" t="inlineStr">
        <is>
          <t>EE 苏州比斯特</t>
        </is>
      </c>
      <c r="F573" s="84" t="n">
        <v>4</v>
      </c>
      <c r="G573" s="84" t="inlineStr">
        <is>
          <t>奥特莱斯</t>
        </is>
      </c>
      <c r="H573" s="84" t="inlineStr">
        <is>
          <t>EEKWG25E01</t>
        </is>
      </c>
      <c r="I573" s="84" t="n">
        <v>599</v>
      </c>
      <c r="J573" s="84" t="n">
        <v>599</v>
      </c>
      <c r="K573" s="85" t="n"/>
      <c r="L573" s="85" t="n"/>
    </row>
    <row r="574" ht="12.75" customHeight="1" s="103">
      <c r="A574" s="78">
        <f>MID(H574,3,2)</f>
        <v/>
      </c>
      <c r="B574" s="84" t="inlineStr">
        <is>
          <t>B331</t>
        </is>
      </c>
      <c r="C574" s="84" t="inlineStr">
        <is>
          <t>上海区域</t>
        </is>
      </c>
      <c r="D574" s="84" t="inlineStr">
        <is>
          <t>CN0Q</t>
        </is>
      </c>
      <c r="E574" s="80" t="inlineStr">
        <is>
          <t>EE 苏州比斯特</t>
        </is>
      </c>
      <c r="F574" s="84" t="n">
        <v>4</v>
      </c>
      <c r="G574" s="84" t="inlineStr">
        <is>
          <t>奥特莱斯</t>
        </is>
      </c>
      <c r="H574" s="84" t="inlineStr">
        <is>
          <t>EEKWG25E01</t>
        </is>
      </c>
      <c r="I574" s="84" t="n">
        <v>599</v>
      </c>
      <c r="J574" s="84" t="n">
        <v>599</v>
      </c>
      <c r="K574" s="85" t="n"/>
      <c r="L574" s="85" t="n"/>
    </row>
    <row r="575" ht="12.75" customHeight="1" s="103">
      <c r="A575" s="78">
        <f>MID(H575,3,2)</f>
        <v/>
      </c>
      <c r="B575" s="84" t="inlineStr">
        <is>
          <t>B331</t>
        </is>
      </c>
      <c r="C575" s="84" t="inlineStr">
        <is>
          <t>上海区域</t>
        </is>
      </c>
      <c r="D575" s="84" t="inlineStr">
        <is>
          <t>CN0Q</t>
        </is>
      </c>
      <c r="E575" s="80" t="inlineStr">
        <is>
          <t>EE 苏州比斯特</t>
        </is>
      </c>
      <c r="F575" s="84" t="n">
        <v>4</v>
      </c>
      <c r="G575" s="84" t="inlineStr">
        <is>
          <t>奥特莱斯</t>
        </is>
      </c>
      <c r="H575" s="84" t="inlineStr">
        <is>
          <t>EEKWG25E01</t>
        </is>
      </c>
      <c r="I575" s="84" t="n">
        <v>599</v>
      </c>
      <c r="J575" s="84" t="n">
        <v>599</v>
      </c>
      <c r="K575" s="85" t="n"/>
      <c r="L575" s="85" t="n"/>
    </row>
    <row r="576" ht="12.75" customHeight="1" s="103">
      <c r="A576" s="78">
        <f>MID(H576,3,2)</f>
        <v/>
      </c>
      <c r="B576" s="84" t="inlineStr">
        <is>
          <t>B331</t>
        </is>
      </c>
      <c r="C576" s="84" t="inlineStr">
        <is>
          <t>上海区域</t>
        </is>
      </c>
      <c r="D576" s="84" t="inlineStr">
        <is>
          <t>CN0Q</t>
        </is>
      </c>
      <c r="E576" s="80" t="inlineStr">
        <is>
          <t>EE 苏州比斯特</t>
        </is>
      </c>
      <c r="F576" s="84" t="n">
        <v>4</v>
      </c>
      <c r="G576" s="84" t="inlineStr">
        <is>
          <t>奥特莱斯</t>
        </is>
      </c>
      <c r="H576" s="84" t="inlineStr">
        <is>
          <t>EEKWG25E01</t>
        </is>
      </c>
      <c r="I576" s="84" t="n">
        <v>599</v>
      </c>
      <c r="J576" s="84" t="n">
        <v>599</v>
      </c>
      <c r="K576" s="85" t="n"/>
      <c r="L576" s="85" t="n"/>
    </row>
    <row r="577" ht="12.75" customHeight="1" s="103">
      <c r="A577" s="78">
        <f>MID(H577,3,2)</f>
        <v/>
      </c>
      <c r="B577" s="84" t="inlineStr">
        <is>
          <t>B331</t>
        </is>
      </c>
      <c r="C577" s="84" t="inlineStr">
        <is>
          <t>上海区域</t>
        </is>
      </c>
      <c r="D577" s="84" t="inlineStr">
        <is>
          <t>CN0Q</t>
        </is>
      </c>
      <c r="E577" s="80" t="inlineStr">
        <is>
          <t>EE 苏州比斯特</t>
        </is>
      </c>
      <c r="F577" s="84" t="n">
        <v>4</v>
      </c>
      <c r="G577" s="84" t="inlineStr">
        <is>
          <t>奥特莱斯</t>
        </is>
      </c>
      <c r="H577" s="84" t="inlineStr">
        <is>
          <t>EEKWG25E02</t>
        </is>
      </c>
      <c r="I577" s="84" t="n">
        <v>699</v>
      </c>
      <c r="J577" s="84" t="n">
        <v>699</v>
      </c>
      <c r="K577" s="85" t="n">
        <v>1</v>
      </c>
      <c r="L577" s="85" t="n">
        <v>443</v>
      </c>
    </row>
    <row r="578" ht="12.75" customHeight="1" s="103">
      <c r="A578" s="78">
        <f>MID(H578,3,2)</f>
        <v/>
      </c>
      <c r="B578" s="84" t="inlineStr">
        <is>
          <t>B331</t>
        </is>
      </c>
      <c r="C578" s="84" t="inlineStr">
        <is>
          <t>上海区域</t>
        </is>
      </c>
      <c r="D578" s="84" t="inlineStr">
        <is>
          <t>CN0Q</t>
        </is>
      </c>
      <c r="E578" s="80" t="inlineStr">
        <is>
          <t>EE 苏州比斯特</t>
        </is>
      </c>
      <c r="F578" s="84" t="n">
        <v>4</v>
      </c>
      <c r="G578" s="84" t="inlineStr">
        <is>
          <t>奥特莱斯</t>
        </is>
      </c>
      <c r="H578" s="84" t="inlineStr">
        <is>
          <t>EEKWG25E02</t>
        </is>
      </c>
      <c r="I578" s="84" t="n">
        <v>699</v>
      </c>
      <c r="J578" s="84" t="n">
        <v>699</v>
      </c>
      <c r="K578" s="85" t="n"/>
      <c r="L578" s="85" t="n"/>
    </row>
    <row r="579" ht="12.75" customHeight="1" s="103">
      <c r="A579" s="78">
        <f>MID(H579,3,2)</f>
        <v/>
      </c>
      <c r="B579" s="84" t="inlineStr">
        <is>
          <t>B331</t>
        </is>
      </c>
      <c r="C579" s="84" t="inlineStr">
        <is>
          <t>上海区域</t>
        </is>
      </c>
      <c r="D579" s="84" t="inlineStr">
        <is>
          <t>CN0Q</t>
        </is>
      </c>
      <c r="E579" s="80" t="inlineStr">
        <is>
          <t>EE 苏州比斯特</t>
        </is>
      </c>
      <c r="F579" s="84" t="n">
        <v>4</v>
      </c>
      <c r="G579" s="84" t="inlineStr">
        <is>
          <t>奥特莱斯</t>
        </is>
      </c>
      <c r="H579" s="84" t="inlineStr">
        <is>
          <t>EEKWG25E02</t>
        </is>
      </c>
      <c r="I579" s="84" t="n">
        <v>699</v>
      </c>
      <c r="J579" s="84" t="n">
        <v>699</v>
      </c>
      <c r="K579" s="85" t="n"/>
      <c r="L579" s="85" t="n"/>
    </row>
    <row r="580" ht="12.75" customHeight="1" s="103">
      <c r="A580" s="78">
        <f>MID(H580,3,2)</f>
        <v/>
      </c>
      <c r="B580" s="84" t="inlineStr">
        <is>
          <t>B331</t>
        </is>
      </c>
      <c r="C580" s="84" t="inlineStr">
        <is>
          <t>上海区域</t>
        </is>
      </c>
      <c r="D580" s="84" t="inlineStr">
        <is>
          <t>CN0Q</t>
        </is>
      </c>
      <c r="E580" s="80" t="inlineStr">
        <is>
          <t>EE 苏州比斯特</t>
        </is>
      </c>
      <c r="F580" s="84" t="n">
        <v>4</v>
      </c>
      <c r="G580" s="84" t="inlineStr">
        <is>
          <t>奥特莱斯</t>
        </is>
      </c>
      <c r="H580" s="84" t="inlineStr">
        <is>
          <t>EEKWG25E02</t>
        </is>
      </c>
      <c r="I580" s="84" t="n">
        <v>699</v>
      </c>
      <c r="J580" s="84" t="n">
        <v>699</v>
      </c>
      <c r="K580" s="85" t="n"/>
      <c r="L580" s="85" t="n"/>
    </row>
    <row r="581" ht="12.75" customHeight="1" s="103">
      <c r="A581" s="78">
        <f>MID(H581,3,2)</f>
        <v/>
      </c>
      <c r="B581" s="84" t="inlineStr">
        <is>
          <t>B331</t>
        </is>
      </c>
      <c r="C581" s="84" t="inlineStr">
        <is>
          <t>上海区域</t>
        </is>
      </c>
      <c r="D581" s="84" t="inlineStr">
        <is>
          <t>CN0Q</t>
        </is>
      </c>
      <c r="E581" s="80" t="inlineStr">
        <is>
          <t>EE 苏州比斯特</t>
        </is>
      </c>
      <c r="F581" s="84" t="n">
        <v>4</v>
      </c>
      <c r="G581" s="84" t="inlineStr">
        <is>
          <t>奥特莱斯</t>
        </is>
      </c>
      <c r="H581" s="84" t="inlineStr">
        <is>
          <t>EEKWG25E02</t>
        </is>
      </c>
      <c r="I581" s="84" t="n">
        <v>699</v>
      </c>
      <c r="J581" s="84" t="n">
        <v>699</v>
      </c>
      <c r="K581" s="85" t="n">
        <v>0</v>
      </c>
      <c r="L581" s="85" t="n">
        <v>0</v>
      </c>
    </row>
    <row r="582" ht="12.75" customHeight="1" s="103">
      <c r="A582" s="78">
        <f>MID(H582,3,2)</f>
        <v/>
      </c>
      <c r="B582" s="84" t="inlineStr">
        <is>
          <t>B331</t>
        </is>
      </c>
      <c r="C582" s="84" t="inlineStr">
        <is>
          <t>上海区域</t>
        </is>
      </c>
      <c r="D582" s="84" t="inlineStr">
        <is>
          <t>CN0Q</t>
        </is>
      </c>
      <c r="E582" s="80" t="inlineStr">
        <is>
          <t>EE 苏州比斯特</t>
        </is>
      </c>
      <c r="F582" s="84" t="n">
        <v>4</v>
      </c>
      <c r="G582" s="84" t="inlineStr">
        <is>
          <t>奥特莱斯</t>
        </is>
      </c>
      <c r="H582" s="84" t="inlineStr">
        <is>
          <t>EEKWG25E02</t>
        </is>
      </c>
      <c r="I582" s="84" t="n">
        <v>699</v>
      </c>
      <c r="J582" s="84" t="n">
        <v>699</v>
      </c>
      <c r="K582" s="85" t="n">
        <v>3</v>
      </c>
      <c r="L582" s="86" t="n">
        <v>1096</v>
      </c>
    </row>
    <row r="583" ht="12.75" customHeight="1" s="103">
      <c r="A583" s="78">
        <f>MID(H583,3,2)</f>
        <v/>
      </c>
      <c r="B583" s="84" t="inlineStr">
        <is>
          <t>B331</t>
        </is>
      </c>
      <c r="C583" s="84" t="inlineStr">
        <is>
          <t>上海区域</t>
        </is>
      </c>
      <c r="D583" s="84" t="inlineStr">
        <is>
          <t>CN0Q</t>
        </is>
      </c>
      <c r="E583" s="80" t="inlineStr">
        <is>
          <t>EE 苏州比斯特</t>
        </is>
      </c>
      <c r="F583" s="84" t="n">
        <v>4</v>
      </c>
      <c r="G583" s="84" t="inlineStr">
        <is>
          <t>奥特莱斯</t>
        </is>
      </c>
      <c r="H583" s="84" t="inlineStr">
        <is>
          <t>EEKWG25E02</t>
        </is>
      </c>
      <c r="I583" s="84" t="n">
        <v>699</v>
      </c>
      <c r="J583" s="84" t="n">
        <v>699</v>
      </c>
      <c r="K583" s="85" t="n"/>
      <c r="L583" s="85" t="n"/>
    </row>
    <row r="584" ht="12.75" customHeight="1" s="103">
      <c r="A584" s="78">
        <f>MID(H584,3,2)</f>
        <v/>
      </c>
      <c r="B584" s="84" t="inlineStr">
        <is>
          <t>B331</t>
        </is>
      </c>
      <c r="C584" s="84" t="inlineStr">
        <is>
          <t>上海区域</t>
        </is>
      </c>
      <c r="D584" s="84" t="inlineStr">
        <is>
          <t>CN0Q</t>
        </is>
      </c>
      <c r="E584" s="80" t="inlineStr">
        <is>
          <t>EE 苏州比斯特</t>
        </is>
      </c>
      <c r="F584" s="84" t="n">
        <v>4</v>
      </c>
      <c r="G584" s="84" t="inlineStr">
        <is>
          <t>奥特莱斯</t>
        </is>
      </c>
      <c r="H584" s="84" t="inlineStr">
        <is>
          <t>EEKWG25E02</t>
        </is>
      </c>
      <c r="I584" s="84" t="n">
        <v>699</v>
      </c>
      <c r="J584" s="84" t="n">
        <v>699</v>
      </c>
      <c r="K584" s="85" t="n"/>
      <c r="L584" s="85" t="n"/>
    </row>
    <row r="585" ht="12.75" customHeight="1" s="103">
      <c r="A585" s="78">
        <f>MID(H585,3,2)</f>
        <v/>
      </c>
      <c r="B585" s="84" t="inlineStr">
        <is>
          <t>B331</t>
        </is>
      </c>
      <c r="C585" s="84" t="inlineStr">
        <is>
          <t>上海区域</t>
        </is>
      </c>
      <c r="D585" s="84" t="inlineStr">
        <is>
          <t>CN0Q</t>
        </is>
      </c>
      <c r="E585" s="80" t="inlineStr">
        <is>
          <t>EE 苏州比斯特</t>
        </is>
      </c>
      <c r="F585" s="84" t="n">
        <v>4</v>
      </c>
      <c r="G585" s="84" t="inlineStr">
        <is>
          <t>奥特莱斯</t>
        </is>
      </c>
      <c r="H585" s="84" t="inlineStr">
        <is>
          <t>EEKWG62S01</t>
        </is>
      </c>
      <c r="I585" s="84" t="n">
        <v>599</v>
      </c>
      <c r="J585" s="84" t="n">
        <v>699</v>
      </c>
      <c r="K585" s="85" t="n">
        <v>1</v>
      </c>
      <c r="L585" s="85" t="n">
        <v>316</v>
      </c>
    </row>
    <row r="586" ht="12.75" customHeight="1" s="103">
      <c r="A586" s="78">
        <f>MID(H586,3,2)</f>
        <v/>
      </c>
      <c r="B586" s="84" t="inlineStr">
        <is>
          <t>B331</t>
        </is>
      </c>
      <c r="C586" s="84" t="inlineStr">
        <is>
          <t>上海区域</t>
        </is>
      </c>
      <c r="D586" s="84" t="inlineStr">
        <is>
          <t>CN0Q</t>
        </is>
      </c>
      <c r="E586" s="80" t="inlineStr">
        <is>
          <t>EE 苏州比斯特</t>
        </is>
      </c>
      <c r="F586" s="84" t="n">
        <v>4</v>
      </c>
      <c r="G586" s="84" t="inlineStr">
        <is>
          <t>奥特莱斯</t>
        </is>
      </c>
      <c r="H586" s="84" t="inlineStr">
        <is>
          <t>EEKWG62S01</t>
        </is>
      </c>
      <c r="I586" s="84" t="n">
        <v>599</v>
      </c>
      <c r="J586" s="84" t="n">
        <v>699</v>
      </c>
      <c r="K586" s="85" t="n">
        <v>1</v>
      </c>
      <c r="L586" s="85" t="n">
        <v>280</v>
      </c>
    </row>
    <row r="587" ht="12.75" customHeight="1" s="103">
      <c r="A587" s="78">
        <f>MID(H587,3,2)</f>
        <v/>
      </c>
      <c r="B587" s="84" t="inlineStr">
        <is>
          <t>B331</t>
        </is>
      </c>
      <c r="C587" s="84" t="inlineStr">
        <is>
          <t>上海区域</t>
        </is>
      </c>
      <c r="D587" s="84" t="inlineStr">
        <is>
          <t>CN0Q</t>
        </is>
      </c>
      <c r="E587" s="80" t="inlineStr">
        <is>
          <t>EE 苏州比斯特</t>
        </is>
      </c>
      <c r="F587" s="84" t="n">
        <v>4</v>
      </c>
      <c r="G587" s="84" t="inlineStr">
        <is>
          <t>奥特莱斯</t>
        </is>
      </c>
      <c r="H587" s="84" t="inlineStr">
        <is>
          <t>EEKWG62S01</t>
        </is>
      </c>
      <c r="I587" s="84" t="n">
        <v>599</v>
      </c>
      <c r="J587" s="84" t="n">
        <v>699</v>
      </c>
      <c r="K587" s="85" t="n">
        <v>1</v>
      </c>
      <c r="L587" s="85" t="n">
        <v>321</v>
      </c>
    </row>
    <row r="588" ht="12.75" customHeight="1" s="103">
      <c r="A588" s="78">
        <f>MID(H588,3,2)</f>
        <v/>
      </c>
      <c r="B588" s="84" t="inlineStr">
        <is>
          <t>B331</t>
        </is>
      </c>
      <c r="C588" s="84" t="inlineStr">
        <is>
          <t>上海区域</t>
        </is>
      </c>
      <c r="D588" s="84" t="inlineStr">
        <is>
          <t>CN0Q</t>
        </is>
      </c>
      <c r="E588" s="80" t="inlineStr">
        <is>
          <t>EE 苏州比斯特</t>
        </is>
      </c>
      <c r="F588" s="84" t="n">
        <v>4</v>
      </c>
      <c r="G588" s="84" t="inlineStr">
        <is>
          <t>奥特莱斯</t>
        </is>
      </c>
      <c r="H588" s="84" t="inlineStr">
        <is>
          <t>EEKWG62S01</t>
        </is>
      </c>
      <c r="I588" s="84" t="n">
        <v>599</v>
      </c>
      <c r="J588" s="84" t="n">
        <v>699</v>
      </c>
      <c r="K588" s="85" t="n"/>
      <c r="L588" s="85" t="n"/>
    </row>
    <row r="589" ht="12.75" customHeight="1" s="103">
      <c r="A589" s="78">
        <f>MID(H589,3,2)</f>
        <v/>
      </c>
      <c r="B589" s="84" t="inlineStr">
        <is>
          <t>B331</t>
        </is>
      </c>
      <c r="C589" s="84" t="inlineStr">
        <is>
          <t>上海区域</t>
        </is>
      </c>
      <c r="D589" s="84" t="inlineStr">
        <is>
          <t>CN0Q</t>
        </is>
      </c>
      <c r="E589" s="80" t="inlineStr">
        <is>
          <t>EE 苏州比斯特</t>
        </is>
      </c>
      <c r="F589" s="84" t="n">
        <v>4</v>
      </c>
      <c r="G589" s="84" t="inlineStr">
        <is>
          <t>奥特莱斯</t>
        </is>
      </c>
      <c r="H589" s="84" t="inlineStr">
        <is>
          <t>EEKWG62S01</t>
        </is>
      </c>
      <c r="I589" s="84" t="n">
        <v>599</v>
      </c>
      <c r="J589" s="84" t="n">
        <v>699</v>
      </c>
      <c r="K589" s="85" t="n"/>
      <c r="L589" s="85" t="n"/>
    </row>
    <row r="590" ht="12.75" customHeight="1" s="103">
      <c r="A590" s="78">
        <f>MID(H590,3,2)</f>
        <v/>
      </c>
      <c r="B590" s="84" t="inlineStr">
        <is>
          <t>B331</t>
        </is>
      </c>
      <c r="C590" s="84" t="inlineStr">
        <is>
          <t>上海区域</t>
        </is>
      </c>
      <c r="D590" s="84" t="inlineStr">
        <is>
          <t>CN0Q</t>
        </is>
      </c>
      <c r="E590" s="80" t="inlineStr">
        <is>
          <t>EE 苏州比斯特</t>
        </is>
      </c>
      <c r="F590" s="84" t="n">
        <v>4</v>
      </c>
      <c r="G590" s="84" t="inlineStr">
        <is>
          <t>奥特莱斯</t>
        </is>
      </c>
      <c r="H590" s="84" t="inlineStr">
        <is>
          <t>EEKWG62S01</t>
        </is>
      </c>
      <c r="I590" s="84" t="n">
        <v>599</v>
      </c>
      <c r="J590" s="84" t="n">
        <v>699</v>
      </c>
      <c r="K590" s="85" t="n"/>
      <c r="L590" s="85" t="n"/>
    </row>
    <row r="591" ht="12.75" customHeight="1" s="103">
      <c r="A591" s="78">
        <f>MID(H591,3,2)</f>
        <v/>
      </c>
      <c r="B591" s="84" t="inlineStr">
        <is>
          <t>B331</t>
        </is>
      </c>
      <c r="C591" s="84" t="inlineStr">
        <is>
          <t>上海区域</t>
        </is>
      </c>
      <c r="D591" s="84" t="inlineStr">
        <is>
          <t>CN0Q</t>
        </is>
      </c>
      <c r="E591" s="80" t="inlineStr">
        <is>
          <t>EE 苏州比斯特</t>
        </is>
      </c>
      <c r="F591" s="84" t="n">
        <v>4</v>
      </c>
      <c r="G591" s="84" t="inlineStr">
        <is>
          <t>奥特莱斯</t>
        </is>
      </c>
      <c r="H591" s="84" t="inlineStr">
        <is>
          <t>EEKWG62S01</t>
        </is>
      </c>
      <c r="I591" s="84" t="n">
        <v>599</v>
      </c>
      <c r="J591" s="84" t="n">
        <v>699</v>
      </c>
      <c r="K591" s="85" t="n">
        <v>1</v>
      </c>
      <c r="L591" s="85" t="n">
        <v>280</v>
      </c>
    </row>
    <row r="592" ht="12.75" customHeight="1" s="103">
      <c r="A592" s="78">
        <f>MID(H592,3,2)</f>
        <v/>
      </c>
      <c r="B592" s="84" t="inlineStr">
        <is>
          <t>B331</t>
        </is>
      </c>
      <c r="C592" s="84" t="inlineStr">
        <is>
          <t>上海区域</t>
        </is>
      </c>
      <c r="D592" s="84" t="inlineStr">
        <is>
          <t>CN0Q</t>
        </is>
      </c>
      <c r="E592" s="80" t="inlineStr">
        <is>
          <t>EE 苏州比斯特</t>
        </is>
      </c>
      <c r="F592" s="84" t="n">
        <v>4</v>
      </c>
      <c r="G592" s="84" t="inlineStr">
        <is>
          <t>奥特莱斯</t>
        </is>
      </c>
      <c r="H592" s="84" t="inlineStr">
        <is>
          <t>EEKWG62S01</t>
        </is>
      </c>
      <c r="I592" s="84" t="n">
        <v>599</v>
      </c>
      <c r="J592" s="84" t="n">
        <v>699</v>
      </c>
      <c r="K592" s="85" t="n">
        <v>1</v>
      </c>
      <c r="L592" s="85" t="n">
        <v>264</v>
      </c>
    </row>
    <row r="593" ht="12.75" customHeight="1" s="103">
      <c r="A593" s="78">
        <f>MID(H593,3,2)</f>
        <v/>
      </c>
      <c r="B593" s="84" t="inlineStr">
        <is>
          <t>B331</t>
        </is>
      </c>
      <c r="C593" s="84" t="inlineStr">
        <is>
          <t>上海区域</t>
        </is>
      </c>
      <c r="D593" s="84" t="inlineStr">
        <is>
          <t>CN0Q</t>
        </is>
      </c>
      <c r="E593" s="80" t="inlineStr">
        <is>
          <t>EE 苏州比斯特</t>
        </is>
      </c>
      <c r="F593" s="84" t="n">
        <v>4</v>
      </c>
      <c r="G593" s="84" t="inlineStr">
        <is>
          <t>奥特莱斯</t>
        </is>
      </c>
      <c r="H593" s="84" t="inlineStr">
        <is>
          <t>EEKWG62S01</t>
        </is>
      </c>
      <c r="I593" s="84" t="n">
        <v>599</v>
      </c>
      <c r="J593" s="84" t="n">
        <v>699</v>
      </c>
      <c r="K593" s="85" t="n">
        <v>1</v>
      </c>
      <c r="L593" s="85" t="n">
        <v>320</v>
      </c>
    </row>
    <row r="594" ht="12.75" customHeight="1" s="103">
      <c r="A594" s="78">
        <f>MID(H594,3,2)</f>
        <v/>
      </c>
      <c r="B594" s="84" t="inlineStr">
        <is>
          <t>B331</t>
        </is>
      </c>
      <c r="C594" s="84" t="inlineStr">
        <is>
          <t>上海区域</t>
        </is>
      </c>
      <c r="D594" s="84" t="inlineStr">
        <is>
          <t>CN0Q</t>
        </is>
      </c>
      <c r="E594" s="80" t="inlineStr">
        <is>
          <t>EE 苏州比斯特</t>
        </is>
      </c>
      <c r="F594" s="84" t="n">
        <v>4</v>
      </c>
      <c r="G594" s="84" t="inlineStr">
        <is>
          <t>奥特莱斯</t>
        </is>
      </c>
      <c r="H594" s="84" t="inlineStr">
        <is>
          <t>EEKWG64L03</t>
        </is>
      </c>
      <c r="I594" s="84" t="n">
        <v>599</v>
      </c>
      <c r="J594" s="84" t="n">
        <v>699</v>
      </c>
      <c r="K594" s="85" t="n"/>
      <c r="L594" s="85" t="n"/>
    </row>
    <row r="595" ht="12.75" customHeight="1" s="103">
      <c r="A595" s="78">
        <f>MID(H595,3,2)</f>
        <v/>
      </c>
      <c r="B595" s="84" t="inlineStr">
        <is>
          <t>B331</t>
        </is>
      </c>
      <c r="C595" s="84" t="inlineStr">
        <is>
          <t>上海区域</t>
        </is>
      </c>
      <c r="D595" s="84" t="inlineStr">
        <is>
          <t>CN0Q</t>
        </is>
      </c>
      <c r="E595" s="80" t="inlineStr">
        <is>
          <t>EE 苏州比斯特</t>
        </is>
      </c>
      <c r="F595" s="84" t="n">
        <v>4</v>
      </c>
      <c r="G595" s="84" t="inlineStr">
        <is>
          <t>奥特莱斯</t>
        </is>
      </c>
      <c r="H595" s="84" t="inlineStr">
        <is>
          <t>EEKWG64L03</t>
        </is>
      </c>
      <c r="I595" s="84" t="n">
        <v>599</v>
      </c>
      <c r="J595" s="84" t="n">
        <v>699</v>
      </c>
      <c r="K595" s="85" t="n">
        <v>1</v>
      </c>
      <c r="L595" s="85" t="n">
        <v>350</v>
      </c>
    </row>
    <row r="596" ht="12.75" customHeight="1" s="103">
      <c r="A596" s="78">
        <f>MID(H596,3,2)</f>
        <v/>
      </c>
      <c r="B596" s="84" t="inlineStr">
        <is>
          <t>B331</t>
        </is>
      </c>
      <c r="C596" s="84" t="inlineStr">
        <is>
          <t>上海区域</t>
        </is>
      </c>
      <c r="D596" s="84" t="inlineStr">
        <is>
          <t>CN0Q</t>
        </is>
      </c>
      <c r="E596" s="80" t="inlineStr">
        <is>
          <t>EE 苏州比斯特</t>
        </is>
      </c>
      <c r="F596" s="84" t="n">
        <v>4</v>
      </c>
      <c r="G596" s="84" t="inlineStr">
        <is>
          <t>奥特莱斯</t>
        </is>
      </c>
      <c r="H596" s="84" t="inlineStr">
        <is>
          <t>EEKWG64L03</t>
        </is>
      </c>
      <c r="I596" s="84" t="n">
        <v>599</v>
      </c>
      <c r="J596" s="84" t="n">
        <v>699</v>
      </c>
      <c r="K596" s="85" t="n"/>
      <c r="L596" s="85" t="n"/>
    </row>
    <row r="597" ht="12.75" customHeight="1" s="103">
      <c r="A597" s="78">
        <f>MID(H597,3,2)</f>
        <v/>
      </c>
      <c r="B597" s="84" t="inlineStr">
        <is>
          <t>B331</t>
        </is>
      </c>
      <c r="C597" s="84" t="inlineStr">
        <is>
          <t>上海区域</t>
        </is>
      </c>
      <c r="D597" s="84" t="inlineStr">
        <is>
          <t>CN0Q</t>
        </is>
      </c>
      <c r="E597" s="80" t="inlineStr">
        <is>
          <t>EE 苏州比斯特</t>
        </is>
      </c>
      <c r="F597" s="84" t="n">
        <v>4</v>
      </c>
      <c r="G597" s="84" t="inlineStr">
        <is>
          <t>奥特莱斯</t>
        </is>
      </c>
      <c r="H597" s="84" t="inlineStr">
        <is>
          <t>EEKWG64L03</t>
        </is>
      </c>
      <c r="I597" s="84" t="n">
        <v>599</v>
      </c>
      <c r="J597" s="84" t="n">
        <v>699</v>
      </c>
      <c r="K597" s="85" t="n"/>
      <c r="L597" s="85" t="n"/>
    </row>
    <row r="598" ht="12.75" customHeight="1" s="103">
      <c r="A598" s="78">
        <f>MID(H598,3,2)</f>
        <v/>
      </c>
      <c r="B598" s="84" t="inlineStr">
        <is>
          <t>B331</t>
        </is>
      </c>
      <c r="C598" s="84" t="inlineStr">
        <is>
          <t>上海区域</t>
        </is>
      </c>
      <c r="D598" s="84" t="inlineStr">
        <is>
          <t>CN0Q</t>
        </is>
      </c>
      <c r="E598" s="80" t="inlineStr">
        <is>
          <t>EE 苏州比斯特</t>
        </is>
      </c>
      <c r="F598" s="84" t="n">
        <v>4</v>
      </c>
      <c r="G598" s="84" t="inlineStr">
        <is>
          <t>奥特莱斯</t>
        </is>
      </c>
      <c r="H598" s="84" t="inlineStr">
        <is>
          <t>EEKWG64L03</t>
        </is>
      </c>
      <c r="I598" s="84" t="n">
        <v>599</v>
      </c>
      <c r="J598" s="84" t="n">
        <v>699</v>
      </c>
      <c r="K598" s="85" t="n">
        <v>1</v>
      </c>
      <c r="L598" s="85" t="n">
        <v>326</v>
      </c>
    </row>
    <row r="599" ht="12.75" customHeight="1" s="103">
      <c r="A599" s="78">
        <f>MID(H599,3,2)</f>
        <v/>
      </c>
      <c r="B599" s="84" t="inlineStr">
        <is>
          <t>B331</t>
        </is>
      </c>
      <c r="C599" s="84" t="inlineStr">
        <is>
          <t>上海区域</t>
        </is>
      </c>
      <c r="D599" s="84" t="inlineStr">
        <is>
          <t>CN0Q</t>
        </is>
      </c>
      <c r="E599" s="80" t="inlineStr">
        <is>
          <t>EE 苏州比斯特</t>
        </is>
      </c>
      <c r="F599" s="84" t="n">
        <v>4</v>
      </c>
      <c r="G599" s="84" t="inlineStr">
        <is>
          <t>奥特莱斯</t>
        </is>
      </c>
      <c r="H599" s="84" t="inlineStr">
        <is>
          <t>EEKWG64L03</t>
        </is>
      </c>
      <c r="I599" s="84" t="n">
        <v>599</v>
      </c>
      <c r="J599" s="84" t="n">
        <v>699</v>
      </c>
      <c r="K599" s="85" t="n"/>
      <c r="L599" s="85" t="n"/>
    </row>
    <row r="600" ht="12.75" customHeight="1" s="103">
      <c r="A600" s="78">
        <f>MID(H600,3,2)</f>
        <v/>
      </c>
      <c r="B600" s="84" t="inlineStr">
        <is>
          <t>B331</t>
        </is>
      </c>
      <c r="C600" s="84" t="inlineStr">
        <is>
          <t>上海区域</t>
        </is>
      </c>
      <c r="D600" s="84" t="inlineStr">
        <is>
          <t>CN0Q</t>
        </is>
      </c>
      <c r="E600" s="80" t="inlineStr">
        <is>
          <t>EE 苏州比斯特</t>
        </is>
      </c>
      <c r="F600" s="84" t="n">
        <v>4</v>
      </c>
      <c r="G600" s="84" t="inlineStr">
        <is>
          <t>奥特莱斯</t>
        </is>
      </c>
      <c r="H600" s="84" t="inlineStr">
        <is>
          <t>EEKWG64S02</t>
        </is>
      </c>
      <c r="I600" s="84" t="n">
        <v>699</v>
      </c>
      <c r="J600" s="84" t="n">
        <v>699</v>
      </c>
      <c r="K600" s="85" t="n">
        <v>2</v>
      </c>
      <c r="L600" s="85" t="n"/>
    </row>
    <row r="601" ht="12.75" customHeight="1" s="103">
      <c r="A601" s="78">
        <f>MID(H601,3,2)</f>
        <v/>
      </c>
      <c r="B601" s="84" t="inlineStr">
        <is>
          <t>B331</t>
        </is>
      </c>
      <c r="C601" s="84" t="inlineStr">
        <is>
          <t>上海区域</t>
        </is>
      </c>
      <c r="D601" s="84" t="inlineStr">
        <is>
          <t>CN0Q</t>
        </is>
      </c>
      <c r="E601" s="80" t="inlineStr">
        <is>
          <t>EE 苏州比斯特</t>
        </is>
      </c>
      <c r="F601" s="84" t="n">
        <v>4</v>
      </c>
      <c r="G601" s="84" t="inlineStr">
        <is>
          <t>奥特莱斯</t>
        </is>
      </c>
      <c r="H601" s="84" t="inlineStr">
        <is>
          <t>EEKWG64S02</t>
        </is>
      </c>
      <c r="I601" s="84" t="n">
        <v>699</v>
      </c>
      <c r="J601" s="84" t="n">
        <v>699</v>
      </c>
      <c r="K601" s="85" t="n">
        <v>3</v>
      </c>
      <c r="L601" s="85" t="n">
        <v>612</v>
      </c>
    </row>
    <row r="602" ht="12.75" customHeight="1" s="103">
      <c r="A602" s="78">
        <f>MID(H602,3,2)</f>
        <v/>
      </c>
      <c r="B602" s="84" t="inlineStr">
        <is>
          <t>B331</t>
        </is>
      </c>
      <c r="C602" s="84" t="inlineStr">
        <is>
          <t>上海区域</t>
        </is>
      </c>
      <c r="D602" s="84" t="inlineStr">
        <is>
          <t>CN0Q</t>
        </is>
      </c>
      <c r="E602" s="80" t="inlineStr">
        <is>
          <t>EE 苏州比斯特</t>
        </is>
      </c>
      <c r="F602" s="84" t="n">
        <v>4</v>
      </c>
      <c r="G602" s="84" t="inlineStr">
        <is>
          <t>奥特莱斯</t>
        </is>
      </c>
      <c r="H602" s="84" t="inlineStr">
        <is>
          <t>EEKWG64S02</t>
        </is>
      </c>
      <c r="I602" s="84" t="n">
        <v>699</v>
      </c>
      <c r="J602" s="84" t="n">
        <v>699</v>
      </c>
      <c r="K602" s="85" t="n">
        <v>2</v>
      </c>
      <c r="L602" s="85" t="n">
        <v>325</v>
      </c>
    </row>
    <row r="603" ht="12.75" customHeight="1" s="103">
      <c r="A603" s="78">
        <f>MID(H603,3,2)</f>
        <v/>
      </c>
      <c r="B603" s="84" t="inlineStr">
        <is>
          <t>B331</t>
        </is>
      </c>
      <c r="C603" s="84" t="inlineStr">
        <is>
          <t>上海区域</t>
        </is>
      </c>
      <c r="D603" s="84" t="inlineStr">
        <is>
          <t>CN0Q</t>
        </is>
      </c>
      <c r="E603" s="80" t="inlineStr">
        <is>
          <t>EE 苏州比斯特</t>
        </is>
      </c>
      <c r="F603" s="84" t="n">
        <v>4</v>
      </c>
      <c r="G603" s="84" t="inlineStr">
        <is>
          <t>奥特莱斯</t>
        </is>
      </c>
      <c r="H603" s="84" t="inlineStr">
        <is>
          <t>EEKWG64S02</t>
        </is>
      </c>
      <c r="I603" s="84" t="n">
        <v>699</v>
      </c>
      <c r="J603" s="84" t="n">
        <v>699</v>
      </c>
      <c r="K603" s="85" t="n">
        <v>2</v>
      </c>
      <c r="L603" s="85" t="n">
        <v>637</v>
      </c>
    </row>
    <row r="604" ht="12.75" customHeight="1" s="103">
      <c r="A604" s="78">
        <f>MID(H604,3,2)</f>
        <v/>
      </c>
      <c r="B604" s="84" t="inlineStr">
        <is>
          <t>B331</t>
        </is>
      </c>
      <c r="C604" s="84" t="inlineStr">
        <is>
          <t>上海区域</t>
        </is>
      </c>
      <c r="D604" s="84" t="inlineStr">
        <is>
          <t>CN0Q</t>
        </is>
      </c>
      <c r="E604" s="80" t="inlineStr">
        <is>
          <t>EE 苏州比斯特</t>
        </is>
      </c>
      <c r="F604" s="84" t="n">
        <v>4</v>
      </c>
      <c r="G604" s="84" t="inlineStr">
        <is>
          <t>奥特莱斯</t>
        </is>
      </c>
      <c r="H604" s="84" t="inlineStr">
        <is>
          <t>EEKWG64S02</t>
        </is>
      </c>
      <c r="I604" s="84" t="n">
        <v>699</v>
      </c>
      <c r="J604" s="84" t="n">
        <v>699</v>
      </c>
      <c r="K604" s="85" t="n">
        <v>2</v>
      </c>
      <c r="L604" s="85" t="n">
        <v>327</v>
      </c>
    </row>
    <row r="605" ht="12.75" customHeight="1" s="103">
      <c r="A605" s="78">
        <f>MID(H605,3,2)</f>
        <v/>
      </c>
      <c r="B605" s="84" t="inlineStr">
        <is>
          <t>B331</t>
        </is>
      </c>
      <c r="C605" s="84" t="inlineStr">
        <is>
          <t>上海区域</t>
        </is>
      </c>
      <c r="D605" s="84" t="inlineStr">
        <is>
          <t>CN0Q</t>
        </is>
      </c>
      <c r="E605" s="80" t="inlineStr">
        <is>
          <t>EE 苏州比斯特</t>
        </is>
      </c>
      <c r="F605" s="84" t="n">
        <v>4</v>
      </c>
      <c r="G605" s="84" t="inlineStr">
        <is>
          <t>奥特莱斯</t>
        </is>
      </c>
      <c r="H605" s="84" t="inlineStr">
        <is>
          <t>EEKWG64S02</t>
        </is>
      </c>
      <c r="I605" s="84" t="n">
        <v>699</v>
      </c>
      <c r="J605" s="84" t="n">
        <v>699</v>
      </c>
      <c r="K605" s="85" t="n"/>
      <c r="L605" s="85" t="n"/>
    </row>
    <row r="606" ht="12.75" customHeight="1" s="103">
      <c r="A606" s="78">
        <f>MID(H606,3,2)</f>
        <v/>
      </c>
      <c r="B606" s="84" t="inlineStr">
        <is>
          <t>B331</t>
        </is>
      </c>
      <c r="C606" s="84" t="inlineStr">
        <is>
          <t>上海区域</t>
        </is>
      </c>
      <c r="D606" s="84" t="inlineStr">
        <is>
          <t>CN0Q</t>
        </is>
      </c>
      <c r="E606" s="80" t="inlineStr">
        <is>
          <t>EE 苏州比斯特</t>
        </is>
      </c>
      <c r="F606" s="84" t="n">
        <v>4</v>
      </c>
      <c r="G606" s="84" t="inlineStr">
        <is>
          <t>奥特莱斯</t>
        </is>
      </c>
      <c r="H606" s="84" t="inlineStr">
        <is>
          <t>EELAF23M01</t>
        </is>
      </c>
      <c r="I606" s="84" t="n">
        <v>499</v>
      </c>
      <c r="J606" s="84" t="n">
        <v>499</v>
      </c>
      <c r="K606" s="85" t="n"/>
      <c r="L606" s="85" t="n"/>
    </row>
    <row r="607" ht="12.75" customHeight="1" s="103">
      <c r="A607" s="78">
        <f>MID(H607,3,2)</f>
        <v/>
      </c>
      <c r="B607" s="84" t="inlineStr">
        <is>
          <t>B331</t>
        </is>
      </c>
      <c r="C607" s="84" t="inlineStr">
        <is>
          <t>上海区域</t>
        </is>
      </c>
      <c r="D607" s="84" t="inlineStr">
        <is>
          <t>CN0Q</t>
        </is>
      </c>
      <c r="E607" s="80" t="inlineStr">
        <is>
          <t>EE 苏州比斯特</t>
        </is>
      </c>
      <c r="F607" s="84" t="n">
        <v>4</v>
      </c>
      <c r="G607" s="84" t="inlineStr">
        <is>
          <t>奥特莱斯</t>
        </is>
      </c>
      <c r="H607" s="84" t="inlineStr">
        <is>
          <t>EELAF23M01</t>
        </is>
      </c>
      <c r="I607" s="84" t="n">
        <v>499</v>
      </c>
      <c r="J607" s="84" t="n">
        <v>499</v>
      </c>
      <c r="K607" s="85" t="n"/>
      <c r="L607" s="85" t="n"/>
    </row>
    <row r="608" ht="12.75" customHeight="1" s="103">
      <c r="A608" s="78">
        <f>MID(H608,3,2)</f>
        <v/>
      </c>
      <c r="B608" s="84" t="inlineStr">
        <is>
          <t>B331</t>
        </is>
      </c>
      <c r="C608" s="84" t="inlineStr">
        <is>
          <t>上海区域</t>
        </is>
      </c>
      <c r="D608" s="84" t="inlineStr">
        <is>
          <t>CN0Q</t>
        </is>
      </c>
      <c r="E608" s="80" t="inlineStr">
        <is>
          <t>EE 苏州比斯特</t>
        </is>
      </c>
      <c r="F608" s="84" t="n">
        <v>4</v>
      </c>
      <c r="G608" s="84" t="inlineStr">
        <is>
          <t>奥特莱斯</t>
        </is>
      </c>
      <c r="H608" s="84" t="inlineStr">
        <is>
          <t>EELAF23M01</t>
        </is>
      </c>
      <c r="I608" s="84" t="n">
        <v>499</v>
      </c>
      <c r="J608" s="84" t="n">
        <v>499</v>
      </c>
      <c r="K608" s="85" t="n"/>
      <c r="L608" s="85" t="n"/>
    </row>
    <row r="609" ht="12.75" customHeight="1" s="103">
      <c r="A609" s="78">
        <f>MID(H609,3,2)</f>
        <v/>
      </c>
      <c r="B609" s="84" t="inlineStr">
        <is>
          <t>B331</t>
        </is>
      </c>
      <c r="C609" s="84" t="inlineStr">
        <is>
          <t>上海区域</t>
        </is>
      </c>
      <c r="D609" s="84" t="inlineStr">
        <is>
          <t>CN0Q</t>
        </is>
      </c>
      <c r="E609" s="80" t="inlineStr">
        <is>
          <t>EE 苏州比斯特</t>
        </is>
      </c>
      <c r="F609" s="84" t="n">
        <v>4</v>
      </c>
      <c r="G609" s="84" t="inlineStr">
        <is>
          <t>奥特莱斯</t>
        </is>
      </c>
      <c r="H609" s="84" t="inlineStr">
        <is>
          <t>EELAF23M01</t>
        </is>
      </c>
      <c r="I609" s="84" t="n">
        <v>499</v>
      </c>
      <c r="J609" s="84" t="n">
        <v>499</v>
      </c>
      <c r="K609" s="85" t="n"/>
      <c r="L609" s="85" t="n"/>
    </row>
    <row r="610" ht="12.75" customHeight="1" s="103">
      <c r="A610" s="78">
        <f>MID(H610,3,2)</f>
        <v/>
      </c>
      <c r="B610" s="84" t="inlineStr">
        <is>
          <t>B331</t>
        </is>
      </c>
      <c r="C610" s="84" t="inlineStr">
        <is>
          <t>上海区域</t>
        </is>
      </c>
      <c r="D610" s="84" t="inlineStr">
        <is>
          <t>CN0Q</t>
        </is>
      </c>
      <c r="E610" s="80" t="inlineStr">
        <is>
          <t>EE 苏州比斯特</t>
        </is>
      </c>
      <c r="F610" s="84" t="n">
        <v>4</v>
      </c>
      <c r="G610" s="84" t="inlineStr">
        <is>
          <t>奥特莱斯</t>
        </is>
      </c>
      <c r="H610" s="84" t="inlineStr">
        <is>
          <t>EELAF23M01</t>
        </is>
      </c>
      <c r="I610" s="84" t="n">
        <v>499</v>
      </c>
      <c r="J610" s="84" t="n">
        <v>499</v>
      </c>
      <c r="K610" s="85" t="n"/>
      <c r="L610" s="85" t="n"/>
    </row>
    <row r="611" ht="12.75" customHeight="1" s="103">
      <c r="A611" s="78">
        <f>MID(H611,3,2)</f>
        <v/>
      </c>
      <c r="B611" s="84" t="inlineStr">
        <is>
          <t>B331</t>
        </is>
      </c>
      <c r="C611" s="84" t="inlineStr">
        <is>
          <t>上海区域</t>
        </is>
      </c>
      <c r="D611" s="84" t="inlineStr">
        <is>
          <t>CN0Q</t>
        </is>
      </c>
      <c r="E611" s="80" t="inlineStr">
        <is>
          <t>EE 苏州比斯特</t>
        </is>
      </c>
      <c r="F611" s="84" t="n">
        <v>4</v>
      </c>
      <c r="G611" s="84" t="inlineStr">
        <is>
          <t>奥特莱斯</t>
        </is>
      </c>
      <c r="H611" s="84" t="inlineStr">
        <is>
          <t>EELAF23M02</t>
        </is>
      </c>
      <c r="I611" s="84" t="n">
        <v>599</v>
      </c>
      <c r="J611" s="84" t="n">
        <v>599</v>
      </c>
      <c r="K611" s="85" t="n"/>
      <c r="L611" s="85" t="n"/>
    </row>
    <row r="612" ht="12.75" customHeight="1" s="103">
      <c r="A612" s="78">
        <f>MID(H612,3,2)</f>
        <v/>
      </c>
      <c r="B612" s="84" t="inlineStr">
        <is>
          <t>B331</t>
        </is>
      </c>
      <c r="C612" s="84" t="inlineStr">
        <is>
          <t>上海区域</t>
        </is>
      </c>
      <c r="D612" s="84" t="inlineStr">
        <is>
          <t>CN0Q</t>
        </is>
      </c>
      <c r="E612" s="80" t="inlineStr">
        <is>
          <t>EE 苏州比斯特</t>
        </is>
      </c>
      <c r="F612" s="84" t="n">
        <v>4</v>
      </c>
      <c r="G612" s="84" t="inlineStr">
        <is>
          <t>奥特莱斯</t>
        </is>
      </c>
      <c r="H612" s="84" t="inlineStr">
        <is>
          <t>EELAF23M02</t>
        </is>
      </c>
      <c r="I612" s="84" t="n">
        <v>599</v>
      </c>
      <c r="J612" s="84" t="n">
        <v>599</v>
      </c>
      <c r="K612" s="85" t="n"/>
      <c r="L612" s="85" t="n"/>
    </row>
    <row r="613" ht="12.75" customHeight="1" s="103">
      <c r="A613" s="78">
        <f>MID(H613,3,2)</f>
        <v/>
      </c>
      <c r="B613" s="84" t="inlineStr">
        <is>
          <t>B331</t>
        </is>
      </c>
      <c r="C613" s="84" t="inlineStr">
        <is>
          <t>上海区域</t>
        </is>
      </c>
      <c r="D613" s="84" t="inlineStr">
        <is>
          <t>CN0Q</t>
        </is>
      </c>
      <c r="E613" s="80" t="inlineStr">
        <is>
          <t>EE 苏州比斯特</t>
        </is>
      </c>
      <c r="F613" s="84" t="n">
        <v>4</v>
      </c>
      <c r="G613" s="84" t="inlineStr">
        <is>
          <t>奥特莱斯</t>
        </is>
      </c>
      <c r="H613" s="84" t="inlineStr">
        <is>
          <t>EELAF23M02</t>
        </is>
      </c>
      <c r="I613" s="84" t="n">
        <v>599</v>
      </c>
      <c r="J613" s="84" t="n">
        <v>599</v>
      </c>
      <c r="K613" s="85" t="n"/>
      <c r="L613" s="85" t="n"/>
    </row>
    <row r="614" ht="12.75" customHeight="1" s="103">
      <c r="A614" s="78">
        <f>MID(H614,3,2)</f>
        <v/>
      </c>
      <c r="B614" s="84" t="inlineStr">
        <is>
          <t>B331</t>
        </is>
      </c>
      <c r="C614" s="84" t="inlineStr">
        <is>
          <t>上海区域</t>
        </is>
      </c>
      <c r="D614" s="84" t="inlineStr">
        <is>
          <t>CN0Q</t>
        </is>
      </c>
      <c r="E614" s="80" t="inlineStr">
        <is>
          <t>EE 苏州比斯特</t>
        </is>
      </c>
      <c r="F614" s="84" t="n">
        <v>4</v>
      </c>
      <c r="G614" s="84" t="inlineStr">
        <is>
          <t>奥特莱斯</t>
        </is>
      </c>
      <c r="H614" s="84" t="inlineStr">
        <is>
          <t>EELAF24M01</t>
        </is>
      </c>
      <c r="I614" s="84" t="n">
        <v>599</v>
      </c>
      <c r="J614" s="84" t="n">
        <v>699</v>
      </c>
      <c r="K614" s="85" t="n"/>
      <c r="L614" s="85" t="n"/>
    </row>
    <row r="615" ht="12.75" customHeight="1" s="103">
      <c r="A615" s="78">
        <f>MID(H615,3,2)</f>
        <v/>
      </c>
      <c r="B615" s="84" t="inlineStr">
        <is>
          <t>B331</t>
        </is>
      </c>
      <c r="C615" s="84" t="inlineStr">
        <is>
          <t>上海区域</t>
        </is>
      </c>
      <c r="D615" s="84" t="inlineStr">
        <is>
          <t>CN0Q</t>
        </is>
      </c>
      <c r="E615" s="80" t="inlineStr">
        <is>
          <t>EE 苏州比斯特</t>
        </is>
      </c>
      <c r="F615" s="84" t="n">
        <v>4</v>
      </c>
      <c r="G615" s="84" t="inlineStr">
        <is>
          <t>奥特莱斯</t>
        </is>
      </c>
      <c r="H615" s="84" t="inlineStr">
        <is>
          <t>EELAF24M01</t>
        </is>
      </c>
      <c r="I615" s="84" t="n">
        <v>599</v>
      </c>
      <c r="J615" s="84" t="n">
        <v>699</v>
      </c>
      <c r="K615" s="85" t="n"/>
      <c r="L615" s="85" t="n"/>
    </row>
    <row r="616" ht="12.75" customHeight="1" s="103">
      <c r="A616" s="78">
        <f>MID(H616,3,2)</f>
        <v/>
      </c>
      <c r="B616" s="84" t="inlineStr">
        <is>
          <t>B331</t>
        </is>
      </c>
      <c r="C616" s="84" t="inlineStr">
        <is>
          <t>上海区域</t>
        </is>
      </c>
      <c r="D616" s="84" t="inlineStr">
        <is>
          <t>CN0Q</t>
        </is>
      </c>
      <c r="E616" s="80" t="inlineStr">
        <is>
          <t>EE 苏州比斯特</t>
        </is>
      </c>
      <c r="F616" s="84" t="n">
        <v>4</v>
      </c>
      <c r="G616" s="84" t="inlineStr">
        <is>
          <t>奥特莱斯</t>
        </is>
      </c>
      <c r="H616" s="84" t="inlineStr">
        <is>
          <t>EELAF24M01</t>
        </is>
      </c>
      <c r="I616" s="84" t="n">
        <v>599</v>
      </c>
      <c r="J616" s="84" t="n">
        <v>699</v>
      </c>
      <c r="K616" s="85" t="n"/>
      <c r="L616" s="85" t="n"/>
    </row>
    <row r="617" ht="12.75" customHeight="1" s="103">
      <c r="A617" s="78">
        <f>MID(H617,3,2)</f>
        <v/>
      </c>
      <c r="B617" s="84" t="inlineStr">
        <is>
          <t>B331</t>
        </is>
      </c>
      <c r="C617" s="84" t="inlineStr">
        <is>
          <t>上海区域</t>
        </is>
      </c>
      <c r="D617" s="84" t="inlineStr">
        <is>
          <t>CN0Q</t>
        </is>
      </c>
      <c r="E617" s="80" t="inlineStr">
        <is>
          <t>EE 苏州比斯特</t>
        </is>
      </c>
      <c r="F617" s="84" t="n">
        <v>4</v>
      </c>
      <c r="G617" s="84" t="inlineStr">
        <is>
          <t>奥特莱斯</t>
        </is>
      </c>
      <c r="H617" s="84" t="inlineStr">
        <is>
          <t>EELAG12B04</t>
        </is>
      </c>
      <c r="I617" s="84" t="n">
        <v>599</v>
      </c>
      <c r="J617" s="84" t="n">
        <v>599</v>
      </c>
      <c r="K617" s="85" t="n"/>
      <c r="L617" s="85" t="n"/>
    </row>
    <row r="618" ht="12.75" customHeight="1" s="103">
      <c r="A618" s="78">
        <f>MID(H618,3,2)</f>
        <v/>
      </c>
      <c r="B618" s="84" t="inlineStr">
        <is>
          <t>B331</t>
        </is>
      </c>
      <c r="C618" s="84" t="inlineStr">
        <is>
          <t>上海区域</t>
        </is>
      </c>
      <c r="D618" s="84" t="inlineStr">
        <is>
          <t>CN0Q</t>
        </is>
      </c>
      <c r="E618" s="80" t="inlineStr">
        <is>
          <t>EE 苏州比斯特</t>
        </is>
      </c>
      <c r="F618" s="84" t="n">
        <v>4</v>
      </c>
      <c r="G618" s="84" t="inlineStr">
        <is>
          <t>奥特莱斯</t>
        </is>
      </c>
      <c r="H618" s="84" t="inlineStr">
        <is>
          <t>EELAG12B04</t>
        </is>
      </c>
      <c r="I618" s="84" t="n">
        <v>599</v>
      </c>
      <c r="J618" s="84" t="n">
        <v>599</v>
      </c>
      <c r="K618" s="85" t="n"/>
      <c r="L618" s="85" t="n"/>
    </row>
    <row r="619" ht="12.75" customHeight="1" s="103">
      <c r="A619" s="78">
        <f>MID(H619,3,2)</f>
        <v/>
      </c>
      <c r="B619" s="84" t="inlineStr">
        <is>
          <t>B331</t>
        </is>
      </c>
      <c r="C619" s="84" t="inlineStr">
        <is>
          <t>上海区域</t>
        </is>
      </c>
      <c r="D619" s="84" t="inlineStr">
        <is>
          <t>CN0Q</t>
        </is>
      </c>
      <c r="E619" s="80" t="inlineStr">
        <is>
          <t>EE 苏州比斯特</t>
        </is>
      </c>
      <c r="F619" s="84" t="n">
        <v>4</v>
      </c>
      <c r="G619" s="84" t="inlineStr">
        <is>
          <t>奥特莱斯</t>
        </is>
      </c>
      <c r="H619" s="84" t="inlineStr">
        <is>
          <t>EELAG12D1G</t>
        </is>
      </c>
      <c r="I619" s="84" t="n">
        <v>799</v>
      </c>
      <c r="J619" s="84" t="n">
        <v>799</v>
      </c>
      <c r="K619" s="85" t="n"/>
      <c r="L619" s="85" t="n"/>
    </row>
    <row r="620" ht="12.75" customHeight="1" s="103">
      <c r="A620" s="78">
        <f>MID(H620,3,2)</f>
        <v/>
      </c>
      <c r="B620" s="84" t="inlineStr">
        <is>
          <t>B331</t>
        </is>
      </c>
      <c r="C620" s="84" t="inlineStr">
        <is>
          <t>上海区域</t>
        </is>
      </c>
      <c r="D620" s="84" t="inlineStr">
        <is>
          <t>CN0Q</t>
        </is>
      </c>
      <c r="E620" s="80" t="inlineStr">
        <is>
          <t>EE 苏州比斯特</t>
        </is>
      </c>
      <c r="F620" s="84" t="n">
        <v>4</v>
      </c>
      <c r="G620" s="84" t="inlineStr">
        <is>
          <t>奥特莱斯</t>
        </is>
      </c>
      <c r="H620" s="84" t="inlineStr">
        <is>
          <t>EELAG12D1G</t>
        </is>
      </c>
      <c r="I620" s="84" t="n">
        <v>799</v>
      </c>
      <c r="J620" s="84" t="n">
        <v>799</v>
      </c>
      <c r="K620" s="85" t="n"/>
      <c r="L620" s="85" t="n"/>
    </row>
    <row r="621" ht="12.75" customHeight="1" s="103">
      <c r="A621" s="78">
        <f>MID(H621,3,2)</f>
        <v/>
      </c>
      <c r="B621" s="84" t="inlineStr">
        <is>
          <t>B331</t>
        </is>
      </c>
      <c r="C621" s="84" t="inlineStr">
        <is>
          <t>上海区域</t>
        </is>
      </c>
      <c r="D621" s="84" t="inlineStr">
        <is>
          <t>CN0Q</t>
        </is>
      </c>
      <c r="E621" s="80" t="inlineStr">
        <is>
          <t>EE 苏州比斯特</t>
        </is>
      </c>
      <c r="F621" s="84" t="n">
        <v>4</v>
      </c>
      <c r="G621" s="84" t="inlineStr">
        <is>
          <t>奥特莱斯</t>
        </is>
      </c>
      <c r="H621" s="84" t="inlineStr">
        <is>
          <t>EELAG12D1G</t>
        </is>
      </c>
      <c r="I621" s="84" t="n">
        <v>799</v>
      </c>
      <c r="J621" s="84" t="n">
        <v>799</v>
      </c>
      <c r="K621" s="85" t="n"/>
      <c r="L621" s="85" t="n"/>
    </row>
    <row r="622" ht="12.75" customHeight="1" s="103">
      <c r="A622" s="78">
        <f>MID(H622,3,2)</f>
        <v/>
      </c>
      <c r="B622" s="84" t="inlineStr">
        <is>
          <t>B331</t>
        </is>
      </c>
      <c r="C622" s="84" t="inlineStr">
        <is>
          <t>上海区域</t>
        </is>
      </c>
      <c r="D622" s="84" t="inlineStr">
        <is>
          <t>CN0Q</t>
        </is>
      </c>
      <c r="E622" s="80" t="inlineStr">
        <is>
          <t>EE 苏州比斯特</t>
        </is>
      </c>
      <c r="F622" s="84" t="n">
        <v>4</v>
      </c>
      <c r="G622" s="84" t="inlineStr">
        <is>
          <t>奥特莱斯</t>
        </is>
      </c>
      <c r="H622" s="84" t="inlineStr">
        <is>
          <t>EELAG12D2G</t>
        </is>
      </c>
      <c r="I622" s="84" t="n">
        <v>799</v>
      </c>
      <c r="J622" s="84" t="n">
        <v>799</v>
      </c>
      <c r="K622" s="85" t="n"/>
      <c r="L622" s="85" t="n"/>
    </row>
    <row r="623" ht="12.75" customHeight="1" s="103">
      <c r="A623" s="78">
        <f>MID(H623,3,2)</f>
        <v/>
      </c>
      <c r="B623" s="84" t="inlineStr">
        <is>
          <t>B331</t>
        </is>
      </c>
      <c r="C623" s="84" t="inlineStr">
        <is>
          <t>上海区域</t>
        </is>
      </c>
      <c r="D623" s="84" t="inlineStr">
        <is>
          <t>CN0Q</t>
        </is>
      </c>
      <c r="E623" s="80" t="inlineStr">
        <is>
          <t>EE 苏州比斯特</t>
        </is>
      </c>
      <c r="F623" s="84" t="n">
        <v>4</v>
      </c>
      <c r="G623" s="84" t="inlineStr">
        <is>
          <t>奥特莱斯</t>
        </is>
      </c>
      <c r="H623" s="84" t="inlineStr">
        <is>
          <t>EELAG12D2G</t>
        </is>
      </c>
      <c r="I623" s="84" t="n">
        <v>799</v>
      </c>
      <c r="J623" s="84" t="n">
        <v>799</v>
      </c>
      <c r="K623" s="85" t="n"/>
      <c r="L623" s="85" t="n"/>
    </row>
    <row r="624" ht="12.75" customHeight="1" s="103">
      <c r="A624" s="78">
        <f>MID(H624,3,2)</f>
        <v/>
      </c>
      <c r="B624" s="84" t="inlineStr">
        <is>
          <t>B331</t>
        </is>
      </c>
      <c r="C624" s="84" t="inlineStr">
        <is>
          <t>上海区域</t>
        </is>
      </c>
      <c r="D624" s="84" t="inlineStr">
        <is>
          <t>CN0Q</t>
        </is>
      </c>
      <c r="E624" s="80" t="inlineStr">
        <is>
          <t>EE 苏州比斯特</t>
        </is>
      </c>
      <c r="F624" s="84" t="n">
        <v>4</v>
      </c>
      <c r="G624" s="84" t="inlineStr">
        <is>
          <t>奥特莱斯</t>
        </is>
      </c>
      <c r="H624" s="84" t="inlineStr">
        <is>
          <t>EELAG12D2G</t>
        </is>
      </c>
      <c r="I624" s="84" t="n">
        <v>799</v>
      </c>
      <c r="J624" s="84" t="n">
        <v>799</v>
      </c>
      <c r="K624" s="85" t="n"/>
      <c r="L624" s="85" t="n"/>
    </row>
    <row r="625" ht="12.75" customHeight="1" s="103">
      <c r="A625" s="78">
        <f>MID(H625,3,2)</f>
        <v/>
      </c>
      <c r="B625" s="84" t="inlineStr">
        <is>
          <t>B331</t>
        </is>
      </c>
      <c r="C625" s="84" t="inlineStr">
        <is>
          <t>上海区域</t>
        </is>
      </c>
      <c r="D625" s="84" t="inlineStr">
        <is>
          <t>CN0Q</t>
        </is>
      </c>
      <c r="E625" s="80" t="inlineStr">
        <is>
          <t>EE 苏州比斯特</t>
        </is>
      </c>
      <c r="F625" s="84" t="n">
        <v>4</v>
      </c>
      <c r="G625" s="84" t="inlineStr">
        <is>
          <t>奥特莱斯</t>
        </is>
      </c>
      <c r="H625" s="84" t="inlineStr">
        <is>
          <t>EELAG23E01</t>
        </is>
      </c>
      <c r="I625" s="84" t="n">
        <v>799</v>
      </c>
      <c r="J625" s="84" t="n">
        <v>699</v>
      </c>
      <c r="K625" s="85" t="n">
        <v>2</v>
      </c>
      <c r="L625" s="85" t="n">
        <v>666</v>
      </c>
    </row>
    <row r="626" ht="12.75" customHeight="1" s="103">
      <c r="A626" s="78">
        <f>MID(H626,3,2)</f>
        <v/>
      </c>
      <c r="B626" s="84" t="inlineStr">
        <is>
          <t>B331</t>
        </is>
      </c>
      <c r="C626" s="84" t="inlineStr">
        <is>
          <t>上海区域</t>
        </is>
      </c>
      <c r="D626" s="84" t="inlineStr">
        <is>
          <t>CN0Q</t>
        </is>
      </c>
      <c r="E626" s="80" t="inlineStr">
        <is>
          <t>EE 苏州比斯特</t>
        </is>
      </c>
      <c r="F626" s="84" t="n">
        <v>4</v>
      </c>
      <c r="G626" s="84" t="inlineStr">
        <is>
          <t>奥特莱斯</t>
        </is>
      </c>
      <c r="H626" s="84" t="inlineStr">
        <is>
          <t>EELAG23E01</t>
        </is>
      </c>
      <c r="I626" s="84" t="n">
        <v>799</v>
      </c>
      <c r="J626" s="84" t="n">
        <v>699</v>
      </c>
      <c r="K626" s="85" t="n">
        <v>2</v>
      </c>
      <c r="L626" s="85" t="n">
        <v>901</v>
      </c>
    </row>
    <row r="627" ht="12.75" customHeight="1" s="103">
      <c r="A627" s="78">
        <f>MID(H627,3,2)</f>
        <v/>
      </c>
      <c r="B627" s="84" t="inlineStr">
        <is>
          <t>B331</t>
        </is>
      </c>
      <c r="C627" s="84" t="inlineStr">
        <is>
          <t>上海区域</t>
        </is>
      </c>
      <c r="D627" s="84" t="inlineStr">
        <is>
          <t>CN0Q</t>
        </is>
      </c>
      <c r="E627" s="80" t="inlineStr">
        <is>
          <t>EE 苏州比斯特</t>
        </is>
      </c>
      <c r="F627" s="84" t="n">
        <v>4</v>
      </c>
      <c r="G627" s="84" t="inlineStr">
        <is>
          <t>奥特莱斯</t>
        </is>
      </c>
      <c r="H627" s="84" t="inlineStr">
        <is>
          <t>EELAG23E01</t>
        </is>
      </c>
      <c r="I627" s="84" t="n">
        <v>799</v>
      </c>
      <c r="J627" s="84" t="n">
        <v>699</v>
      </c>
      <c r="K627" s="85" t="n">
        <v>2</v>
      </c>
      <c r="L627" s="85" t="n">
        <v>944</v>
      </c>
    </row>
    <row r="628" ht="12.75" customHeight="1" s="103">
      <c r="A628" s="78">
        <f>MID(H628,3,2)</f>
        <v/>
      </c>
      <c r="B628" s="84" t="inlineStr">
        <is>
          <t>B331</t>
        </is>
      </c>
      <c r="C628" s="84" t="inlineStr">
        <is>
          <t>上海区域</t>
        </is>
      </c>
      <c r="D628" s="84" t="inlineStr">
        <is>
          <t>CN0Q</t>
        </is>
      </c>
      <c r="E628" s="80" t="inlineStr">
        <is>
          <t>EE 苏州比斯特</t>
        </is>
      </c>
      <c r="F628" s="84" t="n">
        <v>4</v>
      </c>
      <c r="G628" s="84" t="inlineStr">
        <is>
          <t>奥特莱斯</t>
        </is>
      </c>
      <c r="H628" s="84" t="inlineStr">
        <is>
          <t>EELAG23E01</t>
        </is>
      </c>
      <c r="I628" s="84" t="n">
        <v>799</v>
      </c>
      <c r="J628" s="84" t="n">
        <v>699</v>
      </c>
      <c r="K628" s="85" t="n">
        <v>1</v>
      </c>
      <c r="L628" s="85" t="n">
        <v>441</v>
      </c>
    </row>
    <row r="629" ht="12.75" customHeight="1" s="103">
      <c r="A629" s="78">
        <f>MID(H629,3,2)</f>
        <v/>
      </c>
      <c r="B629" s="84" t="inlineStr">
        <is>
          <t>B331</t>
        </is>
      </c>
      <c r="C629" s="84" t="inlineStr">
        <is>
          <t>上海区域</t>
        </is>
      </c>
      <c r="D629" s="84" t="inlineStr">
        <is>
          <t>CN0Q</t>
        </is>
      </c>
      <c r="E629" s="80" t="inlineStr">
        <is>
          <t>EE 苏州比斯特</t>
        </is>
      </c>
      <c r="F629" s="84" t="n">
        <v>4</v>
      </c>
      <c r="G629" s="84" t="inlineStr">
        <is>
          <t>奥特莱斯</t>
        </is>
      </c>
      <c r="H629" s="84" t="inlineStr">
        <is>
          <t>EELAG23E01</t>
        </is>
      </c>
      <c r="I629" s="84" t="n">
        <v>799</v>
      </c>
      <c r="J629" s="84" t="n">
        <v>699</v>
      </c>
      <c r="K629" s="85" t="n">
        <v>2</v>
      </c>
      <c r="L629" s="85" t="n">
        <v>899</v>
      </c>
    </row>
    <row r="630" ht="12.75" customHeight="1" s="103">
      <c r="A630" s="78">
        <f>MID(H630,3,2)</f>
        <v/>
      </c>
      <c r="B630" s="84" t="inlineStr">
        <is>
          <t>B331</t>
        </is>
      </c>
      <c r="C630" s="84" t="inlineStr">
        <is>
          <t>上海区域</t>
        </is>
      </c>
      <c r="D630" s="84" t="inlineStr">
        <is>
          <t>CN0Q</t>
        </is>
      </c>
      <c r="E630" s="80" t="inlineStr">
        <is>
          <t>EE 苏州比斯特</t>
        </is>
      </c>
      <c r="F630" s="84" t="n">
        <v>4</v>
      </c>
      <c r="G630" s="84" t="inlineStr">
        <is>
          <t>奥特莱斯</t>
        </is>
      </c>
      <c r="H630" s="84" t="inlineStr">
        <is>
          <t>EELAG23E01</t>
        </is>
      </c>
      <c r="I630" s="84" t="n">
        <v>799</v>
      </c>
      <c r="J630" s="84" t="n">
        <v>699</v>
      </c>
      <c r="K630" s="85" t="n"/>
      <c r="L630" s="85" t="n"/>
    </row>
    <row r="631" ht="12.75" customHeight="1" s="103">
      <c r="A631" s="78">
        <f>MID(H631,3,2)</f>
        <v/>
      </c>
      <c r="B631" s="84" t="inlineStr">
        <is>
          <t>B331</t>
        </is>
      </c>
      <c r="C631" s="84" t="inlineStr">
        <is>
          <t>上海区域</t>
        </is>
      </c>
      <c r="D631" s="84" t="inlineStr">
        <is>
          <t>CN0Q</t>
        </is>
      </c>
      <c r="E631" s="80" t="inlineStr">
        <is>
          <t>EE 苏州比斯特</t>
        </is>
      </c>
      <c r="F631" s="84" t="n">
        <v>4</v>
      </c>
      <c r="G631" s="84" t="inlineStr">
        <is>
          <t>奥特莱斯</t>
        </is>
      </c>
      <c r="H631" s="84" t="inlineStr">
        <is>
          <t>EELAG23E01</t>
        </is>
      </c>
      <c r="I631" s="84" t="n">
        <v>799</v>
      </c>
      <c r="J631" s="84" t="n">
        <v>699</v>
      </c>
      <c r="K631" s="85" t="n">
        <v>1</v>
      </c>
      <c r="L631" s="85" t="n">
        <v>448</v>
      </c>
    </row>
    <row r="632" ht="12.75" customHeight="1" s="103">
      <c r="A632" s="78">
        <f>MID(H632,3,2)</f>
        <v/>
      </c>
      <c r="B632" s="84" t="inlineStr">
        <is>
          <t>B331</t>
        </is>
      </c>
      <c r="C632" s="84" t="inlineStr">
        <is>
          <t>上海区域</t>
        </is>
      </c>
      <c r="D632" s="84" t="inlineStr">
        <is>
          <t>CN0Q</t>
        </is>
      </c>
      <c r="E632" s="80" t="inlineStr">
        <is>
          <t>EE 苏州比斯特</t>
        </is>
      </c>
      <c r="F632" s="84" t="n">
        <v>4</v>
      </c>
      <c r="G632" s="84" t="inlineStr">
        <is>
          <t>奥特莱斯</t>
        </is>
      </c>
      <c r="H632" s="84" t="inlineStr">
        <is>
          <t>EELAG23E01</t>
        </is>
      </c>
      <c r="I632" s="84" t="n">
        <v>799</v>
      </c>
      <c r="J632" s="84" t="n">
        <v>699</v>
      </c>
      <c r="K632" s="85" t="n">
        <v>1</v>
      </c>
      <c r="L632" s="85" t="n">
        <v>489</v>
      </c>
    </row>
    <row r="633" ht="12.75" customHeight="1" s="103">
      <c r="A633" s="78">
        <f>MID(H633,3,2)</f>
        <v/>
      </c>
      <c r="B633" s="84" t="inlineStr">
        <is>
          <t>B331</t>
        </is>
      </c>
      <c r="C633" s="84" t="inlineStr">
        <is>
          <t>上海区域</t>
        </is>
      </c>
      <c r="D633" s="84" t="inlineStr">
        <is>
          <t>CN0Q</t>
        </is>
      </c>
      <c r="E633" s="80" t="inlineStr">
        <is>
          <t>EE 苏州比斯特</t>
        </is>
      </c>
      <c r="F633" s="84" t="n">
        <v>4</v>
      </c>
      <c r="G633" s="84" t="inlineStr">
        <is>
          <t>奥特莱斯</t>
        </is>
      </c>
      <c r="H633" s="84" t="inlineStr">
        <is>
          <t>EELAG23E01</t>
        </is>
      </c>
      <c r="I633" s="84" t="n">
        <v>799</v>
      </c>
      <c r="J633" s="84" t="n">
        <v>699</v>
      </c>
      <c r="K633" s="85" t="n">
        <v>1</v>
      </c>
      <c r="L633" s="85" t="n"/>
    </row>
    <row r="634" ht="12.75" customHeight="1" s="103">
      <c r="A634" s="78">
        <f>MID(H634,3,2)</f>
        <v/>
      </c>
      <c r="B634" s="84" t="inlineStr">
        <is>
          <t>B331</t>
        </is>
      </c>
      <c r="C634" s="84" t="inlineStr">
        <is>
          <t>上海区域</t>
        </is>
      </c>
      <c r="D634" s="84" t="inlineStr">
        <is>
          <t>CN0Q</t>
        </is>
      </c>
      <c r="E634" s="80" t="inlineStr">
        <is>
          <t>EE 苏州比斯特</t>
        </is>
      </c>
      <c r="F634" s="84" t="n">
        <v>4</v>
      </c>
      <c r="G634" s="84" t="inlineStr">
        <is>
          <t>奥特莱斯</t>
        </is>
      </c>
      <c r="H634" s="84" t="inlineStr">
        <is>
          <t>EELAG64S01</t>
        </is>
      </c>
      <c r="I634" s="84" t="n">
        <v>599</v>
      </c>
      <c r="J634" s="84" t="n">
        <v>599</v>
      </c>
      <c r="K634" s="85" t="n">
        <v>4</v>
      </c>
      <c r="L634" s="85" t="n">
        <v>573</v>
      </c>
    </row>
    <row r="635" ht="12.75" customHeight="1" s="103">
      <c r="A635" s="78">
        <f>MID(H635,3,2)</f>
        <v/>
      </c>
      <c r="B635" s="84" t="inlineStr">
        <is>
          <t>B331</t>
        </is>
      </c>
      <c r="C635" s="84" t="inlineStr">
        <is>
          <t>上海区域</t>
        </is>
      </c>
      <c r="D635" s="84" t="inlineStr">
        <is>
          <t>CN0Q</t>
        </is>
      </c>
      <c r="E635" s="80" t="inlineStr">
        <is>
          <t>EE 苏州比斯特</t>
        </is>
      </c>
      <c r="F635" s="84" t="n">
        <v>4</v>
      </c>
      <c r="G635" s="84" t="inlineStr">
        <is>
          <t>奥特莱斯</t>
        </is>
      </c>
      <c r="H635" s="84" t="inlineStr">
        <is>
          <t>EELAG64S01</t>
        </is>
      </c>
      <c r="I635" s="84" t="n">
        <v>599</v>
      </c>
      <c r="J635" s="84" t="n">
        <v>599</v>
      </c>
      <c r="K635" s="85" t="n">
        <v>5</v>
      </c>
      <c r="L635" s="86" t="n">
        <v>1395</v>
      </c>
    </row>
    <row r="636" ht="12.75" customHeight="1" s="103">
      <c r="A636" s="78">
        <f>MID(H636,3,2)</f>
        <v/>
      </c>
      <c r="B636" s="84" t="inlineStr">
        <is>
          <t>B331</t>
        </is>
      </c>
      <c r="C636" s="84" t="inlineStr">
        <is>
          <t>上海区域</t>
        </is>
      </c>
      <c r="D636" s="84" t="inlineStr">
        <is>
          <t>CN0Q</t>
        </is>
      </c>
      <c r="E636" s="80" t="inlineStr">
        <is>
          <t>EE 苏州比斯特</t>
        </is>
      </c>
      <c r="F636" s="84" t="n">
        <v>4</v>
      </c>
      <c r="G636" s="84" t="inlineStr">
        <is>
          <t>奥特莱斯</t>
        </is>
      </c>
      <c r="H636" s="84" t="inlineStr">
        <is>
          <t>EELAG64S01</t>
        </is>
      </c>
      <c r="I636" s="84" t="n">
        <v>599</v>
      </c>
      <c r="J636" s="84" t="n">
        <v>599</v>
      </c>
      <c r="K636" s="85" t="n">
        <v>2</v>
      </c>
      <c r="L636" s="85" t="n">
        <v>545</v>
      </c>
    </row>
    <row r="637" ht="12.75" customHeight="1" s="103">
      <c r="A637" s="78">
        <f>MID(H637,3,2)</f>
        <v/>
      </c>
      <c r="B637" s="84" t="inlineStr">
        <is>
          <t>B331</t>
        </is>
      </c>
      <c r="C637" s="84" t="inlineStr">
        <is>
          <t>上海区域</t>
        </is>
      </c>
      <c r="D637" s="84" t="inlineStr">
        <is>
          <t>CN0Q</t>
        </is>
      </c>
      <c r="E637" s="80" t="inlineStr">
        <is>
          <t>EE 苏州比斯特</t>
        </is>
      </c>
      <c r="F637" s="84" t="n">
        <v>4</v>
      </c>
      <c r="G637" s="84" t="inlineStr">
        <is>
          <t>奥特莱斯</t>
        </is>
      </c>
      <c r="H637" s="84" t="inlineStr">
        <is>
          <t>EEMTG12B1G</t>
        </is>
      </c>
      <c r="I637" s="84" t="n">
        <v>699</v>
      </c>
      <c r="J637" s="84" t="n">
        <v>699</v>
      </c>
      <c r="K637" s="85" t="n"/>
      <c r="L637" s="85" t="n"/>
    </row>
    <row r="638" ht="12.75" customHeight="1" s="103">
      <c r="A638" s="78">
        <f>MID(H638,3,2)</f>
        <v/>
      </c>
      <c r="B638" s="84" t="inlineStr">
        <is>
          <t>B331</t>
        </is>
      </c>
      <c r="C638" s="84" t="inlineStr">
        <is>
          <t>上海区域</t>
        </is>
      </c>
      <c r="D638" s="84" t="inlineStr">
        <is>
          <t>CN0Q</t>
        </is>
      </c>
      <c r="E638" s="80" t="inlineStr">
        <is>
          <t>EE 苏州比斯特</t>
        </is>
      </c>
      <c r="F638" s="84" t="n">
        <v>4</v>
      </c>
      <c r="G638" s="84" t="inlineStr">
        <is>
          <t>奥特莱斯</t>
        </is>
      </c>
      <c r="H638" s="84" t="inlineStr">
        <is>
          <t>EEMTG12B1G</t>
        </is>
      </c>
      <c r="I638" s="84" t="n">
        <v>699</v>
      </c>
      <c r="J638" s="84" t="n">
        <v>699</v>
      </c>
      <c r="K638" s="85" t="n"/>
      <c r="L638" s="85" t="n"/>
    </row>
    <row r="639" ht="12.75" customHeight="1" s="103">
      <c r="A639" s="78">
        <f>MID(H639,3,2)</f>
        <v/>
      </c>
      <c r="B639" s="84" t="inlineStr">
        <is>
          <t>B331</t>
        </is>
      </c>
      <c r="C639" s="84" t="inlineStr">
        <is>
          <t>上海区域</t>
        </is>
      </c>
      <c r="D639" s="84" t="inlineStr">
        <is>
          <t>CN0Q</t>
        </is>
      </c>
      <c r="E639" s="80" t="inlineStr">
        <is>
          <t>EE 苏州比斯特</t>
        </is>
      </c>
      <c r="F639" s="84" t="n">
        <v>4</v>
      </c>
      <c r="G639" s="84" t="inlineStr">
        <is>
          <t>奥特莱斯</t>
        </is>
      </c>
      <c r="H639" s="84" t="inlineStr">
        <is>
          <t>EEMTG12B1G</t>
        </is>
      </c>
      <c r="I639" s="84" t="n">
        <v>699</v>
      </c>
      <c r="J639" s="84" t="n">
        <v>699</v>
      </c>
      <c r="K639" s="85" t="n"/>
      <c r="L639" s="85" t="n"/>
    </row>
    <row r="640" ht="12.75" customHeight="1" s="103">
      <c r="A640" s="78">
        <f>MID(H640,3,2)</f>
        <v/>
      </c>
      <c r="B640" s="84" t="inlineStr">
        <is>
          <t>B331</t>
        </is>
      </c>
      <c r="C640" s="84" t="inlineStr">
        <is>
          <t>上海区域</t>
        </is>
      </c>
      <c r="D640" s="84" t="inlineStr">
        <is>
          <t>CN0Q</t>
        </is>
      </c>
      <c r="E640" s="80" t="inlineStr">
        <is>
          <t>EE 苏州比斯特</t>
        </is>
      </c>
      <c r="F640" s="84" t="n">
        <v>4</v>
      </c>
      <c r="G640" s="84" t="inlineStr">
        <is>
          <t>奥特莱斯</t>
        </is>
      </c>
      <c r="H640" s="84" t="inlineStr">
        <is>
          <t>EEMTG12B1G</t>
        </is>
      </c>
      <c r="I640" s="84" t="n">
        <v>699</v>
      </c>
      <c r="J640" s="84" t="n">
        <v>699</v>
      </c>
      <c r="K640" s="85" t="n"/>
      <c r="L640" s="85" t="n"/>
    </row>
    <row r="641" ht="12.75" customHeight="1" s="103">
      <c r="A641" s="78">
        <f>MID(H641,3,2)</f>
        <v/>
      </c>
      <c r="B641" s="84" t="inlineStr">
        <is>
          <t>B331</t>
        </is>
      </c>
      <c r="C641" s="84" t="inlineStr">
        <is>
          <t>上海区域</t>
        </is>
      </c>
      <c r="D641" s="84" t="inlineStr">
        <is>
          <t>CN0Q</t>
        </is>
      </c>
      <c r="E641" s="80" t="inlineStr">
        <is>
          <t>EE 苏州比斯特</t>
        </is>
      </c>
      <c r="F641" s="84" t="n">
        <v>4</v>
      </c>
      <c r="G641" s="84" t="inlineStr">
        <is>
          <t>奥特莱斯</t>
        </is>
      </c>
      <c r="H641" s="84" t="inlineStr">
        <is>
          <t>EEMTG12B1G</t>
        </is>
      </c>
      <c r="I641" s="84" t="n">
        <v>699</v>
      </c>
      <c r="J641" s="84" t="n">
        <v>699</v>
      </c>
      <c r="K641" s="85" t="n"/>
      <c r="L641" s="85" t="n"/>
    </row>
    <row r="642" ht="12.75" customHeight="1" s="103">
      <c r="A642" s="78">
        <f>MID(H642,3,2)</f>
        <v/>
      </c>
      <c r="B642" s="84" t="inlineStr">
        <is>
          <t>B331</t>
        </is>
      </c>
      <c r="C642" s="84" t="inlineStr">
        <is>
          <t>上海区域</t>
        </is>
      </c>
      <c r="D642" s="84" t="inlineStr">
        <is>
          <t>CN0Q</t>
        </is>
      </c>
      <c r="E642" s="80" t="inlineStr">
        <is>
          <t>EE 苏州比斯特</t>
        </is>
      </c>
      <c r="F642" s="84" t="n">
        <v>4</v>
      </c>
      <c r="G642" s="84" t="inlineStr">
        <is>
          <t>奥特莱斯</t>
        </is>
      </c>
      <c r="H642" s="84" t="inlineStr">
        <is>
          <t>EEMTG12B1G</t>
        </is>
      </c>
      <c r="I642" s="84" t="n">
        <v>699</v>
      </c>
      <c r="J642" s="84" t="n">
        <v>699</v>
      </c>
      <c r="K642" s="85" t="n"/>
      <c r="L642" s="85" t="n"/>
    </row>
    <row r="643" ht="12.75" customHeight="1" s="103">
      <c r="A643" s="78">
        <f>MID(H643,3,2)</f>
        <v/>
      </c>
      <c r="B643" s="84" t="inlineStr">
        <is>
          <t>B331</t>
        </is>
      </c>
      <c r="C643" s="84" t="inlineStr">
        <is>
          <t>上海区域</t>
        </is>
      </c>
      <c r="D643" s="84" t="inlineStr">
        <is>
          <t>CN0Q</t>
        </is>
      </c>
      <c r="E643" s="80" t="inlineStr">
        <is>
          <t>EE 苏州比斯特</t>
        </is>
      </c>
      <c r="F643" s="84" t="n">
        <v>4</v>
      </c>
      <c r="G643" s="84" t="inlineStr">
        <is>
          <t>奥特莱斯</t>
        </is>
      </c>
      <c r="H643" s="84" t="inlineStr">
        <is>
          <t>EEMTG12E01</t>
        </is>
      </c>
      <c r="I643" s="84" t="n">
        <v>999</v>
      </c>
      <c r="J643" s="84" t="n">
        <v>899</v>
      </c>
      <c r="K643" s="85" t="n"/>
      <c r="L643" s="85" t="n"/>
    </row>
    <row r="644" ht="12.75" customHeight="1" s="103">
      <c r="A644" s="78">
        <f>MID(H644,3,2)</f>
        <v/>
      </c>
      <c r="B644" s="84" t="inlineStr">
        <is>
          <t>B331</t>
        </is>
      </c>
      <c r="C644" s="84" t="inlineStr">
        <is>
          <t>上海区域</t>
        </is>
      </c>
      <c r="D644" s="84" t="inlineStr">
        <is>
          <t>CN0Q</t>
        </is>
      </c>
      <c r="E644" s="80" t="inlineStr">
        <is>
          <t>EE 苏州比斯特</t>
        </is>
      </c>
      <c r="F644" s="84" t="n">
        <v>4</v>
      </c>
      <c r="G644" s="84" t="inlineStr">
        <is>
          <t>奥特莱斯</t>
        </is>
      </c>
      <c r="H644" s="84" t="inlineStr">
        <is>
          <t>EEMTG12E01</t>
        </is>
      </c>
      <c r="I644" s="84" t="n">
        <v>999</v>
      </c>
      <c r="J644" s="84" t="n">
        <v>899</v>
      </c>
      <c r="K644" s="85" t="n"/>
      <c r="L644" s="85" t="n"/>
    </row>
    <row r="645" ht="12.75" customHeight="1" s="103">
      <c r="A645" s="78">
        <f>MID(H645,3,2)</f>
        <v/>
      </c>
      <c r="B645" s="84" t="inlineStr">
        <is>
          <t>B331</t>
        </is>
      </c>
      <c r="C645" s="84" t="inlineStr">
        <is>
          <t>上海区域</t>
        </is>
      </c>
      <c r="D645" s="84" t="inlineStr">
        <is>
          <t>CN0Q</t>
        </is>
      </c>
      <c r="E645" s="80" t="inlineStr">
        <is>
          <t>EE 苏州比斯特</t>
        </is>
      </c>
      <c r="F645" s="84" t="n">
        <v>4</v>
      </c>
      <c r="G645" s="84" t="inlineStr">
        <is>
          <t>奥特莱斯</t>
        </is>
      </c>
      <c r="H645" s="84" t="inlineStr">
        <is>
          <t>EEMTG23Q1G</t>
        </is>
      </c>
      <c r="I645" s="84" t="n">
        <v>799</v>
      </c>
      <c r="J645" s="84" t="n">
        <v>799</v>
      </c>
      <c r="K645" s="85" t="n"/>
      <c r="L645" s="85" t="n"/>
    </row>
    <row r="646" ht="12.75" customHeight="1" s="103">
      <c r="A646" s="78">
        <f>MID(H646,3,2)</f>
        <v/>
      </c>
      <c r="B646" s="84" t="inlineStr">
        <is>
          <t>B331</t>
        </is>
      </c>
      <c r="C646" s="84" t="inlineStr">
        <is>
          <t>上海区域</t>
        </is>
      </c>
      <c r="D646" s="84" t="inlineStr">
        <is>
          <t>CN0Q</t>
        </is>
      </c>
      <c r="E646" s="80" t="inlineStr">
        <is>
          <t>EE 苏州比斯特</t>
        </is>
      </c>
      <c r="F646" s="84" t="n">
        <v>4</v>
      </c>
      <c r="G646" s="84" t="inlineStr">
        <is>
          <t>奥特莱斯</t>
        </is>
      </c>
      <c r="H646" s="84" t="inlineStr">
        <is>
          <t>EEMTG23Q1G</t>
        </is>
      </c>
      <c r="I646" s="84" t="n">
        <v>799</v>
      </c>
      <c r="J646" s="84" t="n">
        <v>799</v>
      </c>
      <c r="K646" s="85" t="n"/>
      <c r="L646" s="85" t="n"/>
    </row>
    <row r="647" ht="12.75" customHeight="1" s="103">
      <c r="A647" s="78">
        <f>MID(H647,3,2)</f>
        <v/>
      </c>
      <c r="B647" s="84" t="inlineStr">
        <is>
          <t>B331</t>
        </is>
      </c>
      <c r="C647" s="84" t="inlineStr">
        <is>
          <t>上海区域</t>
        </is>
      </c>
      <c r="D647" s="84" t="inlineStr">
        <is>
          <t>CN0Q</t>
        </is>
      </c>
      <c r="E647" s="80" t="inlineStr">
        <is>
          <t>EE 苏州比斯特</t>
        </is>
      </c>
      <c r="F647" s="84" t="n">
        <v>4</v>
      </c>
      <c r="G647" s="84" t="inlineStr">
        <is>
          <t>奥特莱斯</t>
        </is>
      </c>
      <c r="H647" s="84" t="inlineStr">
        <is>
          <t>EEMTG23Q1G</t>
        </is>
      </c>
      <c r="I647" s="84" t="n">
        <v>799</v>
      </c>
      <c r="J647" s="84" t="n">
        <v>799</v>
      </c>
      <c r="K647" s="85" t="n"/>
      <c r="L647" s="85" t="n"/>
    </row>
    <row r="648" ht="12.75" customHeight="1" s="103">
      <c r="A648" s="78">
        <f>MID(H648,3,2)</f>
        <v/>
      </c>
      <c r="B648" s="84" t="inlineStr">
        <is>
          <t>B331</t>
        </is>
      </c>
      <c r="C648" s="84" t="inlineStr">
        <is>
          <t>上海区域</t>
        </is>
      </c>
      <c r="D648" s="84" t="inlineStr">
        <is>
          <t>CN0Q</t>
        </is>
      </c>
      <c r="E648" s="80" t="inlineStr">
        <is>
          <t>EE 苏州比斯特</t>
        </is>
      </c>
      <c r="F648" s="84" t="n">
        <v>4</v>
      </c>
      <c r="G648" s="84" t="inlineStr">
        <is>
          <t>奥特莱斯</t>
        </is>
      </c>
      <c r="H648" s="84" t="inlineStr">
        <is>
          <t>EEMTG23Q1G</t>
        </is>
      </c>
      <c r="I648" s="84" t="n">
        <v>799</v>
      </c>
      <c r="J648" s="84" t="n">
        <v>799</v>
      </c>
      <c r="K648" s="85" t="n"/>
      <c r="L648" s="85" t="n"/>
    </row>
    <row r="649" ht="12.75" customHeight="1" s="103">
      <c r="A649" s="78">
        <f>MID(H649,3,2)</f>
        <v/>
      </c>
      <c r="B649" s="84" t="inlineStr">
        <is>
          <t>B331</t>
        </is>
      </c>
      <c r="C649" s="84" t="inlineStr">
        <is>
          <t>上海区域</t>
        </is>
      </c>
      <c r="D649" s="84" t="inlineStr">
        <is>
          <t>CN0Q</t>
        </is>
      </c>
      <c r="E649" s="80" t="inlineStr">
        <is>
          <t>EE 苏州比斯特</t>
        </is>
      </c>
      <c r="F649" s="84" t="n">
        <v>4</v>
      </c>
      <c r="G649" s="84" t="inlineStr">
        <is>
          <t>奥特莱斯</t>
        </is>
      </c>
      <c r="H649" s="84" t="inlineStr">
        <is>
          <t>EEOJG23B01</t>
        </is>
      </c>
      <c r="I649" s="84" t="n">
        <v>1299</v>
      </c>
      <c r="J649" s="84" t="n">
        <v>1299</v>
      </c>
      <c r="K649" s="85" t="n"/>
      <c r="L649" s="85" t="n"/>
    </row>
    <row r="650" ht="12.75" customHeight="1" s="103">
      <c r="A650" s="78">
        <f>MID(H650,3,2)</f>
        <v/>
      </c>
      <c r="B650" s="84" t="inlineStr">
        <is>
          <t>B331</t>
        </is>
      </c>
      <c r="C650" s="84" t="inlineStr">
        <is>
          <t>上海区域</t>
        </is>
      </c>
      <c r="D650" s="84" t="inlineStr">
        <is>
          <t>CN0Q</t>
        </is>
      </c>
      <c r="E650" s="80" t="inlineStr">
        <is>
          <t>EE 苏州比斯特</t>
        </is>
      </c>
      <c r="F650" s="84" t="n">
        <v>4</v>
      </c>
      <c r="G650" s="84" t="inlineStr">
        <is>
          <t>奥特莱斯</t>
        </is>
      </c>
      <c r="H650" s="84" t="inlineStr">
        <is>
          <t>EEOJG23B01</t>
        </is>
      </c>
      <c r="I650" s="84" t="n">
        <v>1299</v>
      </c>
      <c r="J650" s="84" t="n">
        <v>1299</v>
      </c>
      <c r="K650" s="85" t="n">
        <v>2</v>
      </c>
      <c r="L650" s="86" t="n">
        <v>1757</v>
      </c>
    </row>
    <row r="651" ht="12.75" customHeight="1" s="103">
      <c r="A651" s="78">
        <f>MID(H651,3,2)</f>
        <v/>
      </c>
      <c r="B651" s="84" t="inlineStr">
        <is>
          <t>B331</t>
        </is>
      </c>
      <c r="C651" s="84" t="inlineStr">
        <is>
          <t>上海区域</t>
        </is>
      </c>
      <c r="D651" s="84" t="inlineStr">
        <is>
          <t>CN0Q</t>
        </is>
      </c>
      <c r="E651" s="80" t="inlineStr">
        <is>
          <t>EE 苏州比斯特</t>
        </is>
      </c>
      <c r="F651" s="84" t="n">
        <v>4</v>
      </c>
      <c r="G651" s="84" t="inlineStr">
        <is>
          <t>奥特莱斯</t>
        </is>
      </c>
      <c r="H651" s="84" t="inlineStr">
        <is>
          <t>EEOJG23B01</t>
        </is>
      </c>
      <c r="I651" s="84" t="n">
        <v>1299</v>
      </c>
      <c r="J651" s="84" t="n">
        <v>1299</v>
      </c>
      <c r="K651" s="85" t="n">
        <v>1</v>
      </c>
      <c r="L651" s="85" t="n"/>
    </row>
    <row r="652" ht="12.75" customHeight="1" s="103">
      <c r="A652" s="78">
        <f>MID(H652,3,2)</f>
        <v/>
      </c>
      <c r="B652" s="84" t="inlineStr">
        <is>
          <t>B331</t>
        </is>
      </c>
      <c r="C652" s="84" t="inlineStr">
        <is>
          <t>上海区域</t>
        </is>
      </c>
      <c r="D652" s="84" t="inlineStr">
        <is>
          <t>CN0Q</t>
        </is>
      </c>
      <c r="E652" s="80" t="inlineStr">
        <is>
          <t>EE 苏州比斯特</t>
        </is>
      </c>
      <c r="F652" s="84" t="n">
        <v>4</v>
      </c>
      <c r="G652" s="84" t="inlineStr">
        <is>
          <t>奥特莱斯</t>
        </is>
      </c>
      <c r="H652" s="84" t="inlineStr">
        <is>
          <t>EEOJG23B02</t>
        </is>
      </c>
      <c r="I652" s="84" t="n">
        <v>1299</v>
      </c>
      <c r="J652" s="84" t="n">
        <v>1299</v>
      </c>
      <c r="K652" s="85" t="n"/>
      <c r="L652" s="85" t="n"/>
    </row>
    <row r="653" ht="12.75" customHeight="1" s="103">
      <c r="A653" s="78">
        <f>MID(H653,3,2)</f>
        <v/>
      </c>
      <c r="B653" s="84" t="inlineStr">
        <is>
          <t>B331</t>
        </is>
      </c>
      <c r="C653" s="84" t="inlineStr">
        <is>
          <t>上海区域</t>
        </is>
      </c>
      <c r="D653" s="84" t="inlineStr">
        <is>
          <t>CN0Q</t>
        </is>
      </c>
      <c r="E653" s="80" t="inlineStr">
        <is>
          <t>EE 苏州比斯特</t>
        </is>
      </c>
      <c r="F653" s="84" t="n">
        <v>4</v>
      </c>
      <c r="G653" s="84" t="inlineStr">
        <is>
          <t>奥特莱斯</t>
        </is>
      </c>
      <c r="H653" s="84" t="inlineStr">
        <is>
          <t>EEOJG23B02</t>
        </is>
      </c>
      <c r="I653" s="84" t="n">
        <v>1299</v>
      </c>
      <c r="J653" s="84" t="n">
        <v>1299</v>
      </c>
      <c r="K653" s="85" t="n"/>
      <c r="L653" s="85" t="n"/>
    </row>
    <row r="654" ht="12.75" customHeight="1" s="103">
      <c r="A654" s="78">
        <f>MID(H654,3,2)</f>
        <v/>
      </c>
      <c r="B654" s="84" t="inlineStr">
        <is>
          <t>B331</t>
        </is>
      </c>
      <c r="C654" s="84" t="inlineStr">
        <is>
          <t>上海区域</t>
        </is>
      </c>
      <c r="D654" s="84" t="inlineStr">
        <is>
          <t>CN0Q</t>
        </is>
      </c>
      <c r="E654" s="80" t="inlineStr">
        <is>
          <t>EE 苏州比斯特</t>
        </is>
      </c>
      <c r="F654" s="84" t="n">
        <v>4</v>
      </c>
      <c r="G654" s="84" t="inlineStr">
        <is>
          <t>奥特莱斯</t>
        </is>
      </c>
      <c r="H654" s="84" t="inlineStr">
        <is>
          <t>EEOJG23B02</t>
        </is>
      </c>
      <c r="I654" s="84" t="n">
        <v>1299</v>
      </c>
      <c r="J654" s="84" t="n">
        <v>1299</v>
      </c>
      <c r="K654" s="85" t="n"/>
      <c r="L654" s="85" t="n"/>
    </row>
    <row r="655" ht="12.75" customHeight="1" s="103">
      <c r="A655" s="78">
        <f>MID(H655,3,2)</f>
        <v/>
      </c>
      <c r="B655" s="84" t="inlineStr">
        <is>
          <t>B331</t>
        </is>
      </c>
      <c r="C655" s="84" t="inlineStr">
        <is>
          <t>上海区域</t>
        </is>
      </c>
      <c r="D655" s="84" t="inlineStr">
        <is>
          <t>CN0Q</t>
        </is>
      </c>
      <c r="E655" s="80" t="inlineStr">
        <is>
          <t>EE 苏州比斯特</t>
        </is>
      </c>
      <c r="F655" s="84" t="n">
        <v>4</v>
      </c>
      <c r="G655" s="84" t="inlineStr">
        <is>
          <t>奥特莱斯</t>
        </is>
      </c>
      <c r="H655" s="84" t="inlineStr">
        <is>
          <t>EEOJG24B03</t>
        </is>
      </c>
      <c r="I655" s="84" t="n">
        <v>999</v>
      </c>
      <c r="J655" s="84" t="n">
        <v>999</v>
      </c>
      <c r="K655" s="85" t="n">
        <v>1</v>
      </c>
      <c r="L655" s="85" t="n">
        <v>640</v>
      </c>
    </row>
    <row r="656" ht="12.75" customHeight="1" s="103">
      <c r="A656" s="78">
        <f>MID(H656,3,2)</f>
        <v/>
      </c>
      <c r="B656" s="84" t="inlineStr">
        <is>
          <t>B331</t>
        </is>
      </c>
      <c r="C656" s="84" t="inlineStr">
        <is>
          <t>上海区域</t>
        </is>
      </c>
      <c r="D656" s="84" t="inlineStr">
        <is>
          <t>CN0Q</t>
        </is>
      </c>
      <c r="E656" s="80" t="inlineStr">
        <is>
          <t>EE 苏州比斯特</t>
        </is>
      </c>
      <c r="F656" s="84" t="n">
        <v>4</v>
      </c>
      <c r="G656" s="84" t="inlineStr">
        <is>
          <t>奥特莱斯</t>
        </is>
      </c>
      <c r="H656" s="84" t="inlineStr">
        <is>
          <t>EEOJG24B03</t>
        </is>
      </c>
      <c r="I656" s="84" t="n">
        <v>999</v>
      </c>
      <c r="J656" s="84" t="n">
        <v>999</v>
      </c>
      <c r="K656" s="85" t="n">
        <v>3</v>
      </c>
      <c r="L656" s="86" t="n">
        <v>1999</v>
      </c>
    </row>
    <row r="657" ht="12.75" customHeight="1" s="103">
      <c r="A657" s="78">
        <f>MID(H657,3,2)</f>
        <v/>
      </c>
      <c r="B657" s="84" t="inlineStr">
        <is>
          <t>B331</t>
        </is>
      </c>
      <c r="C657" s="84" t="inlineStr">
        <is>
          <t>上海区域</t>
        </is>
      </c>
      <c r="D657" s="84" t="inlineStr">
        <is>
          <t>CN0Q</t>
        </is>
      </c>
      <c r="E657" s="80" t="inlineStr">
        <is>
          <t>EE 苏州比斯特</t>
        </is>
      </c>
      <c r="F657" s="84" t="n">
        <v>4</v>
      </c>
      <c r="G657" s="84" t="inlineStr">
        <is>
          <t>奥特莱斯</t>
        </is>
      </c>
      <c r="H657" s="84" t="inlineStr">
        <is>
          <t>EEOJG24B03</t>
        </is>
      </c>
      <c r="I657" s="84" t="n">
        <v>999</v>
      </c>
      <c r="J657" s="84" t="n">
        <v>999</v>
      </c>
      <c r="K657" s="85" t="n">
        <v>1</v>
      </c>
      <c r="L657" s="85" t="n">
        <v>637</v>
      </c>
    </row>
    <row r="658" ht="12.75" customHeight="1" s="103">
      <c r="A658" s="78">
        <f>MID(H658,3,2)</f>
        <v/>
      </c>
      <c r="B658" s="84" t="inlineStr">
        <is>
          <t>B331</t>
        </is>
      </c>
      <c r="C658" s="84" t="inlineStr">
        <is>
          <t>上海区域</t>
        </is>
      </c>
      <c r="D658" s="84" t="inlineStr">
        <is>
          <t>CN0Q</t>
        </is>
      </c>
      <c r="E658" s="80" t="inlineStr">
        <is>
          <t>EE 苏州比斯特</t>
        </is>
      </c>
      <c r="F658" s="84" t="n">
        <v>4</v>
      </c>
      <c r="G658" s="84" t="inlineStr">
        <is>
          <t>奥特莱斯</t>
        </is>
      </c>
      <c r="H658" s="84" t="inlineStr">
        <is>
          <t>EEOJG24E01</t>
        </is>
      </c>
      <c r="I658" s="84" t="n">
        <v>1299</v>
      </c>
      <c r="J658" s="84" t="n">
        <v>1599</v>
      </c>
      <c r="K658" s="85" t="n">
        <v>2</v>
      </c>
      <c r="L658" s="85" t="n">
        <v>-171</v>
      </c>
    </row>
    <row r="659" ht="12.75" customHeight="1" s="103">
      <c r="A659" s="78">
        <f>MID(H659,3,2)</f>
        <v/>
      </c>
      <c r="B659" s="84" t="inlineStr">
        <is>
          <t>B331</t>
        </is>
      </c>
      <c r="C659" s="84" t="inlineStr">
        <is>
          <t>上海区域</t>
        </is>
      </c>
      <c r="D659" s="84" t="inlineStr">
        <is>
          <t>CN0Q</t>
        </is>
      </c>
      <c r="E659" s="80" t="inlineStr">
        <is>
          <t>EE 苏州比斯特</t>
        </is>
      </c>
      <c r="F659" s="84" t="n">
        <v>4</v>
      </c>
      <c r="G659" s="84" t="inlineStr">
        <is>
          <t>奥特莱斯</t>
        </is>
      </c>
      <c r="H659" s="84" t="inlineStr">
        <is>
          <t>EEOJG24E01</t>
        </is>
      </c>
      <c r="I659" s="84" t="n">
        <v>1299</v>
      </c>
      <c r="J659" s="84" t="n">
        <v>1599</v>
      </c>
      <c r="K659" s="85" t="n">
        <v>7</v>
      </c>
      <c r="L659" s="86" t="n">
        <v>5086</v>
      </c>
    </row>
    <row r="660" ht="12.75" customHeight="1" s="103">
      <c r="A660" s="78">
        <f>MID(H660,3,2)</f>
        <v/>
      </c>
      <c r="B660" s="84" t="inlineStr">
        <is>
          <t>B331</t>
        </is>
      </c>
      <c r="C660" s="84" t="inlineStr">
        <is>
          <t>上海区域</t>
        </is>
      </c>
      <c r="D660" s="84" t="inlineStr">
        <is>
          <t>CN0Q</t>
        </is>
      </c>
      <c r="E660" s="80" t="inlineStr">
        <is>
          <t>EE 苏州比斯特</t>
        </is>
      </c>
      <c r="F660" s="84" t="n">
        <v>4</v>
      </c>
      <c r="G660" s="84" t="inlineStr">
        <is>
          <t>奥特莱斯</t>
        </is>
      </c>
      <c r="H660" s="84" t="inlineStr">
        <is>
          <t>EEOJG24E01</t>
        </is>
      </c>
      <c r="I660" s="84" t="n">
        <v>1299</v>
      </c>
      <c r="J660" s="84" t="n">
        <v>1599</v>
      </c>
      <c r="K660" s="85" t="n"/>
      <c r="L660" s="85" t="n"/>
    </row>
    <row r="661" ht="12.75" customHeight="1" s="103">
      <c r="A661" s="78">
        <f>MID(H661,3,2)</f>
        <v/>
      </c>
      <c r="B661" s="84" t="inlineStr">
        <is>
          <t>B331</t>
        </is>
      </c>
      <c r="C661" s="84" t="inlineStr">
        <is>
          <t>上海区域</t>
        </is>
      </c>
      <c r="D661" s="84" t="inlineStr">
        <is>
          <t>CN0Q</t>
        </is>
      </c>
      <c r="E661" s="80" t="inlineStr">
        <is>
          <t>EE 苏州比斯特</t>
        </is>
      </c>
      <c r="F661" s="84" t="n">
        <v>4</v>
      </c>
      <c r="G661" s="84" t="inlineStr">
        <is>
          <t>奥特莱斯</t>
        </is>
      </c>
      <c r="H661" s="84" t="inlineStr">
        <is>
          <t>EEOJG24E01</t>
        </is>
      </c>
      <c r="I661" s="84" t="n">
        <v>1299</v>
      </c>
      <c r="J661" s="84" t="n">
        <v>1599</v>
      </c>
      <c r="K661" s="85" t="n">
        <v>6</v>
      </c>
      <c r="L661" s="86" t="n">
        <v>5690</v>
      </c>
    </row>
    <row r="662" ht="12.75" customHeight="1" s="103">
      <c r="A662" s="78">
        <f>MID(H662,3,2)</f>
        <v/>
      </c>
      <c r="B662" s="84" t="inlineStr">
        <is>
          <t>B331</t>
        </is>
      </c>
      <c r="C662" s="84" t="inlineStr">
        <is>
          <t>上海区域</t>
        </is>
      </c>
      <c r="D662" s="84" t="inlineStr">
        <is>
          <t>CN0Q</t>
        </is>
      </c>
      <c r="E662" s="80" t="inlineStr">
        <is>
          <t>EE 苏州比斯特</t>
        </is>
      </c>
      <c r="F662" s="84" t="n">
        <v>4</v>
      </c>
      <c r="G662" s="84" t="inlineStr">
        <is>
          <t>奥特莱斯</t>
        </is>
      </c>
      <c r="H662" s="84" t="inlineStr">
        <is>
          <t>EEOJG24E01</t>
        </is>
      </c>
      <c r="I662" s="84" t="n">
        <v>1299</v>
      </c>
      <c r="J662" s="84" t="n">
        <v>1599</v>
      </c>
      <c r="K662" s="85" t="n">
        <v>8</v>
      </c>
      <c r="L662" s="86" t="n">
        <v>6136</v>
      </c>
    </row>
    <row r="663" ht="12.75" customHeight="1" s="103">
      <c r="A663" s="78">
        <f>MID(H663,3,2)</f>
        <v/>
      </c>
      <c r="B663" s="84" t="inlineStr">
        <is>
          <t>B331</t>
        </is>
      </c>
      <c r="C663" s="84" t="inlineStr">
        <is>
          <t>上海区域</t>
        </is>
      </c>
      <c r="D663" s="84" t="inlineStr">
        <is>
          <t>CN0Q</t>
        </is>
      </c>
      <c r="E663" s="80" t="inlineStr">
        <is>
          <t>EE 苏州比斯特</t>
        </is>
      </c>
      <c r="F663" s="84" t="n">
        <v>4</v>
      </c>
      <c r="G663" s="84" t="inlineStr">
        <is>
          <t>奥特莱斯</t>
        </is>
      </c>
      <c r="H663" s="84" t="inlineStr">
        <is>
          <t>EEOJG24E01</t>
        </is>
      </c>
      <c r="I663" s="84" t="n">
        <v>1299</v>
      </c>
      <c r="J663" s="84" t="n">
        <v>1599</v>
      </c>
      <c r="K663" s="85" t="n">
        <v>2</v>
      </c>
      <c r="L663" s="86" t="n">
        <v>1119</v>
      </c>
    </row>
    <row r="664" ht="12.75" customHeight="1" s="103">
      <c r="A664" s="78">
        <f>MID(H664,3,2)</f>
        <v/>
      </c>
      <c r="B664" s="84" t="inlineStr">
        <is>
          <t>B331</t>
        </is>
      </c>
      <c r="C664" s="84" t="inlineStr">
        <is>
          <t>上海区域</t>
        </is>
      </c>
      <c r="D664" s="84" t="inlineStr">
        <is>
          <t>CN0Q</t>
        </is>
      </c>
      <c r="E664" s="80" t="inlineStr">
        <is>
          <t>EE 苏州比斯特</t>
        </is>
      </c>
      <c r="F664" s="84" t="n">
        <v>4</v>
      </c>
      <c r="G664" s="84" t="inlineStr">
        <is>
          <t>奥特莱斯</t>
        </is>
      </c>
      <c r="H664" s="84" t="inlineStr">
        <is>
          <t>EEOMG25B01</t>
        </is>
      </c>
      <c r="I664" s="84" t="n">
        <v>799</v>
      </c>
      <c r="J664" s="84" t="n">
        <v>799</v>
      </c>
      <c r="K664" s="85" t="n">
        <v>1</v>
      </c>
      <c r="L664" s="85" t="n"/>
    </row>
    <row r="665" ht="12.75" customHeight="1" s="103">
      <c r="A665" s="78">
        <f>MID(H665,3,2)</f>
        <v/>
      </c>
      <c r="B665" s="84" t="inlineStr">
        <is>
          <t>B331</t>
        </is>
      </c>
      <c r="C665" s="84" t="inlineStr">
        <is>
          <t>上海区域</t>
        </is>
      </c>
      <c r="D665" s="84" t="inlineStr">
        <is>
          <t>CN0Q</t>
        </is>
      </c>
      <c r="E665" s="80" t="inlineStr">
        <is>
          <t>EE 苏州比斯特</t>
        </is>
      </c>
      <c r="F665" s="84" t="n">
        <v>4</v>
      </c>
      <c r="G665" s="84" t="inlineStr">
        <is>
          <t>奥特莱斯</t>
        </is>
      </c>
      <c r="H665" s="84" t="inlineStr">
        <is>
          <t>EEOMG26B01</t>
        </is>
      </c>
      <c r="I665" s="84" t="n">
        <v>999</v>
      </c>
      <c r="J665" s="84" t="n">
        <v>999</v>
      </c>
      <c r="K665" s="85" t="n"/>
      <c r="L665" s="85" t="n"/>
    </row>
    <row r="666" ht="12.75" customHeight="1" s="103">
      <c r="A666" s="78">
        <f>MID(H666,3,2)</f>
        <v/>
      </c>
      <c r="B666" s="84" t="inlineStr">
        <is>
          <t>B331</t>
        </is>
      </c>
      <c r="C666" s="84" t="inlineStr">
        <is>
          <t>上海区域</t>
        </is>
      </c>
      <c r="D666" s="84" t="inlineStr">
        <is>
          <t>CN0Q</t>
        </is>
      </c>
      <c r="E666" s="80" t="inlineStr">
        <is>
          <t>EE 苏州比斯特</t>
        </is>
      </c>
      <c r="F666" s="84" t="n">
        <v>4</v>
      </c>
      <c r="G666" s="84" t="inlineStr">
        <is>
          <t>奥特莱斯</t>
        </is>
      </c>
      <c r="H666" s="84" t="inlineStr">
        <is>
          <t>EEOMG26B01</t>
        </is>
      </c>
      <c r="I666" s="84" t="n">
        <v>999</v>
      </c>
      <c r="J666" s="84" t="n">
        <v>999</v>
      </c>
      <c r="K666" s="85" t="n">
        <v>1</v>
      </c>
      <c r="L666" s="85" t="n">
        <v>637</v>
      </c>
    </row>
    <row r="667" ht="12.75" customHeight="1" s="103">
      <c r="A667" s="78">
        <f>MID(H667,3,2)</f>
        <v/>
      </c>
      <c r="B667" s="84" t="inlineStr">
        <is>
          <t>B331</t>
        </is>
      </c>
      <c r="C667" s="84" t="inlineStr">
        <is>
          <t>上海区域</t>
        </is>
      </c>
      <c r="D667" s="84" t="inlineStr">
        <is>
          <t>CN0Q</t>
        </is>
      </c>
      <c r="E667" s="80" t="inlineStr">
        <is>
          <t>EE 苏州比斯特</t>
        </is>
      </c>
      <c r="F667" s="84" t="n">
        <v>4</v>
      </c>
      <c r="G667" s="84" t="inlineStr">
        <is>
          <t>奥特莱斯</t>
        </is>
      </c>
      <c r="H667" s="84" t="inlineStr">
        <is>
          <t>EEOMG26B01</t>
        </is>
      </c>
      <c r="I667" s="84" t="n">
        <v>999</v>
      </c>
      <c r="J667" s="84" t="n">
        <v>999</v>
      </c>
      <c r="K667" s="85" t="n">
        <v>1</v>
      </c>
      <c r="L667" s="85" t="n">
        <v>645</v>
      </c>
    </row>
    <row r="668" ht="12.75" customHeight="1" s="103">
      <c r="A668" s="78">
        <f>MID(H668,3,2)</f>
        <v/>
      </c>
      <c r="B668" s="84" t="inlineStr">
        <is>
          <t>B331</t>
        </is>
      </c>
      <c r="C668" s="84" t="inlineStr">
        <is>
          <t>上海区域</t>
        </is>
      </c>
      <c r="D668" s="84" t="inlineStr">
        <is>
          <t>CN0Q</t>
        </is>
      </c>
      <c r="E668" s="80" t="inlineStr">
        <is>
          <t>EE 苏州比斯特</t>
        </is>
      </c>
      <c r="F668" s="84" t="n">
        <v>4</v>
      </c>
      <c r="G668" s="84" t="inlineStr">
        <is>
          <t>奥特莱斯</t>
        </is>
      </c>
      <c r="H668" s="84" t="inlineStr">
        <is>
          <t>EEOWG24B01</t>
        </is>
      </c>
      <c r="I668" s="84" t="n">
        <v>1299</v>
      </c>
      <c r="J668" s="84" t="n">
        <v>1299</v>
      </c>
      <c r="K668" s="85" t="n"/>
      <c r="L668" s="85" t="n"/>
    </row>
    <row r="669" ht="12.75" customHeight="1" s="103">
      <c r="A669" s="78">
        <f>MID(H669,3,2)</f>
        <v/>
      </c>
      <c r="B669" s="84" t="inlineStr">
        <is>
          <t>B331</t>
        </is>
      </c>
      <c r="C669" s="84" t="inlineStr">
        <is>
          <t>上海区域</t>
        </is>
      </c>
      <c r="D669" s="84" t="inlineStr">
        <is>
          <t>CN0Q</t>
        </is>
      </c>
      <c r="E669" s="80" t="inlineStr">
        <is>
          <t>EE 苏州比斯特</t>
        </is>
      </c>
      <c r="F669" s="84" t="n">
        <v>4</v>
      </c>
      <c r="G669" s="84" t="inlineStr">
        <is>
          <t>奥特莱斯</t>
        </is>
      </c>
      <c r="H669" s="84" t="inlineStr">
        <is>
          <t>EEOWG24B01</t>
        </is>
      </c>
      <c r="I669" s="84" t="n">
        <v>1299</v>
      </c>
      <c r="J669" s="84" t="n">
        <v>1299</v>
      </c>
      <c r="K669" s="85" t="n"/>
      <c r="L669" s="85" t="n"/>
    </row>
    <row r="670" ht="12.75" customHeight="1" s="103">
      <c r="A670" s="78">
        <f>MID(H670,3,2)</f>
        <v/>
      </c>
      <c r="B670" s="84" t="inlineStr">
        <is>
          <t>B331</t>
        </is>
      </c>
      <c r="C670" s="84" t="inlineStr">
        <is>
          <t>上海区域</t>
        </is>
      </c>
      <c r="D670" s="84" t="inlineStr">
        <is>
          <t>CN0Q</t>
        </is>
      </c>
      <c r="E670" s="80" t="inlineStr">
        <is>
          <t>EE 苏州比斯特</t>
        </is>
      </c>
      <c r="F670" s="84" t="n">
        <v>4</v>
      </c>
      <c r="G670" s="84" t="inlineStr">
        <is>
          <t>奥特莱斯</t>
        </is>
      </c>
      <c r="H670" s="84" t="inlineStr">
        <is>
          <t>EEOWG24B01</t>
        </is>
      </c>
      <c r="I670" s="84" t="n">
        <v>1299</v>
      </c>
      <c r="J670" s="84" t="n">
        <v>1299</v>
      </c>
      <c r="K670" s="85" t="n"/>
      <c r="L670" s="85" t="n"/>
    </row>
    <row r="671" ht="12.75" customHeight="1" s="103">
      <c r="A671" s="78">
        <f>MID(H671,3,2)</f>
        <v/>
      </c>
      <c r="B671" s="84" t="inlineStr">
        <is>
          <t>B331</t>
        </is>
      </c>
      <c r="C671" s="84" t="inlineStr">
        <is>
          <t>上海区域</t>
        </is>
      </c>
      <c r="D671" s="84" t="inlineStr">
        <is>
          <t>CN0Q</t>
        </is>
      </c>
      <c r="E671" s="80" t="inlineStr">
        <is>
          <t>EE 苏州比斯特</t>
        </is>
      </c>
      <c r="F671" s="84" t="n">
        <v>4</v>
      </c>
      <c r="G671" s="84" t="inlineStr">
        <is>
          <t>奥特莱斯</t>
        </is>
      </c>
      <c r="H671" s="84" t="inlineStr">
        <is>
          <t>EEOWG24B02</t>
        </is>
      </c>
      <c r="I671" s="84" t="n">
        <v>1299</v>
      </c>
      <c r="J671" s="84" t="n">
        <v>1299</v>
      </c>
      <c r="K671" s="85" t="n"/>
      <c r="L671" s="85" t="n"/>
    </row>
    <row r="672" ht="12.75" customHeight="1" s="103">
      <c r="A672" s="78">
        <f>MID(H672,3,2)</f>
        <v/>
      </c>
      <c r="B672" s="84" t="inlineStr">
        <is>
          <t>B331</t>
        </is>
      </c>
      <c r="C672" s="84" t="inlineStr">
        <is>
          <t>上海区域</t>
        </is>
      </c>
      <c r="D672" s="84" t="inlineStr">
        <is>
          <t>CN0Q</t>
        </is>
      </c>
      <c r="E672" s="80" t="inlineStr">
        <is>
          <t>EE 苏州比斯特</t>
        </is>
      </c>
      <c r="F672" s="84" t="n">
        <v>4</v>
      </c>
      <c r="G672" s="84" t="inlineStr">
        <is>
          <t>奥特莱斯</t>
        </is>
      </c>
      <c r="H672" s="84" t="inlineStr">
        <is>
          <t>EEOWG24B02</t>
        </is>
      </c>
      <c r="I672" s="84" t="n">
        <v>1299</v>
      </c>
      <c r="J672" s="84" t="n">
        <v>1299</v>
      </c>
      <c r="K672" s="85" t="n"/>
      <c r="L672" s="85" t="n"/>
    </row>
    <row r="673" ht="12.75" customHeight="1" s="103">
      <c r="A673" s="78">
        <f>MID(H673,3,2)</f>
        <v/>
      </c>
      <c r="B673" s="84" t="inlineStr">
        <is>
          <t>B331</t>
        </is>
      </c>
      <c r="C673" s="84" t="inlineStr">
        <is>
          <t>上海区域</t>
        </is>
      </c>
      <c r="D673" s="84" t="inlineStr">
        <is>
          <t>CN0Q</t>
        </is>
      </c>
      <c r="E673" s="80" t="inlineStr">
        <is>
          <t>EE 苏州比斯特</t>
        </is>
      </c>
      <c r="F673" s="84" t="n">
        <v>4</v>
      </c>
      <c r="G673" s="84" t="inlineStr">
        <is>
          <t>奥特莱斯</t>
        </is>
      </c>
      <c r="H673" s="84" t="inlineStr">
        <is>
          <t>EEOWG24B02</t>
        </is>
      </c>
      <c r="I673" s="84" t="n">
        <v>1299</v>
      </c>
      <c r="J673" s="84" t="n">
        <v>1299</v>
      </c>
      <c r="K673" s="85" t="n">
        <v>1</v>
      </c>
      <c r="L673" s="85" t="n">
        <v>825</v>
      </c>
    </row>
    <row r="674" ht="12.75" customHeight="1" s="103">
      <c r="A674" s="78">
        <f>MID(H674,3,2)</f>
        <v/>
      </c>
      <c r="B674" s="84" t="inlineStr">
        <is>
          <t>B331</t>
        </is>
      </c>
      <c r="C674" s="84" t="inlineStr">
        <is>
          <t>上海区域</t>
        </is>
      </c>
      <c r="D674" s="84" t="inlineStr">
        <is>
          <t>CN0Q</t>
        </is>
      </c>
      <c r="E674" s="80" t="inlineStr">
        <is>
          <t>EE 苏州比斯特</t>
        </is>
      </c>
      <c r="F674" s="84" t="n">
        <v>4</v>
      </c>
      <c r="G674" s="84" t="inlineStr">
        <is>
          <t>奥特莱斯</t>
        </is>
      </c>
      <c r="H674" s="84" t="inlineStr">
        <is>
          <t>EEOWG24B02</t>
        </is>
      </c>
      <c r="I674" s="84" t="n">
        <v>1299</v>
      </c>
      <c r="J674" s="84" t="n">
        <v>1299</v>
      </c>
      <c r="K674" s="85" t="n"/>
      <c r="L674" s="85" t="n"/>
    </row>
    <row r="675" ht="12.75" customHeight="1" s="103">
      <c r="A675" s="78">
        <f>MID(H675,3,2)</f>
        <v/>
      </c>
      <c r="B675" s="84" t="inlineStr">
        <is>
          <t>B331</t>
        </is>
      </c>
      <c r="C675" s="84" t="inlineStr">
        <is>
          <t>上海区域</t>
        </is>
      </c>
      <c r="D675" s="84" t="inlineStr">
        <is>
          <t>CN0Q</t>
        </is>
      </c>
      <c r="E675" s="80" t="inlineStr">
        <is>
          <t>EE 苏州比斯特</t>
        </is>
      </c>
      <c r="F675" s="84" t="n">
        <v>4</v>
      </c>
      <c r="G675" s="84" t="inlineStr">
        <is>
          <t>奥特莱斯</t>
        </is>
      </c>
      <c r="H675" s="84" t="inlineStr">
        <is>
          <t>EEOWG24B02</t>
        </is>
      </c>
      <c r="I675" s="84" t="n">
        <v>1299</v>
      </c>
      <c r="J675" s="84" t="n">
        <v>1299</v>
      </c>
      <c r="K675" s="85" t="n">
        <v>1</v>
      </c>
      <c r="L675" s="85" t="n">
        <v>847</v>
      </c>
    </row>
    <row r="676" ht="12.75" customHeight="1" s="103">
      <c r="A676" s="78">
        <f>MID(H676,3,2)</f>
        <v/>
      </c>
      <c r="B676" s="84" t="inlineStr">
        <is>
          <t>B331</t>
        </is>
      </c>
      <c r="C676" s="84" t="inlineStr">
        <is>
          <t>上海区域</t>
        </is>
      </c>
      <c r="D676" s="84" t="inlineStr">
        <is>
          <t>CN0Q</t>
        </is>
      </c>
      <c r="E676" s="80" t="inlineStr">
        <is>
          <t>EE 苏州比斯特</t>
        </is>
      </c>
      <c r="F676" s="84" t="n">
        <v>4</v>
      </c>
      <c r="G676" s="84" t="inlineStr">
        <is>
          <t>奥特莱斯</t>
        </is>
      </c>
      <c r="H676" s="84" t="inlineStr">
        <is>
          <t>EEOWG24B02</t>
        </is>
      </c>
      <c r="I676" s="84" t="n">
        <v>1299</v>
      </c>
      <c r="J676" s="84" t="n">
        <v>1299</v>
      </c>
      <c r="K676" s="85" t="n">
        <v>1</v>
      </c>
      <c r="L676" s="85" t="n">
        <v>833</v>
      </c>
    </row>
    <row r="677" ht="12.75" customHeight="1" s="103">
      <c r="A677" s="78">
        <f>MID(H677,3,2)</f>
        <v/>
      </c>
      <c r="B677" s="84" t="inlineStr">
        <is>
          <t>B331</t>
        </is>
      </c>
      <c r="C677" s="84" t="inlineStr">
        <is>
          <t>上海区域</t>
        </is>
      </c>
      <c r="D677" s="84" t="inlineStr">
        <is>
          <t>CN0Q</t>
        </is>
      </c>
      <c r="E677" s="80" t="inlineStr">
        <is>
          <t>EE 苏州比斯特</t>
        </is>
      </c>
      <c r="F677" s="84" t="n">
        <v>4</v>
      </c>
      <c r="G677" s="84" t="inlineStr">
        <is>
          <t>奥特莱斯</t>
        </is>
      </c>
      <c r="H677" s="84" t="inlineStr">
        <is>
          <t>EEOWG24B03</t>
        </is>
      </c>
      <c r="I677" s="84" t="n">
        <v>999</v>
      </c>
      <c r="J677" s="84" t="n">
        <v>1299</v>
      </c>
      <c r="K677" s="85" t="n"/>
      <c r="L677" s="85" t="n"/>
    </row>
    <row r="678" ht="12.75" customHeight="1" s="103">
      <c r="A678" s="78">
        <f>MID(H678,3,2)</f>
        <v/>
      </c>
      <c r="B678" s="84" t="inlineStr">
        <is>
          <t>B331</t>
        </is>
      </c>
      <c r="C678" s="84" t="inlineStr">
        <is>
          <t>上海区域</t>
        </is>
      </c>
      <c r="D678" s="84" t="inlineStr">
        <is>
          <t>CN0Q</t>
        </is>
      </c>
      <c r="E678" s="80" t="inlineStr">
        <is>
          <t>EE 苏州比斯特</t>
        </is>
      </c>
      <c r="F678" s="84" t="n">
        <v>4</v>
      </c>
      <c r="G678" s="84" t="inlineStr">
        <is>
          <t>奥特莱斯</t>
        </is>
      </c>
      <c r="H678" s="84" t="inlineStr">
        <is>
          <t>EEOWG24B03</t>
        </is>
      </c>
      <c r="I678" s="84" t="n">
        <v>999</v>
      </c>
      <c r="J678" s="84" t="n">
        <v>1299</v>
      </c>
      <c r="K678" s="85" t="n"/>
      <c r="L678" s="85" t="n"/>
    </row>
    <row r="679" ht="12.75" customHeight="1" s="103">
      <c r="A679" s="78">
        <f>MID(H679,3,2)</f>
        <v/>
      </c>
      <c r="B679" s="84" t="inlineStr">
        <is>
          <t>B331</t>
        </is>
      </c>
      <c r="C679" s="84" t="inlineStr">
        <is>
          <t>上海区域</t>
        </is>
      </c>
      <c r="D679" s="84" t="inlineStr">
        <is>
          <t>CN0Q</t>
        </is>
      </c>
      <c r="E679" s="80" t="inlineStr">
        <is>
          <t>EE 苏州比斯特</t>
        </is>
      </c>
      <c r="F679" s="84" t="n">
        <v>4</v>
      </c>
      <c r="G679" s="84" t="inlineStr">
        <is>
          <t>奥特莱斯</t>
        </is>
      </c>
      <c r="H679" s="84" t="inlineStr">
        <is>
          <t>EEOWG24B03</t>
        </is>
      </c>
      <c r="I679" s="84" t="n">
        <v>999</v>
      </c>
      <c r="J679" s="84" t="n">
        <v>1299</v>
      </c>
      <c r="K679" s="85" t="n"/>
      <c r="L679" s="85" t="n"/>
    </row>
    <row r="680" ht="12.75" customHeight="1" s="103">
      <c r="A680" s="78">
        <f>MID(H680,3,2)</f>
        <v/>
      </c>
      <c r="B680" s="84" t="inlineStr">
        <is>
          <t>B331</t>
        </is>
      </c>
      <c r="C680" s="84" t="inlineStr">
        <is>
          <t>上海区域</t>
        </is>
      </c>
      <c r="D680" s="84" t="inlineStr">
        <is>
          <t>CN0Q</t>
        </is>
      </c>
      <c r="E680" s="80" t="inlineStr">
        <is>
          <t>EE 苏州比斯特</t>
        </is>
      </c>
      <c r="F680" s="84" t="n">
        <v>4</v>
      </c>
      <c r="G680" s="84" t="inlineStr">
        <is>
          <t>奥特莱斯</t>
        </is>
      </c>
      <c r="H680" s="84" t="inlineStr">
        <is>
          <t>EEOWG24B03</t>
        </is>
      </c>
      <c r="I680" s="84" t="n">
        <v>999</v>
      </c>
      <c r="J680" s="84" t="n">
        <v>1299</v>
      </c>
      <c r="K680" s="85" t="n"/>
      <c r="L680" s="85" t="n"/>
    </row>
    <row r="681" ht="12.75" customHeight="1" s="103">
      <c r="A681" s="78">
        <f>MID(H681,3,2)</f>
        <v/>
      </c>
      <c r="B681" s="84" t="inlineStr">
        <is>
          <t>B331</t>
        </is>
      </c>
      <c r="C681" s="84" t="inlineStr">
        <is>
          <t>上海区域</t>
        </is>
      </c>
      <c r="D681" s="84" t="inlineStr">
        <is>
          <t>CN0Q</t>
        </is>
      </c>
      <c r="E681" s="80" t="inlineStr">
        <is>
          <t>EE 苏州比斯特</t>
        </is>
      </c>
      <c r="F681" s="84" t="n">
        <v>4</v>
      </c>
      <c r="G681" s="84" t="inlineStr">
        <is>
          <t>奥特莱斯</t>
        </is>
      </c>
      <c r="H681" s="84" t="inlineStr">
        <is>
          <t>EEOWG24B03</t>
        </is>
      </c>
      <c r="I681" s="84" t="n">
        <v>999</v>
      </c>
      <c r="J681" s="84" t="n">
        <v>1299</v>
      </c>
      <c r="K681" s="85" t="n"/>
      <c r="L681" s="85" t="n"/>
    </row>
    <row r="682" ht="12.75" customHeight="1" s="103">
      <c r="A682" s="78">
        <f>MID(H682,3,2)</f>
        <v/>
      </c>
      <c r="B682" s="84" t="inlineStr">
        <is>
          <t>B331</t>
        </is>
      </c>
      <c r="C682" s="84" t="inlineStr">
        <is>
          <t>上海区域</t>
        </is>
      </c>
      <c r="D682" s="84" t="inlineStr">
        <is>
          <t>CN0Q</t>
        </is>
      </c>
      <c r="E682" s="80" t="inlineStr">
        <is>
          <t>EE 苏州比斯特</t>
        </is>
      </c>
      <c r="F682" s="84" t="n">
        <v>4</v>
      </c>
      <c r="G682" s="84" t="inlineStr">
        <is>
          <t>奥特莱斯</t>
        </is>
      </c>
      <c r="H682" s="84" t="inlineStr">
        <is>
          <t>EEOWG24B03</t>
        </is>
      </c>
      <c r="I682" s="84" t="n">
        <v>999</v>
      </c>
      <c r="J682" s="84" t="n">
        <v>1299</v>
      </c>
      <c r="K682" s="85" t="n"/>
      <c r="L682" s="85" t="n"/>
    </row>
    <row r="683" ht="12.75" customHeight="1" s="103">
      <c r="A683" s="78">
        <f>MID(H683,3,2)</f>
        <v/>
      </c>
      <c r="B683" s="84" t="inlineStr">
        <is>
          <t>B331</t>
        </is>
      </c>
      <c r="C683" s="84" t="inlineStr">
        <is>
          <t>上海区域</t>
        </is>
      </c>
      <c r="D683" s="84" t="inlineStr">
        <is>
          <t>CN0Q</t>
        </is>
      </c>
      <c r="E683" s="80" t="inlineStr">
        <is>
          <t>EE 苏州比斯特</t>
        </is>
      </c>
      <c r="F683" s="84" t="n">
        <v>4</v>
      </c>
      <c r="G683" s="84" t="inlineStr">
        <is>
          <t>奥特莱斯</t>
        </is>
      </c>
      <c r="H683" s="84" t="inlineStr">
        <is>
          <t>EEOWG24E01</t>
        </is>
      </c>
      <c r="I683" s="84" t="n">
        <v>1299</v>
      </c>
      <c r="J683" s="84" t="n">
        <v>1299</v>
      </c>
      <c r="K683" s="85" t="n">
        <v>1</v>
      </c>
      <c r="L683" s="85" t="n">
        <v>823</v>
      </c>
    </row>
    <row r="684" ht="12.75" customHeight="1" s="103">
      <c r="A684" s="78">
        <f>MID(H684,3,2)</f>
        <v/>
      </c>
      <c r="B684" s="84" t="inlineStr">
        <is>
          <t>B331</t>
        </is>
      </c>
      <c r="C684" s="84" t="inlineStr">
        <is>
          <t>上海区域</t>
        </is>
      </c>
      <c r="D684" s="84" t="inlineStr">
        <is>
          <t>CN0Q</t>
        </is>
      </c>
      <c r="E684" s="80" t="inlineStr">
        <is>
          <t>EE 苏州比斯特</t>
        </is>
      </c>
      <c r="F684" s="84" t="n">
        <v>4</v>
      </c>
      <c r="G684" s="84" t="inlineStr">
        <is>
          <t>奥特莱斯</t>
        </is>
      </c>
      <c r="H684" s="84" t="inlineStr">
        <is>
          <t>EEOWG24E01</t>
        </is>
      </c>
      <c r="I684" s="84" t="n">
        <v>1299</v>
      </c>
      <c r="J684" s="84" t="n">
        <v>1299</v>
      </c>
      <c r="K684" s="85" t="n">
        <v>1</v>
      </c>
      <c r="L684" s="85" t="n">
        <v>825</v>
      </c>
    </row>
    <row r="685" ht="12.75" customHeight="1" s="103">
      <c r="A685" s="78">
        <f>MID(H685,3,2)</f>
        <v/>
      </c>
      <c r="B685" s="84" t="inlineStr">
        <is>
          <t>B331</t>
        </is>
      </c>
      <c r="C685" s="84" t="inlineStr">
        <is>
          <t>上海区域</t>
        </is>
      </c>
      <c r="D685" s="84" t="inlineStr">
        <is>
          <t>CN0Q</t>
        </is>
      </c>
      <c r="E685" s="80" t="inlineStr">
        <is>
          <t>EE 苏州比斯特</t>
        </is>
      </c>
      <c r="F685" s="84" t="n">
        <v>4</v>
      </c>
      <c r="G685" s="84" t="inlineStr">
        <is>
          <t>奥特莱斯</t>
        </is>
      </c>
      <c r="H685" s="84" t="inlineStr">
        <is>
          <t>EEOWG24E01</t>
        </is>
      </c>
      <c r="I685" s="84" t="n">
        <v>1299</v>
      </c>
      <c r="J685" s="84" t="n">
        <v>1299</v>
      </c>
      <c r="K685" s="85" t="n"/>
      <c r="L685" s="85" t="n"/>
    </row>
    <row r="686" ht="12.75" customHeight="1" s="103">
      <c r="A686" s="78">
        <f>MID(H686,3,2)</f>
        <v/>
      </c>
      <c r="B686" s="84" t="inlineStr">
        <is>
          <t>B331</t>
        </is>
      </c>
      <c r="C686" s="84" t="inlineStr">
        <is>
          <t>上海区域</t>
        </is>
      </c>
      <c r="D686" s="84" t="inlineStr">
        <is>
          <t>CN0Q</t>
        </is>
      </c>
      <c r="E686" s="80" t="inlineStr">
        <is>
          <t>EE 苏州比斯特</t>
        </is>
      </c>
      <c r="F686" s="84" t="n">
        <v>4</v>
      </c>
      <c r="G686" s="84" t="inlineStr">
        <is>
          <t>奥特莱斯</t>
        </is>
      </c>
      <c r="H686" s="84" t="inlineStr">
        <is>
          <t>EEOWG24E01</t>
        </is>
      </c>
      <c r="I686" s="84" t="n">
        <v>1299</v>
      </c>
      <c r="J686" s="84" t="n">
        <v>1299</v>
      </c>
      <c r="K686" s="85" t="n">
        <v>1</v>
      </c>
      <c r="L686" s="85" t="n">
        <v>844</v>
      </c>
    </row>
    <row r="687" ht="12.75" customHeight="1" s="103">
      <c r="A687" s="78">
        <f>MID(H687,3,2)</f>
        <v/>
      </c>
      <c r="B687" s="84" t="inlineStr">
        <is>
          <t>B331</t>
        </is>
      </c>
      <c r="C687" s="84" t="inlineStr">
        <is>
          <t>上海区域</t>
        </is>
      </c>
      <c r="D687" s="84" t="inlineStr">
        <is>
          <t>CN0Q</t>
        </is>
      </c>
      <c r="E687" s="80" t="inlineStr">
        <is>
          <t>EE 苏州比斯特</t>
        </is>
      </c>
      <c r="F687" s="84" t="n">
        <v>4</v>
      </c>
      <c r="G687" s="84" t="inlineStr">
        <is>
          <t>奥特莱斯</t>
        </is>
      </c>
      <c r="H687" s="84" t="inlineStr">
        <is>
          <t>EEOWG24E01</t>
        </is>
      </c>
      <c r="I687" s="84" t="n">
        <v>1299</v>
      </c>
      <c r="J687" s="84" t="n">
        <v>1299</v>
      </c>
      <c r="K687" s="85" t="n">
        <v>2</v>
      </c>
      <c r="L687" s="86" t="n">
        <v>1666</v>
      </c>
    </row>
    <row r="688" ht="12.75" customHeight="1" s="103">
      <c r="A688" s="78">
        <f>MID(H688,3,2)</f>
        <v/>
      </c>
      <c r="B688" s="84" t="inlineStr">
        <is>
          <t>B331</t>
        </is>
      </c>
      <c r="C688" s="84" t="inlineStr">
        <is>
          <t>上海区域</t>
        </is>
      </c>
      <c r="D688" s="84" t="inlineStr">
        <is>
          <t>CN0Q</t>
        </is>
      </c>
      <c r="E688" s="80" t="inlineStr">
        <is>
          <t>EE 苏州比斯特</t>
        </is>
      </c>
      <c r="F688" s="84" t="n">
        <v>4</v>
      </c>
      <c r="G688" s="84" t="inlineStr">
        <is>
          <t>奥特莱斯</t>
        </is>
      </c>
      <c r="H688" s="84" t="inlineStr">
        <is>
          <t>EEOWG24E01</t>
        </is>
      </c>
      <c r="I688" s="84" t="n">
        <v>1299</v>
      </c>
      <c r="J688" s="84" t="n">
        <v>1299</v>
      </c>
      <c r="K688" s="85" t="n"/>
      <c r="L688" s="85" t="n"/>
    </row>
    <row r="689" ht="12.75" customHeight="1" s="103">
      <c r="A689" s="78">
        <f>MID(H689,3,2)</f>
        <v/>
      </c>
      <c r="B689" s="84" t="inlineStr">
        <is>
          <t>B331</t>
        </is>
      </c>
      <c r="C689" s="84" t="inlineStr">
        <is>
          <t>上海区域</t>
        </is>
      </c>
      <c r="D689" s="84" t="inlineStr">
        <is>
          <t>CN0Q</t>
        </is>
      </c>
      <c r="E689" s="80" t="inlineStr">
        <is>
          <t>EE 苏州比斯特</t>
        </is>
      </c>
      <c r="F689" s="84" t="n">
        <v>4</v>
      </c>
      <c r="G689" s="84" t="inlineStr">
        <is>
          <t>奥特莱斯</t>
        </is>
      </c>
      <c r="H689" s="84" t="inlineStr">
        <is>
          <t>EEOWG24E02</t>
        </is>
      </c>
      <c r="I689" s="84" t="n">
        <v>1299</v>
      </c>
      <c r="J689" s="84" t="n">
        <v>1299</v>
      </c>
      <c r="K689" s="85" t="n">
        <v>1</v>
      </c>
      <c r="L689" s="85" t="n">
        <v>820</v>
      </c>
    </row>
    <row r="690" ht="12.75" customHeight="1" s="103">
      <c r="A690" s="78">
        <f>MID(H690,3,2)</f>
        <v/>
      </c>
      <c r="B690" s="84" t="inlineStr">
        <is>
          <t>B331</t>
        </is>
      </c>
      <c r="C690" s="84" t="inlineStr">
        <is>
          <t>上海区域</t>
        </is>
      </c>
      <c r="D690" s="84" t="inlineStr">
        <is>
          <t>CN0Q</t>
        </is>
      </c>
      <c r="E690" s="80" t="inlineStr">
        <is>
          <t>EE 苏州比斯特</t>
        </is>
      </c>
      <c r="F690" s="84" t="n">
        <v>4</v>
      </c>
      <c r="G690" s="84" t="inlineStr">
        <is>
          <t>奥特莱斯</t>
        </is>
      </c>
      <c r="H690" s="84" t="inlineStr">
        <is>
          <t>EEOWG24E02</t>
        </is>
      </c>
      <c r="I690" s="84" t="n">
        <v>1299</v>
      </c>
      <c r="J690" s="84" t="n">
        <v>1299</v>
      </c>
      <c r="K690" s="85" t="n">
        <v>3</v>
      </c>
      <c r="L690" s="86" t="n">
        <v>1672</v>
      </c>
    </row>
    <row r="691" ht="12.75" customHeight="1" s="103">
      <c r="A691" s="78">
        <f>MID(H691,3,2)</f>
        <v/>
      </c>
      <c r="B691" s="84" t="inlineStr">
        <is>
          <t>B331</t>
        </is>
      </c>
      <c r="C691" s="84" t="inlineStr">
        <is>
          <t>上海区域</t>
        </is>
      </c>
      <c r="D691" s="84" t="inlineStr">
        <is>
          <t>CN0Q</t>
        </is>
      </c>
      <c r="E691" s="80" t="inlineStr">
        <is>
          <t>EE 苏州比斯特</t>
        </is>
      </c>
      <c r="F691" s="84" t="n">
        <v>4</v>
      </c>
      <c r="G691" s="84" t="inlineStr">
        <is>
          <t>奥特莱斯</t>
        </is>
      </c>
      <c r="H691" s="84" t="inlineStr">
        <is>
          <t>EEOWG24E02</t>
        </is>
      </c>
      <c r="I691" s="84" t="n">
        <v>1299</v>
      </c>
      <c r="J691" s="84" t="n">
        <v>1299</v>
      </c>
      <c r="K691" s="85" t="n">
        <v>1</v>
      </c>
      <c r="L691" s="85" t="n">
        <v>827</v>
      </c>
    </row>
    <row r="692" ht="12.75" customHeight="1" s="103">
      <c r="A692" s="78">
        <f>MID(H692,3,2)</f>
        <v/>
      </c>
      <c r="B692" s="84" t="inlineStr">
        <is>
          <t>B331</t>
        </is>
      </c>
      <c r="C692" s="84" t="inlineStr">
        <is>
          <t>上海区域</t>
        </is>
      </c>
      <c r="D692" s="84" t="inlineStr">
        <is>
          <t>CN0Q</t>
        </is>
      </c>
      <c r="E692" s="80" t="inlineStr">
        <is>
          <t>EE 苏州比斯特</t>
        </is>
      </c>
      <c r="F692" s="84" t="n">
        <v>4</v>
      </c>
      <c r="G692" s="84" t="inlineStr">
        <is>
          <t>奥特莱斯</t>
        </is>
      </c>
      <c r="H692" s="84" t="inlineStr">
        <is>
          <t>EEOWG24E02</t>
        </is>
      </c>
      <c r="I692" s="84" t="n">
        <v>1299</v>
      </c>
      <c r="J692" s="84" t="n">
        <v>1299</v>
      </c>
      <c r="K692" s="85" t="n">
        <v>2</v>
      </c>
      <c r="L692" s="85" t="n">
        <v>858</v>
      </c>
    </row>
    <row r="693" ht="12.75" customHeight="1" s="103">
      <c r="A693" s="78">
        <f>MID(H693,3,2)</f>
        <v/>
      </c>
      <c r="B693" s="84" t="inlineStr">
        <is>
          <t>B331</t>
        </is>
      </c>
      <c r="C693" s="84" t="inlineStr">
        <is>
          <t>上海区域</t>
        </is>
      </c>
      <c r="D693" s="84" t="inlineStr">
        <is>
          <t>CN0Q</t>
        </is>
      </c>
      <c r="E693" s="80" t="inlineStr">
        <is>
          <t>EE 苏州比斯特</t>
        </is>
      </c>
      <c r="F693" s="84" t="n">
        <v>4</v>
      </c>
      <c r="G693" s="84" t="inlineStr">
        <is>
          <t>奥特莱斯</t>
        </is>
      </c>
      <c r="H693" s="84" t="inlineStr">
        <is>
          <t>EEOWG24E02</t>
        </is>
      </c>
      <c r="I693" s="84" t="n">
        <v>1299</v>
      </c>
      <c r="J693" s="84" t="n">
        <v>1299</v>
      </c>
      <c r="K693" s="85" t="n">
        <v>4</v>
      </c>
      <c r="L693" s="86" t="n">
        <v>1653</v>
      </c>
    </row>
    <row r="694" ht="12.75" customHeight="1" s="103">
      <c r="A694" s="78">
        <f>MID(H694,3,2)</f>
        <v/>
      </c>
      <c r="B694" s="84" t="inlineStr">
        <is>
          <t>B331</t>
        </is>
      </c>
      <c r="C694" s="84" t="inlineStr">
        <is>
          <t>上海区域</t>
        </is>
      </c>
      <c r="D694" s="84" t="inlineStr">
        <is>
          <t>CN0Q</t>
        </is>
      </c>
      <c r="E694" s="80" t="inlineStr">
        <is>
          <t>EE 苏州比斯特</t>
        </is>
      </c>
      <c r="F694" s="84" t="n">
        <v>4</v>
      </c>
      <c r="G694" s="84" t="inlineStr">
        <is>
          <t>奥特莱斯</t>
        </is>
      </c>
      <c r="H694" s="84" t="inlineStr">
        <is>
          <t>EEOWG24E02</t>
        </is>
      </c>
      <c r="I694" s="84" t="n">
        <v>1299</v>
      </c>
      <c r="J694" s="84" t="n">
        <v>1299</v>
      </c>
      <c r="K694" s="85" t="n">
        <v>2</v>
      </c>
      <c r="L694" s="85" t="n"/>
    </row>
    <row r="695" ht="12.75" customHeight="1" s="103">
      <c r="A695" s="78">
        <f>MID(H695,3,2)</f>
        <v/>
      </c>
      <c r="B695" s="84" t="inlineStr">
        <is>
          <t>B331</t>
        </is>
      </c>
      <c r="C695" s="84" t="inlineStr">
        <is>
          <t>上海区域</t>
        </is>
      </c>
      <c r="D695" s="84" t="inlineStr">
        <is>
          <t>CN0Q</t>
        </is>
      </c>
      <c r="E695" s="80" t="inlineStr">
        <is>
          <t>EE 苏州比斯特</t>
        </is>
      </c>
      <c r="F695" s="84" t="n">
        <v>4</v>
      </c>
      <c r="G695" s="84" t="inlineStr">
        <is>
          <t>奥特莱斯</t>
        </is>
      </c>
      <c r="H695" s="84" t="inlineStr">
        <is>
          <t>EEOWG24E02</t>
        </is>
      </c>
      <c r="I695" s="84" t="n">
        <v>1299</v>
      </c>
      <c r="J695" s="84" t="n">
        <v>1299</v>
      </c>
      <c r="K695" s="85" t="n"/>
      <c r="L695" s="85" t="n"/>
    </row>
    <row r="696" ht="12.75" customHeight="1" s="103">
      <c r="A696" s="78">
        <f>MID(H696,3,2)</f>
        <v/>
      </c>
      <c r="B696" s="84" t="inlineStr">
        <is>
          <t>B331</t>
        </is>
      </c>
      <c r="C696" s="84" t="inlineStr">
        <is>
          <t>上海区域</t>
        </is>
      </c>
      <c r="D696" s="84" t="inlineStr">
        <is>
          <t>CN0Q</t>
        </is>
      </c>
      <c r="E696" s="80" t="inlineStr">
        <is>
          <t>EE 苏州比斯特</t>
        </is>
      </c>
      <c r="F696" s="84" t="n">
        <v>4</v>
      </c>
      <c r="G696" s="84" t="inlineStr">
        <is>
          <t>奥特莱斯</t>
        </is>
      </c>
      <c r="H696" s="84" t="inlineStr">
        <is>
          <t>EEOWG24E02</t>
        </is>
      </c>
      <c r="I696" s="84" t="n">
        <v>1299</v>
      </c>
      <c r="J696" s="84" t="n">
        <v>1299</v>
      </c>
      <c r="K696" s="85" t="n">
        <v>0</v>
      </c>
      <c r="L696" s="85" t="n"/>
    </row>
    <row r="697" ht="12.75" customHeight="1" s="103">
      <c r="A697" s="78">
        <f>MID(H697,3,2)</f>
        <v/>
      </c>
      <c r="B697" s="84" t="inlineStr">
        <is>
          <t>B331</t>
        </is>
      </c>
      <c r="C697" s="84" t="inlineStr">
        <is>
          <t>上海区域</t>
        </is>
      </c>
      <c r="D697" s="84" t="inlineStr">
        <is>
          <t>CN0Q</t>
        </is>
      </c>
      <c r="E697" s="80" t="inlineStr">
        <is>
          <t>EE 苏州比斯特</t>
        </is>
      </c>
      <c r="F697" s="84" t="n">
        <v>4</v>
      </c>
      <c r="G697" s="84" t="inlineStr">
        <is>
          <t>奥特莱斯</t>
        </is>
      </c>
      <c r="H697" s="84" t="inlineStr">
        <is>
          <t>EEOWG24E02</t>
        </is>
      </c>
      <c r="I697" s="84" t="n">
        <v>1299</v>
      </c>
      <c r="J697" s="84" t="n">
        <v>1299</v>
      </c>
      <c r="K697" s="85" t="n"/>
      <c r="L697" s="85" t="n"/>
    </row>
    <row r="698" ht="12.75" customHeight="1" s="103">
      <c r="A698" s="78">
        <f>MID(H698,3,2)</f>
        <v/>
      </c>
      <c r="B698" s="84" t="inlineStr">
        <is>
          <t>B331</t>
        </is>
      </c>
      <c r="C698" s="84" t="inlineStr">
        <is>
          <t>上海区域</t>
        </is>
      </c>
      <c r="D698" s="84" t="inlineStr">
        <is>
          <t>CN0Q</t>
        </is>
      </c>
      <c r="E698" s="80" t="inlineStr">
        <is>
          <t>EE 苏州比斯特</t>
        </is>
      </c>
      <c r="F698" s="84" t="n">
        <v>4</v>
      </c>
      <c r="G698" s="84" t="inlineStr">
        <is>
          <t>奥特莱斯</t>
        </is>
      </c>
      <c r="H698" s="84" t="inlineStr">
        <is>
          <t>EEOWG24E03</t>
        </is>
      </c>
      <c r="I698" s="84" t="n">
        <v>1299</v>
      </c>
      <c r="J698" s="84" t="n">
        <v>1299</v>
      </c>
      <c r="K698" s="85" t="n">
        <v>1</v>
      </c>
      <c r="L698" s="85" t="n"/>
    </row>
    <row r="699" ht="12.75" customHeight="1" s="103">
      <c r="A699" s="78">
        <f>MID(H699,3,2)</f>
        <v/>
      </c>
      <c r="B699" s="84" t="inlineStr">
        <is>
          <t>B331</t>
        </is>
      </c>
      <c r="C699" s="84" t="inlineStr">
        <is>
          <t>上海区域</t>
        </is>
      </c>
      <c r="D699" s="84" t="inlineStr">
        <is>
          <t>CN0Q</t>
        </is>
      </c>
      <c r="E699" s="80" t="inlineStr">
        <is>
          <t>EE 苏州比斯特</t>
        </is>
      </c>
      <c r="F699" s="84" t="n">
        <v>4</v>
      </c>
      <c r="G699" s="84" t="inlineStr">
        <is>
          <t>奥特莱斯</t>
        </is>
      </c>
      <c r="H699" s="84" t="inlineStr">
        <is>
          <t>EEOWG24E03</t>
        </is>
      </c>
      <c r="I699" s="84" t="n">
        <v>1299</v>
      </c>
      <c r="J699" s="84" t="n">
        <v>1299</v>
      </c>
      <c r="K699" s="85" t="n"/>
      <c r="L699" s="85" t="n"/>
    </row>
    <row r="700" ht="12.75" customHeight="1" s="103">
      <c r="A700" s="78">
        <f>MID(H700,3,2)</f>
        <v/>
      </c>
      <c r="B700" s="84" t="inlineStr">
        <is>
          <t>B331</t>
        </is>
      </c>
      <c r="C700" s="84" t="inlineStr">
        <is>
          <t>上海区域</t>
        </is>
      </c>
      <c r="D700" s="84" t="inlineStr">
        <is>
          <t>CN0Q</t>
        </is>
      </c>
      <c r="E700" s="80" t="inlineStr">
        <is>
          <t>EE 苏州比斯特</t>
        </is>
      </c>
      <c r="F700" s="84" t="n">
        <v>4</v>
      </c>
      <c r="G700" s="84" t="inlineStr">
        <is>
          <t>奥特莱斯</t>
        </is>
      </c>
      <c r="H700" s="84" t="inlineStr">
        <is>
          <t>EEOWG24E03</t>
        </is>
      </c>
      <c r="I700" s="84" t="n">
        <v>1299</v>
      </c>
      <c r="J700" s="84" t="n">
        <v>1299</v>
      </c>
      <c r="K700" s="85" t="n"/>
      <c r="L700" s="85" t="n"/>
    </row>
    <row r="701" ht="12.75" customHeight="1" s="103">
      <c r="A701" s="78">
        <f>MID(H701,3,2)</f>
        <v/>
      </c>
      <c r="B701" s="84" t="inlineStr">
        <is>
          <t>B331</t>
        </is>
      </c>
      <c r="C701" s="84" t="inlineStr">
        <is>
          <t>上海区域</t>
        </is>
      </c>
      <c r="D701" s="84" t="inlineStr">
        <is>
          <t>CN0Q</t>
        </is>
      </c>
      <c r="E701" s="80" t="inlineStr">
        <is>
          <t>EE 苏州比斯特</t>
        </is>
      </c>
      <c r="F701" s="84" t="n">
        <v>4</v>
      </c>
      <c r="G701" s="84" t="inlineStr">
        <is>
          <t>奥特莱斯</t>
        </is>
      </c>
      <c r="H701" s="84" t="inlineStr">
        <is>
          <t>EEOWG25B02</t>
        </is>
      </c>
      <c r="I701" s="84" t="n">
        <v>1599</v>
      </c>
      <c r="J701" s="84" t="n">
        <v>1299</v>
      </c>
      <c r="K701" s="85" t="n">
        <v>1</v>
      </c>
      <c r="L701" s="85" t="n">
        <v>909</v>
      </c>
    </row>
    <row r="702" ht="12.75" customHeight="1" s="103">
      <c r="A702" s="78">
        <f>MID(H702,3,2)</f>
        <v/>
      </c>
      <c r="B702" s="84" t="inlineStr">
        <is>
          <t>B331</t>
        </is>
      </c>
      <c r="C702" s="84" t="inlineStr">
        <is>
          <t>上海区域</t>
        </is>
      </c>
      <c r="D702" s="84" t="inlineStr">
        <is>
          <t>CN0Q</t>
        </is>
      </c>
      <c r="E702" s="80" t="inlineStr">
        <is>
          <t>EE 苏州比斯特</t>
        </is>
      </c>
      <c r="F702" s="84" t="n">
        <v>4</v>
      </c>
      <c r="G702" s="84" t="inlineStr">
        <is>
          <t>奥特莱斯</t>
        </is>
      </c>
      <c r="H702" s="84" t="inlineStr">
        <is>
          <t>EEOWG25B02</t>
        </is>
      </c>
      <c r="I702" s="84" t="n">
        <v>1599</v>
      </c>
      <c r="J702" s="84" t="n">
        <v>1299</v>
      </c>
      <c r="K702" s="85" t="n">
        <v>1</v>
      </c>
      <c r="L702" s="85" t="n"/>
    </row>
    <row r="703" ht="12.75" customHeight="1" s="103">
      <c r="A703" s="78">
        <f>MID(H703,3,2)</f>
        <v/>
      </c>
      <c r="B703" s="84" t="inlineStr">
        <is>
          <t>B331</t>
        </is>
      </c>
      <c r="C703" s="84" t="inlineStr">
        <is>
          <t>上海区域</t>
        </is>
      </c>
      <c r="D703" s="84" t="inlineStr">
        <is>
          <t>CN0Q</t>
        </is>
      </c>
      <c r="E703" s="80" t="inlineStr">
        <is>
          <t>EE 苏州比斯特</t>
        </is>
      </c>
      <c r="F703" s="84" t="n">
        <v>4</v>
      </c>
      <c r="G703" s="84" t="inlineStr">
        <is>
          <t>奥特莱斯</t>
        </is>
      </c>
      <c r="H703" s="84" t="inlineStr">
        <is>
          <t>EEOWG25B02</t>
        </is>
      </c>
      <c r="I703" s="84" t="n">
        <v>1599</v>
      </c>
      <c r="J703" s="84" t="n">
        <v>1299</v>
      </c>
      <c r="K703" s="85" t="n"/>
      <c r="L703" s="85" t="n"/>
    </row>
    <row r="704" ht="12.75" customHeight="1" s="103">
      <c r="A704" s="78">
        <f>MID(H704,3,2)</f>
        <v/>
      </c>
      <c r="B704" s="84" t="inlineStr">
        <is>
          <t>B331</t>
        </is>
      </c>
      <c r="C704" s="84" t="inlineStr">
        <is>
          <t>上海区域</t>
        </is>
      </c>
      <c r="D704" s="84" t="inlineStr">
        <is>
          <t>CN0Q</t>
        </is>
      </c>
      <c r="E704" s="80" t="inlineStr">
        <is>
          <t>EE 苏州比斯特</t>
        </is>
      </c>
      <c r="F704" s="84" t="n">
        <v>4</v>
      </c>
      <c r="G704" s="84" t="inlineStr">
        <is>
          <t>奥特莱斯</t>
        </is>
      </c>
      <c r="H704" s="84" t="inlineStr">
        <is>
          <t>EEOWG25B03</t>
        </is>
      </c>
      <c r="I704" s="84" t="n">
        <v>1299</v>
      </c>
      <c r="J704" s="84" t="n">
        <v>1299</v>
      </c>
      <c r="K704" s="85" t="n"/>
      <c r="L704" s="85" t="n"/>
    </row>
    <row r="705" ht="12.75" customHeight="1" s="103">
      <c r="A705" s="78">
        <f>MID(H705,3,2)</f>
        <v/>
      </c>
      <c r="B705" s="84" t="inlineStr">
        <is>
          <t>B331</t>
        </is>
      </c>
      <c r="C705" s="84" t="inlineStr">
        <is>
          <t>上海区域</t>
        </is>
      </c>
      <c r="D705" s="84" t="inlineStr">
        <is>
          <t>CN0Q</t>
        </is>
      </c>
      <c r="E705" s="80" t="inlineStr">
        <is>
          <t>EE 苏州比斯特</t>
        </is>
      </c>
      <c r="F705" s="84" t="n">
        <v>4</v>
      </c>
      <c r="G705" s="84" t="inlineStr">
        <is>
          <t>奥特莱斯</t>
        </is>
      </c>
      <c r="H705" s="84" t="inlineStr">
        <is>
          <t>EEOWG25B03</t>
        </is>
      </c>
      <c r="I705" s="84" t="n">
        <v>1299</v>
      </c>
      <c r="J705" s="84" t="n">
        <v>1299</v>
      </c>
      <c r="K705" s="85" t="n">
        <v>1</v>
      </c>
      <c r="L705" s="85" t="n"/>
    </row>
    <row r="706" ht="12.75" customHeight="1" s="103">
      <c r="A706" s="78">
        <f>MID(H706,3,2)</f>
        <v/>
      </c>
      <c r="B706" s="84" t="inlineStr">
        <is>
          <t>B331</t>
        </is>
      </c>
      <c r="C706" s="84" t="inlineStr">
        <is>
          <t>上海区域</t>
        </is>
      </c>
      <c r="D706" s="84" t="inlineStr">
        <is>
          <t>CN0Q</t>
        </is>
      </c>
      <c r="E706" s="80" t="inlineStr">
        <is>
          <t>EE 苏州比斯特</t>
        </is>
      </c>
      <c r="F706" s="84" t="n">
        <v>4</v>
      </c>
      <c r="G706" s="84" t="inlineStr">
        <is>
          <t>奥特莱斯</t>
        </is>
      </c>
      <c r="H706" s="84" t="inlineStr">
        <is>
          <t>EEOWG25B03</t>
        </is>
      </c>
      <c r="I706" s="84" t="n">
        <v>1299</v>
      </c>
      <c r="J706" s="84" t="n">
        <v>1299</v>
      </c>
      <c r="K706" s="85" t="n"/>
      <c r="L706" s="85" t="n"/>
    </row>
    <row r="707" ht="12.75" customHeight="1" s="103">
      <c r="A707" s="78">
        <f>MID(H707,3,2)</f>
        <v/>
      </c>
      <c r="B707" s="84" t="inlineStr">
        <is>
          <t>B331</t>
        </is>
      </c>
      <c r="C707" s="84" t="inlineStr">
        <is>
          <t>上海区域</t>
        </is>
      </c>
      <c r="D707" s="84" t="inlineStr">
        <is>
          <t>CN0Q</t>
        </is>
      </c>
      <c r="E707" s="80" t="inlineStr">
        <is>
          <t>EE 苏州比斯特</t>
        </is>
      </c>
      <c r="F707" s="84" t="n">
        <v>4</v>
      </c>
      <c r="G707" s="84" t="inlineStr">
        <is>
          <t>奥特莱斯</t>
        </is>
      </c>
      <c r="H707" s="84" t="inlineStr">
        <is>
          <t>EEOWG25B04</t>
        </is>
      </c>
      <c r="I707" s="84" t="n">
        <v>999</v>
      </c>
      <c r="J707" s="84" t="n">
        <v>1299</v>
      </c>
      <c r="K707" s="85" t="n">
        <v>3</v>
      </c>
      <c r="L707" s="85" t="n">
        <v>847</v>
      </c>
    </row>
    <row r="708" ht="12.75" customHeight="1" s="103">
      <c r="A708" s="78">
        <f>MID(H708,3,2)</f>
        <v/>
      </c>
      <c r="B708" s="84" t="inlineStr">
        <is>
          <t>B331</t>
        </is>
      </c>
      <c r="C708" s="84" t="inlineStr">
        <is>
          <t>上海区域</t>
        </is>
      </c>
      <c r="D708" s="84" t="inlineStr">
        <is>
          <t>CN0Q</t>
        </is>
      </c>
      <c r="E708" s="80" t="inlineStr">
        <is>
          <t>EE 苏州比斯特</t>
        </is>
      </c>
      <c r="F708" s="84" t="n">
        <v>4</v>
      </c>
      <c r="G708" s="84" t="inlineStr">
        <is>
          <t>奥特莱斯</t>
        </is>
      </c>
      <c r="H708" s="84" t="inlineStr">
        <is>
          <t>EEOWG25B04</t>
        </is>
      </c>
      <c r="I708" s="84" t="n">
        <v>999</v>
      </c>
      <c r="J708" s="84" t="n">
        <v>1299</v>
      </c>
      <c r="K708" s="85" t="n"/>
      <c r="L708" s="85" t="n"/>
    </row>
    <row r="709" ht="12.75" customHeight="1" s="103">
      <c r="A709" s="78">
        <f>MID(H709,3,2)</f>
        <v/>
      </c>
      <c r="B709" s="84" t="inlineStr">
        <is>
          <t>B331</t>
        </is>
      </c>
      <c r="C709" s="84" t="inlineStr">
        <is>
          <t>上海区域</t>
        </is>
      </c>
      <c r="D709" s="84" t="inlineStr">
        <is>
          <t>CN0Q</t>
        </is>
      </c>
      <c r="E709" s="80" t="inlineStr">
        <is>
          <t>EE 苏州比斯特</t>
        </is>
      </c>
      <c r="F709" s="84" t="n">
        <v>4</v>
      </c>
      <c r="G709" s="84" t="inlineStr">
        <is>
          <t>奥特莱斯</t>
        </is>
      </c>
      <c r="H709" s="84" t="inlineStr">
        <is>
          <t>EEOWG25B04</t>
        </is>
      </c>
      <c r="I709" s="84" t="n">
        <v>999</v>
      </c>
      <c r="J709" s="84" t="n">
        <v>1299</v>
      </c>
      <c r="K709" s="85" t="n"/>
      <c r="L709" s="85" t="n"/>
    </row>
    <row r="710" ht="12.75" customHeight="1" s="103">
      <c r="A710" s="78">
        <f>MID(H710,3,2)</f>
        <v/>
      </c>
      <c r="B710" s="84" t="inlineStr">
        <is>
          <t>B331</t>
        </is>
      </c>
      <c r="C710" s="84" t="inlineStr">
        <is>
          <t>上海区域</t>
        </is>
      </c>
      <c r="D710" s="84" t="inlineStr">
        <is>
          <t>CN0Q</t>
        </is>
      </c>
      <c r="E710" s="80" t="inlineStr">
        <is>
          <t>EE 苏州比斯特</t>
        </is>
      </c>
      <c r="F710" s="84" t="n">
        <v>4</v>
      </c>
      <c r="G710" s="84" t="inlineStr">
        <is>
          <t>奥特莱斯</t>
        </is>
      </c>
      <c r="H710" s="84" t="inlineStr">
        <is>
          <t>EEOWG25B05</t>
        </is>
      </c>
      <c r="I710" s="84" t="n">
        <v>1299</v>
      </c>
      <c r="J710" s="84" t="n">
        <v>1599</v>
      </c>
      <c r="K710" s="85" t="n">
        <v>1</v>
      </c>
      <c r="L710" s="86" t="n">
        <v>1019</v>
      </c>
    </row>
    <row r="711" ht="12.75" customHeight="1" s="103">
      <c r="A711" s="78">
        <f>MID(H711,3,2)</f>
        <v/>
      </c>
      <c r="B711" s="84" t="inlineStr">
        <is>
          <t>B331</t>
        </is>
      </c>
      <c r="C711" s="84" t="inlineStr">
        <is>
          <t>上海区域</t>
        </is>
      </c>
      <c r="D711" s="84" t="inlineStr">
        <is>
          <t>CN0Q</t>
        </is>
      </c>
      <c r="E711" s="80" t="inlineStr">
        <is>
          <t>EE 苏州比斯特</t>
        </is>
      </c>
      <c r="F711" s="84" t="n">
        <v>4</v>
      </c>
      <c r="G711" s="84" t="inlineStr">
        <is>
          <t>奥特莱斯</t>
        </is>
      </c>
      <c r="H711" s="84" t="inlineStr">
        <is>
          <t>EEOWG25B05</t>
        </is>
      </c>
      <c r="I711" s="84" t="n">
        <v>1299</v>
      </c>
      <c r="J711" s="84" t="n">
        <v>1599</v>
      </c>
      <c r="K711" s="85" t="n"/>
      <c r="L711" s="85" t="n"/>
    </row>
    <row r="712" ht="12.75" customHeight="1" s="103">
      <c r="A712" s="78">
        <f>MID(H712,3,2)</f>
        <v/>
      </c>
      <c r="B712" s="84" t="inlineStr">
        <is>
          <t>B331</t>
        </is>
      </c>
      <c r="C712" s="84" t="inlineStr">
        <is>
          <t>上海区域</t>
        </is>
      </c>
      <c r="D712" s="84" t="inlineStr">
        <is>
          <t>CN0Q</t>
        </is>
      </c>
      <c r="E712" s="80" t="inlineStr">
        <is>
          <t>EE 苏州比斯特</t>
        </is>
      </c>
      <c r="F712" s="84" t="n">
        <v>4</v>
      </c>
      <c r="G712" s="84" t="inlineStr">
        <is>
          <t>奥特莱斯</t>
        </is>
      </c>
      <c r="H712" s="84" t="inlineStr">
        <is>
          <t>EEOWG25B05</t>
        </is>
      </c>
      <c r="I712" s="84" t="n">
        <v>1299</v>
      </c>
      <c r="J712" s="84" t="n">
        <v>1599</v>
      </c>
      <c r="K712" s="85" t="n">
        <v>1</v>
      </c>
      <c r="L712" s="86" t="n">
        <v>1047</v>
      </c>
    </row>
    <row r="713" ht="12.75" customHeight="1" s="103">
      <c r="A713" s="78">
        <f>MID(H713,3,2)</f>
        <v/>
      </c>
      <c r="B713" s="84" t="inlineStr">
        <is>
          <t>B331</t>
        </is>
      </c>
      <c r="C713" s="84" t="inlineStr">
        <is>
          <t>上海区域</t>
        </is>
      </c>
      <c r="D713" s="84" t="inlineStr">
        <is>
          <t>CN0Q</t>
        </is>
      </c>
      <c r="E713" s="80" t="inlineStr">
        <is>
          <t>EE 苏州比斯特</t>
        </is>
      </c>
      <c r="F713" s="84" t="n">
        <v>4</v>
      </c>
      <c r="G713" s="84" t="inlineStr">
        <is>
          <t>奥特莱斯</t>
        </is>
      </c>
      <c r="H713" s="84" t="inlineStr">
        <is>
          <t>EEOWG25B07</t>
        </is>
      </c>
      <c r="I713" s="84" t="n">
        <v>1299</v>
      </c>
      <c r="J713" s="84" t="n">
        <v>1299</v>
      </c>
      <c r="K713" s="85" t="n">
        <v>1</v>
      </c>
      <c r="L713" s="85" t="n">
        <v>820</v>
      </c>
    </row>
    <row r="714" ht="12.75" customHeight="1" s="103">
      <c r="A714" s="78">
        <f>MID(H714,3,2)</f>
        <v/>
      </c>
      <c r="B714" s="84" t="inlineStr">
        <is>
          <t>B331</t>
        </is>
      </c>
      <c r="C714" s="84" t="inlineStr">
        <is>
          <t>上海区域</t>
        </is>
      </c>
      <c r="D714" s="84" t="inlineStr">
        <is>
          <t>CN0Q</t>
        </is>
      </c>
      <c r="E714" s="80" t="inlineStr">
        <is>
          <t>EE 苏州比斯特</t>
        </is>
      </c>
      <c r="F714" s="84" t="n">
        <v>4</v>
      </c>
      <c r="G714" s="84" t="inlineStr">
        <is>
          <t>奥特莱斯</t>
        </is>
      </c>
      <c r="H714" s="84" t="inlineStr">
        <is>
          <t>EEOWG25B07</t>
        </is>
      </c>
      <c r="I714" s="84" t="n">
        <v>1299</v>
      </c>
      <c r="J714" s="84" t="n">
        <v>1299</v>
      </c>
      <c r="K714" s="85" t="n"/>
      <c r="L714" s="85" t="n"/>
    </row>
    <row r="715" ht="12.75" customHeight="1" s="103">
      <c r="A715" s="78">
        <f>MID(H715,3,2)</f>
        <v/>
      </c>
      <c r="B715" s="84" t="inlineStr">
        <is>
          <t>B331</t>
        </is>
      </c>
      <c r="C715" s="84" t="inlineStr">
        <is>
          <t>上海区域</t>
        </is>
      </c>
      <c r="D715" s="84" t="inlineStr">
        <is>
          <t>CN0Q</t>
        </is>
      </c>
      <c r="E715" s="80" t="inlineStr">
        <is>
          <t>EE 苏州比斯特</t>
        </is>
      </c>
      <c r="F715" s="84" t="n">
        <v>4</v>
      </c>
      <c r="G715" s="84" t="inlineStr">
        <is>
          <t>奥特莱斯</t>
        </is>
      </c>
      <c r="H715" s="84" t="inlineStr">
        <is>
          <t>EEOWG25B07</t>
        </is>
      </c>
      <c r="I715" s="84" t="n">
        <v>1299</v>
      </c>
      <c r="J715" s="84" t="n">
        <v>1299</v>
      </c>
      <c r="K715" s="85" t="n">
        <v>2</v>
      </c>
      <c r="L715" s="85" t="n">
        <v>839</v>
      </c>
    </row>
    <row r="716" ht="12.75" customHeight="1" s="103">
      <c r="A716" s="78">
        <f>MID(H716,3,2)</f>
        <v/>
      </c>
      <c r="B716" s="84" t="inlineStr">
        <is>
          <t>B331</t>
        </is>
      </c>
      <c r="C716" s="84" t="inlineStr">
        <is>
          <t>上海区域</t>
        </is>
      </c>
      <c r="D716" s="84" t="inlineStr">
        <is>
          <t>CN0Q</t>
        </is>
      </c>
      <c r="E716" s="80" t="inlineStr">
        <is>
          <t>EE 苏州比斯特</t>
        </is>
      </c>
      <c r="F716" s="84" t="n">
        <v>4</v>
      </c>
      <c r="G716" s="84" t="inlineStr">
        <is>
          <t>奥特莱斯</t>
        </is>
      </c>
      <c r="H716" s="84" t="inlineStr">
        <is>
          <t>EEOWG25B09</t>
        </is>
      </c>
      <c r="I716" s="84" t="n">
        <v>1299</v>
      </c>
      <c r="J716" s="84" t="n">
        <v>1299</v>
      </c>
      <c r="K716" s="85" t="n"/>
      <c r="L716" s="85" t="n"/>
    </row>
    <row r="717" ht="12.75" customHeight="1" s="103">
      <c r="A717" s="78">
        <f>MID(H717,3,2)</f>
        <v/>
      </c>
      <c r="B717" s="84" t="inlineStr">
        <is>
          <t>B331</t>
        </is>
      </c>
      <c r="C717" s="84" t="inlineStr">
        <is>
          <t>上海区域</t>
        </is>
      </c>
      <c r="D717" s="84" t="inlineStr">
        <is>
          <t>CN0Q</t>
        </is>
      </c>
      <c r="E717" s="80" t="inlineStr">
        <is>
          <t>EE 苏州比斯特</t>
        </is>
      </c>
      <c r="F717" s="84" t="n">
        <v>4</v>
      </c>
      <c r="G717" s="84" t="inlineStr">
        <is>
          <t>奥特莱斯</t>
        </is>
      </c>
      <c r="H717" s="84" t="inlineStr">
        <is>
          <t>EEOWG25B09</t>
        </is>
      </c>
      <c r="I717" s="84" t="n">
        <v>1299</v>
      </c>
      <c r="J717" s="84" t="n">
        <v>1299</v>
      </c>
      <c r="K717" s="85" t="n"/>
      <c r="L717" s="85" t="n"/>
    </row>
    <row r="718" ht="12.75" customHeight="1" s="103">
      <c r="A718" s="78">
        <f>MID(H718,3,2)</f>
        <v/>
      </c>
      <c r="B718" s="84" t="inlineStr">
        <is>
          <t>B331</t>
        </is>
      </c>
      <c r="C718" s="84" t="inlineStr">
        <is>
          <t>上海区域</t>
        </is>
      </c>
      <c r="D718" s="84" t="inlineStr">
        <is>
          <t>CN0Q</t>
        </is>
      </c>
      <c r="E718" s="80" t="inlineStr">
        <is>
          <t>EE 苏州比斯特</t>
        </is>
      </c>
      <c r="F718" s="84" t="n">
        <v>4</v>
      </c>
      <c r="G718" s="84" t="inlineStr">
        <is>
          <t>奥特莱斯</t>
        </is>
      </c>
      <c r="H718" s="84" t="inlineStr">
        <is>
          <t>EEOWG25B09</t>
        </is>
      </c>
      <c r="I718" s="84" t="n">
        <v>1299</v>
      </c>
      <c r="J718" s="84" t="n">
        <v>1299</v>
      </c>
      <c r="K718" s="85" t="n"/>
      <c r="L718" s="85" t="n"/>
    </row>
    <row r="719" ht="12.75" customHeight="1" s="103">
      <c r="A719" s="78">
        <f>MID(H719,3,2)</f>
        <v/>
      </c>
      <c r="B719" s="84" t="inlineStr">
        <is>
          <t>B331</t>
        </is>
      </c>
      <c r="C719" s="84" t="inlineStr">
        <is>
          <t>上海区域</t>
        </is>
      </c>
      <c r="D719" s="84" t="inlineStr">
        <is>
          <t>CN0Q</t>
        </is>
      </c>
      <c r="E719" s="80" t="inlineStr">
        <is>
          <t>EE 苏州比斯特</t>
        </is>
      </c>
      <c r="F719" s="84" t="n">
        <v>4</v>
      </c>
      <c r="G719" s="84" t="inlineStr">
        <is>
          <t>奥特莱斯</t>
        </is>
      </c>
      <c r="H719" s="84" t="inlineStr">
        <is>
          <t>EEOWG25B10</t>
        </is>
      </c>
      <c r="I719" s="84" t="n">
        <v>1299</v>
      </c>
      <c r="J719" s="84" t="n">
        <v>1299</v>
      </c>
      <c r="K719" s="85" t="n"/>
      <c r="L719" s="85" t="n"/>
    </row>
    <row r="720" ht="12.75" customHeight="1" s="103">
      <c r="A720" s="78">
        <f>MID(H720,3,2)</f>
        <v/>
      </c>
      <c r="B720" s="84" t="inlineStr">
        <is>
          <t>B331</t>
        </is>
      </c>
      <c r="C720" s="84" t="inlineStr">
        <is>
          <t>上海区域</t>
        </is>
      </c>
      <c r="D720" s="84" t="inlineStr">
        <is>
          <t>CN0Q</t>
        </is>
      </c>
      <c r="E720" s="80" t="inlineStr">
        <is>
          <t>EE 苏州比斯特</t>
        </is>
      </c>
      <c r="F720" s="84" t="n">
        <v>4</v>
      </c>
      <c r="G720" s="84" t="inlineStr">
        <is>
          <t>奥特莱斯</t>
        </is>
      </c>
      <c r="H720" s="84" t="inlineStr">
        <is>
          <t>EEOWG25B10</t>
        </is>
      </c>
      <c r="I720" s="84" t="n">
        <v>1299</v>
      </c>
      <c r="J720" s="84" t="n">
        <v>1299</v>
      </c>
      <c r="K720" s="85" t="n"/>
      <c r="L720" s="85" t="n"/>
    </row>
    <row r="721" ht="12.75" customHeight="1" s="103">
      <c r="A721" s="78">
        <f>MID(H721,3,2)</f>
        <v/>
      </c>
      <c r="B721" s="84" t="inlineStr">
        <is>
          <t>B331</t>
        </is>
      </c>
      <c r="C721" s="84" t="inlineStr">
        <is>
          <t>上海区域</t>
        </is>
      </c>
      <c r="D721" s="84" t="inlineStr">
        <is>
          <t>CN0Q</t>
        </is>
      </c>
      <c r="E721" s="80" t="inlineStr">
        <is>
          <t>EE 苏州比斯特</t>
        </is>
      </c>
      <c r="F721" s="84" t="n">
        <v>4</v>
      </c>
      <c r="G721" s="84" t="inlineStr">
        <is>
          <t>奥特莱斯</t>
        </is>
      </c>
      <c r="H721" s="84" t="inlineStr">
        <is>
          <t>EEOWG25B10</t>
        </is>
      </c>
      <c r="I721" s="84" t="n">
        <v>1299</v>
      </c>
      <c r="J721" s="84" t="n">
        <v>1299</v>
      </c>
      <c r="K721" s="85" t="n">
        <v>1</v>
      </c>
      <c r="L721" s="85" t="n">
        <v>827</v>
      </c>
    </row>
    <row r="722" ht="12.75" customHeight="1" s="103">
      <c r="A722" s="78">
        <f>MID(H722,3,2)</f>
        <v/>
      </c>
      <c r="B722" s="84" t="inlineStr">
        <is>
          <t>B331</t>
        </is>
      </c>
      <c r="C722" s="84" t="inlineStr">
        <is>
          <t>上海区域</t>
        </is>
      </c>
      <c r="D722" s="84" t="inlineStr">
        <is>
          <t>CN0Q</t>
        </is>
      </c>
      <c r="E722" s="80" t="inlineStr">
        <is>
          <t>EE 苏州比斯特</t>
        </is>
      </c>
      <c r="F722" s="84" t="n">
        <v>4</v>
      </c>
      <c r="G722" s="84" t="inlineStr">
        <is>
          <t>奥特莱斯</t>
        </is>
      </c>
      <c r="H722" s="84" t="inlineStr">
        <is>
          <t>EEOWG25B11</t>
        </is>
      </c>
      <c r="I722" s="84" t="n">
        <v>1299</v>
      </c>
      <c r="J722" s="84" t="n">
        <v>999</v>
      </c>
      <c r="K722" s="85" t="n"/>
      <c r="L722" s="85" t="n"/>
    </row>
    <row r="723" ht="12.75" customHeight="1" s="103">
      <c r="A723" s="78">
        <f>MID(H723,3,2)</f>
        <v/>
      </c>
      <c r="B723" s="84" t="inlineStr">
        <is>
          <t>B331</t>
        </is>
      </c>
      <c r="C723" s="84" t="inlineStr">
        <is>
          <t>上海区域</t>
        </is>
      </c>
      <c r="D723" s="84" t="inlineStr">
        <is>
          <t>CN0Q</t>
        </is>
      </c>
      <c r="E723" s="80" t="inlineStr">
        <is>
          <t>EE 苏州比斯特</t>
        </is>
      </c>
      <c r="F723" s="84" t="n">
        <v>4</v>
      </c>
      <c r="G723" s="84" t="inlineStr">
        <is>
          <t>奥特莱斯</t>
        </is>
      </c>
      <c r="H723" s="84" t="inlineStr">
        <is>
          <t>EEOWG25B11</t>
        </is>
      </c>
      <c r="I723" s="84" t="n">
        <v>1299</v>
      </c>
      <c r="J723" s="84" t="n">
        <v>999</v>
      </c>
      <c r="K723" s="85" t="n"/>
      <c r="L723" s="85" t="n"/>
    </row>
    <row r="724" ht="12.75" customHeight="1" s="103">
      <c r="A724" s="78">
        <f>MID(H724,3,2)</f>
        <v/>
      </c>
      <c r="B724" s="84" t="inlineStr">
        <is>
          <t>B331</t>
        </is>
      </c>
      <c r="C724" s="84" t="inlineStr">
        <is>
          <t>上海区域</t>
        </is>
      </c>
      <c r="D724" s="84" t="inlineStr">
        <is>
          <t>CN0Q</t>
        </is>
      </c>
      <c r="E724" s="80" t="inlineStr">
        <is>
          <t>EE 苏州比斯特</t>
        </is>
      </c>
      <c r="F724" s="84" t="n">
        <v>4</v>
      </c>
      <c r="G724" s="84" t="inlineStr">
        <is>
          <t>奥特莱斯</t>
        </is>
      </c>
      <c r="H724" s="84" t="inlineStr">
        <is>
          <t>EEOWG25B11</t>
        </is>
      </c>
      <c r="I724" s="84" t="n">
        <v>1299</v>
      </c>
      <c r="J724" s="84" t="n">
        <v>999</v>
      </c>
      <c r="K724" s="85" t="n"/>
      <c r="L724" s="85" t="n"/>
    </row>
    <row r="725" ht="12.75" customHeight="1" s="103">
      <c r="A725" s="78">
        <f>MID(H725,3,2)</f>
        <v/>
      </c>
      <c r="B725" s="84" t="inlineStr">
        <is>
          <t>B331</t>
        </is>
      </c>
      <c r="C725" s="84" t="inlineStr">
        <is>
          <t>上海区域</t>
        </is>
      </c>
      <c r="D725" s="84" t="inlineStr">
        <is>
          <t>CN0Q</t>
        </is>
      </c>
      <c r="E725" s="80" t="inlineStr">
        <is>
          <t>EE 苏州比斯特</t>
        </is>
      </c>
      <c r="F725" s="84" t="n">
        <v>4</v>
      </c>
      <c r="G725" s="84" t="inlineStr">
        <is>
          <t>奥特莱斯</t>
        </is>
      </c>
      <c r="H725" s="84" t="inlineStr">
        <is>
          <t>EEOWG25B11</t>
        </is>
      </c>
      <c r="I725" s="84" t="n">
        <v>1299</v>
      </c>
      <c r="J725" s="84" t="n">
        <v>999</v>
      </c>
      <c r="K725" s="85" t="n"/>
      <c r="L725" s="85" t="n"/>
    </row>
    <row r="726" ht="12.75" customHeight="1" s="103">
      <c r="A726" s="78">
        <f>MID(H726,3,2)</f>
        <v/>
      </c>
      <c r="B726" s="84" t="inlineStr">
        <is>
          <t>B331</t>
        </is>
      </c>
      <c r="C726" s="84" t="inlineStr">
        <is>
          <t>上海区域</t>
        </is>
      </c>
      <c r="D726" s="84" t="inlineStr">
        <is>
          <t>CN0Q</t>
        </is>
      </c>
      <c r="E726" s="80" t="inlineStr">
        <is>
          <t>EE 苏州比斯特</t>
        </is>
      </c>
      <c r="F726" s="84" t="n">
        <v>4</v>
      </c>
      <c r="G726" s="84" t="inlineStr">
        <is>
          <t>奥特莱斯</t>
        </is>
      </c>
      <c r="H726" s="84" t="inlineStr">
        <is>
          <t>EEOWG25B11</t>
        </is>
      </c>
      <c r="I726" s="84" t="n">
        <v>1299</v>
      </c>
      <c r="J726" s="84" t="n">
        <v>999</v>
      </c>
      <c r="K726" s="85" t="n">
        <v>1</v>
      </c>
      <c r="L726" s="85" t="n">
        <v>699</v>
      </c>
    </row>
    <row r="727" ht="12.75" customHeight="1" s="103">
      <c r="A727" s="78">
        <f>MID(H727,3,2)</f>
        <v/>
      </c>
      <c r="B727" s="84" t="inlineStr">
        <is>
          <t>B331</t>
        </is>
      </c>
      <c r="C727" s="84" t="inlineStr">
        <is>
          <t>上海区域</t>
        </is>
      </c>
      <c r="D727" s="84" t="inlineStr">
        <is>
          <t>CN0Q</t>
        </is>
      </c>
      <c r="E727" s="80" t="inlineStr">
        <is>
          <t>EE 苏州比斯特</t>
        </is>
      </c>
      <c r="F727" s="84" t="n">
        <v>4</v>
      </c>
      <c r="G727" s="84" t="inlineStr">
        <is>
          <t>奥特莱斯</t>
        </is>
      </c>
      <c r="H727" s="84" t="inlineStr">
        <is>
          <t>EEOWG25B11</t>
        </is>
      </c>
      <c r="I727" s="84" t="n">
        <v>1299</v>
      </c>
      <c r="J727" s="84" t="n">
        <v>999</v>
      </c>
      <c r="K727" s="85" t="n">
        <v>1</v>
      </c>
      <c r="L727" s="85" t="n"/>
    </row>
    <row r="728" ht="12.75" customHeight="1" s="103">
      <c r="A728" s="78">
        <f>MID(H728,3,2)</f>
        <v/>
      </c>
      <c r="B728" s="84" t="inlineStr">
        <is>
          <t>B331</t>
        </is>
      </c>
      <c r="C728" s="84" t="inlineStr">
        <is>
          <t>上海区域</t>
        </is>
      </c>
      <c r="D728" s="84" t="inlineStr">
        <is>
          <t>CN0Q</t>
        </is>
      </c>
      <c r="E728" s="80" t="inlineStr">
        <is>
          <t>EE 苏州比斯特</t>
        </is>
      </c>
      <c r="F728" s="84" t="n">
        <v>4</v>
      </c>
      <c r="G728" s="84" t="inlineStr">
        <is>
          <t>奥特莱斯</t>
        </is>
      </c>
      <c r="H728" s="84" t="inlineStr">
        <is>
          <t>EEOWG25B12</t>
        </is>
      </c>
      <c r="I728" s="84" t="n">
        <v>1299</v>
      </c>
      <c r="J728" s="84" t="n">
        <v>1299</v>
      </c>
      <c r="K728" s="85" t="n">
        <v>1</v>
      </c>
      <c r="L728" s="85" t="n">
        <v>825</v>
      </c>
    </row>
    <row r="729" ht="12.75" customHeight="1" s="103">
      <c r="A729" s="78">
        <f>MID(H729,3,2)</f>
        <v/>
      </c>
      <c r="B729" s="84" t="inlineStr">
        <is>
          <t>B331</t>
        </is>
      </c>
      <c r="C729" s="84" t="inlineStr">
        <is>
          <t>上海区域</t>
        </is>
      </c>
      <c r="D729" s="84" t="inlineStr">
        <is>
          <t>CN0Q</t>
        </is>
      </c>
      <c r="E729" s="80" t="inlineStr">
        <is>
          <t>EE 苏州比斯特</t>
        </is>
      </c>
      <c r="F729" s="84" t="n">
        <v>4</v>
      </c>
      <c r="G729" s="84" t="inlineStr">
        <is>
          <t>奥特莱斯</t>
        </is>
      </c>
      <c r="H729" s="84" t="inlineStr">
        <is>
          <t>EEOWG25B12</t>
        </is>
      </c>
      <c r="I729" s="84" t="n">
        <v>1299</v>
      </c>
      <c r="J729" s="84" t="n">
        <v>1299</v>
      </c>
      <c r="K729" s="85" t="n">
        <v>1</v>
      </c>
      <c r="L729" s="85" t="n">
        <v>847</v>
      </c>
    </row>
    <row r="730" ht="12.75" customHeight="1" s="103">
      <c r="A730" s="78">
        <f>MID(H730,3,2)</f>
        <v/>
      </c>
      <c r="B730" s="84" t="inlineStr">
        <is>
          <t>B331</t>
        </is>
      </c>
      <c r="C730" s="84" t="inlineStr">
        <is>
          <t>上海区域</t>
        </is>
      </c>
      <c r="D730" s="84" t="inlineStr">
        <is>
          <t>CN0Q</t>
        </is>
      </c>
      <c r="E730" s="80" t="inlineStr">
        <is>
          <t>EE 苏州比斯特</t>
        </is>
      </c>
      <c r="F730" s="84" t="n">
        <v>4</v>
      </c>
      <c r="G730" s="84" t="inlineStr">
        <is>
          <t>奥特莱斯</t>
        </is>
      </c>
      <c r="H730" s="84" t="inlineStr">
        <is>
          <t>EEOWG25B12</t>
        </is>
      </c>
      <c r="I730" s="84" t="n">
        <v>1299</v>
      </c>
      <c r="J730" s="84" t="n">
        <v>1299</v>
      </c>
      <c r="K730" s="85" t="n"/>
      <c r="L730" s="85" t="n"/>
    </row>
    <row r="731" ht="12.75" customHeight="1" s="103">
      <c r="A731" s="78">
        <f>MID(H731,3,2)</f>
        <v/>
      </c>
      <c r="B731" s="84" t="inlineStr">
        <is>
          <t>B331</t>
        </is>
      </c>
      <c r="C731" s="84" t="inlineStr">
        <is>
          <t>上海区域</t>
        </is>
      </c>
      <c r="D731" s="84" t="inlineStr">
        <is>
          <t>CN0Q</t>
        </is>
      </c>
      <c r="E731" s="80" t="inlineStr">
        <is>
          <t>EE 苏州比斯特</t>
        </is>
      </c>
      <c r="F731" s="84" t="n">
        <v>4</v>
      </c>
      <c r="G731" s="84" t="inlineStr">
        <is>
          <t>奥特莱斯</t>
        </is>
      </c>
      <c r="H731" s="84" t="inlineStr">
        <is>
          <t>EEOWG25B13</t>
        </is>
      </c>
      <c r="I731" s="84" t="n">
        <v>1299</v>
      </c>
      <c r="J731" s="84" t="n">
        <v>1299</v>
      </c>
      <c r="K731" s="85" t="n">
        <v>3</v>
      </c>
      <c r="L731" s="86" t="n">
        <v>2071</v>
      </c>
    </row>
    <row r="732" ht="12.75" customHeight="1" s="103">
      <c r="A732" s="78">
        <f>MID(H732,3,2)</f>
        <v/>
      </c>
      <c r="B732" s="84" t="inlineStr">
        <is>
          <t>B331</t>
        </is>
      </c>
      <c r="C732" s="84" t="inlineStr">
        <is>
          <t>上海区域</t>
        </is>
      </c>
      <c r="D732" s="84" t="inlineStr">
        <is>
          <t>CN0Q</t>
        </is>
      </c>
      <c r="E732" s="80" t="inlineStr">
        <is>
          <t>EE 苏州比斯特</t>
        </is>
      </c>
      <c r="F732" s="84" t="n">
        <v>4</v>
      </c>
      <c r="G732" s="84" t="inlineStr">
        <is>
          <t>奥特莱斯</t>
        </is>
      </c>
      <c r="H732" s="84" t="inlineStr">
        <is>
          <t>EEOWG25B13</t>
        </is>
      </c>
      <c r="I732" s="84" t="n">
        <v>1299</v>
      </c>
      <c r="J732" s="84" t="n">
        <v>1299</v>
      </c>
      <c r="K732" s="85" t="n">
        <v>1</v>
      </c>
      <c r="L732" s="85" t="n">
        <v>825</v>
      </c>
    </row>
    <row r="733" ht="12.75" customHeight="1" s="103">
      <c r="A733" s="78">
        <f>MID(H733,3,2)</f>
        <v/>
      </c>
      <c r="B733" s="84" t="inlineStr">
        <is>
          <t>B331</t>
        </is>
      </c>
      <c r="C733" s="84" t="inlineStr">
        <is>
          <t>上海区域</t>
        </is>
      </c>
      <c r="D733" s="84" t="inlineStr">
        <is>
          <t>CN0Q</t>
        </is>
      </c>
      <c r="E733" s="80" t="inlineStr">
        <is>
          <t>EE 苏州比斯特</t>
        </is>
      </c>
      <c r="F733" s="84" t="n">
        <v>4</v>
      </c>
      <c r="G733" s="84" t="inlineStr">
        <is>
          <t>奥特莱斯</t>
        </is>
      </c>
      <c r="H733" s="84" t="inlineStr">
        <is>
          <t>EEOWG25B13</t>
        </is>
      </c>
      <c r="I733" s="84" t="n">
        <v>1299</v>
      </c>
      <c r="J733" s="84" t="n">
        <v>1299</v>
      </c>
      <c r="K733" s="85" t="n"/>
      <c r="L733" s="85" t="n"/>
    </row>
    <row r="734" ht="12.75" customHeight="1" s="103">
      <c r="A734" s="78">
        <f>MID(H734,3,2)</f>
        <v/>
      </c>
      <c r="B734" s="84" t="inlineStr">
        <is>
          <t>B331</t>
        </is>
      </c>
      <c r="C734" s="84" t="inlineStr">
        <is>
          <t>上海区域</t>
        </is>
      </c>
      <c r="D734" s="84" t="inlineStr">
        <is>
          <t>CN0Q</t>
        </is>
      </c>
      <c r="E734" s="80" t="inlineStr">
        <is>
          <t>EE 苏州比斯特</t>
        </is>
      </c>
      <c r="F734" s="84" t="n">
        <v>4</v>
      </c>
      <c r="G734" s="84" t="inlineStr">
        <is>
          <t>奥特莱斯</t>
        </is>
      </c>
      <c r="H734" s="84" t="inlineStr">
        <is>
          <t>EEOWG25B13</t>
        </is>
      </c>
      <c r="I734" s="84" t="n">
        <v>1299</v>
      </c>
      <c r="J734" s="84" t="n">
        <v>1299</v>
      </c>
      <c r="K734" s="85" t="n">
        <v>2</v>
      </c>
      <c r="L734" s="86" t="n">
        <v>1740</v>
      </c>
    </row>
    <row r="735" ht="12.75" customHeight="1" s="103">
      <c r="A735" s="78">
        <f>MID(H735,3,2)</f>
        <v/>
      </c>
      <c r="B735" s="84" t="inlineStr">
        <is>
          <t>B331</t>
        </is>
      </c>
      <c r="C735" s="84" t="inlineStr">
        <is>
          <t>上海区域</t>
        </is>
      </c>
      <c r="D735" s="84" t="inlineStr">
        <is>
          <t>CN0Q</t>
        </is>
      </c>
      <c r="E735" s="80" t="inlineStr">
        <is>
          <t>EE 苏州比斯特</t>
        </is>
      </c>
      <c r="F735" s="84" t="n">
        <v>4</v>
      </c>
      <c r="G735" s="84" t="inlineStr">
        <is>
          <t>奥特莱斯</t>
        </is>
      </c>
      <c r="H735" s="84" t="inlineStr">
        <is>
          <t>EEOWG25B13</t>
        </is>
      </c>
      <c r="I735" s="84" t="n">
        <v>1299</v>
      </c>
      <c r="J735" s="84" t="n">
        <v>1299</v>
      </c>
      <c r="K735" s="85" t="n">
        <v>2</v>
      </c>
      <c r="L735" s="86" t="n">
        <v>1743</v>
      </c>
    </row>
    <row r="736" ht="12.75" customHeight="1" s="103">
      <c r="A736" s="78">
        <f>MID(H736,3,2)</f>
        <v/>
      </c>
      <c r="B736" s="84" t="inlineStr">
        <is>
          <t>B331</t>
        </is>
      </c>
      <c r="C736" s="84" t="inlineStr">
        <is>
          <t>上海区域</t>
        </is>
      </c>
      <c r="D736" s="84" t="inlineStr">
        <is>
          <t>CN0Q</t>
        </is>
      </c>
      <c r="E736" s="80" t="inlineStr">
        <is>
          <t>EE 苏州比斯特</t>
        </is>
      </c>
      <c r="F736" s="84" t="n">
        <v>4</v>
      </c>
      <c r="G736" s="84" t="inlineStr">
        <is>
          <t>奥特莱斯</t>
        </is>
      </c>
      <c r="H736" s="84" t="inlineStr">
        <is>
          <t>EEOWG25B13</t>
        </is>
      </c>
      <c r="I736" s="84" t="n">
        <v>1299</v>
      </c>
      <c r="J736" s="84" t="n">
        <v>1299</v>
      </c>
      <c r="K736" s="85" t="n"/>
      <c r="L736" s="85" t="n"/>
    </row>
    <row r="737" ht="12.75" customHeight="1" s="103">
      <c r="A737" s="78">
        <f>MID(H737,3,2)</f>
        <v/>
      </c>
      <c r="B737" s="84" t="inlineStr">
        <is>
          <t>B331</t>
        </is>
      </c>
      <c r="C737" s="84" t="inlineStr">
        <is>
          <t>上海区域</t>
        </is>
      </c>
      <c r="D737" s="84" t="inlineStr">
        <is>
          <t>CN0Q</t>
        </is>
      </c>
      <c r="E737" s="80" t="inlineStr">
        <is>
          <t>EE 苏州比斯特</t>
        </is>
      </c>
      <c r="F737" s="84" t="n">
        <v>4</v>
      </c>
      <c r="G737" s="84" t="inlineStr">
        <is>
          <t>奥特莱斯</t>
        </is>
      </c>
      <c r="H737" s="84" t="inlineStr">
        <is>
          <t>EEOWG25E01</t>
        </is>
      </c>
      <c r="I737" s="84" t="n">
        <v>999</v>
      </c>
      <c r="J737" s="84" t="n">
        <v>999</v>
      </c>
      <c r="K737" s="85" t="n">
        <v>1</v>
      </c>
      <c r="L737" s="85" t="n"/>
    </row>
    <row r="738" ht="12.75" customHeight="1" s="103">
      <c r="A738" s="78">
        <f>MID(H738,3,2)</f>
        <v/>
      </c>
      <c r="B738" s="84" t="inlineStr">
        <is>
          <t>B331</t>
        </is>
      </c>
      <c r="C738" s="84" t="inlineStr">
        <is>
          <t>上海区域</t>
        </is>
      </c>
      <c r="D738" s="84" t="inlineStr">
        <is>
          <t>CN0Q</t>
        </is>
      </c>
      <c r="E738" s="80" t="inlineStr">
        <is>
          <t>EE 苏州比斯特</t>
        </is>
      </c>
      <c r="F738" s="84" t="n">
        <v>4</v>
      </c>
      <c r="G738" s="84" t="inlineStr">
        <is>
          <t>奥特莱斯</t>
        </is>
      </c>
      <c r="H738" s="84" t="inlineStr">
        <is>
          <t>EEOWG25E01</t>
        </is>
      </c>
      <c r="I738" s="84" t="n">
        <v>999</v>
      </c>
      <c r="J738" s="84" t="n">
        <v>999</v>
      </c>
      <c r="K738" s="85" t="n">
        <v>5</v>
      </c>
      <c r="L738" s="86" t="n">
        <v>1906</v>
      </c>
    </row>
    <row r="739" ht="12.75" customHeight="1" s="103">
      <c r="A739" s="78">
        <f>MID(H739,3,2)</f>
        <v/>
      </c>
      <c r="B739" s="84" t="inlineStr">
        <is>
          <t>B331</t>
        </is>
      </c>
      <c r="C739" s="84" t="inlineStr">
        <is>
          <t>上海区域</t>
        </is>
      </c>
      <c r="D739" s="84" t="inlineStr">
        <is>
          <t>CN0Q</t>
        </is>
      </c>
      <c r="E739" s="80" t="inlineStr">
        <is>
          <t>EE 苏州比斯特</t>
        </is>
      </c>
      <c r="F739" s="84" t="n">
        <v>4</v>
      </c>
      <c r="G739" s="84" t="inlineStr">
        <is>
          <t>奥特莱斯</t>
        </is>
      </c>
      <c r="H739" s="84" t="inlineStr">
        <is>
          <t>EEOWG25E01</t>
        </is>
      </c>
      <c r="I739" s="84" t="n">
        <v>999</v>
      </c>
      <c r="J739" s="84" t="n">
        <v>999</v>
      </c>
      <c r="K739" s="85" t="n">
        <v>2</v>
      </c>
      <c r="L739" s="85" t="n"/>
    </row>
    <row r="740" ht="12.75" customHeight="1" s="103">
      <c r="A740" s="78">
        <f>MID(H740,3,2)</f>
        <v/>
      </c>
      <c r="B740" s="84" t="inlineStr">
        <is>
          <t>B331</t>
        </is>
      </c>
      <c r="C740" s="84" t="inlineStr">
        <is>
          <t>上海区域</t>
        </is>
      </c>
      <c r="D740" s="84" t="inlineStr">
        <is>
          <t>CN0Q</t>
        </is>
      </c>
      <c r="E740" s="80" t="inlineStr">
        <is>
          <t>EE 苏州比斯特</t>
        </is>
      </c>
      <c r="F740" s="84" t="n">
        <v>4</v>
      </c>
      <c r="G740" s="84" t="inlineStr">
        <is>
          <t>奥特莱斯</t>
        </is>
      </c>
      <c r="H740" s="84" t="inlineStr">
        <is>
          <t>EEOWG25E01</t>
        </is>
      </c>
      <c r="I740" s="84" t="n">
        <v>999</v>
      </c>
      <c r="J740" s="84" t="n">
        <v>999</v>
      </c>
      <c r="K740" s="85" t="n">
        <v>1</v>
      </c>
      <c r="L740" s="85" t="n"/>
    </row>
    <row r="741" ht="12.75" customHeight="1" s="103">
      <c r="A741" s="78">
        <f>MID(H741,3,2)</f>
        <v/>
      </c>
      <c r="B741" s="84" t="inlineStr">
        <is>
          <t>B331</t>
        </is>
      </c>
      <c r="C741" s="84" t="inlineStr">
        <is>
          <t>上海区域</t>
        </is>
      </c>
      <c r="D741" s="84" t="inlineStr">
        <is>
          <t>CN0Q</t>
        </is>
      </c>
      <c r="E741" s="80" t="inlineStr">
        <is>
          <t>EE 苏州比斯特</t>
        </is>
      </c>
      <c r="F741" s="84" t="n">
        <v>4</v>
      </c>
      <c r="G741" s="84" t="inlineStr">
        <is>
          <t>奥特莱斯</t>
        </is>
      </c>
      <c r="H741" s="84" t="inlineStr">
        <is>
          <t>EEOWG25E01</t>
        </is>
      </c>
      <c r="I741" s="84" t="n">
        <v>999</v>
      </c>
      <c r="J741" s="84" t="n">
        <v>999</v>
      </c>
      <c r="K741" s="85" t="n">
        <v>3</v>
      </c>
      <c r="L741" s="86" t="n">
        <v>1921</v>
      </c>
    </row>
    <row r="742" ht="12.75" customHeight="1" s="103">
      <c r="A742" s="78">
        <f>MID(H742,3,2)</f>
        <v/>
      </c>
      <c r="B742" s="84" t="inlineStr">
        <is>
          <t>B331</t>
        </is>
      </c>
      <c r="C742" s="84" t="inlineStr">
        <is>
          <t>上海区域</t>
        </is>
      </c>
      <c r="D742" s="84" t="inlineStr">
        <is>
          <t>CN0Q</t>
        </is>
      </c>
      <c r="E742" s="80" t="inlineStr">
        <is>
          <t>EE 苏州比斯特</t>
        </is>
      </c>
      <c r="F742" s="84" t="n">
        <v>4</v>
      </c>
      <c r="G742" s="84" t="inlineStr">
        <is>
          <t>奥特莱斯</t>
        </is>
      </c>
      <c r="H742" s="84" t="inlineStr">
        <is>
          <t>EEOWG25E01</t>
        </is>
      </c>
      <c r="I742" s="84" t="n">
        <v>999</v>
      </c>
      <c r="J742" s="84" t="n">
        <v>999</v>
      </c>
      <c r="K742" s="85" t="n">
        <v>1</v>
      </c>
      <c r="L742" s="85" t="n"/>
    </row>
    <row r="743" ht="12.75" customHeight="1" s="103">
      <c r="A743" s="78">
        <f>MID(H743,3,2)</f>
        <v/>
      </c>
      <c r="B743" s="84" t="inlineStr">
        <is>
          <t>B331</t>
        </is>
      </c>
      <c r="C743" s="84" t="inlineStr">
        <is>
          <t>上海区域</t>
        </is>
      </c>
      <c r="D743" s="84" t="inlineStr">
        <is>
          <t>CN0Q</t>
        </is>
      </c>
      <c r="E743" s="80" t="inlineStr">
        <is>
          <t>EE 苏州比斯特</t>
        </is>
      </c>
      <c r="F743" s="84" t="n">
        <v>4</v>
      </c>
      <c r="G743" s="84" t="inlineStr">
        <is>
          <t>奥特莱斯</t>
        </is>
      </c>
      <c r="H743" s="84" t="inlineStr">
        <is>
          <t>EEOWG25E02</t>
        </is>
      </c>
      <c r="I743" s="84" t="n">
        <v>1299</v>
      </c>
      <c r="J743" s="84" t="n">
        <v>999</v>
      </c>
      <c r="K743" s="85" t="n"/>
      <c r="L743" s="85" t="n"/>
    </row>
    <row r="744" ht="12.75" customHeight="1" s="103">
      <c r="A744" s="78">
        <f>MID(H744,3,2)</f>
        <v/>
      </c>
      <c r="B744" s="84" t="inlineStr">
        <is>
          <t>B331</t>
        </is>
      </c>
      <c r="C744" s="84" t="inlineStr">
        <is>
          <t>上海区域</t>
        </is>
      </c>
      <c r="D744" s="84" t="inlineStr">
        <is>
          <t>CN0Q</t>
        </is>
      </c>
      <c r="E744" s="80" t="inlineStr">
        <is>
          <t>EE 苏州比斯特</t>
        </is>
      </c>
      <c r="F744" s="84" t="n">
        <v>4</v>
      </c>
      <c r="G744" s="84" t="inlineStr">
        <is>
          <t>奥特莱斯</t>
        </is>
      </c>
      <c r="H744" s="84" t="inlineStr">
        <is>
          <t>EEOWG25E02</t>
        </is>
      </c>
      <c r="I744" s="84" t="n">
        <v>1299</v>
      </c>
      <c r="J744" s="84" t="n">
        <v>999</v>
      </c>
      <c r="K744" s="85" t="n"/>
      <c r="L744" s="85" t="n"/>
    </row>
    <row r="745" ht="12.75" customHeight="1" s="103">
      <c r="A745" s="78">
        <f>MID(H745,3,2)</f>
        <v/>
      </c>
      <c r="B745" s="84" t="inlineStr">
        <is>
          <t>B331</t>
        </is>
      </c>
      <c r="C745" s="84" t="inlineStr">
        <is>
          <t>上海区域</t>
        </is>
      </c>
      <c r="D745" s="84" t="inlineStr">
        <is>
          <t>CN0Q</t>
        </is>
      </c>
      <c r="E745" s="80" t="inlineStr">
        <is>
          <t>EE 苏州比斯特</t>
        </is>
      </c>
      <c r="F745" s="84" t="n">
        <v>4</v>
      </c>
      <c r="G745" s="84" t="inlineStr">
        <is>
          <t>奥特莱斯</t>
        </is>
      </c>
      <c r="H745" s="84" t="inlineStr">
        <is>
          <t>EEOWG25E02</t>
        </is>
      </c>
      <c r="I745" s="84" t="n">
        <v>1299</v>
      </c>
      <c r="J745" s="84" t="n">
        <v>999</v>
      </c>
      <c r="K745" s="85" t="n"/>
      <c r="L745" s="85" t="n"/>
    </row>
    <row r="746" ht="12.75" customHeight="1" s="103">
      <c r="A746" s="78">
        <f>MID(H746,3,2)</f>
        <v/>
      </c>
      <c r="B746" s="84" t="inlineStr">
        <is>
          <t>B331</t>
        </is>
      </c>
      <c r="C746" s="84" t="inlineStr">
        <is>
          <t>上海区域</t>
        </is>
      </c>
      <c r="D746" s="84" t="inlineStr">
        <is>
          <t>CN0Q</t>
        </is>
      </c>
      <c r="E746" s="80" t="inlineStr">
        <is>
          <t>EE 苏州比斯特</t>
        </is>
      </c>
      <c r="F746" s="84" t="n">
        <v>4</v>
      </c>
      <c r="G746" s="84" t="inlineStr">
        <is>
          <t>奥特莱斯</t>
        </is>
      </c>
      <c r="H746" s="84" t="inlineStr">
        <is>
          <t>EEOWG25E02</t>
        </is>
      </c>
      <c r="I746" s="84" t="n">
        <v>1299</v>
      </c>
      <c r="J746" s="84" t="n">
        <v>999</v>
      </c>
      <c r="K746" s="85" t="n">
        <v>2</v>
      </c>
      <c r="L746" s="86" t="n">
        <v>1273</v>
      </c>
    </row>
    <row r="747" ht="12.75" customHeight="1" s="103">
      <c r="A747" s="78">
        <f>MID(H747,3,2)</f>
        <v/>
      </c>
      <c r="B747" s="84" t="inlineStr">
        <is>
          <t>B331</t>
        </is>
      </c>
      <c r="C747" s="84" t="inlineStr">
        <is>
          <t>上海区域</t>
        </is>
      </c>
      <c r="D747" s="84" t="inlineStr">
        <is>
          <t>CN0Q</t>
        </is>
      </c>
      <c r="E747" s="80" t="inlineStr">
        <is>
          <t>EE 苏州比斯特</t>
        </is>
      </c>
      <c r="F747" s="84" t="n">
        <v>4</v>
      </c>
      <c r="G747" s="84" t="inlineStr">
        <is>
          <t>奥特莱斯</t>
        </is>
      </c>
      <c r="H747" s="84" t="inlineStr">
        <is>
          <t>EEOWG25E02</t>
        </is>
      </c>
      <c r="I747" s="84" t="n">
        <v>1299</v>
      </c>
      <c r="J747" s="84" t="n">
        <v>999</v>
      </c>
      <c r="K747" s="85" t="n"/>
      <c r="L747" s="85" t="n"/>
    </row>
    <row r="748" ht="12.75" customHeight="1" s="103">
      <c r="A748" s="78">
        <f>MID(H748,3,2)</f>
        <v/>
      </c>
      <c r="B748" s="84" t="inlineStr">
        <is>
          <t>B331</t>
        </is>
      </c>
      <c r="C748" s="84" t="inlineStr">
        <is>
          <t>上海区域</t>
        </is>
      </c>
      <c r="D748" s="84" t="inlineStr">
        <is>
          <t>CN0Q</t>
        </is>
      </c>
      <c r="E748" s="80" t="inlineStr">
        <is>
          <t>EE 苏州比斯特</t>
        </is>
      </c>
      <c r="F748" s="84" t="n">
        <v>4</v>
      </c>
      <c r="G748" s="84" t="inlineStr">
        <is>
          <t>奥特莱斯</t>
        </is>
      </c>
      <c r="H748" s="84" t="inlineStr">
        <is>
          <t>EEOWG25E02</t>
        </is>
      </c>
      <c r="I748" s="84" t="n">
        <v>1299</v>
      </c>
      <c r="J748" s="84" t="n">
        <v>999</v>
      </c>
      <c r="K748" s="85" t="n">
        <v>2</v>
      </c>
      <c r="L748" s="86" t="n">
        <v>1267</v>
      </c>
    </row>
    <row r="749" ht="12.75" customHeight="1" s="103">
      <c r="A749" s="78">
        <f>MID(H749,3,2)</f>
        <v/>
      </c>
      <c r="B749" s="84" t="inlineStr">
        <is>
          <t>B331</t>
        </is>
      </c>
      <c r="C749" s="84" t="inlineStr">
        <is>
          <t>上海区域</t>
        </is>
      </c>
      <c r="D749" s="84" t="inlineStr">
        <is>
          <t>CN0Q</t>
        </is>
      </c>
      <c r="E749" s="80" t="inlineStr">
        <is>
          <t>EE 苏州比斯特</t>
        </is>
      </c>
      <c r="F749" s="84" t="n">
        <v>4</v>
      </c>
      <c r="G749" s="84" t="inlineStr">
        <is>
          <t>奥特莱斯</t>
        </is>
      </c>
      <c r="H749" s="84" t="inlineStr">
        <is>
          <t>EEOWG25Q91</t>
        </is>
      </c>
      <c r="I749" s="84" t="n">
        <v>1299</v>
      </c>
      <c r="J749" s="84" t="n">
        <v>1299</v>
      </c>
      <c r="K749" s="85" t="n"/>
      <c r="L749" s="85" t="n"/>
    </row>
    <row r="750" ht="12.75" customHeight="1" s="103">
      <c r="A750" s="78">
        <f>MID(H750,3,2)</f>
        <v/>
      </c>
      <c r="B750" s="84" t="inlineStr">
        <is>
          <t>B331</t>
        </is>
      </c>
      <c r="C750" s="84" t="inlineStr">
        <is>
          <t>上海区域</t>
        </is>
      </c>
      <c r="D750" s="84" t="inlineStr">
        <is>
          <t>CN0Q</t>
        </is>
      </c>
      <c r="E750" s="80" t="inlineStr">
        <is>
          <t>EE 苏州比斯特</t>
        </is>
      </c>
      <c r="F750" s="84" t="n">
        <v>4</v>
      </c>
      <c r="G750" s="84" t="inlineStr">
        <is>
          <t>奥特莱斯</t>
        </is>
      </c>
      <c r="H750" s="84" t="inlineStr">
        <is>
          <t>EEOWG25Q91</t>
        </is>
      </c>
      <c r="I750" s="84" t="n">
        <v>1299</v>
      </c>
      <c r="J750" s="84" t="n">
        <v>1299</v>
      </c>
      <c r="K750" s="85" t="n"/>
      <c r="L750" s="85" t="n"/>
    </row>
    <row r="751" ht="12.75" customHeight="1" s="103">
      <c r="A751" s="78">
        <f>MID(H751,3,2)</f>
        <v/>
      </c>
      <c r="B751" s="84" t="inlineStr">
        <is>
          <t>B331</t>
        </is>
      </c>
      <c r="C751" s="84" t="inlineStr">
        <is>
          <t>上海区域</t>
        </is>
      </c>
      <c r="D751" s="84" t="inlineStr">
        <is>
          <t>CN0Q</t>
        </is>
      </c>
      <c r="E751" s="80" t="inlineStr">
        <is>
          <t>EE 苏州比斯特</t>
        </is>
      </c>
      <c r="F751" s="84" t="n">
        <v>4</v>
      </c>
      <c r="G751" s="84" t="inlineStr">
        <is>
          <t>奥特莱斯</t>
        </is>
      </c>
      <c r="H751" s="84" t="inlineStr">
        <is>
          <t>EEOWG25Q91</t>
        </is>
      </c>
      <c r="I751" s="84" t="n">
        <v>1299</v>
      </c>
      <c r="J751" s="84" t="n">
        <v>1299</v>
      </c>
      <c r="K751" s="85" t="n"/>
      <c r="L751" s="85" t="n"/>
    </row>
    <row r="752" ht="12.75" customHeight="1" s="103">
      <c r="A752" s="78">
        <f>MID(H752,3,2)</f>
        <v/>
      </c>
      <c r="B752" s="84" t="inlineStr">
        <is>
          <t>B331</t>
        </is>
      </c>
      <c r="C752" s="84" t="inlineStr">
        <is>
          <t>上海区域</t>
        </is>
      </c>
      <c r="D752" s="84" t="inlineStr">
        <is>
          <t>CN0Q</t>
        </is>
      </c>
      <c r="E752" s="80" t="inlineStr">
        <is>
          <t>EE 苏州比斯特</t>
        </is>
      </c>
      <c r="F752" s="84" t="n">
        <v>4</v>
      </c>
      <c r="G752" s="84" t="inlineStr">
        <is>
          <t>奥特莱斯</t>
        </is>
      </c>
      <c r="H752" s="84" t="inlineStr">
        <is>
          <t>EEOWG25Q91</t>
        </is>
      </c>
      <c r="I752" s="84" t="n">
        <v>1299</v>
      </c>
      <c r="J752" s="84" t="n">
        <v>1299</v>
      </c>
      <c r="K752" s="85" t="n"/>
      <c r="L752" s="85" t="n"/>
    </row>
    <row r="753" ht="12.75" customHeight="1" s="103">
      <c r="A753" s="78">
        <f>MID(H753,3,2)</f>
        <v/>
      </c>
      <c r="B753" s="84" t="inlineStr">
        <is>
          <t>B331</t>
        </is>
      </c>
      <c r="C753" s="84" t="inlineStr">
        <is>
          <t>上海区域</t>
        </is>
      </c>
      <c r="D753" s="84" t="inlineStr">
        <is>
          <t>CN0Q</t>
        </is>
      </c>
      <c r="E753" s="80" t="inlineStr">
        <is>
          <t>EE 苏州比斯特</t>
        </is>
      </c>
      <c r="F753" s="84" t="n">
        <v>4</v>
      </c>
      <c r="G753" s="84" t="inlineStr">
        <is>
          <t>奥特莱斯</t>
        </is>
      </c>
      <c r="H753" s="84" t="inlineStr">
        <is>
          <t>EEOWG25Q91</t>
        </is>
      </c>
      <c r="I753" s="84" t="n">
        <v>1299</v>
      </c>
      <c r="J753" s="84" t="n">
        <v>1299</v>
      </c>
      <c r="K753" s="85" t="n"/>
      <c r="L753" s="85" t="n"/>
    </row>
    <row r="754" ht="12.75" customHeight="1" s="103">
      <c r="A754" s="78">
        <f>MID(H754,3,2)</f>
        <v/>
      </c>
      <c r="B754" s="84" t="inlineStr">
        <is>
          <t>B331</t>
        </is>
      </c>
      <c r="C754" s="84" t="inlineStr">
        <is>
          <t>上海区域</t>
        </is>
      </c>
      <c r="D754" s="84" t="inlineStr">
        <is>
          <t>CN0Q</t>
        </is>
      </c>
      <c r="E754" s="80" t="inlineStr">
        <is>
          <t>EE 苏州比斯特</t>
        </is>
      </c>
      <c r="F754" s="84" t="n">
        <v>4</v>
      </c>
      <c r="G754" s="84" t="inlineStr">
        <is>
          <t>奥特莱斯</t>
        </is>
      </c>
      <c r="H754" s="84" t="inlineStr">
        <is>
          <t>EEOWG25Q91</t>
        </is>
      </c>
      <c r="I754" s="84" t="n">
        <v>1299</v>
      </c>
      <c r="J754" s="84" t="n">
        <v>1299</v>
      </c>
      <c r="K754" s="85" t="n"/>
      <c r="L754" s="85" t="n"/>
    </row>
    <row r="755" ht="12.75" customHeight="1" s="103">
      <c r="A755" s="78">
        <f>MID(H755,3,2)</f>
        <v/>
      </c>
      <c r="B755" s="84" t="inlineStr">
        <is>
          <t>B331</t>
        </is>
      </c>
      <c r="C755" s="84" t="inlineStr">
        <is>
          <t>上海区域</t>
        </is>
      </c>
      <c r="D755" s="84" t="inlineStr">
        <is>
          <t>CN0Q</t>
        </is>
      </c>
      <c r="E755" s="80" t="inlineStr">
        <is>
          <t>EE 苏州比斯特</t>
        </is>
      </c>
      <c r="F755" s="84" t="n">
        <v>4</v>
      </c>
      <c r="G755" s="84" t="inlineStr">
        <is>
          <t>奥特莱斯</t>
        </is>
      </c>
      <c r="H755" s="84" t="inlineStr">
        <is>
          <t>EEOWG25Q92</t>
        </is>
      </c>
      <c r="I755" s="84" t="n">
        <v>1299</v>
      </c>
      <c r="J755" s="84" t="n">
        <v>1299</v>
      </c>
      <c r="K755" s="85" t="n">
        <v>5</v>
      </c>
      <c r="L755" s="86" t="n">
        <v>4198</v>
      </c>
    </row>
    <row r="756" ht="12.75" customHeight="1" s="103">
      <c r="A756" s="78">
        <f>MID(H756,3,2)</f>
        <v/>
      </c>
      <c r="B756" s="84" t="inlineStr">
        <is>
          <t>B331</t>
        </is>
      </c>
      <c r="C756" s="84" t="inlineStr">
        <is>
          <t>上海区域</t>
        </is>
      </c>
      <c r="D756" s="84" t="inlineStr">
        <is>
          <t>CN0Q</t>
        </is>
      </c>
      <c r="E756" s="80" t="inlineStr">
        <is>
          <t>EE 苏州比斯特</t>
        </is>
      </c>
      <c r="F756" s="84" t="n">
        <v>4</v>
      </c>
      <c r="G756" s="84" t="inlineStr">
        <is>
          <t>奥特莱斯</t>
        </is>
      </c>
      <c r="H756" s="84" t="inlineStr">
        <is>
          <t>EEOWG25Q92</t>
        </is>
      </c>
      <c r="I756" s="84" t="n">
        <v>1299</v>
      </c>
      <c r="J756" s="84" t="n">
        <v>1299</v>
      </c>
      <c r="K756" s="85" t="n">
        <v>3</v>
      </c>
      <c r="L756" s="86" t="n">
        <v>2107</v>
      </c>
    </row>
    <row r="757" ht="12.75" customHeight="1" s="103">
      <c r="A757" s="78">
        <f>MID(H757,3,2)</f>
        <v/>
      </c>
      <c r="B757" s="84" t="inlineStr">
        <is>
          <t>B331</t>
        </is>
      </c>
      <c r="C757" s="84" t="inlineStr">
        <is>
          <t>上海区域</t>
        </is>
      </c>
      <c r="D757" s="84" t="inlineStr">
        <is>
          <t>CN0Q</t>
        </is>
      </c>
      <c r="E757" s="80" t="inlineStr">
        <is>
          <t>EE 苏州比斯特</t>
        </is>
      </c>
      <c r="F757" s="84" t="n">
        <v>4</v>
      </c>
      <c r="G757" s="84" t="inlineStr">
        <is>
          <t>奥特莱斯</t>
        </is>
      </c>
      <c r="H757" s="84" t="inlineStr">
        <is>
          <t>EEOWG25Q92</t>
        </is>
      </c>
      <c r="I757" s="84" t="n">
        <v>1299</v>
      </c>
      <c r="J757" s="84" t="n">
        <v>1299</v>
      </c>
      <c r="K757" s="85" t="n">
        <v>1</v>
      </c>
      <c r="L757" s="85" t="n">
        <v>820</v>
      </c>
    </row>
    <row r="758" ht="12.75" customHeight="1" s="103">
      <c r="A758" s="78">
        <f>MID(H758,3,2)</f>
        <v/>
      </c>
      <c r="B758" s="84" t="inlineStr">
        <is>
          <t>B331</t>
        </is>
      </c>
      <c r="C758" s="84" t="inlineStr">
        <is>
          <t>上海区域</t>
        </is>
      </c>
      <c r="D758" s="84" t="inlineStr">
        <is>
          <t>CN0Q</t>
        </is>
      </c>
      <c r="E758" s="80" t="inlineStr">
        <is>
          <t>EE 苏州比斯特</t>
        </is>
      </c>
      <c r="F758" s="84" t="n">
        <v>4</v>
      </c>
      <c r="G758" s="84" t="inlineStr">
        <is>
          <t>奥特莱斯</t>
        </is>
      </c>
      <c r="H758" s="84" t="inlineStr">
        <is>
          <t>EEOWG25Q92</t>
        </is>
      </c>
      <c r="I758" s="84" t="n">
        <v>1299</v>
      </c>
      <c r="J758" s="84" t="n">
        <v>1299</v>
      </c>
      <c r="K758" s="85" t="n">
        <v>4</v>
      </c>
      <c r="L758" s="86" t="n">
        <v>3425</v>
      </c>
    </row>
    <row r="759" ht="12.75" customHeight="1" s="103">
      <c r="A759" s="78">
        <f>MID(H759,3,2)</f>
        <v/>
      </c>
      <c r="B759" s="84" t="inlineStr">
        <is>
          <t>B331</t>
        </is>
      </c>
      <c r="C759" s="84" t="inlineStr">
        <is>
          <t>上海区域</t>
        </is>
      </c>
      <c r="D759" s="84" t="inlineStr">
        <is>
          <t>CN0Q</t>
        </is>
      </c>
      <c r="E759" s="80" t="inlineStr">
        <is>
          <t>EE 苏州比斯特</t>
        </is>
      </c>
      <c r="F759" s="84" t="n">
        <v>4</v>
      </c>
      <c r="G759" s="84" t="inlineStr">
        <is>
          <t>奥特莱斯</t>
        </is>
      </c>
      <c r="H759" s="84" t="inlineStr">
        <is>
          <t>EEOWG25Q92</t>
        </is>
      </c>
      <c r="I759" s="84" t="n">
        <v>1299</v>
      </c>
      <c r="J759" s="84" t="n">
        <v>1299</v>
      </c>
      <c r="K759" s="85" t="n">
        <v>1</v>
      </c>
      <c r="L759" s="85" t="n">
        <v>827</v>
      </c>
    </row>
    <row r="760" ht="12.75" customHeight="1" s="103">
      <c r="A760" s="78">
        <f>MID(H760,3,2)</f>
        <v/>
      </c>
      <c r="B760" s="84" t="inlineStr">
        <is>
          <t>B331</t>
        </is>
      </c>
      <c r="C760" s="84" t="inlineStr">
        <is>
          <t>上海区域</t>
        </is>
      </c>
      <c r="D760" s="84" t="inlineStr">
        <is>
          <t>CN0Q</t>
        </is>
      </c>
      <c r="E760" s="80" t="inlineStr">
        <is>
          <t>EE 苏州比斯特</t>
        </is>
      </c>
      <c r="F760" s="84" t="n">
        <v>4</v>
      </c>
      <c r="G760" s="84" t="inlineStr">
        <is>
          <t>奥特莱斯</t>
        </is>
      </c>
      <c r="H760" s="84" t="inlineStr">
        <is>
          <t>EEOWG25Q92</t>
        </is>
      </c>
      <c r="I760" s="84" t="n">
        <v>1299</v>
      </c>
      <c r="J760" s="84" t="n">
        <v>1299</v>
      </c>
      <c r="K760" s="85" t="n">
        <v>1</v>
      </c>
      <c r="L760" s="85" t="n">
        <v>853</v>
      </c>
    </row>
    <row r="761" ht="12.75" customHeight="1" s="103">
      <c r="A761" s="78">
        <f>MID(H761,3,2)</f>
        <v/>
      </c>
      <c r="B761" s="84" t="inlineStr">
        <is>
          <t>B331</t>
        </is>
      </c>
      <c r="C761" s="84" t="inlineStr">
        <is>
          <t>上海区域</t>
        </is>
      </c>
      <c r="D761" s="84" t="inlineStr">
        <is>
          <t>CN0Q</t>
        </is>
      </c>
      <c r="E761" s="80" t="inlineStr">
        <is>
          <t>EE 苏州比斯特</t>
        </is>
      </c>
      <c r="F761" s="84" t="n">
        <v>4</v>
      </c>
      <c r="G761" s="84" t="inlineStr">
        <is>
          <t>奥特莱斯</t>
        </is>
      </c>
      <c r="H761" s="84" t="inlineStr">
        <is>
          <t>EEOWG26B01</t>
        </is>
      </c>
      <c r="I761" s="84" t="n">
        <v>1299</v>
      </c>
      <c r="J761" s="84" t="n">
        <v>1299</v>
      </c>
      <c r="K761" s="85" t="n">
        <v>2</v>
      </c>
      <c r="L761" s="86" t="n">
        <v>1735</v>
      </c>
    </row>
    <row r="762" ht="12.75" customHeight="1" s="103">
      <c r="A762" s="78">
        <f>MID(H762,3,2)</f>
        <v/>
      </c>
      <c r="B762" s="84" t="inlineStr">
        <is>
          <t>B331</t>
        </is>
      </c>
      <c r="C762" s="84" t="inlineStr">
        <is>
          <t>上海区域</t>
        </is>
      </c>
      <c r="D762" s="84" t="inlineStr">
        <is>
          <t>CN0Q</t>
        </is>
      </c>
      <c r="E762" s="80" t="inlineStr">
        <is>
          <t>EE 苏州比斯特</t>
        </is>
      </c>
      <c r="F762" s="84" t="n">
        <v>4</v>
      </c>
      <c r="G762" s="84" t="inlineStr">
        <is>
          <t>奥特莱斯</t>
        </is>
      </c>
      <c r="H762" s="84" t="inlineStr">
        <is>
          <t>EEOWG26B01</t>
        </is>
      </c>
      <c r="I762" s="84" t="n">
        <v>1299</v>
      </c>
      <c r="J762" s="84" t="n">
        <v>1299</v>
      </c>
      <c r="K762" s="85" t="n">
        <v>1</v>
      </c>
      <c r="L762" s="85" t="n">
        <v>820</v>
      </c>
    </row>
    <row r="763" ht="12.75" customHeight="1" s="103">
      <c r="A763" s="78">
        <f>MID(H763,3,2)</f>
        <v/>
      </c>
      <c r="B763" s="84" t="inlineStr">
        <is>
          <t>B331</t>
        </is>
      </c>
      <c r="C763" s="84" t="inlineStr">
        <is>
          <t>上海区域</t>
        </is>
      </c>
      <c r="D763" s="84" t="inlineStr">
        <is>
          <t>CN0Q</t>
        </is>
      </c>
      <c r="E763" s="80" t="inlineStr">
        <is>
          <t>EE 苏州比斯特</t>
        </is>
      </c>
      <c r="F763" s="84" t="n">
        <v>4</v>
      </c>
      <c r="G763" s="84" t="inlineStr">
        <is>
          <t>奥特莱斯</t>
        </is>
      </c>
      <c r="H763" s="84" t="inlineStr">
        <is>
          <t>EEOWG26B01</t>
        </is>
      </c>
      <c r="I763" s="84" t="n">
        <v>1299</v>
      </c>
      <c r="J763" s="84" t="n">
        <v>1299</v>
      </c>
      <c r="K763" s="85" t="n">
        <v>1</v>
      </c>
      <c r="L763" s="85" t="n">
        <v>909</v>
      </c>
    </row>
    <row r="764" ht="12.75" customHeight="1" s="103">
      <c r="A764" s="78">
        <f>MID(H764,3,2)</f>
        <v/>
      </c>
      <c r="B764" s="84" t="inlineStr">
        <is>
          <t>B331</t>
        </is>
      </c>
      <c r="C764" s="84" t="inlineStr">
        <is>
          <t>上海区域</t>
        </is>
      </c>
      <c r="D764" s="84" t="inlineStr">
        <is>
          <t>CN0Q</t>
        </is>
      </c>
      <c r="E764" s="80" t="inlineStr">
        <is>
          <t>EE 苏州比斯特</t>
        </is>
      </c>
      <c r="F764" s="84" t="n">
        <v>4</v>
      </c>
      <c r="G764" s="84" t="inlineStr">
        <is>
          <t>奥特莱斯</t>
        </is>
      </c>
      <c r="H764" s="84" t="inlineStr">
        <is>
          <t>EEOWG26B03</t>
        </is>
      </c>
      <c r="I764" s="84" t="n">
        <v>1299</v>
      </c>
      <c r="J764" s="84" t="n">
        <v>1299</v>
      </c>
      <c r="K764" s="85" t="n"/>
      <c r="L764" s="85" t="n"/>
    </row>
    <row r="765" ht="12.75" customHeight="1" s="103">
      <c r="A765" s="78">
        <f>MID(H765,3,2)</f>
        <v/>
      </c>
      <c r="B765" s="84" t="inlineStr">
        <is>
          <t>B331</t>
        </is>
      </c>
      <c r="C765" s="84" t="inlineStr">
        <is>
          <t>上海区域</t>
        </is>
      </c>
      <c r="D765" s="84" t="inlineStr">
        <is>
          <t>CN0Q</t>
        </is>
      </c>
      <c r="E765" s="80" t="inlineStr">
        <is>
          <t>EE 苏州比斯特</t>
        </is>
      </c>
      <c r="F765" s="84" t="n">
        <v>4</v>
      </c>
      <c r="G765" s="84" t="inlineStr">
        <is>
          <t>奥特莱斯</t>
        </is>
      </c>
      <c r="H765" s="84" t="inlineStr">
        <is>
          <t>EEOWG26B03</t>
        </is>
      </c>
      <c r="I765" s="84" t="n">
        <v>1299</v>
      </c>
      <c r="J765" s="84" t="n">
        <v>1299</v>
      </c>
      <c r="K765" s="85" t="n"/>
      <c r="L765" s="85" t="n"/>
    </row>
    <row r="766" ht="12.75" customHeight="1" s="103">
      <c r="A766" s="78">
        <f>MID(H766,3,2)</f>
        <v/>
      </c>
      <c r="B766" s="84" t="inlineStr">
        <is>
          <t>B331</t>
        </is>
      </c>
      <c r="C766" s="84" t="inlineStr">
        <is>
          <t>上海区域</t>
        </is>
      </c>
      <c r="D766" s="84" t="inlineStr">
        <is>
          <t>CN0Q</t>
        </is>
      </c>
      <c r="E766" s="80" t="inlineStr">
        <is>
          <t>EE 苏州比斯特</t>
        </is>
      </c>
      <c r="F766" s="84" t="n">
        <v>4</v>
      </c>
      <c r="G766" s="84" t="inlineStr">
        <is>
          <t>奥特莱斯</t>
        </is>
      </c>
      <c r="H766" s="84" t="inlineStr">
        <is>
          <t>EEOWG26B03</t>
        </is>
      </c>
      <c r="I766" s="84" t="n">
        <v>1299</v>
      </c>
      <c r="J766" s="84" t="n">
        <v>1299</v>
      </c>
      <c r="K766" s="85" t="n">
        <v>1</v>
      </c>
      <c r="L766" s="85" t="n">
        <v>909</v>
      </c>
    </row>
    <row r="767" ht="12.75" customHeight="1" s="103">
      <c r="A767" s="78">
        <f>MID(H767,3,2)</f>
        <v/>
      </c>
      <c r="B767" s="84" t="inlineStr">
        <is>
          <t>B331</t>
        </is>
      </c>
      <c r="C767" s="84" t="inlineStr">
        <is>
          <t>上海区域</t>
        </is>
      </c>
      <c r="D767" s="84" t="inlineStr">
        <is>
          <t>CN0Q</t>
        </is>
      </c>
      <c r="E767" s="80" t="inlineStr">
        <is>
          <t>EE 苏州比斯特</t>
        </is>
      </c>
      <c r="F767" s="84" t="n">
        <v>4</v>
      </c>
      <c r="G767" s="84" t="inlineStr">
        <is>
          <t>奥特莱斯</t>
        </is>
      </c>
      <c r="H767" s="84" t="inlineStr">
        <is>
          <t>EEOWG64S02</t>
        </is>
      </c>
      <c r="I767" s="84" t="n">
        <v>999</v>
      </c>
      <c r="J767" s="84" t="n">
        <v>999</v>
      </c>
      <c r="K767" s="85" t="n">
        <v>5</v>
      </c>
      <c r="L767" s="86" t="n">
        <v>1846</v>
      </c>
    </row>
    <row r="768" ht="12.75" customHeight="1" s="103">
      <c r="A768" s="78">
        <f>MID(H768,3,2)</f>
        <v/>
      </c>
      <c r="B768" s="84" t="inlineStr">
        <is>
          <t>B331</t>
        </is>
      </c>
      <c r="C768" s="84" t="inlineStr">
        <is>
          <t>上海区域</t>
        </is>
      </c>
      <c r="D768" s="84" t="inlineStr">
        <is>
          <t>CN0Q</t>
        </is>
      </c>
      <c r="E768" s="80" t="inlineStr">
        <is>
          <t>EE 苏州比斯特</t>
        </is>
      </c>
      <c r="F768" s="84" t="n">
        <v>4</v>
      </c>
      <c r="G768" s="84" t="inlineStr">
        <is>
          <t>奥特莱斯</t>
        </is>
      </c>
      <c r="H768" s="84" t="inlineStr">
        <is>
          <t>EEOWG64S02</t>
        </is>
      </c>
      <c r="I768" s="84" t="n">
        <v>999</v>
      </c>
      <c r="J768" s="84" t="n">
        <v>999</v>
      </c>
      <c r="K768" s="85" t="n">
        <v>0</v>
      </c>
      <c r="L768" s="85" t="n">
        <v>-999</v>
      </c>
    </row>
    <row r="769" ht="12.75" customHeight="1" s="103">
      <c r="A769" s="78">
        <f>MID(H769,3,2)</f>
        <v/>
      </c>
      <c r="B769" s="84" t="inlineStr">
        <is>
          <t>B331</t>
        </is>
      </c>
      <c r="C769" s="84" t="inlineStr">
        <is>
          <t>上海区域</t>
        </is>
      </c>
      <c r="D769" s="84" t="inlineStr">
        <is>
          <t>CN0Q</t>
        </is>
      </c>
      <c r="E769" s="80" t="inlineStr">
        <is>
          <t>EE 苏州比斯特</t>
        </is>
      </c>
      <c r="F769" s="84" t="n">
        <v>4</v>
      </c>
      <c r="G769" s="84" t="inlineStr">
        <is>
          <t>奥特莱斯</t>
        </is>
      </c>
      <c r="H769" s="84" t="inlineStr">
        <is>
          <t>EEOWG64S02</t>
        </is>
      </c>
      <c r="I769" s="84" t="n">
        <v>999</v>
      </c>
      <c r="J769" s="84" t="n">
        <v>999</v>
      </c>
      <c r="K769" s="85" t="n">
        <v>1</v>
      </c>
      <c r="L769" s="85" t="n">
        <v>500</v>
      </c>
    </row>
    <row r="770" ht="12.75" customHeight="1" s="103">
      <c r="A770" s="78">
        <f>MID(H770,3,2)</f>
        <v/>
      </c>
      <c r="B770" s="84" t="inlineStr">
        <is>
          <t>B331</t>
        </is>
      </c>
      <c r="C770" s="84" t="inlineStr">
        <is>
          <t>上海区域</t>
        </is>
      </c>
      <c r="D770" s="84" t="inlineStr">
        <is>
          <t>CN0Q</t>
        </is>
      </c>
      <c r="E770" s="80" t="inlineStr">
        <is>
          <t>EE 苏州比斯特</t>
        </is>
      </c>
      <c r="F770" s="84" t="n">
        <v>4</v>
      </c>
      <c r="G770" s="84" t="inlineStr">
        <is>
          <t>奥特莱斯</t>
        </is>
      </c>
      <c r="H770" s="84" t="inlineStr">
        <is>
          <t>EEOWG64S02</t>
        </is>
      </c>
      <c r="I770" s="84" t="n">
        <v>999</v>
      </c>
      <c r="J770" s="84" t="n">
        <v>999</v>
      </c>
      <c r="K770" s="85" t="n">
        <v>20</v>
      </c>
      <c r="L770" s="86" t="n">
        <v>9162</v>
      </c>
    </row>
    <row r="771" ht="12.75" customHeight="1" s="103">
      <c r="A771" s="78">
        <f>MID(H771,3,2)</f>
        <v/>
      </c>
      <c r="B771" s="84" t="inlineStr">
        <is>
          <t>B331</t>
        </is>
      </c>
      <c r="C771" s="84" t="inlineStr">
        <is>
          <t>上海区域</t>
        </is>
      </c>
      <c r="D771" s="84" t="inlineStr">
        <is>
          <t>CN0Q</t>
        </is>
      </c>
      <c r="E771" s="80" t="inlineStr">
        <is>
          <t>EE 苏州比斯特</t>
        </is>
      </c>
      <c r="F771" s="84" t="n">
        <v>4</v>
      </c>
      <c r="G771" s="84" t="inlineStr">
        <is>
          <t>奥特莱斯</t>
        </is>
      </c>
      <c r="H771" s="84" t="inlineStr">
        <is>
          <t>EEOWG64S02</t>
        </is>
      </c>
      <c r="I771" s="84" t="n">
        <v>999</v>
      </c>
      <c r="J771" s="84" t="n">
        <v>999</v>
      </c>
      <c r="K771" s="85" t="n">
        <v>14</v>
      </c>
      <c r="L771" s="86" t="n">
        <v>3608</v>
      </c>
    </row>
    <row r="772" ht="12.75" customHeight="1" s="103">
      <c r="A772" s="78">
        <f>MID(H772,3,2)</f>
        <v/>
      </c>
      <c r="B772" s="84" t="inlineStr">
        <is>
          <t>B331</t>
        </is>
      </c>
      <c r="C772" s="84" t="inlineStr">
        <is>
          <t>上海区域</t>
        </is>
      </c>
      <c r="D772" s="84" t="inlineStr">
        <is>
          <t>CN0Q</t>
        </is>
      </c>
      <c r="E772" s="80" t="inlineStr">
        <is>
          <t>EE 苏州比斯特</t>
        </is>
      </c>
      <c r="F772" s="84" t="n">
        <v>4</v>
      </c>
      <c r="G772" s="84" t="inlineStr">
        <is>
          <t>奥特莱斯</t>
        </is>
      </c>
      <c r="H772" s="84" t="inlineStr">
        <is>
          <t>EEOWG64S02</t>
        </is>
      </c>
      <c r="I772" s="84" t="n">
        <v>999</v>
      </c>
      <c r="J772" s="84" t="n">
        <v>999</v>
      </c>
      <c r="K772" s="85" t="n">
        <v>3</v>
      </c>
      <c r="L772" s="85" t="n">
        <v>461</v>
      </c>
    </row>
    <row r="773" ht="12.75" customHeight="1" s="103">
      <c r="A773" s="78">
        <f>MID(H773,3,2)</f>
        <v/>
      </c>
      <c r="B773" s="84" t="inlineStr">
        <is>
          <t>B331</t>
        </is>
      </c>
      <c r="C773" s="84" t="inlineStr">
        <is>
          <t>上海区域</t>
        </is>
      </c>
      <c r="D773" s="84" t="inlineStr">
        <is>
          <t>CN0Q</t>
        </is>
      </c>
      <c r="E773" s="80" t="inlineStr">
        <is>
          <t>EE 苏州比斯特</t>
        </is>
      </c>
      <c r="F773" s="84" t="n">
        <v>4</v>
      </c>
      <c r="G773" s="84" t="inlineStr">
        <is>
          <t>奥特莱斯</t>
        </is>
      </c>
      <c r="H773" s="84" t="inlineStr">
        <is>
          <t>EERAF23E01</t>
        </is>
      </c>
      <c r="I773" s="84" t="n">
        <v>299</v>
      </c>
      <c r="J773" s="84" t="n">
        <v>299</v>
      </c>
      <c r="K773" s="85" t="n">
        <v>1</v>
      </c>
      <c r="L773" s="85" t="n">
        <v>135</v>
      </c>
    </row>
    <row r="774" ht="12.75" customHeight="1" s="103">
      <c r="A774" s="78">
        <f>MID(H774,3,2)</f>
        <v/>
      </c>
      <c r="B774" s="84" t="inlineStr">
        <is>
          <t>B331</t>
        </is>
      </c>
      <c r="C774" s="84" t="inlineStr">
        <is>
          <t>上海区域</t>
        </is>
      </c>
      <c r="D774" s="84" t="inlineStr">
        <is>
          <t>CN0Q</t>
        </is>
      </c>
      <c r="E774" s="80" t="inlineStr">
        <is>
          <t>EE 苏州比斯特</t>
        </is>
      </c>
      <c r="F774" s="84" t="n">
        <v>4</v>
      </c>
      <c r="G774" s="84" t="inlineStr">
        <is>
          <t>奥特莱斯</t>
        </is>
      </c>
      <c r="H774" s="84" t="inlineStr">
        <is>
          <t>EERAF23E01</t>
        </is>
      </c>
      <c r="I774" s="84" t="n">
        <v>299</v>
      </c>
      <c r="J774" s="84" t="n">
        <v>299</v>
      </c>
      <c r="K774" s="85" t="n">
        <v>2</v>
      </c>
      <c r="L774" s="85" t="n">
        <v>285</v>
      </c>
    </row>
    <row r="775" ht="12.75" customHeight="1" s="103">
      <c r="A775" s="78">
        <f>MID(H775,3,2)</f>
        <v/>
      </c>
      <c r="B775" s="84" t="inlineStr">
        <is>
          <t>B331</t>
        </is>
      </c>
      <c r="C775" s="84" t="inlineStr">
        <is>
          <t>上海区域</t>
        </is>
      </c>
      <c r="D775" s="84" t="inlineStr">
        <is>
          <t>CN0Q</t>
        </is>
      </c>
      <c r="E775" s="80" t="inlineStr">
        <is>
          <t>EE 苏州比斯特</t>
        </is>
      </c>
      <c r="F775" s="84" t="n">
        <v>4</v>
      </c>
      <c r="G775" s="84" t="inlineStr">
        <is>
          <t>奥特莱斯</t>
        </is>
      </c>
      <c r="H775" s="84" t="inlineStr">
        <is>
          <t>EERAF23E01</t>
        </is>
      </c>
      <c r="I775" s="84" t="n">
        <v>299</v>
      </c>
      <c r="J775" s="84" t="n">
        <v>299</v>
      </c>
      <c r="K775" s="85" t="n">
        <v>1</v>
      </c>
      <c r="L775" s="85" t="n">
        <v>150</v>
      </c>
    </row>
    <row r="776" ht="12.75" customHeight="1" s="103">
      <c r="A776" s="78">
        <f>MID(H776,3,2)</f>
        <v/>
      </c>
      <c r="B776" s="84" t="inlineStr">
        <is>
          <t>B331</t>
        </is>
      </c>
      <c r="C776" s="84" t="inlineStr">
        <is>
          <t>上海区域</t>
        </is>
      </c>
      <c r="D776" s="84" t="inlineStr">
        <is>
          <t>CN0Q</t>
        </is>
      </c>
      <c r="E776" s="80" t="inlineStr">
        <is>
          <t>EE 苏州比斯特</t>
        </is>
      </c>
      <c r="F776" s="84" t="n">
        <v>4</v>
      </c>
      <c r="G776" s="84" t="inlineStr">
        <is>
          <t>奥特莱斯</t>
        </is>
      </c>
      <c r="H776" s="84" t="inlineStr">
        <is>
          <t>EERAF23E01</t>
        </is>
      </c>
      <c r="I776" s="84" t="n">
        <v>299</v>
      </c>
      <c r="J776" s="84" t="n">
        <v>299</v>
      </c>
      <c r="K776" s="85" t="n">
        <v>1</v>
      </c>
      <c r="L776" s="85" t="n">
        <v>150</v>
      </c>
    </row>
    <row r="777" ht="12.75" customHeight="1" s="103">
      <c r="A777" s="78">
        <f>MID(H777,3,2)</f>
        <v/>
      </c>
      <c r="B777" s="84" t="inlineStr">
        <is>
          <t>B331</t>
        </is>
      </c>
      <c r="C777" s="84" t="inlineStr">
        <is>
          <t>上海区域</t>
        </is>
      </c>
      <c r="D777" s="84" t="inlineStr">
        <is>
          <t>CN0Q</t>
        </is>
      </c>
      <c r="E777" s="80" t="inlineStr">
        <is>
          <t>EE 苏州比斯特</t>
        </is>
      </c>
      <c r="F777" s="84" t="n">
        <v>4</v>
      </c>
      <c r="G777" s="84" t="inlineStr">
        <is>
          <t>奥特莱斯</t>
        </is>
      </c>
      <c r="H777" s="84" t="inlineStr">
        <is>
          <t>EERAF23E01</t>
        </is>
      </c>
      <c r="I777" s="84" t="n">
        <v>299</v>
      </c>
      <c r="J777" s="84" t="n">
        <v>299</v>
      </c>
      <c r="K777" s="85" t="n">
        <v>1</v>
      </c>
      <c r="L777" s="85" t="n">
        <v>135</v>
      </c>
    </row>
    <row r="778" ht="12.75" customHeight="1" s="103">
      <c r="A778" s="78">
        <f>MID(H778,3,2)</f>
        <v/>
      </c>
      <c r="B778" s="84" t="inlineStr">
        <is>
          <t>B331</t>
        </is>
      </c>
      <c r="C778" s="84" t="inlineStr">
        <is>
          <t>上海区域</t>
        </is>
      </c>
      <c r="D778" s="84" t="inlineStr">
        <is>
          <t>CN0Q</t>
        </is>
      </c>
      <c r="E778" s="80" t="inlineStr">
        <is>
          <t>EE 苏州比斯特</t>
        </is>
      </c>
      <c r="F778" s="84" t="n">
        <v>4</v>
      </c>
      <c r="G778" s="84" t="inlineStr">
        <is>
          <t>奥特莱斯</t>
        </is>
      </c>
      <c r="H778" s="84" t="inlineStr">
        <is>
          <t>EERAF23E02</t>
        </is>
      </c>
      <c r="I778" s="84" t="n">
        <v>299</v>
      </c>
      <c r="J778" s="84" t="n">
        <v>299</v>
      </c>
      <c r="K778" s="85" t="n">
        <v>1</v>
      </c>
      <c r="L778" s="85" t="n">
        <v>135</v>
      </c>
    </row>
    <row r="779" ht="12.75" customHeight="1" s="103">
      <c r="A779" s="78">
        <f>MID(H779,3,2)</f>
        <v/>
      </c>
      <c r="B779" s="84" t="inlineStr">
        <is>
          <t>B331</t>
        </is>
      </c>
      <c r="C779" s="84" t="inlineStr">
        <is>
          <t>上海区域</t>
        </is>
      </c>
      <c r="D779" s="84" t="inlineStr">
        <is>
          <t>CN0Q</t>
        </is>
      </c>
      <c r="E779" s="80" t="inlineStr">
        <is>
          <t>EE 苏州比斯特</t>
        </is>
      </c>
      <c r="F779" s="84" t="n">
        <v>4</v>
      </c>
      <c r="G779" s="84" t="inlineStr">
        <is>
          <t>奥特莱斯</t>
        </is>
      </c>
      <c r="H779" s="84" t="inlineStr">
        <is>
          <t>EERAF23E02</t>
        </is>
      </c>
      <c r="I779" s="84" t="n">
        <v>299</v>
      </c>
      <c r="J779" s="84" t="n">
        <v>299</v>
      </c>
      <c r="K779" s="85" t="n">
        <v>1</v>
      </c>
      <c r="L779" s="85" t="n">
        <v>135</v>
      </c>
    </row>
    <row r="780" ht="12.75" customHeight="1" s="103">
      <c r="A780" s="78">
        <f>MID(H780,3,2)</f>
        <v/>
      </c>
      <c r="B780" s="84" t="inlineStr">
        <is>
          <t>B331</t>
        </is>
      </c>
      <c r="C780" s="84" t="inlineStr">
        <is>
          <t>上海区域</t>
        </is>
      </c>
      <c r="D780" s="84" t="inlineStr">
        <is>
          <t>CN0Q</t>
        </is>
      </c>
      <c r="E780" s="80" t="inlineStr">
        <is>
          <t>EE 苏州比斯特</t>
        </is>
      </c>
      <c r="F780" s="84" t="n">
        <v>4</v>
      </c>
      <c r="G780" s="84" t="inlineStr">
        <is>
          <t>奥特莱斯</t>
        </is>
      </c>
      <c r="H780" s="84" t="inlineStr">
        <is>
          <t>EERAF23E02</t>
        </is>
      </c>
      <c r="I780" s="84" t="n">
        <v>299</v>
      </c>
      <c r="J780" s="84" t="n">
        <v>299</v>
      </c>
      <c r="K780" s="85" t="n">
        <v>1</v>
      </c>
      <c r="L780" s="85" t="n">
        <v>150</v>
      </c>
    </row>
    <row r="781" ht="12.75" customHeight="1" s="103">
      <c r="A781" s="78">
        <f>MID(H781,3,2)</f>
        <v/>
      </c>
      <c r="B781" s="84" t="inlineStr">
        <is>
          <t>B331</t>
        </is>
      </c>
      <c r="C781" s="84" t="inlineStr">
        <is>
          <t>上海区域</t>
        </is>
      </c>
      <c r="D781" s="84" t="inlineStr">
        <is>
          <t>CN0Q</t>
        </is>
      </c>
      <c r="E781" s="80" t="inlineStr">
        <is>
          <t>EE 苏州比斯特</t>
        </is>
      </c>
      <c r="F781" s="84" t="n">
        <v>4</v>
      </c>
      <c r="G781" s="84" t="inlineStr">
        <is>
          <t>奥特莱斯</t>
        </is>
      </c>
      <c r="H781" s="84" t="inlineStr">
        <is>
          <t>EERAF23E02</t>
        </is>
      </c>
      <c r="I781" s="84" t="n">
        <v>299</v>
      </c>
      <c r="J781" s="84" t="n">
        <v>299</v>
      </c>
      <c r="K781" s="85" t="n">
        <v>1</v>
      </c>
      <c r="L781" s="85" t="n">
        <v>135</v>
      </c>
    </row>
    <row r="782" ht="12.75" customHeight="1" s="103">
      <c r="A782" s="78">
        <f>MID(H782,3,2)</f>
        <v/>
      </c>
      <c r="B782" s="84" t="inlineStr">
        <is>
          <t>B331</t>
        </is>
      </c>
      <c r="C782" s="84" t="inlineStr">
        <is>
          <t>上海区域</t>
        </is>
      </c>
      <c r="D782" s="84" t="inlineStr">
        <is>
          <t>CN0Q</t>
        </is>
      </c>
      <c r="E782" s="80" t="inlineStr">
        <is>
          <t>EE 苏州比斯特</t>
        </is>
      </c>
      <c r="F782" s="84" t="n">
        <v>4</v>
      </c>
      <c r="G782" s="84" t="inlineStr">
        <is>
          <t>奥特莱斯</t>
        </is>
      </c>
      <c r="H782" s="84" t="inlineStr">
        <is>
          <t>EERAF23Q92</t>
        </is>
      </c>
      <c r="I782" s="84" t="n">
        <v>399</v>
      </c>
      <c r="J782" s="84" t="n">
        <v>399</v>
      </c>
      <c r="K782" s="85" t="n">
        <v>3</v>
      </c>
      <c r="L782" s="85" t="n"/>
    </row>
    <row r="783" ht="12.75" customHeight="1" s="103">
      <c r="A783" s="78">
        <f>MID(H783,3,2)</f>
        <v/>
      </c>
      <c r="B783" s="84" t="inlineStr">
        <is>
          <t>B331</t>
        </is>
      </c>
      <c r="C783" s="84" t="inlineStr">
        <is>
          <t>上海区域</t>
        </is>
      </c>
      <c r="D783" s="84" t="inlineStr">
        <is>
          <t>CN0Q</t>
        </is>
      </c>
      <c r="E783" s="80" t="inlineStr">
        <is>
          <t>EE 苏州比斯特</t>
        </is>
      </c>
      <c r="F783" s="84" t="n">
        <v>4</v>
      </c>
      <c r="G783" s="84" t="inlineStr">
        <is>
          <t>奥特莱斯</t>
        </is>
      </c>
      <c r="H783" s="84" t="inlineStr">
        <is>
          <t>EERAF23Q92</t>
        </is>
      </c>
      <c r="I783" s="84" t="n">
        <v>399</v>
      </c>
      <c r="J783" s="84" t="n">
        <v>399</v>
      </c>
      <c r="K783" s="85" t="n">
        <v>2</v>
      </c>
      <c r="L783" s="85" t="n"/>
    </row>
    <row r="784" ht="12.75" customHeight="1" s="103">
      <c r="A784" s="78">
        <f>MID(H784,3,2)</f>
        <v/>
      </c>
      <c r="B784" s="84" t="inlineStr">
        <is>
          <t>B331</t>
        </is>
      </c>
      <c r="C784" s="84" t="inlineStr">
        <is>
          <t>上海区域</t>
        </is>
      </c>
      <c r="D784" s="84" t="inlineStr">
        <is>
          <t>CN0Q</t>
        </is>
      </c>
      <c r="E784" s="80" t="inlineStr">
        <is>
          <t>EE 苏州比斯特</t>
        </is>
      </c>
      <c r="F784" s="84" t="n">
        <v>4</v>
      </c>
      <c r="G784" s="84" t="inlineStr">
        <is>
          <t>奥特莱斯</t>
        </is>
      </c>
      <c r="H784" s="84" t="inlineStr">
        <is>
          <t>EERAF37M02</t>
        </is>
      </c>
      <c r="I784" s="84" t="n">
        <v>499</v>
      </c>
      <c r="J784" s="84" t="n">
        <v>399</v>
      </c>
      <c r="K784" s="85" t="n"/>
      <c r="L784" s="85" t="n"/>
    </row>
    <row r="785" ht="12.75" customHeight="1" s="103">
      <c r="A785" s="78">
        <f>MID(H785,3,2)</f>
        <v/>
      </c>
      <c r="B785" s="84" t="inlineStr">
        <is>
          <t>B331</t>
        </is>
      </c>
      <c r="C785" s="84" t="inlineStr">
        <is>
          <t>上海区域</t>
        </is>
      </c>
      <c r="D785" s="84" t="inlineStr">
        <is>
          <t>CN0Q</t>
        </is>
      </c>
      <c r="E785" s="80" t="inlineStr">
        <is>
          <t>EE 苏州比斯特</t>
        </is>
      </c>
      <c r="F785" s="84" t="n">
        <v>4</v>
      </c>
      <c r="G785" s="84" t="inlineStr">
        <is>
          <t>奥特莱斯</t>
        </is>
      </c>
      <c r="H785" s="84" t="inlineStr">
        <is>
          <t>EERAF37M02</t>
        </is>
      </c>
      <c r="I785" s="84" t="n">
        <v>499</v>
      </c>
      <c r="J785" s="84" t="n">
        <v>399</v>
      </c>
      <c r="K785" s="85" t="n"/>
      <c r="L785" s="85" t="n"/>
    </row>
    <row r="786" ht="12.75" customHeight="1" s="103">
      <c r="A786" s="78">
        <f>MID(H786,3,2)</f>
        <v/>
      </c>
      <c r="B786" s="84" t="inlineStr">
        <is>
          <t>B331</t>
        </is>
      </c>
      <c r="C786" s="84" t="inlineStr">
        <is>
          <t>上海区域</t>
        </is>
      </c>
      <c r="D786" s="84" t="inlineStr">
        <is>
          <t>CN0Q</t>
        </is>
      </c>
      <c r="E786" s="80" t="inlineStr">
        <is>
          <t>EE 苏州比斯特</t>
        </is>
      </c>
      <c r="F786" s="84" t="n">
        <v>4</v>
      </c>
      <c r="G786" s="84" t="inlineStr">
        <is>
          <t>奥特莱斯</t>
        </is>
      </c>
      <c r="H786" s="84" t="inlineStr">
        <is>
          <t>EERAF37M02</t>
        </is>
      </c>
      <c r="I786" s="84" t="n">
        <v>499</v>
      </c>
      <c r="J786" s="84" t="n">
        <v>399</v>
      </c>
      <c r="K786" s="85" t="n"/>
      <c r="L786" s="85" t="n"/>
    </row>
    <row r="787" ht="12.75" customHeight="1" s="103">
      <c r="A787" s="78">
        <f>MID(H787,3,2)</f>
        <v/>
      </c>
      <c r="B787" s="84" t="inlineStr">
        <is>
          <t>B331</t>
        </is>
      </c>
      <c r="C787" s="84" t="inlineStr">
        <is>
          <t>上海区域</t>
        </is>
      </c>
      <c r="D787" s="84" t="inlineStr">
        <is>
          <t>CN0Q</t>
        </is>
      </c>
      <c r="E787" s="80" t="inlineStr">
        <is>
          <t>EE 苏州比斯特</t>
        </is>
      </c>
      <c r="F787" s="84" t="n">
        <v>4</v>
      </c>
      <c r="G787" s="84" t="inlineStr">
        <is>
          <t>奥特莱斯</t>
        </is>
      </c>
      <c r="H787" s="84" t="inlineStr">
        <is>
          <t>EERAF37M02</t>
        </is>
      </c>
      <c r="I787" s="84" t="n">
        <v>499</v>
      </c>
      <c r="J787" s="84" t="n">
        <v>399</v>
      </c>
      <c r="K787" s="85" t="n"/>
      <c r="L787" s="85" t="n"/>
    </row>
    <row r="788" ht="12.75" customHeight="1" s="103">
      <c r="A788" s="78">
        <f>MID(H788,3,2)</f>
        <v/>
      </c>
      <c r="B788" s="84" t="inlineStr">
        <is>
          <t>B331</t>
        </is>
      </c>
      <c r="C788" s="84" t="inlineStr">
        <is>
          <t>上海区域</t>
        </is>
      </c>
      <c r="D788" s="84" t="inlineStr">
        <is>
          <t>CN0Q</t>
        </is>
      </c>
      <c r="E788" s="80" t="inlineStr">
        <is>
          <t>EE 苏州比斯特</t>
        </is>
      </c>
      <c r="F788" s="84" t="n">
        <v>4</v>
      </c>
      <c r="G788" s="84" t="inlineStr">
        <is>
          <t>奥特莱斯</t>
        </is>
      </c>
      <c r="H788" s="84" t="inlineStr">
        <is>
          <t>EERAF37M02</t>
        </is>
      </c>
      <c r="I788" s="84" t="n">
        <v>499</v>
      </c>
      <c r="J788" s="84" t="n">
        <v>399</v>
      </c>
      <c r="K788" s="85" t="n"/>
      <c r="L788" s="85" t="n"/>
    </row>
    <row r="789" ht="12.75" customHeight="1" s="103">
      <c r="A789" s="78">
        <f>MID(H789,3,2)</f>
        <v/>
      </c>
      <c r="B789" s="84" t="inlineStr">
        <is>
          <t>B331</t>
        </is>
      </c>
      <c r="C789" s="84" t="inlineStr">
        <is>
          <t>上海区域</t>
        </is>
      </c>
      <c r="D789" s="84" t="inlineStr">
        <is>
          <t>CN0Q</t>
        </is>
      </c>
      <c r="E789" s="80" t="inlineStr">
        <is>
          <t>EE 苏州比斯特</t>
        </is>
      </c>
      <c r="F789" s="84" t="n">
        <v>4</v>
      </c>
      <c r="G789" s="84" t="inlineStr">
        <is>
          <t>奥特莱斯</t>
        </is>
      </c>
      <c r="H789" s="84" t="inlineStr">
        <is>
          <t>EERAF37M02</t>
        </is>
      </c>
      <c r="I789" s="84" t="n">
        <v>499</v>
      </c>
      <c r="J789" s="84" t="n">
        <v>399</v>
      </c>
      <c r="K789" s="85" t="n"/>
      <c r="L789" s="85" t="n"/>
    </row>
    <row r="790" ht="12.75" customHeight="1" s="103">
      <c r="A790" s="78">
        <f>MID(H790,3,2)</f>
        <v/>
      </c>
      <c r="B790" s="84" t="inlineStr">
        <is>
          <t>B331</t>
        </is>
      </c>
      <c r="C790" s="84" t="inlineStr">
        <is>
          <t>上海区域</t>
        </is>
      </c>
      <c r="D790" s="84" t="inlineStr">
        <is>
          <t>CN0Q</t>
        </is>
      </c>
      <c r="E790" s="80" t="inlineStr">
        <is>
          <t>EE 苏州比斯特</t>
        </is>
      </c>
      <c r="F790" s="84" t="n">
        <v>4</v>
      </c>
      <c r="G790" s="84" t="inlineStr">
        <is>
          <t>奥特莱斯</t>
        </is>
      </c>
      <c r="H790" s="84" t="inlineStr">
        <is>
          <t>EERAF37N51</t>
        </is>
      </c>
      <c r="I790" s="84" t="n">
        <v>499</v>
      </c>
      <c r="J790" s="84" t="n">
        <v>499</v>
      </c>
      <c r="K790" s="85" t="n"/>
      <c r="L790" s="85" t="n"/>
    </row>
    <row r="791" ht="12.75" customHeight="1" s="103">
      <c r="A791" s="78">
        <f>MID(H791,3,2)</f>
        <v/>
      </c>
      <c r="B791" s="84" t="inlineStr">
        <is>
          <t>B331</t>
        </is>
      </c>
      <c r="C791" s="84" t="inlineStr">
        <is>
          <t>上海区域</t>
        </is>
      </c>
      <c r="D791" s="84" t="inlineStr">
        <is>
          <t>CN0Q</t>
        </is>
      </c>
      <c r="E791" s="80" t="inlineStr">
        <is>
          <t>EE 苏州比斯特</t>
        </is>
      </c>
      <c r="F791" s="84" t="n">
        <v>4</v>
      </c>
      <c r="G791" s="84" t="inlineStr">
        <is>
          <t>奥特莱斯</t>
        </is>
      </c>
      <c r="H791" s="84" t="inlineStr">
        <is>
          <t>EERAF37N51</t>
        </is>
      </c>
      <c r="I791" s="84" t="n">
        <v>499</v>
      </c>
      <c r="J791" s="84" t="n">
        <v>499</v>
      </c>
      <c r="K791" s="85" t="n"/>
      <c r="L791" s="85" t="n"/>
    </row>
    <row r="792" ht="12.75" customHeight="1" s="103">
      <c r="A792" s="78">
        <f>MID(H792,3,2)</f>
        <v/>
      </c>
      <c r="B792" s="84" t="inlineStr">
        <is>
          <t>B331</t>
        </is>
      </c>
      <c r="C792" s="84" t="inlineStr">
        <is>
          <t>上海区域</t>
        </is>
      </c>
      <c r="D792" s="84" t="inlineStr">
        <is>
          <t>CN0Q</t>
        </is>
      </c>
      <c r="E792" s="80" t="inlineStr">
        <is>
          <t>EE 苏州比斯特</t>
        </is>
      </c>
      <c r="F792" s="84" t="n">
        <v>4</v>
      </c>
      <c r="G792" s="84" t="inlineStr">
        <is>
          <t>奥特莱斯</t>
        </is>
      </c>
      <c r="H792" s="84" t="inlineStr">
        <is>
          <t>EERAF37N51</t>
        </is>
      </c>
      <c r="I792" s="84" t="n">
        <v>499</v>
      </c>
      <c r="J792" s="84" t="n">
        <v>499</v>
      </c>
      <c r="K792" s="85" t="n"/>
      <c r="L792" s="85" t="n"/>
    </row>
    <row r="793" ht="12.75" customHeight="1" s="103">
      <c r="A793" s="78">
        <f>MID(H793,3,2)</f>
        <v/>
      </c>
      <c r="B793" s="84" t="inlineStr">
        <is>
          <t>B331</t>
        </is>
      </c>
      <c r="C793" s="84" t="inlineStr">
        <is>
          <t>上海区域</t>
        </is>
      </c>
      <c r="D793" s="84" t="inlineStr">
        <is>
          <t>CN0Q</t>
        </is>
      </c>
      <c r="E793" s="80" t="inlineStr">
        <is>
          <t>EE 苏州比斯特</t>
        </is>
      </c>
      <c r="F793" s="84" t="n">
        <v>4</v>
      </c>
      <c r="G793" s="84" t="inlineStr">
        <is>
          <t>奥特莱斯</t>
        </is>
      </c>
      <c r="H793" s="84" t="inlineStr">
        <is>
          <t>EERAF37N51</t>
        </is>
      </c>
      <c r="I793" s="84" t="n">
        <v>499</v>
      </c>
      <c r="J793" s="84" t="n">
        <v>499</v>
      </c>
      <c r="K793" s="85" t="n"/>
      <c r="L793" s="85" t="n"/>
    </row>
    <row r="794" ht="12.75" customHeight="1" s="103">
      <c r="A794" s="78">
        <f>MID(H794,3,2)</f>
        <v/>
      </c>
      <c r="B794" s="84" t="inlineStr">
        <is>
          <t>B331</t>
        </is>
      </c>
      <c r="C794" s="84" t="inlineStr">
        <is>
          <t>上海区域</t>
        </is>
      </c>
      <c r="D794" s="84" t="inlineStr">
        <is>
          <t>CN0Q</t>
        </is>
      </c>
      <c r="E794" s="80" t="inlineStr">
        <is>
          <t>EE 苏州比斯特</t>
        </is>
      </c>
      <c r="F794" s="84" t="n">
        <v>4</v>
      </c>
      <c r="G794" s="84" t="inlineStr">
        <is>
          <t>奥特莱斯</t>
        </is>
      </c>
      <c r="H794" s="84" t="inlineStr">
        <is>
          <t>EERAF37N52</t>
        </is>
      </c>
      <c r="I794" s="84" t="n">
        <v>299</v>
      </c>
      <c r="J794" s="84" t="n">
        <v>299</v>
      </c>
      <c r="K794" s="85" t="n"/>
      <c r="L794" s="85" t="n"/>
    </row>
    <row r="795" ht="12.75" customHeight="1" s="103">
      <c r="A795" s="78">
        <f>MID(H795,3,2)</f>
        <v/>
      </c>
      <c r="B795" s="84" t="inlineStr">
        <is>
          <t>B331</t>
        </is>
      </c>
      <c r="C795" s="84" t="inlineStr">
        <is>
          <t>上海区域</t>
        </is>
      </c>
      <c r="D795" s="84" t="inlineStr">
        <is>
          <t>CN0Q</t>
        </is>
      </c>
      <c r="E795" s="80" t="inlineStr">
        <is>
          <t>EE 苏州比斯特</t>
        </is>
      </c>
      <c r="F795" s="84" t="n">
        <v>4</v>
      </c>
      <c r="G795" s="84" t="inlineStr">
        <is>
          <t>奥特莱斯</t>
        </is>
      </c>
      <c r="H795" s="84" t="inlineStr">
        <is>
          <t>EERAF37N52</t>
        </is>
      </c>
      <c r="I795" s="84" t="n">
        <v>299</v>
      </c>
      <c r="J795" s="84" t="n">
        <v>299</v>
      </c>
      <c r="K795" s="85" t="n"/>
      <c r="L795" s="85" t="n"/>
    </row>
    <row r="796" ht="12.75" customHeight="1" s="103">
      <c r="A796" s="78">
        <f>MID(H796,3,2)</f>
        <v/>
      </c>
      <c r="B796" s="84" t="inlineStr">
        <is>
          <t>B331</t>
        </is>
      </c>
      <c r="C796" s="84" t="inlineStr">
        <is>
          <t>上海区域</t>
        </is>
      </c>
      <c r="D796" s="84" t="inlineStr">
        <is>
          <t>CN0Q</t>
        </is>
      </c>
      <c r="E796" s="80" t="inlineStr">
        <is>
          <t>EE 苏州比斯特</t>
        </is>
      </c>
      <c r="F796" s="84" t="n">
        <v>4</v>
      </c>
      <c r="G796" s="84" t="inlineStr">
        <is>
          <t>奥特莱斯</t>
        </is>
      </c>
      <c r="H796" s="84" t="inlineStr">
        <is>
          <t>EERAF37N52</t>
        </is>
      </c>
      <c r="I796" s="84" t="n">
        <v>299</v>
      </c>
      <c r="J796" s="84" t="n">
        <v>299</v>
      </c>
      <c r="K796" s="85" t="n"/>
      <c r="L796" s="85" t="n"/>
    </row>
    <row r="797" ht="12.75" customHeight="1" s="103">
      <c r="A797" s="78">
        <f>MID(H797,3,2)</f>
        <v/>
      </c>
      <c r="B797" s="84" t="inlineStr">
        <is>
          <t>B331</t>
        </is>
      </c>
      <c r="C797" s="84" t="inlineStr">
        <is>
          <t>上海区域</t>
        </is>
      </c>
      <c r="D797" s="84" t="inlineStr">
        <is>
          <t>CN0Q</t>
        </is>
      </c>
      <c r="E797" s="80" t="inlineStr">
        <is>
          <t>EE 苏州比斯特</t>
        </is>
      </c>
      <c r="F797" s="84" t="n">
        <v>4</v>
      </c>
      <c r="G797" s="84" t="inlineStr">
        <is>
          <t>奥特莱斯</t>
        </is>
      </c>
      <c r="H797" s="84" t="inlineStr">
        <is>
          <t>EERAF37R31</t>
        </is>
      </c>
      <c r="I797" s="84" t="n">
        <v>299</v>
      </c>
      <c r="J797" s="84" t="n">
        <v>299</v>
      </c>
      <c r="K797" s="85" t="n"/>
      <c r="L797" s="85" t="n"/>
    </row>
    <row r="798" ht="12.75" customHeight="1" s="103">
      <c r="A798" s="78">
        <f>MID(H798,3,2)</f>
        <v/>
      </c>
      <c r="B798" s="84" t="inlineStr">
        <is>
          <t>B331</t>
        </is>
      </c>
      <c r="C798" s="84" t="inlineStr">
        <is>
          <t>上海区域</t>
        </is>
      </c>
      <c r="D798" s="84" t="inlineStr">
        <is>
          <t>CN0Q</t>
        </is>
      </c>
      <c r="E798" s="80" t="inlineStr">
        <is>
          <t>EE 苏州比斯特</t>
        </is>
      </c>
      <c r="F798" s="84" t="n">
        <v>4</v>
      </c>
      <c r="G798" s="84" t="inlineStr">
        <is>
          <t>奥特莱斯</t>
        </is>
      </c>
      <c r="H798" s="84" t="inlineStr">
        <is>
          <t>EERAF37R31</t>
        </is>
      </c>
      <c r="I798" s="84" t="n">
        <v>299</v>
      </c>
      <c r="J798" s="84" t="n">
        <v>299</v>
      </c>
      <c r="K798" s="85" t="n"/>
      <c r="L798" s="85" t="n"/>
    </row>
    <row r="799" ht="12.75" customHeight="1" s="103">
      <c r="A799" s="78">
        <f>MID(H799,3,2)</f>
        <v/>
      </c>
      <c r="B799" s="84" t="inlineStr">
        <is>
          <t>B331</t>
        </is>
      </c>
      <c r="C799" s="84" t="inlineStr">
        <is>
          <t>上海区域</t>
        </is>
      </c>
      <c r="D799" s="84" t="inlineStr">
        <is>
          <t>CN0Q</t>
        </is>
      </c>
      <c r="E799" s="80" t="inlineStr">
        <is>
          <t>EE 苏州比斯特</t>
        </is>
      </c>
      <c r="F799" s="84" t="n">
        <v>4</v>
      </c>
      <c r="G799" s="84" t="inlineStr">
        <is>
          <t>奥特莱斯</t>
        </is>
      </c>
      <c r="H799" s="84" t="inlineStr">
        <is>
          <t>EERAF37R31</t>
        </is>
      </c>
      <c r="I799" s="84" t="n">
        <v>299</v>
      </c>
      <c r="J799" s="84" t="n">
        <v>299</v>
      </c>
      <c r="K799" s="85" t="n"/>
      <c r="L799" s="85" t="n"/>
    </row>
    <row r="800" ht="12.75" customHeight="1" s="103">
      <c r="A800" s="78">
        <f>MID(H800,3,2)</f>
        <v/>
      </c>
      <c r="B800" s="84" t="inlineStr">
        <is>
          <t>B331</t>
        </is>
      </c>
      <c r="C800" s="84" t="inlineStr">
        <is>
          <t>上海区域</t>
        </is>
      </c>
      <c r="D800" s="84" t="inlineStr">
        <is>
          <t>CN0Q</t>
        </is>
      </c>
      <c r="E800" s="80" t="inlineStr">
        <is>
          <t>EE 苏州比斯特</t>
        </is>
      </c>
      <c r="F800" s="84" t="n">
        <v>4</v>
      </c>
      <c r="G800" s="84" t="inlineStr">
        <is>
          <t>奥特莱斯</t>
        </is>
      </c>
      <c r="H800" s="84" t="inlineStr">
        <is>
          <t>EERAF37R32</t>
        </is>
      </c>
      <c r="I800" s="84" t="n">
        <v>299</v>
      </c>
      <c r="J800" s="84" t="n">
        <v>299</v>
      </c>
      <c r="K800" s="85" t="n"/>
      <c r="L800" s="85" t="n"/>
    </row>
    <row r="801" ht="12.75" customHeight="1" s="103">
      <c r="A801" s="78">
        <f>MID(H801,3,2)</f>
        <v/>
      </c>
      <c r="B801" s="84" t="inlineStr">
        <is>
          <t>B331</t>
        </is>
      </c>
      <c r="C801" s="84" t="inlineStr">
        <is>
          <t>上海区域</t>
        </is>
      </c>
      <c r="D801" s="84" t="inlineStr">
        <is>
          <t>CN0Q</t>
        </is>
      </c>
      <c r="E801" s="80" t="inlineStr">
        <is>
          <t>EE 苏州比斯特</t>
        </is>
      </c>
      <c r="F801" s="84" t="n">
        <v>4</v>
      </c>
      <c r="G801" s="84" t="inlineStr">
        <is>
          <t>奥特莱斯</t>
        </is>
      </c>
      <c r="H801" s="84" t="inlineStr">
        <is>
          <t>EERAF37R32</t>
        </is>
      </c>
      <c r="I801" s="84" t="n">
        <v>299</v>
      </c>
      <c r="J801" s="84" t="n">
        <v>299</v>
      </c>
      <c r="K801" s="85" t="n"/>
      <c r="L801" s="85" t="n"/>
    </row>
    <row r="802" ht="12.75" customHeight="1" s="103">
      <c r="A802" s="78">
        <f>MID(H802,3,2)</f>
        <v/>
      </c>
      <c r="B802" s="84" t="inlineStr">
        <is>
          <t>B331</t>
        </is>
      </c>
      <c r="C802" s="84" t="inlineStr">
        <is>
          <t>上海区域</t>
        </is>
      </c>
      <c r="D802" s="84" t="inlineStr">
        <is>
          <t>CN0Q</t>
        </is>
      </c>
      <c r="E802" s="80" t="inlineStr">
        <is>
          <t>EE 苏州比斯特</t>
        </is>
      </c>
      <c r="F802" s="84" t="n">
        <v>4</v>
      </c>
      <c r="G802" s="84" t="inlineStr">
        <is>
          <t>奥特莱斯</t>
        </is>
      </c>
      <c r="H802" s="84" t="inlineStr">
        <is>
          <t>EERAF37R32</t>
        </is>
      </c>
      <c r="I802" s="84" t="n">
        <v>299</v>
      </c>
      <c r="J802" s="84" t="n">
        <v>299</v>
      </c>
      <c r="K802" s="85" t="n"/>
      <c r="L802" s="85" t="n"/>
    </row>
    <row r="803" ht="12.75" customHeight="1" s="103">
      <c r="A803" s="78">
        <f>MID(H803,3,2)</f>
        <v/>
      </c>
      <c r="B803" s="84" t="inlineStr">
        <is>
          <t>B331</t>
        </is>
      </c>
      <c r="C803" s="84" t="inlineStr">
        <is>
          <t>上海区域</t>
        </is>
      </c>
      <c r="D803" s="84" t="inlineStr">
        <is>
          <t>CN0Q</t>
        </is>
      </c>
      <c r="E803" s="80" t="inlineStr">
        <is>
          <t>EE 苏州比斯特</t>
        </is>
      </c>
      <c r="F803" s="84" t="n">
        <v>4</v>
      </c>
      <c r="G803" s="84" t="inlineStr">
        <is>
          <t>奥特莱斯</t>
        </is>
      </c>
      <c r="H803" s="84" t="inlineStr">
        <is>
          <t>EERAF37R33</t>
        </is>
      </c>
      <c r="I803" s="84" t="n">
        <v>499</v>
      </c>
      <c r="J803" s="84" t="n">
        <v>399</v>
      </c>
      <c r="K803" s="85" t="n"/>
      <c r="L803" s="85" t="n"/>
    </row>
    <row r="804" ht="12.75" customHeight="1" s="103">
      <c r="A804" s="78">
        <f>MID(H804,3,2)</f>
        <v/>
      </c>
      <c r="B804" s="84" t="inlineStr">
        <is>
          <t>B331</t>
        </is>
      </c>
      <c r="C804" s="84" t="inlineStr">
        <is>
          <t>上海区域</t>
        </is>
      </c>
      <c r="D804" s="84" t="inlineStr">
        <is>
          <t>CN0Q</t>
        </is>
      </c>
      <c r="E804" s="80" t="inlineStr">
        <is>
          <t>EE 苏州比斯特</t>
        </is>
      </c>
      <c r="F804" s="84" t="n">
        <v>4</v>
      </c>
      <c r="G804" s="84" t="inlineStr">
        <is>
          <t>奥特莱斯</t>
        </is>
      </c>
      <c r="H804" s="84" t="inlineStr">
        <is>
          <t>EERAF37R33</t>
        </is>
      </c>
      <c r="I804" s="84" t="n">
        <v>499</v>
      </c>
      <c r="J804" s="84" t="n">
        <v>399</v>
      </c>
      <c r="K804" s="85" t="n"/>
      <c r="L804" s="85" t="n"/>
    </row>
    <row r="805" ht="12.75" customHeight="1" s="103">
      <c r="A805" s="78">
        <f>MID(H805,3,2)</f>
        <v/>
      </c>
      <c r="B805" s="84" t="inlineStr">
        <is>
          <t>B331</t>
        </is>
      </c>
      <c r="C805" s="84" t="inlineStr">
        <is>
          <t>上海区域</t>
        </is>
      </c>
      <c r="D805" s="84" t="inlineStr">
        <is>
          <t>CN0Q</t>
        </is>
      </c>
      <c r="E805" s="80" t="inlineStr">
        <is>
          <t>EE 苏州比斯特</t>
        </is>
      </c>
      <c r="F805" s="84" t="n">
        <v>4</v>
      </c>
      <c r="G805" s="84" t="inlineStr">
        <is>
          <t>奥特莱斯</t>
        </is>
      </c>
      <c r="H805" s="84" t="inlineStr">
        <is>
          <t>EERAF37R33</t>
        </is>
      </c>
      <c r="I805" s="84" t="n">
        <v>499</v>
      </c>
      <c r="J805" s="84" t="n">
        <v>399</v>
      </c>
      <c r="K805" s="85" t="n"/>
      <c r="L805" s="85" t="n"/>
    </row>
    <row r="806" ht="12.75" customHeight="1" s="103">
      <c r="A806" s="78">
        <f>MID(H806,3,2)</f>
        <v/>
      </c>
      <c r="B806" s="84" t="inlineStr">
        <is>
          <t>B331</t>
        </is>
      </c>
      <c r="C806" s="84" t="inlineStr">
        <is>
          <t>上海区域</t>
        </is>
      </c>
      <c r="D806" s="84" t="inlineStr">
        <is>
          <t>CN0Q</t>
        </is>
      </c>
      <c r="E806" s="80" t="inlineStr">
        <is>
          <t>EE 苏州比斯特</t>
        </is>
      </c>
      <c r="F806" s="84" t="n">
        <v>4</v>
      </c>
      <c r="G806" s="84" t="inlineStr">
        <is>
          <t>奥特莱斯</t>
        </is>
      </c>
      <c r="H806" s="84" t="inlineStr">
        <is>
          <t>EERAF37R33</t>
        </is>
      </c>
      <c r="I806" s="84" t="n">
        <v>499</v>
      </c>
      <c r="J806" s="84" t="n">
        <v>399</v>
      </c>
      <c r="K806" s="85" t="n"/>
      <c r="L806" s="85" t="n"/>
    </row>
    <row r="807" ht="12.75" customHeight="1" s="103">
      <c r="A807" s="78">
        <f>MID(H807,3,2)</f>
        <v/>
      </c>
      <c r="B807" s="84" t="inlineStr">
        <is>
          <t>B331</t>
        </is>
      </c>
      <c r="C807" s="84" t="inlineStr">
        <is>
          <t>上海区域</t>
        </is>
      </c>
      <c r="D807" s="84" t="inlineStr">
        <is>
          <t>CN0Q</t>
        </is>
      </c>
      <c r="E807" s="80" t="inlineStr">
        <is>
          <t>EE 苏州比斯特</t>
        </is>
      </c>
      <c r="F807" s="84" t="n">
        <v>4</v>
      </c>
      <c r="G807" s="84" t="inlineStr">
        <is>
          <t>奥特莱斯</t>
        </is>
      </c>
      <c r="H807" s="84" t="inlineStr">
        <is>
          <t>EERAF37R33</t>
        </is>
      </c>
      <c r="I807" s="84" t="n">
        <v>499</v>
      </c>
      <c r="J807" s="84" t="n">
        <v>399</v>
      </c>
      <c r="K807" s="85" t="n"/>
      <c r="L807" s="85" t="n"/>
    </row>
    <row r="808" ht="12.75" customHeight="1" s="103">
      <c r="A808" s="78">
        <f>MID(H808,3,2)</f>
        <v/>
      </c>
      <c r="B808" s="84" t="inlineStr">
        <is>
          <t>B331</t>
        </is>
      </c>
      <c r="C808" s="84" t="inlineStr">
        <is>
          <t>上海区域</t>
        </is>
      </c>
      <c r="D808" s="84" t="inlineStr">
        <is>
          <t>CN0Q</t>
        </is>
      </c>
      <c r="E808" s="80" t="inlineStr">
        <is>
          <t>EE 苏州比斯特</t>
        </is>
      </c>
      <c r="F808" s="84" t="n">
        <v>4</v>
      </c>
      <c r="G808" s="84" t="inlineStr">
        <is>
          <t>奥特莱斯</t>
        </is>
      </c>
      <c r="H808" s="84" t="inlineStr">
        <is>
          <t>EERAF37R33</t>
        </is>
      </c>
      <c r="I808" s="84" t="n">
        <v>499</v>
      </c>
      <c r="J808" s="84" t="n">
        <v>399</v>
      </c>
      <c r="K808" s="85" t="n"/>
      <c r="L808" s="85" t="n"/>
    </row>
    <row r="809" ht="12.75" customHeight="1" s="103">
      <c r="A809" s="78">
        <f>MID(H809,3,2)</f>
        <v/>
      </c>
      <c r="B809" s="84" t="inlineStr">
        <is>
          <t>B331</t>
        </is>
      </c>
      <c r="C809" s="84" t="inlineStr">
        <is>
          <t>上海区域</t>
        </is>
      </c>
      <c r="D809" s="84" t="inlineStr">
        <is>
          <t>CN0Q</t>
        </is>
      </c>
      <c r="E809" s="80" t="inlineStr">
        <is>
          <t>EE 苏州比斯特</t>
        </is>
      </c>
      <c r="F809" s="84" t="n">
        <v>4</v>
      </c>
      <c r="G809" s="84" t="inlineStr">
        <is>
          <t>奥特莱斯</t>
        </is>
      </c>
      <c r="H809" s="84" t="inlineStr">
        <is>
          <t>EERAF37R35</t>
        </is>
      </c>
      <c r="I809" s="84" t="n">
        <v>399</v>
      </c>
      <c r="J809" s="84" t="n">
        <v>399</v>
      </c>
      <c r="K809" s="85" t="n"/>
      <c r="L809" s="85" t="n"/>
    </row>
    <row r="810" ht="12.75" customHeight="1" s="103">
      <c r="A810" s="78">
        <f>MID(H810,3,2)</f>
        <v/>
      </c>
      <c r="B810" s="84" t="inlineStr">
        <is>
          <t>B331</t>
        </is>
      </c>
      <c r="C810" s="84" t="inlineStr">
        <is>
          <t>上海区域</t>
        </is>
      </c>
      <c r="D810" s="84" t="inlineStr">
        <is>
          <t>CN0Q</t>
        </is>
      </c>
      <c r="E810" s="80" t="inlineStr">
        <is>
          <t>EE 苏州比斯特</t>
        </is>
      </c>
      <c r="F810" s="84" t="n">
        <v>4</v>
      </c>
      <c r="G810" s="84" t="inlineStr">
        <is>
          <t>奥特莱斯</t>
        </is>
      </c>
      <c r="H810" s="84" t="inlineStr">
        <is>
          <t>EERAF37R35</t>
        </is>
      </c>
      <c r="I810" s="84" t="n">
        <v>399</v>
      </c>
      <c r="J810" s="84" t="n">
        <v>399</v>
      </c>
      <c r="K810" s="85" t="n"/>
      <c r="L810" s="85" t="n"/>
    </row>
    <row r="811" ht="12.75" customHeight="1" s="103">
      <c r="A811" s="78">
        <f>MID(H811,3,2)</f>
        <v/>
      </c>
      <c r="B811" s="84" t="inlineStr">
        <is>
          <t>B331</t>
        </is>
      </c>
      <c r="C811" s="84" t="inlineStr">
        <is>
          <t>上海区域</t>
        </is>
      </c>
      <c r="D811" s="84" t="inlineStr">
        <is>
          <t>CN0Q</t>
        </is>
      </c>
      <c r="E811" s="80" t="inlineStr">
        <is>
          <t>EE 苏州比斯特</t>
        </is>
      </c>
      <c r="F811" s="84" t="n">
        <v>4</v>
      </c>
      <c r="G811" s="84" t="inlineStr">
        <is>
          <t>奥特莱斯</t>
        </is>
      </c>
      <c r="H811" s="84" t="inlineStr">
        <is>
          <t>EERAF37R35</t>
        </is>
      </c>
      <c r="I811" s="84" t="n">
        <v>399</v>
      </c>
      <c r="J811" s="84" t="n">
        <v>399</v>
      </c>
      <c r="K811" s="85" t="n"/>
      <c r="L811" s="85" t="n"/>
    </row>
    <row r="812" ht="12.75" customHeight="1" s="103">
      <c r="A812" s="78">
        <f>MID(H812,3,2)</f>
        <v/>
      </c>
      <c r="B812" s="84" t="inlineStr">
        <is>
          <t>B331</t>
        </is>
      </c>
      <c r="C812" s="84" t="inlineStr">
        <is>
          <t>上海区域</t>
        </is>
      </c>
      <c r="D812" s="84" t="inlineStr">
        <is>
          <t>CN0Q</t>
        </is>
      </c>
      <c r="E812" s="80" t="inlineStr">
        <is>
          <t>EE 苏州比斯特</t>
        </is>
      </c>
      <c r="F812" s="84" t="n">
        <v>4</v>
      </c>
      <c r="G812" s="84" t="inlineStr">
        <is>
          <t>奥特莱斯</t>
        </is>
      </c>
      <c r="H812" s="84" t="inlineStr">
        <is>
          <t>EERAF37R35</t>
        </is>
      </c>
      <c r="I812" s="84" t="n">
        <v>399</v>
      </c>
      <c r="J812" s="84" t="n">
        <v>399</v>
      </c>
      <c r="K812" s="85" t="n"/>
      <c r="L812" s="85" t="n"/>
    </row>
    <row r="813" ht="12.75" customHeight="1" s="103">
      <c r="A813" s="78">
        <f>MID(H813,3,2)</f>
        <v/>
      </c>
      <c r="B813" s="84" t="inlineStr">
        <is>
          <t>B331</t>
        </is>
      </c>
      <c r="C813" s="84" t="inlineStr">
        <is>
          <t>上海区域</t>
        </is>
      </c>
      <c r="D813" s="84" t="inlineStr">
        <is>
          <t>CN0Q</t>
        </is>
      </c>
      <c r="E813" s="80" t="inlineStr">
        <is>
          <t>EE 苏州比斯特</t>
        </is>
      </c>
      <c r="F813" s="84" t="n">
        <v>4</v>
      </c>
      <c r="G813" s="84" t="inlineStr">
        <is>
          <t>奥特莱斯</t>
        </is>
      </c>
      <c r="H813" s="84" t="inlineStr">
        <is>
          <t>EERAF37R35</t>
        </is>
      </c>
      <c r="I813" s="84" t="n">
        <v>399</v>
      </c>
      <c r="J813" s="84" t="n">
        <v>399</v>
      </c>
      <c r="K813" s="85" t="n"/>
      <c r="L813" s="85" t="n"/>
    </row>
    <row r="814" ht="12.75" customHeight="1" s="103">
      <c r="A814" s="78">
        <f>MID(H814,3,2)</f>
        <v/>
      </c>
      <c r="B814" s="84" t="inlineStr">
        <is>
          <t>B331</t>
        </is>
      </c>
      <c r="C814" s="84" t="inlineStr">
        <is>
          <t>上海区域</t>
        </is>
      </c>
      <c r="D814" s="84" t="inlineStr">
        <is>
          <t>CN0Q</t>
        </is>
      </c>
      <c r="E814" s="80" t="inlineStr">
        <is>
          <t>EE 苏州比斯特</t>
        </is>
      </c>
      <c r="F814" s="84" t="n">
        <v>4</v>
      </c>
      <c r="G814" s="84" t="inlineStr">
        <is>
          <t>奥特莱斯</t>
        </is>
      </c>
      <c r="H814" s="84" t="inlineStr">
        <is>
          <t>EERAG12E1G</t>
        </is>
      </c>
      <c r="I814" s="84" t="n">
        <v>599</v>
      </c>
      <c r="J814" s="84" t="n">
        <v>599</v>
      </c>
      <c r="K814" s="85" t="n"/>
      <c r="L814" s="85" t="n"/>
    </row>
    <row r="815" ht="12.75" customHeight="1" s="103">
      <c r="A815" s="78">
        <f>MID(H815,3,2)</f>
        <v/>
      </c>
      <c r="B815" s="84" t="inlineStr">
        <is>
          <t>B331</t>
        </is>
      </c>
      <c r="C815" s="84" t="inlineStr">
        <is>
          <t>上海区域</t>
        </is>
      </c>
      <c r="D815" s="84" t="inlineStr">
        <is>
          <t>CN0Q</t>
        </is>
      </c>
      <c r="E815" s="80" t="inlineStr">
        <is>
          <t>EE 苏州比斯特</t>
        </is>
      </c>
      <c r="F815" s="84" t="n">
        <v>4</v>
      </c>
      <c r="G815" s="84" t="inlineStr">
        <is>
          <t>奥特莱斯</t>
        </is>
      </c>
      <c r="H815" s="84" t="inlineStr">
        <is>
          <t>EERAG12E1G</t>
        </is>
      </c>
      <c r="I815" s="84" t="n">
        <v>599</v>
      </c>
      <c r="J815" s="84" t="n">
        <v>599</v>
      </c>
      <c r="K815" s="85" t="n">
        <v>3</v>
      </c>
      <c r="L815" s="85" t="n">
        <v>271</v>
      </c>
    </row>
    <row r="816" ht="12.75" customHeight="1" s="103">
      <c r="A816" s="78">
        <f>MID(H816,3,2)</f>
        <v/>
      </c>
      <c r="B816" s="84" t="inlineStr">
        <is>
          <t>B331</t>
        </is>
      </c>
      <c r="C816" s="84" t="inlineStr">
        <is>
          <t>上海区域</t>
        </is>
      </c>
      <c r="D816" s="84" t="inlineStr">
        <is>
          <t>CN0Q</t>
        </is>
      </c>
      <c r="E816" s="80" t="inlineStr">
        <is>
          <t>EE 苏州比斯特</t>
        </is>
      </c>
      <c r="F816" s="84" t="n">
        <v>4</v>
      </c>
      <c r="G816" s="84" t="inlineStr">
        <is>
          <t>奥特莱斯</t>
        </is>
      </c>
      <c r="H816" s="84" t="inlineStr">
        <is>
          <t>EERAG12E1G</t>
        </is>
      </c>
      <c r="I816" s="84" t="n">
        <v>599</v>
      </c>
      <c r="J816" s="84" t="n">
        <v>599</v>
      </c>
      <c r="K816" s="85" t="n">
        <v>3</v>
      </c>
      <c r="L816" s="85" t="n">
        <v>545</v>
      </c>
    </row>
    <row r="817" ht="12.75" customHeight="1" s="103">
      <c r="A817" s="78">
        <f>MID(H817,3,2)</f>
        <v/>
      </c>
      <c r="B817" s="84" t="inlineStr">
        <is>
          <t>B331</t>
        </is>
      </c>
      <c r="C817" s="84" t="inlineStr">
        <is>
          <t>上海区域</t>
        </is>
      </c>
      <c r="D817" s="84" t="inlineStr">
        <is>
          <t>CN0Q</t>
        </is>
      </c>
      <c r="E817" s="80" t="inlineStr">
        <is>
          <t>EE 苏州比斯特</t>
        </is>
      </c>
      <c r="F817" s="84" t="n">
        <v>4</v>
      </c>
      <c r="G817" s="84" t="inlineStr">
        <is>
          <t>奥特莱斯</t>
        </is>
      </c>
      <c r="H817" s="84" t="inlineStr">
        <is>
          <t>EERAG12E1G</t>
        </is>
      </c>
      <c r="I817" s="84" t="n">
        <v>599</v>
      </c>
      <c r="J817" s="84" t="n">
        <v>599</v>
      </c>
      <c r="K817" s="85" t="n"/>
      <c r="L817" s="85" t="n"/>
    </row>
    <row r="818" ht="12.75" customHeight="1" s="103">
      <c r="A818" s="78">
        <f>MID(H818,3,2)</f>
        <v/>
      </c>
      <c r="B818" s="84" t="inlineStr">
        <is>
          <t>B331</t>
        </is>
      </c>
      <c r="C818" s="84" t="inlineStr">
        <is>
          <t>上海区域</t>
        </is>
      </c>
      <c r="D818" s="84" t="inlineStr">
        <is>
          <t>CN0Q</t>
        </is>
      </c>
      <c r="E818" s="80" t="inlineStr">
        <is>
          <t>EE 苏州比斯特</t>
        </is>
      </c>
      <c r="F818" s="84" t="n">
        <v>4</v>
      </c>
      <c r="G818" s="84" t="inlineStr">
        <is>
          <t>奥特莱斯</t>
        </is>
      </c>
      <c r="H818" s="84" t="inlineStr">
        <is>
          <t>EERAG12E2G</t>
        </is>
      </c>
      <c r="I818" s="84" t="n">
        <v>399</v>
      </c>
      <c r="J818" s="84" t="n">
        <v>399</v>
      </c>
      <c r="K818" s="85" t="n">
        <v>1</v>
      </c>
      <c r="L818" s="85" t="n">
        <v>182</v>
      </c>
    </row>
    <row r="819" ht="12.75" customHeight="1" s="103">
      <c r="A819" s="78">
        <f>MID(H819,3,2)</f>
        <v/>
      </c>
      <c r="B819" s="84" t="inlineStr">
        <is>
          <t>B331</t>
        </is>
      </c>
      <c r="C819" s="84" t="inlineStr">
        <is>
          <t>上海区域</t>
        </is>
      </c>
      <c r="D819" s="84" t="inlineStr">
        <is>
          <t>CN0Q</t>
        </is>
      </c>
      <c r="E819" s="80" t="inlineStr">
        <is>
          <t>EE 苏州比斯特</t>
        </is>
      </c>
      <c r="F819" s="84" t="n">
        <v>4</v>
      </c>
      <c r="G819" s="84" t="inlineStr">
        <is>
          <t>奥特莱斯</t>
        </is>
      </c>
      <c r="H819" s="84" t="inlineStr">
        <is>
          <t>EERAG12E2G</t>
        </is>
      </c>
      <c r="I819" s="84" t="n">
        <v>399</v>
      </c>
      <c r="J819" s="84" t="n">
        <v>399</v>
      </c>
      <c r="K819" s="85" t="n">
        <v>3</v>
      </c>
      <c r="L819" s="85" t="n">
        <v>363</v>
      </c>
    </row>
    <row r="820" ht="12.75" customHeight="1" s="103">
      <c r="A820" s="78">
        <f>MID(H820,3,2)</f>
        <v/>
      </c>
      <c r="B820" s="84" t="inlineStr">
        <is>
          <t>B331</t>
        </is>
      </c>
      <c r="C820" s="84" t="inlineStr">
        <is>
          <t>上海区域</t>
        </is>
      </c>
      <c r="D820" s="84" t="inlineStr">
        <is>
          <t>CN0Q</t>
        </is>
      </c>
      <c r="E820" s="80" t="inlineStr">
        <is>
          <t>EE 苏州比斯特</t>
        </is>
      </c>
      <c r="F820" s="84" t="n">
        <v>4</v>
      </c>
      <c r="G820" s="84" t="inlineStr">
        <is>
          <t>奥特莱斯</t>
        </is>
      </c>
      <c r="H820" s="84" t="inlineStr">
        <is>
          <t>EERAG12E2G</t>
        </is>
      </c>
      <c r="I820" s="84" t="n">
        <v>399</v>
      </c>
      <c r="J820" s="84" t="n">
        <v>399</v>
      </c>
      <c r="K820" s="85" t="n">
        <v>1</v>
      </c>
      <c r="L820" s="85" t="n"/>
    </row>
    <row r="821" ht="12.75" customHeight="1" s="103">
      <c r="A821" s="78">
        <f>MID(H821,3,2)</f>
        <v/>
      </c>
      <c r="B821" s="84" t="inlineStr">
        <is>
          <t>B331</t>
        </is>
      </c>
      <c r="C821" s="84" t="inlineStr">
        <is>
          <t>上海区域</t>
        </is>
      </c>
      <c r="D821" s="84" t="inlineStr">
        <is>
          <t>CN0Q</t>
        </is>
      </c>
      <c r="E821" s="80" t="inlineStr">
        <is>
          <t>EE 苏州比斯特</t>
        </is>
      </c>
      <c r="F821" s="84" t="n">
        <v>4</v>
      </c>
      <c r="G821" s="84" t="inlineStr">
        <is>
          <t>奥特莱斯</t>
        </is>
      </c>
      <c r="H821" s="84" t="inlineStr">
        <is>
          <t>EERAG12E2G</t>
        </is>
      </c>
      <c r="I821" s="84" t="n">
        <v>399</v>
      </c>
      <c r="J821" s="84" t="n">
        <v>399</v>
      </c>
      <c r="K821" s="85" t="n"/>
      <c r="L821" s="85" t="n"/>
    </row>
    <row r="822" ht="12.75" customHeight="1" s="103">
      <c r="A822" s="78">
        <f>MID(H822,3,2)</f>
        <v/>
      </c>
      <c r="B822" s="84" t="inlineStr">
        <is>
          <t>B331</t>
        </is>
      </c>
      <c r="C822" s="84" t="inlineStr">
        <is>
          <t>上海区域</t>
        </is>
      </c>
      <c r="D822" s="84" t="inlineStr">
        <is>
          <t>CN0Q</t>
        </is>
      </c>
      <c r="E822" s="80" t="inlineStr">
        <is>
          <t>EE 苏州比斯特</t>
        </is>
      </c>
      <c r="F822" s="84" t="n">
        <v>4</v>
      </c>
      <c r="G822" s="84" t="inlineStr">
        <is>
          <t>奥特莱斯</t>
        </is>
      </c>
      <c r="H822" s="84" t="inlineStr">
        <is>
          <t>EERAG12E2G</t>
        </is>
      </c>
      <c r="I822" s="84" t="n">
        <v>399</v>
      </c>
      <c r="J822" s="84" t="n">
        <v>399</v>
      </c>
      <c r="K822" s="85" t="n"/>
      <c r="L822" s="85" t="n"/>
    </row>
    <row r="823" ht="12.75" customHeight="1" s="103">
      <c r="A823" s="78">
        <f>MID(H823,3,2)</f>
        <v/>
      </c>
      <c r="B823" s="84" t="inlineStr">
        <is>
          <t>B331</t>
        </is>
      </c>
      <c r="C823" s="84" t="inlineStr">
        <is>
          <t>上海区域</t>
        </is>
      </c>
      <c r="D823" s="84" t="inlineStr">
        <is>
          <t>CN0Q</t>
        </is>
      </c>
      <c r="E823" s="80" t="inlineStr">
        <is>
          <t>EE 苏州比斯特</t>
        </is>
      </c>
      <c r="F823" s="84" t="n">
        <v>4</v>
      </c>
      <c r="G823" s="84" t="inlineStr">
        <is>
          <t>奥特莱斯</t>
        </is>
      </c>
      <c r="H823" s="84" t="inlineStr">
        <is>
          <t>EERAG12E2G</t>
        </is>
      </c>
      <c r="I823" s="84" t="n">
        <v>399</v>
      </c>
      <c r="J823" s="84" t="n">
        <v>399</v>
      </c>
      <c r="K823" s="85" t="n">
        <v>1</v>
      </c>
      <c r="L823" s="85" t="n">
        <v>180</v>
      </c>
    </row>
    <row r="824" ht="12.75" customHeight="1" s="103">
      <c r="A824" s="78">
        <f>MID(H824,3,2)</f>
        <v/>
      </c>
      <c r="B824" s="84" t="inlineStr">
        <is>
          <t>B331</t>
        </is>
      </c>
      <c r="C824" s="84" t="inlineStr">
        <is>
          <t>上海区域</t>
        </is>
      </c>
      <c r="D824" s="84" t="inlineStr">
        <is>
          <t>CN0Q</t>
        </is>
      </c>
      <c r="E824" s="80" t="inlineStr">
        <is>
          <t>EE 苏州比斯特</t>
        </is>
      </c>
      <c r="F824" s="84" t="n">
        <v>4</v>
      </c>
      <c r="G824" s="84" t="inlineStr">
        <is>
          <t>奥特莱斯</t>
        </is>
      </c>
      <c r="H824" s="84" t="inlineStr">
        <is>
          <t>EERAG12E2G</t>
        </is>
      </c>
      <c r="I824" s="84" t="n">
        <v>399</v>
      </c>
      <c r="J824" s="84" t="n">
        <v>399</v>
      </c>
      <c r="K824" s="85" t="n"/>
      <c r="L824" s="85" t="n"/>
    </row>
    <row r="825" ht="12.75" customHeight="1" s="103">
      <c r="A825" s="78">
        <f>MID(H825,3,2)</f>
        <v/>
      </c>
      <c r="B825" s="84" t="inlineStr">
        <is>
          <t>B331</t>
        </is>
      </c>
      <c r="C825" s="84" t="inlineStr">
        <is>
          <t>上海区域</t>
        </is>
      </c>
      <c r="D825" s="84" t="inlineStr">
        <is>
          <t>CN0Q</t>
        </is>
      </c>
      <c r="E825" s="80" t="inlineStr">
        <is>
          <t>EE 苏州比斯特</t>
        </is>
      </c>
      <c r="F825" s="84" t="n">
        <v>4</v>
      </c>
      <c r="G825" s="84" t="inlineStr">
        <is>
          <t>奥特莱斯</t>
        </is>
      </c>
      <c r="H825" s="84" t="inlineStr">
        <is>
          <t>EERAG12E2G</t>
        </is>
      </c>
      <c r="I825" s="84" t="n">
        <v>399</v>
      </c>
      <c r="J825" s="84" t="n">
        <v>399</v>
      </c>
      <c r="K825" s="85" t="n"/>
      <c r="L825" s="85" t="n"/>
    </row>
    <row r="826" ht="12.75" customHeight="1" s="103">
      <c r="A826" s="78">
        <f>MID(H826,3,2)</f>
        <v/>
      </c>
      <c r="B826" s="84" t="inlineStr">
        <is>
          <t>B331</t>
        </is>
      </c>
      <c r="C826" s="84" t="inlineStr">
        <is>
          <t>上海区域</t>
        </is>
      </c>
      <c r="D826" s="84" t="inlineStr">
        <is>
          <t>CN0Q</t>
        </is>
      </c>
      <c r="E826" s="80" t="inlineStr">
        <is>
          <t>EE 苏州比斯特</t>
        </is>
      </c>
      <c r="F826" s="84" t="n">
        <v>4</v>
      </c>
      <c r="G826" s="84" t="inlineStr">
        <is>
          <t>奥特莱斯</t>
        </is>
      </c>
      <c r="H826" s="84" t="inlineStr">
        <is>
          <t>EERAG23B04</t>
        </is>
      </c>
      <c r="I826" s="84" t="n">
        <v>499</v>
      </c>
      <c r="J826" s="84" t="n">
        <v>599</v>
      </c>
      <c r="K826" s="85" t="n">
        <v>1</v>
      </c>
      <c r="L826" s="85" t="n">
        <v>382</v>
      </c>
    </row>
    <row r="827" ht="12.75" customHeight="1" s="103">
      <c r="A827" s="78">
        <f>MID(H827,3,2)</f>
        <v/>
      </c>
      <c r="B827" s="84" t="inlineStr">
        <is>
          <t>B331</t>
        </is>
      </c>
      <c r="C827" s="84" t="inlineStr">
        <is>
          <t>上海区域</t>
        </is>
      </c>
      <c r="D827" s="84" t="inlineStr">
        <is>
          <t>CN0Q</t>
        </is>
      </c>
      <c r="E827" s="80" t="inlineStr">
        <is>
          <t>EE 苏州比斯特</t>
        </is>
      </c>
      <c r="F827" s="84" t="n">
        <v>4</v>
      </c>
      <c r="G827" s="84" t="inlineStr">
        <is>
          <t>奥特莱斯</t>
        </is>
      </c>
      <c r="H827" s="84" t="inlineStr">
        <is>
          <t>EERAG23B04</t>
        </is>
      </c>
      <c r="I827" s="84" t="n">
        <v>499</v>
      </c>
      <c r="J827" s="84" t="n">
        <v>599</v>
      </c>
      <c r="K827" s="85" t="n">
        <v>3</v>
      </c>
      <c r="L827" s="86" t="n">
        <v>1188</v>
      </c>
    </row>
    <row r="828" ht="12.75" customHeight="1" s="103">
      <c r="A828" s="78">
        <f>MID(H828,3,2)</f>
        <v/>
      </c>
      <c r="B828" s="84" t="inlineStr">
        <is>
          <t>B331</t>
        </is>
      </c>
      <c r="C828" s="84" t="inlineStr">
        <is>
          <t>上海区域</t>
        </is>
      </c>
      <c r="D828" s="84" t="inlineStr">
        <is>
          <t>CN0Q</t>
        </is>
      </c>
      <c r="E828" s="80" t="inlineStr">
        <is>
          <t>EE 苏州比斯特</t>
        </is>
      </c>
      <c r="F828" s="84" t="n">
        <v>4</v>
      </c>
      <c r="G828" s="84" t="inlineStr">
        <is>
          <t>奥特莱斯</t>
        </is>
      </c>
      <c r="H828" s="84" t="inlineStr">
        <is>
          <t>EERAG23B04</t>
        </is>
      </c>
      <c r="I828" s="84" t="n">
        <v>499</v>
      </c>
      <c r="J828" s="84" t="n">
        <v>599</v>
      </c>
      <c r="K828" s="85" t="n">
        <v>2</v>
      </c>
      <c r="L828" s="85" t="n">
        <v>560</v>
      </c>
    </row>
    <row r="829" ht="12.75" customHeight="1" s="103">
      <c r="A829" s="78">
        <f>MID(H829,3,2)</f>
        <v/>
      </c>
      <c r="B829" s="84" t="inlineStr">
        <is>
          <t>B331</t>
        </is>
      </c>
      <c r="C829" s="84" t="inlineStr">
        <is>
          <t>上海区域</t>
        </is>
      </c>
      <c r="D829" s="84" t="inlineStr">
        <is>
          <t>CN0Q</t>
        </is>
      </c>
      <c r="E829" s="80" t="inlineStr">
        <is>
          <t>EE 苏州比斯特</t>
        </is>
      </c>
      <c r="F829" s="84" t="n">
        <v>4</v>
      </c>
      <c r="G829" s="84" t="inlineStr">
        <is>
          <t>奥特莱斯</t>
        </is>
      </c>
      <c r="H829" s="84" t="inlineStr">
        <is>
          <t>EERAG23B04</t>
        </is>
      </c>
      <c r="I829" s="84" t="n">
        <v>499</v>
      </c>
      <c r="J829" s="84" t="n">
        <v>599</v>
      </c>
      <c r="K829" s="85" t="n"/>
      <c r="L829" s="85" t="n"/>
    </row>
    <row r="830" ht="12.75" customHeight="1" s="103">
      <c r="A830" s="78">
        <f>MID(H830,3,2)</f>
        <v/>
      </c>
      <c r="B830" s="84" t="inlineStr">
        <is>
          <t>B331</t>
        </is>
      </c>
      <c r="C830" s="84" t="inlineStr">
        <is>
          <t>上海区域</t>
        </is>
      </c>
      <c r="D830" s="84" t="inlineStr">
        <is>
          <t>CN0Q</t>
        </is>
      </c>
      <c r="E830" s="80" t="inlineStr">
        <is>
          <t>EE 苏州比斯特</t>
        </is>
      </c>
      <c r="F830" s="84" t="n">
        <v>4</v>
      </c>
      <c r="G830" s="84" t="inlineStr">
        <is>
          <t>奥特莱斯</t>
        </is>
      </c>
      <c r="H830" s="84" t="inlineStr">
        <is>
          <t>EERAG23B04</t>
        </is>
      </c>
      <c r="I830" s="84" t="n">
        <v>499</v>
      </c>
      <c r="J830" s="84" t="n">
        <v>599</v>
      </c>
      <c r="K830" s="85" t="n">
        <v>2</v>
      </c>
      <c r="L830" s="85" t="n">
        <v>807</v>
      </c>
    </row>
    <row r="831" ht="12.75" customHeight="1" s="103">
      <c r="A831" s="78">
        <f>MID(H831,3,2)</f>
        <v/>
      </c>
      <c r="B831" s="84" t="inlineStr">
        <is>
          <t>B331</t>
        </is>
      </c>
      <c r="C831" s="84" t="inlineStr">
        <is>
          <t>上海区域</t>
        </is>
      </c>
      <c r="D831" s="84" t="inlineStr">
        <is>
          <t>CN0Q</t>
        </is>
      </c>
      <c r="E831" s="80" t="inlineStr">
        <is>
          <t>EE 苏州比斯特</t>
        </is>
      </c>
      <c r="F831" s="84" t="n">
        <v>4</v>
      </c>
      <c r="G831" s="84" t="inlineStr">
        <is>
          <t>奥特莱斯</t>
        </is>
      </c>
      <c r="H831" s="84" t="inlineStr">
        <is>
          <t>EERAG23B04</t>
        </is>
      </c>
      <c r="I831" s="84" t="n">
        <v>499</v>
      </c>
      <c r="J831" s="84" t="n">
        <v>599</v>
      </c>
      <c r="K831" s="85" t="n"/>
      <c r="L831" s="85" t="n"/>
    </row>
    <row r="832" ht="12.75" customHeight="1" s="103">
      <c r="A832" s="78">
        <f>MID(H832,3,2)</f>
        <v/>
      </c>
      <c r="B832" s="84" t="inlineStr">
        <is>
          <t>B331</t>
        </is>
      </c>
      <c r="C832" s="84" t="inlineStr">
        <is>
          <t>上海区域</t>
        </is>
      </c>
      <c r="D832" s="84" t="inlineStr">
        <is>
          <t>CN0Q</t>
        </is>
      </c>
      <c r="E832" s="80" t="inlineStr">
        <is>
          <t>EE 苏州比斯特</t>
        </is>
      </c>
      <c r="F832" s="84" t="n">
        <v>4</v>
      </c>
      <c r="G832" s="84" t="inlineStr">
        <is>
          <t>奥特莱斯</t>
        </is>
      </c>
      <c r="H832" s="84" t="inlineStr">
        <is>
          <t>EERAG23B1G</t>
        </is>
      </c>
      <c r="I832" s="84" t="n">
        <v>399</v>
      </c>
      <c r="J832" s="84" t="n">
        <v>399</v>
      </c>
      <c r="K832" s="85" t="n">
        <v>2</v>
      </c>
      <c r="L832" s="85" t="n">
        <v>537</v>
      </c>
    </row>
    <row r="833" ht="12.75" customHeight="1" s="103">
      <c r="A833" s="78">
        <f>MID(H833,3,2)</f>
        <v/>
      </c>
      <c r="B833" s="84" t="inlineStr">
        <is>
          <t>B331</t>
        </is>
      </c>
      <c r="C833" s="84" t="inlineStr">
        <is>
          <t>上海区域</t>
        </is>
      </c>
      <c r="D833" s="84" t="inlineStr">
        <is>
          <t>CN0Q</t>
        </is>
      </c>
      <c r="E833" s="80" t="inlineStr">
        <is>
          <t>EE 苏州比斯特</t>
        </is>
      </c>
      <c r="F833" s="84" t="n">
        <v>4</v>
      </c>
      <c r="G833" s="84" t="inlineStr">
        <is>
          <t>奥特莱斯</t>
        </is>
      </c>
      <c r="H833" s="84" t="inlineStr">
        <is>
          <t>EERAG23B1G</t>
        </is>
      </c>
      <c r="I833" s="84" t="n">
        <v>399</v>
      </c>
      <c r="J833" s="84" t="n">
        <v>399</v>
      </c>
      <c r="K833" s="85" t="n">
        <v>1</v>
      </c>
      <c r="L833" s="85" t="n"/>
    </row>
    <row r="834" ht="12.75" customHeight="1" s="103">
      <c r="A834" s="78">
        <f>MID(H834,3,2)</f>
        <v/>
      </c>
      <c r="B834" s="84" t="inlineStr">
        <is>
          <t>B331</t>
        </is>
      </c>
      <c r="C834" s="84" t="inlineStr">
        <is>
          <t>上海区域</t>
        </is>
      </c>
      <c r="D834" s="84" t="inlineStr">
        <is>
          <t>CN0Q</t>
        </is>
      </c>
      <c r="E834" s="80" t="inlineStr">
        <is>
          <t>EE 苏州比斯特</t>
        </is>
      </c>
      <c r="F834" s="84" t="n">
        <v>4</v>
      </c>
      <c r="G834" s="84" t="inlineStr">
        <is>
          <t>奥特莱斯</t>
        </is>
      </c>
      <c r="H834" s="84" t="inlineStr">
        <is>
          <t>EERAG23B1G</t>
        </is>
      </c>
      <c r="I834" s="84" t="n">
        <v>399</v>
      </c>
      <c r="J834" s="84" t="n">
        <v>399</v>
      </c>
      <c r="K834" s="85" t="n"/>
      <c r="L834" s="85" t="n"/>
    </row>
    <row r="835" ht="12.75" customHeight="1" s="103">
      <c r="A835" s="78">
        <f>MID(H835,3,2)</f>
        <v/>
      </c>
      <c r="B835" s="84" t="inlineStr">
        <is>
          <t>B331</t>
        </is>
      </c>
      <c r="C835" s="84" t="inlineStr">
        <is>
          <t>上海区域</t>
        </is>
      </c>
      <c r="D835" s="84" t="inlineStr">
        <is>
          <t>CN0Q</t>
        </is>
      </c>
      <c r="E835" s="80" t="inlineStr">
        <is>
          <t>EE 苏州比斯特</t>
        </is>
      </c>
      <c r="F835" s="84" t="n">
        <v>4</v>
      </c>
      <c r="G835" s="84" t="inlineStr">
        <is>
          <t>奥特莱斯</t>
        </is>
      </c>
      <c r="H835" s="84" t="inlineStr">
        <is>
          <t>EERAG23B1G</t>
        </is>
      </c>
      <c r="I835" s="84" t="n">
        <v>399</v>
      </c>
      <c r="J835" s="84" t="n">
        <v>399</v>
      </c>
      <c r="K835" s="85" t="n">
        <v>1</v>
      </c>
      <c r="L835" s="85" t="n"/>
    </row>
    <row r="836" ht="12.75" customHeight="1" s="103">
      <c r="A836" s="78">
        <f>MID(H836,3,2)</f>
        <v/>
      </c>
      <c r="B836" s="84" t="inlineStr">
        <is>
          <t>B331</t>
        </is>
      </c>
      <c r="C836" s="84" t="inlineStr">
        <is>
          <t>上海区域</t>
        </is>
      </c>
      <c r="D836" s="84" t="inlineStr">
        <is>
          <t>CN0Q</t>
        </is>
      </c>
      <c r="E836" s="80" t="inlineStr">
        <is>
          <t>EE 苏州比斯特</t>
        </is>
      </c>
      <c r="F836" s="84" t="n">
        <v>4</v>
      </c>
      <c r="G836" s="84" t="inlineStr">
        <is>
          <t>奥特莱斯</t>
        </is>
      </c>
      <c r="H836" s="84" t="inlineStr">
        <is>
          <t>EERAG23B1G</t>
        </is>
      </c>
      <c r="I836" s="84" t="n">
        <v>399</v>
      </c>
      <c r="J836" s="84" t="n">
        <v>399</v>
      </c>
      <c r="K836" s="85" t="n"/>
      <c r="L836" s="85" t="n"/>
    </row>
    <row r="837" ht="12.75" customHeight="1" s="103">
      <c r="A837" s="78">
        <f>MID(H837,3,2)</f>
        <v/>
      </c>
      <c r="B837" s="84" t="inlineStr">
        <is>
          <t>B331</t>
        </is>
      </c>
      <c r="C837" s="84" t="inlineStr">
        <is>
          <t>上海区域</t>
        </is>
      </c>
      <c r="D837" s="84" t="inlineStr">
        <is>
          <t>CN0Q</t>
        </is>
      </c>
      <c r="E837" s="80" t="inlineStr">
        <is>
          <t>EE 苏州比斯特</t>
        </is>
      </c>
      <c r="F837" s="84" t="n">
        <v>4</v>
      </c>
      <c r="G837" s="84" t="inlineStr">
        <is>
          <t>奥特莱斯</t>
        </is>
      </c>
      <c r="H837" s="84" t="inlineStr">
        <is>
          <t>EERAG23B1G</t>
        </is>
      </c>
      <c r="I837" s="84" t="n">
        <v>399</v>
      </c>
      <c r="J837" s="84" t="n">
        <v>399</v>
      </c>
      <c r="K837" s="85" t="n">
        <v>2</v>
      </c>
      <c r="L837" s="85" t="n">
        <v>559</v>
      </c>
    </row>
    <row r="838" ht="12.75" customHeight="1" s="103">
      <c r="A838" s="78">
        <f>MID(H838,3,2)</f>
        <v/>
      </c>
      <c r="B838" s="84" t="inlineStr">
        <is>
          <t>B331</t>
        </is>
      </c>
      <c r="C838" s="84" t="inlineStr">
        <is>
          <t>上海区域</t>
        </is>
      </c>
      <c r="D838" s="84" t="inlineStr">
        <is>
          <t>CN0Q</t>
        </is>
      </c>
      <c r="E838" s="80" t="inlineStr">
        <is>
          <t>EE 苏州比斯特</t>
        </is>
      </c>
      <c r="F838" s="84" t="n">
        <v>4</v>
      </c>
      <c r="G838" s="84" t="inlineStr">
        <is>
          <t>奥特莱斯</t>
        </is>
      </c>
      <c r="H838" s="84" t="inlineStr">
        <is>
          <t>EERAG23B1G</t>
        </is>
      </c>
      <c r="I838" s="84" t="n">
        <v>399</v>
      </c>
      <c r="J838" s="84" t="n">
        <v>399</v>
      </c>
      <c r="K838" s="85" t="n">
        <v>1</v>
      </c>
      <c r="L838" s="85" t="n">
        <v>279</v>
      </c>
    </row>
    <row r="839" ht="12.75" customHeight="1" s="103">
      <c r="A839" s="78">
        <f>MID(H839,3,2)</f>
        <v/>
      </c>
      <c r="B839" s="84" t="inlineStr">
        <is>
          <t>B331</t>
        </is>
      </c>
      <c r="C839" s="84" t="inlineStr">
        <is>
          <t>上海区域</t>
        </is>
      </c>
      <c r="D839" s="84" t="inlineStr">
        <is>
          <t>CN0Q</t>
        </is>
      </c>
      <c r="E839" s="80" t="inlineStr">
        <is>
          <t>EE 苏州比斯特</t>
        </is>
      </c>
      <c r="F839" s="84" t="n">
        <v>4</v>
      </c>
      <c r="G839" s="84" t="inlineStr">
        <is>
          <t>奥特莱斯</t>
        </is>
      </c>
      <c r="H839" s="84" t="inlineStr">
        <is>
          <t>EERAG23B1G</t>
        </is>
      </c>
      <c r="I839" s="84" t="n">
        <v>399</v>
      </c>
      <c r="J839" s="84" t="n">
        <v>399</v>
      </c>
      <c r="K839" s="85" t="n"/>
      <c r="L839" s="85" t="n"/>
    </row>
    <row r="840" ht="12.75" customHeight="1" s="103">
      <c r="A840" s="78">
        <f>MID(H840,3,2)</f>
        <v/>
      </c>
      <c r="B840" s="84" t="inlineStr">
        <is>
          <t>B331</t>
        </is>
      </c>
      <c r="C840" s="84" t="inlineStr">
        <is>
          <t>上海区域</t>
        </is>
      </c>
      <c r="D840" s="84" t="inlineStr">
        <is>
          <t>CN0Q</t>
        </is>
      </c>
      <c r="E840" s="80" t="inlineStr">
        <is>
          <t>EE 苏州比斯特</t>
        </is>
      </c>
      <c r="F840" s="84" t="n">
        <v>4</v>
      </c>
      <c r="G840" s="84" t="inlineStr">
        <is>
          <t>奥特莱斯</t>
        </is>
      </c>
      <c r="H840" s="84" t="inlineStr">
        <is>
          <t>EERAG23B2G</t>
        </is>
      </c>
      <c r="I840" s="84" t="n">
        <v>499</v>
      </c>
      <c r="J840" s="84" t="n">
        <v>499</v>
      </c>
      <c r="K840" s="85" t="n">
        <v>2</v>
      </c>
      <c r="L840" s="85" t="n">
        <v>323</v>
      </c>
    </row>
    <row r="841" ht="12.75" customHeight="1" s="103">
      <c r="A841" s="78">
        <f>MID(H841,3,2)</f>
        <v/>
      </c>
      <c r="B841" s="84" t="inlineStr">
        <is>
          <t>B331</t>
        </is>
      </c>
      <c r="C841" s="84" t="inlineStr">
        <is>
          <t>上海区域</t>
        </is>
      </c>
      <c r="D841" s="84" t="inlineStr">
        <is>
          <t>CN0Q</t>
        </is>
      </c>
      <c r="E841" s="80" t="inlineStr">
        <is>
          <t>EE 苏州比斯特</t>
        </is>
      </c>
      <c r="F841" s="84" t="n">
        <v>4</v>
      </c>
      <c r="G841" s="84" t="inlineStr">
        <is>
          <t>奥特莱斯</t>
        </is>
      </c>
      <c r="H841" s="84" t="inlineStr">
        <is>
          <t>EERAG23B2G</t>
        </is>
      </c>
      <c r="I841" s="84" t="n">
        <v>499</v>
      </c>
      <c r="J841" s="84" t="n">
        <v>499</v>
      </c>
      <c r="K841" s="85" t="n">
        <v>2</v>
      </c>
      <c r="L841" s="85" t="n">
        <v>322</v>
      </c>
    </row>
    <row r="842" ht="12.75" customHeight="1" s="103">
      <c r="A842" s="78">
        <f>MID(H842,3,2)</f>
        <v/>
      </c>
      <c r="B842" s="84" t="inlineStr">
        <is>
          <t>B331</t>
        </is>
      </c>
      <c r="C842" s="84" t="inlineStr">
        <is>
          <t>上海区域</t>
        </is>
      </c>
      <c r="D842" s="84" t="inlineStr">
        <is>
          <t>CN0Q</t>
        </is>
      </c>
      <c r="E842" s="80" t="inlineStr">
        <is>
          <t>EE 苏州比斯特</t>
        </is>
      </c>
      <c r="F842" s="84" t="n">
        <v>4</v>
      </c>
      <c r="G842" s="84" t="inlineStr">
        <is>
          <t>奥特莱斯</t>
        </is>
      </c>
      <c r="H842" s="84" t="inlineStr">
        <is>
          <t>EERAG23B2G</t>
        </is>
      </c>
      <c r="I842" s="84" t="n">
        <v>499</v>
      </c>
      <c r="J842" s="84" t="n">
        <v>499</v>
      </c>
      <c r="K842" s="85" t="n">
        <v>1</v>
      </c>
      <c r="L842" s="85" t="n">
        <v>322</v>
      </c>
    </row>
    <row r="843" ht="12.75" customHeight="1" s="103">
      <c r="A843" s="78">
        <f>MID(H843,3,2)</f>
        <v/>
      </c>
      <c r="B843" s="84" t="inlineStr">
        <is>
          <t>B331</t>
        </is>
      </c>
      <c r="C843" s="84" t="inlineStr">
        <is>
          <t>上海区域</t>
        </is>
      </c>
      <c r="D843" s="84" t="inlineStr">
        <is>
          <t>CN0Q</t>
        </is>
      </c>
      <c r="E843" s="80" t="inlineStr">
        <is>
          <t>EE 苏州比斯特</t>
        </is>
      </c>
      <c r="F843" s="84" t="n">
        <v>4</v>
      </c>
      <c r="G843" s="84" t="inlineStr">
        <is>
          <t>奥特莱斯</t>
        </is>
      </c>
      <c r="H843" s="84" t="inlineStr">
        <is>
          <t>EERAG23E01</t>
        </is>
      </c>
      <c r="I843" s="84" t="n">
        <v>399</v>
      </c>
      <c r="J843" s="84" t="n">
        <v>399</v>
      </c>
      <c r="K843" s="85" t="n">
        <v>1</v>
      </c>
      <c r="L843" s="85" t="n">
        <v>252</v>
      </c>
    </row>
    <row r="844" ht="12.75" customHeight="1" s="103">
      <c r="A844" s="78">
        <f>MID(H844,3,2)</f>
        <v/>
      </c>
      <c r="B844" s="84" t="inlineStr">
        <is>
          <t>B331</t>
        </is>
      </c>
      <c r="C844" s="84" t="inlineStr">
        <is>
          <t>上海区域</t>
        </is>
      </c>
      <c r="D844" s="84" t="inlineStr">
        <is>
          <t>CN0Q</t>
        </is>
      </c>
      <c r="E844" s="80" t="inlineStr">
        <is>
          <t>EE 苏州比斯特</t>
        </is>
      </c>
      <c r="F844" s="84" t="n">
        <v>4</v>
      </c>
      <c r="G844" s="84" t="inlineStr">
        <is>
          <t>奥特莱斯</t>
        </is>
      </c>
      <c r="H844" s="84" t="inlineStr">
        <is>
          <t>EERAG23E01</t>
        </is>
      </c>
      <c r="I844" s="84" t="n">
        <v>399</v>
      </c>
      <c r="J844" s="84" t="n">
        <v>399</v>
      </c>
      <c r="K844" s="85" t="n"/>
      <c r="L844" s="85" t="n"/>
    </row>
    <row r="845" ht="12.75" customHeight="1" s="103">
      <c r="A845" s="78">
        <f>MID(H845,3,2)</f>
        <v/>
      </c>
      <c r="B845" s="84" t="inlineStr">
        <is>
          <t>B331</t>
        </is>
      </c>
      <c r="C845" s="84" t="inlineStr">
        <is>
          <t>上海区域</t>
        </is>
      </c>
      <c r="D845" s="84" t="inlineStr">
        <is>
          <t>CN0Q</t>
        </is>
      </c>
      <c r="E845" s="80" t="inlineStr">
        <is>
          <t>EE 苏州比斯特</t>
        </is>
      </c>
      <c r="F845" s="84" t="n">
        <v>4</v>
      </c>
      <c r="G845" s="84" t="inlineStr">
        <is>
          <t>奥特莱斯</t>
        </is>
      </c>
      <c r="H845" s="84" t="inlineStr">
        <is>
          <t>EERAG23E01</t>
        </is>
      </c>
      <c r="I845" s="84" t="n">
        <v>399</v>
      </c>
      <c r="J845" s="84" t="n">
        <v>399</v>
      </c>
      <c r="K845" s="85" t="n"/>
      <c r="L845" s="85" t="n"/>
    </row>
    <row r="846" ht="12.75" customHeight="1" s="103">
      <c r="A846" s="78">
        <f>MID(H846,3,2)</f>
        <v/>
      </c>
      <c r="B846" s="84" t="inlineStr">
        <is>
          <t>B331</t>
        </is>
      </c>
      <c r="C846" s="84" t="inlineStr">
        <is>
          <t>上海区域</t>
        </is>
      </c>
      <c r="D846" s="84" t="inlineStr">
        <is>
          <t>CN0Q</t>
        </is>
      </c>
      <c r="E846" s="80" t="inlineStr">
        <is>
          <t>EE 苏州比斯特</t>
        </is>
      </c>
      <c r="F846" s="84" t="n">
        <v>4</v>
      </c>
      <c r="G846" s="84" t="inlineStr">
        <is>
          <t>奥特莱斯</t>
        </is>
      </c>
      <c r="H846" s="84" t="inlineStr">
        <is>
          <t>EERAG23E01</t>
        </is>
      </c>
      <c r="I846" s="84" t="n">
        <v>399</v>
      </c>
      <c r="J846" s="84" t="n">
        <v>399</v>
      </c>
      <c r="K846" s="85" t="n"/>
      <c r="L846" s="85" t="n"/>
    </row>
    <row r="847" ht="12.75" customHeight="1" s="103">
      <c r="A847" s="78">
        <f>MID(H847,3,2)</f>
        <v/>
      </c>
      <c r="B847" s="84" t="inlineStr">
        <is>
          <t>B331</t>
        </is>
      </c>
      <c r="C847" s="84" t="inlineStr">
        <is>
          <t>上海区域</t>
        </is>
      </c>
      <c r="D847" s="84" t="inlineStr">
        <is>
          <t>CN0Q</t>
        </is>
      </c>
      <c r="E847" s="80" t="inlineStr">
        <is>
          <t>EE 苏州比斯特</t>
        </is>
      </c>
      <c r="F847" s="84" t="n">
        <v>4</v>
      </c>
      <c r="G847" s="84" t="inlineStr">
        <is>
          <t>奥特莱斯</t>
        </is>
      </c>
      <c r="H847" s="84" t="inlineStr">
        <is>
          <t>EERAG23E01</t>
        </is>
      </c>
      <c r="I847" s="84" t="n">
        <v>399</v>
      </c>
      <c r="J847" s="84" t="n">
        <v>399</v>
      </c>
      <c r="K847" s="85" t="n"/>
      <c r="L847" s="85" t="n"/>
    </row>
    <row r="848" ht="12.75" customHeight="1" s="103">
      <c r="A848" s="78">
        <f>MID(H848,3,2)</f>
        <v/>
      </c>
      <c r="B848" s="84" t="inlineStr">
        <is>
          <t>B331</t>
        </is>
      </c>
      <c r="C848" s="84" t="inlineStr">
        <is>
          <t>上海区域</t>
        </is>
      </c>
      <c r="D848" s="84" t="inlineStr">
        <is>
          <t>CN0Q</t>
        </is>
      </c>
      <c r="E848" s="80" t="inlineStr">
        <is>
          <t>EE 苏州比斯特</t>
        </is>
      </c>
      <c r="F848" s="84" t="n">
        <v>4</v>
      </c>
      <c r="G848" s="84" t="inlineStr">
        <is>
          <t>奥特莱斯</t>
        </is>
      </c>
      <c r="H848" s="84" t="inlineStr">
        <is>
          <t>EERAG23E01</t>
        </is>
      </c>
      <c r="I848" s="84" t="n">
        <v>399</v>
      </c>
      <c r="J848" s="84" t="n">
        <v>399</v>
      </c>
      <c r="K848" s="85" t="n"/>
      <c r="L848" s="85" t="n"/>
    </row>
    <row r="849" ht="12.75" customHeight="1" s="103">
      <c r="A849" s="78">
        <f>MID(H849,3,2)</f>
        <v/>
      </c>
      <c r="B849" s="84" t="inlineStr">
        <is>
          <t>B331</t>
        </is>
      </c>
      <c r="C849" s="84" t="inlineStr">
        <is>
          <t>上海区域</t>
        </is>
      </c>
      <c r="D849" s="84" t="inlineStr">
        <is>
          <t>CN0Q</t>
        </is>
      </c>
      <c r="E849" s="80" t="inlineStr">
        <is>
          <t>EE 苏州比斯特</t>
        </is>
      </c>
      <c r="F849" s="84" t="n">
        <v>4</v>
      </c>
      <c r="G849" s="84" t="inlineStr">
        <is>
          <t>奥特莱斯</t>
        </is>
      </c>
      <c r="H849" s="84" t="inlineStr">
        <is>
          <t>EERAG23E01</t>
        </is>
      </c>
      <c r="I849" s="84" t="n">
        <v>399</v>
      </c>
      <c r="J849" s="84" t="n">
        <v>399</v>
      </c>
      <c r="K849" s="85" t="n"/>
      <c r="L849" s="85" t="n"/>
    </row>
    <row r="850" ht="12.75" customHeight="1" s="103">
      <c r="A850" s="78">
        <f>MID(H850,3,2)</f>
        <v/>
      </c>
      <c r="B850" s="84" t="inlineStr">
        <is>
          <t>B331</t>
        </is>
      </c>
      <c r="C850" s="84" t="inlineStr">
        <is>
          <t>上海区域</t>
        </is>
      </c>
      <c r="D850" s="84" t="inlineStr">
        <is>
          <t>CN0Q</t>
        </is>
      </c>
      <c r="E850" s="80" t="inlineStr">
        <is>
          <t>EE 苏州比斯特</t>
        </is>
      </c>
      <c r="F850" s="84" t="n">
        <v>4</v>
      </c>
      <c r="G850" s="84" t="inlineStr">
        <is>
          <t>奥特莱斯</t>
        </is>
      </c>
      <c r="H850" s="84" t="inlineStr">
        <is>
          <t>EERAG23E01</t>
        </is>
      </c>
      <c r="I850" s="84" t="n">
        <v>399</v>
      </c>
      <c r="J850" s="84" t="n">
        <v>399</v>
      </c>
      <c r="K850" s="85" t="n"/>
      <c r="L850" s="85" t="n"/>
    </row>
    <row r="851" ht="12.75" customHeight="1" s="103">
      <c r="A851" s="78">
        <f>MID(H851,3,2)</f>
        <v/>
      </c>
      <c r="B851" s="84" t="inlineStr">
        <is>
          <t>B331</t>
        </is>
      </c>
      <c r="C851" s="84" t="inlineStr">
        <is>
          <t>上海区域</t>
        </is>
      </c>
      <c r="D851" s="84" t="inlineStr">
        <is>
          <t>CN0Q</t>
        </is>
      </c>
      <c r="E851" s="80" t="inlineStr">
        <is>
          <t>EE 苏州比斯特</t>
        </is>
      </c>
      <c r="F851" s="84" t="n">
        <v>4</v>
      </c>
      <c r="G851" s="84" t="inlineStr">
        <is>
          <t>奥特莱斯</t>
        </is>
      </c>
      <c r="H851" s="84" t="inlineStr">
        <is>
          <t>EERAG23E01</t>
        </is>
      </c>
      <c r="I851" s="84" t="n">
        <v>399</v>
      </c>
      <c r="J851" s="84" t="n">
        <v>399</v>
      </c>
      <c r="K851" s="85" t="n">
        <v>1</v>
      </c>
      <c r="L851" s="85" t="n"/>
    </row>
    <row r="852" ht="12.75" customHeight="1" s="103">
      <c r="A852" s="78">
        <f>MID(H852,3,2)</f>
        <v/>
      </c>
      <c r="B852" s="84" t="inlineStr">
        <is>
          <t>B331</t>
        </is>
      </c>
      <c r="C852" s="84" t="inlineStr">
        <is>
          <t>上海区域</t>
        </is>
      </c>
      <c r="D852" s="84" t="inlineStr">
        <is>
          <t>CN0Q</t>
        </is>
      </c>
      <c r="E852" s="80" t="inlineStr">
        <is>
          <t>EE 苏州比斯特</t>
        </is>
      </c>
      <c r="F852" s="84" t="n">
        <v>4</v>
      </c>
      <c r="G852" s="84" t="inlineStr">
        <is>
          <t>奥特莱斯</t>
        </is>
      </c>
      <c r="H852" s="84" t="inlineStr">
        <is>
          <t>EERAG23E01</t>
        </is>
      </c>
      <c r="I852" s="84" t="n">
        <v>399</v>
      </c>
      <c r="J852" s="84" t="n">
        <v>399</v>
      </c>
      <c r="K852" s="85" t="n">
        <v>1</v>
      </c>
      <c r="L852" s="85" t="n">
        <v>256</v>
      </c>
    </row>
    <row r="853" ht="12.75" customHeight="1" s="103">
      <c r="A853" s="78">
        <f>MID(H853,3,2)</f>
        <v/>
      </c>
      <c r="B853" s="84" t="inlineStr">
        <is>
          <t>B331</t>
        </is>
      </c>
      <c r="C853" s="84" t="inlineStr">
        <is>
          <t>上海区域</t>
        </is>
      </c>
      <c r="D853" s="84" t="inlineStr">
        <is>
          <t>CN0Q</t>
        </is>
      </c>
      <c r="E853" s="80" t="inlineStr">
        <is>
          <t>EE 苏州比斯特</t>
        </is>
      </c>
      <c r="F853" s="84" t="n">
        <v>4</v>
      </c>
      <c r="G853" s="84" t="inlineStr">
        <is>
          <t>奥特莱斯</t>
        </is>
      </c>
      <c r="H853" s="84" t="inlineStr">
        <is>
          <t>EERAG23E01</t>
        </is>
      </c>
      <c r="I853" s="84" t="n">
        <v>399</v>
      </c>
      <c r="J853" s="84" t="n">
        <v>399</v>
      </c>
      <c r="K853" s="85" t="n"/>
      <c r="L853" s="85" t="n"/>
    </row>
    <row r="854" ht="12.75" customHeight="1" s="103">
      <c r="A854" s="78">
        <f>MID(H854,3,2)</f>
        <v/>
      </c>
      <c r="B854" s="84" t="inlineStr">
        <is>
          <t>B331</t>
        </is>
      </c>
      <c r="C854" s="84" t="inlineStr">
        <is>
          <t>上海区域</t>
        </is>
      </c>
      <c r="D854" s="84" t="inlineStr">
        <is>
          <t>CN0Q</t>
        </is>
      </c>
      <c r="E854" s="80" t="inlineStr">
        <is>
          <t>EE 苏州比斯特</t>
        </is>
      </c>
      <c r="F854" s="84" t="n">
        <v>4</v>
      </c>
      <c r="G854" s="84" t="inlineStr">
        <is>
          <t>奥特莱斯</t>
        </is>
      </c>
      <c r="H854" s="84" t="inlineStr">
        <is>
          <t>EERAG23E01</t>
        </is>
      </c>
      <c r="I854" s="84" t="n">
        <v>399</v>
      </c>
      <c r="J854" s="84" t="n">
        <v>399</v>
      </c>
      <c r="K854" s="85" t="n">
        <v>1</v>
      </c>
      <c r="L854" s="85" t="n">
        <v>256</v>
      </c>
    </row>
    <row r="855" ht="12.75" customHeight="1" s="103">
      <c r="A855" s="78">
        <f>MID(H855,3,2)</f>
        <v/>
      </c>
      <c r="B855" s="84" t="inlineStr">
        <is>
          <t>B331</t>
        </is>
      </c>
      <c r="C855" s="84" t="inlineStr">
        <is>
          <t>上海区域</t>
        </is>
      </c>
      <c r="D855" s="84" t="inlineStr">
        <is>
          <t>CN0Q</t>
        </is>
      </c>
      <c r="E855" s="80" t="inlineStr">
        <is>
          <t>EE 苏州比斯特</t>
        </is>
      </c>
      <c r="F855" s="84" t="n">
        <v>4</v>
      </c>
      <c r="G855" s="84" t="inlineStr">
        <is>
          <t>奥特莱斯</t>
        </is>
      </c>
      <c r="H855" s="84" t="inlineStr">
        <is>
          <t>EERAG23E01</t>
        </is>
      </c>
      <c r="I855" s="84" t="n">
        <v>399</v>
      </c>
      <c r="J855" s="84" t="n">
        <v>399</v>
      </c>
      <c r="K855" s="85" t="n">
        <v>2</v>
      </c>
      <c r="L855" s="85" t="n">
        <v>536</v>
      </c>
    </row>
    <row r="856" ht="12.75" customHeight="1" s="103">
      <c r="A856" s="78">
        <f>MID(H856,3,2)</f>
        <v/>
      </c>
      <c r="B856" s="84" t="inlineStr">
        <is>
          <t>B331</t>
        </is>
      </c>
      <c r="C856" s="84" t="inlineStr">
        <is>
          <t>上海区域</t>
        </is>
      </c>
      <c r="D856" s="84" t="inlineStr">
        <is>
          <t>CN0Q</t>
        </is>
      </c>
      <c r="E856" s="80" t="inlineStr">
        <is>
          <t>EE 苏州比斯特</t>
        </is>
      </c>
      <c r="F856" s="84" t="n">
        <v>4</v>
      </c>
      <c r="G856" s="84" t="inlineStr">
        <is>
          <t>奥特莱斯</t>
        </is>
      </c>
      <c r="H856" s="84" t="inlineStr">
        <is>
          <t>EERAG23E01</t>
        </is>
      </c>
      <c r="I856" s="84" t="n">
        <v>399</v>
      </c>
      <c r="J856" s="84" t="n">
        <v>399</v>
      </c>
      <c r="K856" s="85" t="n">
        <v>1</v>
      </c>
      <c r="L856" s="85" t="n">
        <v>252</v>
      </c>
    </row>
    <row r="857" ht="12.75" customHeight="1" s="103">
      <c r="A857" s="78">
        <f>MID(H857,3,2)</f>
        <v/>
      </c>
      <c r="B857" s="84" t="inlineStr">
        <is>
          <t>B331</t>
        </is>
      </c>
      <c r="C857" s="84" t="inlineStr">
        <is>
          <t>上海区域</t>
        </is>
      </c>
      <c r="D857" s="84" t="inlineStr">
        <is>
          <t>CN0Q</t>
        </is>
      </c>
      <c r="E857" s="80" t="inlineStr">
        <is>
          <t>EE 苏州比斯特</t>
        </is>
      </c>
      <c r="F857" s="84" t="n">
        <v>4</v>
      </c>
      <c r="G857" s="84" t="inlineStr">
        <is>
          <t>奥特莱斯</t>
        </is>
      </c>
      <c r="H857" s="84" t="inlineStr">
        <is>
          <t>EERAG23E01</t>
        </is>
      </c>
      <c r="I857" s="84" t="n">
        <v>399</v>
      </c>
      <c r="J857" s="84" t="n">
        <v>399</v>
      </c>
      <c r="K857" s="85" t="n"/>
      <c r="L857" s="85" t="n"/>
    </row>
    <row r="858" ht="12.75" customHeight="1" s="103">
      <c r="A858" s="78">
        <f>MID(H858,3,2)</f>
        <v/>
      </c>
      <c r="B858" s="84" t="inlineStr">
        <is>
          <t>B331</t>
        </is>
      </c>
      <c r="C858" s="84" t="inlineStr">
        <is>
          <t>上海区域</t>
        </is>
      </c>
      <c r="D858" s="84" t="inlineStr">
        <is>
          <t>CN0Q</t>
        </is>
      </c>
      <c r="E858" s="80" t="inlineStr">
        <is>
          <t>EE 苏州比斯特</t>
        </is>
      </c>
      <c r="F858" s="84" t="n">
        <v>4</v>
      </c>
      <c r="G858" s="84" t="inlineStr">
        <is>
          <t>奥特莱斯</t>
        </is>
      </c>
      <c r="H858" s="84" t="inlineStr">
        <is>
          <t>EERAG23E01</t>
        </is>
      </c>
      <c r="I858" s="84" t="n">
        <v>399</v>
      </c>
      <c r="J858" s="84" t="n">
        <v>399</v>
      </c>
      <c r="K858" s="85" t="n"/>
      <c r="L858" s="85" t="n"/>
    </row>
    <row r="859" ht="12.75" customHeight="1" s="103">
      <c r="A859" s="78">
        <f>MID(H859,3,2)</f>
        <v/>
      </c>
      <c r="B859" s="84" t="inlineStr">
        <is>
          <t>B331</t>
        </is>
      </c>
      <c r="C859" s="84" t="inlineStr">
        <is>
          <t>上海区域</t>
        </is>
      </c>
      <c r="D859" s="84" t="inlineStr">
        <is>
          <t>CN0Q</t>
        </is>
      </c>
      <c r="E859" s="80" t="inlineStr">
        <is>
          <t>EE 苏州比斯特</t>
        </is>
      </c>
      <c r="F859" s="84" t="n">
        <v>4</v>
      </c>
      <c r="G859" s="84" t="inlineStr">
        <is>
          <t>奥特莱斯</t>
        </is>
      </c>
      <c r="H859" s="84" t="inlineStr">
        <is>
          <t>EERAG23E01</t>
        </is>
      </c>
      <c r="I859" s="84" t="n">
        <v>399</v>
      </c>
      <c r="J859" s="84" t="n">
        <v>399</v>
      </c>
      <c r="K859" s="85" t="n"/>
      <c r="L859" s="85" t="n"/>
    </row>
    <row r="860" ht="12.75" customHeight="1" s="103">
      <c r="A860" s="78">
        <f>MID(H860,3,2)</f>
        <v/>
      </c>
      <c r="B860" s="84" t="inlineStr">
        <is>
          <t>B331</t>
        </is>
      </c>
      <c r="C860" s="84" t="inlineStr">
        <is>
          <t>上海区域</t>
        </is>
      </c>
      <c r="D860" s="84" t="inlineStr">
        <is>
          <t>CN0Q</t>
        </is>
      </c>
      <c r="E860" s="80" t="inlineStr">
        <is>
          <t>EE 苏州比斯特</t>
        </is>
      </c>
      <c r="F860" s="84" t="n">
        <v>4</v>
      </c>
      <c r="G860" s="84" t="inlineStr">
        <is>
          <t>奥特莱斯</t>
        </is>
      </c>
      <c r="H860" s="84" t="inlineStr">
        <is>
          <t>EERAG23E01</t>
        </is>
      </c>
      <c r="I860" s="84" t="n">
        <v>399</v>
      </c>
      <c r="J860" s="84" t="n">
        <v>399</v>
      </c>
      <c r="K860" s="85" t="n">
        <v>1</v>
      </c>
      <c r="L860" s="85" t="n">
        <v>253</v>
      </c>
    </row>
    <row r="861" ht="12.75" customHeight="1" s="103">
      <c r="A861" s="78">
        <f>MID(H861,3,2)</f>
        <v/>
      </c>
      <c r="B861" s="84" t="inlineStr">
        <is>
          <t>B331</t>
        </is>
      </c>
      <c r="C861" s="84" t="inlineStr">
        <is>
          <t>上海区域</t>
        </is>
      </c>
      <c r="D861" s="84" t="inlineStr">
        <is>
          <t>CN0Q</t>
        </is>
      </c>
      <c r="E861" s="80" t="inlineStr">
        <is>
          <t>EE 苏州比斯特</t>
        </is>
      </c>
      <c r="F861" s="84" t="n">
        <v>4</v>
      </c>
      <c r="G861" s="84" t="inlineStr">
        <is>
          <t>奥特莱斯</t>
        </is>
      </c>
      <c r="H861" s="84" t="inlineStr">
        <is>
          <t>EERAG23E01</t>
        </is>
      </c>
      <c r="I861" s="84" t="n">
        <v>399</v>
      </c>
      <c r="J861" s="84" t="n">
        <v>399</v>
      </c>
      <c r="K861" s="85" t="n"/>
      <c r="L861" s="85" t="n"/>
    </row>
    <row r="862" ht="12.75" customHeight="1" s="103">
      <c r="A862" s="78">
        <f>MID(H862,3,2)</f>
        <v/>
      </c>
      <c r="B862" s="84" t="inlineStr">
        <is>
          <t>B331</t>
        </is>
      </c>
      <c r="C862" s="84" t="inlineStr">
        <is>
          <t>上海区域</t>
        </is>
      </c>
      <c r="D862" s="84" t="inlineStr">
        <is>
          <t>CN0Q</t>
        </is>
      </c>
      <c r="E862" s="80" t="inlineStr">
        <is>
          <t>EE 苏州比斯特</t>
        </is>
      </c>
      <c r="F862" s="84" t="n">
        <v>4</v>
      </c>
      <c r="G862" s="84" t="inlineStr">
        <is>
          <t>奥特莱斯</t>
        </is>
      </c>
      <c r="H862" s="84" t="inlineStr">
        <is>
          <t>EERAG23E01</t>
        </is>
      </c>
      <c r="I862" s="84" t="n">
        <v>399</v>
      </c>
      <c r="J862" s="84" t="n">
        <v>399</v>
      </c>
      <c r="K862" s="85" t="n"/>
      <c r="L862" s="85" t="n"/>
    </row>
    <row r="863" ht="12.75" customHeight="1" s="103">
      <c r="A863" s="78">
        <f>MID(H863,3,2)</f>
        <v/>
      </c>
      <c r="B863" s="84" t="inlineStr">
        <is>
          <t>B331</t>
        </is>
      </c>
      <c r="C863" s="84" t="inlineStr">
        <is>
          <t>上海区域</t>
        </is>
      </c>
      <c r="D863" s="84" t="inlineStr">
        <is>
          <t>CN0Q</t>
        </is>
      </c>
      <c r="E863" s="80" t="inlineStr">
        <is>
          <t>EE 苏州比斯特</t>
        </is>
      </c>
      <c r="F863" s="84" t="n">
        <v>4</v>
      </c>
      <c r="G863" s="84" t="inlineStr">
        <is>
          <t>奥特莱斯</t>
        </is>
      </c>
      <c r="H863" s="84" t="inlineStr">
        <is>
          <t>EERAG23E02</t>
        </is>
      </c>
      <c r="I863" s="84" t="n">
        <v>399</v>
      </c>
      <c r="J863" s="84" t="n">
        <v>399</v>
      </c>
      <c r="K863" s="85" t="n">
        <v>1</v>
      </c>
      <c r="L863" s="85" t="n"/>
    </row>
    <row r="864" ht="12.75" customHeight="1" s="103">
      <c r="A864" s="78">
        <f>MID(H864,3,2)</f>
        <v/>
      </c>
      <c r="B864" s="84" t="inlineStr">
        <is>
          <t>B331</t>
        </is>
      </c>
      <c r="C864" s="84" t="inlineStr">
        <is>
          <t>上海区域</t>
        </is>
      </c>
      <c r="D864" s="84" t="inlineStr">
        <is>
          <t>CN0Q</t>
        </is>
      </c>
      <c r="E864" s="80" t="inlineStr">
        <is>
          <t>EE 苏州比斯特</t>
        </is>
      </c>
      <c r="F864" s="84" t="n">
        <v>4</v>
      </c>
      <c r="G864" s="84" t="inlineStr">
        <is>
          <t>奥特莱斯</t>
        </is>
      </c>
      <c r="H864" s="84" t="inlineStr">
        <is>
          <t>EERAG23E02</t>
        </is>
      </c>
      <c r="I864" s="84" t="n">
        <v>399</v>
      </c>
      <c r="J864" s="84" t="n">
        <v>399</v>
      </c>
      <c r="K864" s="85" t="n"/>
      <c r="L864" s="85" t="n"/>
    </row>
    <row r="865" ht="12.75" customHeight="1" s="103">
      <c r="A865" s="78">
        <f>MID(H865,3,2)</f>
        <v/>
      </c>
      <c r="B865" s="84" t="inlineStr">
        <is>
          <t>B331</t>
        </is>
      </c>
      <c r="C865" s="84" t="inlineStr">
        <is>
          <t>上海区域</t>
        </is>
      </c>
      <c r="D865" s="84" t="inlineStr">
        <is>
          <t>CN0Q</t>
        </is>
      </c>
      <c r="E865" s="80" t="inlineStr">
        <is>
          <t>EE 苏州比斯特</t>
        </is>
      </c>
      <c r="F865" s="84" t="n">
        <v>4</v>
      </c>
      <c r="G865" s="84" t="inlineStr">
        <is>
          <t>奥特莱斯</t>
        </is>
      </c>
      <c r="H865" s="84" t="inlineStr">
        <is>
          <t>EERAG23E02</t>
        </is>
      </c>
      <c r="I865" s="84" t="n">
        <v>399</v>
      </c>
      <c r="J865" s="84" t="n">
        <v>399</v>
      </c>
      <c r="K865" s="85" t="n"/>
      <c r="L865" s="85" t="n"/>
    </row>
    <row r="866" ht="12.75" customHeight="1" s="103">
      <c r="A866" s="78">
        <f>MID(H866,3,2)</f>
        <v/>
      </c>
      <c r="B866" s="84" t="inlineStr">
        <is>
          <t>B331</t>
        </is>
      </c>
      <c r="C866" s="84" t="inlineStr">
        <is>
          <t>上海区域</t>
        </is>
      </c>
      <c r="D866" s="84" t="inlineStr">
        <is>
          <t>CN0Q</t>
        </is>
      </c>
      <c r="E866" s="80" t="inlineStr">
        <is>
          <t>EE 苏州比斯特</t>
        </is>
      </c>
      <c r="F866" s="84" t="n">
        <v>4</v>
      </c>
      <c r="G866" s="84" t="inlineStr">
        <is>
          <t>奥特莱斯</t>
        </is>
      </c>
      <c r="H866" s="84" t="inlineStr">
        <is>
          <t>EERAG23E02</t>
        </is>
      </c>
      <c r="I866" s="84" t="n">
        <v>399</v>
      </c>
      <c r="J866" s="84" t="n">
        <v>399</v>
      </c>
      <c r="K866" s="85" t="n"/>
      <c r="L866" s="85" t="n"/>
    </row>
    <row r="867" ht="12.75" customHeight="1" s="103">
      <c r="A867" s="78">
        <f>MID(H867,3,2)</f>
        <v/>
      </c>
      <c r="B867" s="84" t="inlineStr">
        <is>
          <t>B331</t>
        </is>
      </c>
      <c r="C867" s="84" t="inlineStr">
        <is>
          <t>上海区域</t>
        </is>
      </c>
      <c r="D867" s="84" t="inlineStr">
        <is>
          <t>CN0Q</t>
        </is>
      </c>
      <c r="E867" s="80" t="inlineStr">
        <is>
          <t>EE 苏州比斯特</t>
        </is>
      </c>
      <c r="F867" s="84" t="n">
        <v>4</v>
      </c>
      <c r="G867" s="84" t="inlineStr">
        <is>
          <t>奥特莱斯</t>
        </is>
      </c>
      <c r="H867" s="84" t="inlineStr">
        <is>
          <t>EERAG23E02</t>
        </is>
      </c>
      <c r="I867" s="84" t="n">
        <v>399</v>
      </c>
      <c r="J867" s="84" t="n">
        <v>399</v>
      </c>
      <c r="K867" s="85" t="n"/>
      <c r="L867" s="85" t="n"/>
    </row>
    <row r="868" ht="12.75" customHeight="1" s="103">
      <c r="A868" s="78">
        <f>MID(H868,3,2)</f>
        <v/>
      </c>
      <c r="B868" s="84" t="inlineStr">
        <is>
          <t>B331</t>
        </is>
      </c>
      <c r="C868" s="84" t="inlineStr">
        <is>
          <t>上海区域</t>
        </is>
      </c>
      <c r="D868" s="84" t="inlineStr">
        <is>
          <t>CN0Q</t>
        </is>
      </c>
      <c r="E868" s="80" t="inlineStr">
        <is>
          <t>EE 苏州比斯特</t>
        </is>
      </c>
      <c r="F868" s="84" t="n">
        <v>4</v>
      </c>
      <c r="G868" s="84" t="inlineStr">
        <is>
          <t>奥特莱斯</t>
        </is>
      </c>
      <c r="H868" s="84" t="inlineStr">
        <is>
          <t>EERAG23E02</t>
        </is>
      </c>
      <c r="I868" s="84" t="n">
        <v>399</v>
      </c>
      <c r="J868" s="84" t="n">
        <v>399</v>
      </c>
      <c r="K868" s="85" t="n"/>
      <c r="L868" s="85" t="n"/>
    </row>
    <row r="869" ht="12.75" customHeight="1" s="103">
      <c r="A869" s="78">
        <f>MID(H869,3,2)</f>
        <v/>
      </c>
      <c r="B869" s="84" t="inlineStr">
        <is>
          <t>B331</t>
        </is>
      </c>
      <c r="C869" s="84" t="inlineStr">
        <is>
          <t>上海区域</t>
        </is>
      </c>
      <c r="D869" s="84" t="inlineStr">
        <is>
          <t>CN0Q</t>
        </is>
      </c>
      <c r="E869" s="80" t="inlineStr">
        <is>
          <t>EE 苏州比斯特</t>
        </is>
      </c>
      <c r="F869" s="84" t="n">
        <v>4</v>
      </c>
      <c r="G869" s="84" t="inlineStr">
        <is>
          <t>奥特莱斯</t>
        </is>
      </c>
      <c r="H869" s="84" t="inlineStr">
        <is>
          <t>EERAG23E02</t>
        </is>
      </c>
      <c r="I869" s="84" t="n">
        <v>399</v>
      </c>
      <c r="J869" s="84" t="n">
        <v>399</v>
      </c>
      <c r="K869" s="85" t="n"/>
      <c r="L869" s="85" t="n"/>
    </row>
    <row r="870" ht="12.75" customHeight="1" s="103">
      <c r="A870" s="78">
        <f>MID(H870,3,2)</f>
        <v/>
      </c>
      <c r="B870" s="84" t="inlineStr">
        <is>
          <t>B331</t>
        </is>
      </c>
      <c r="C870" s="84" t="inlineStr">
        <is>
          <t>上海区域</t>
        </is>
      </c>
      <c r="D870" s="84" t="inlineStr">
        <is>
          <t>CN0Q</t>
        </is>
      </c>
      <c r="E870" s="80" t="inlineStr">
        <is>
          <t>EE 苏州比斯特</t>
        </is>
      </c>
      <c r="F870" s="84" t="n">
        <v>4</v>
      </c>
      <c r="G870" s="84" t="inlineStr">
        <is>
          <t>奥特莱斯</t>
        </is>
      </c>
      <c r="H870" s="84" t="inlineStr">
        <is>
          <t>EERAG23E02</t>
        </is>
      </c>
      <c r="I870" s="84" t="n">
        <v>399</v>
      </c>
      <c r="J870" s="84" t="n">
        <v>399</v>
      </c>
      <c r="K870" s="85" t="n">
        <v>1</v>
      </c>
      <c r="L870" s="85" t="n"/>
    </row>
    <row r="871" ht="12.75" customHeight="1" s="103">
      <c r="A871" s="78">
        <f>MID(H871,3,2)</f>
        <v/>
      </c>
      <c r="B871" s="84" t="inlineStr">
        <is>
          <t>B331</t>
        </is>
      </c>
      <c r="C871" s="84" t="inlineStr">
        <is>
          <t>上海区域</t>
        </is>
      </c>
      <c r="D871" s="84" t="inlineStr">
        <is>
          <t>CN0Q</t>
        </is>
      </c>
      <c r="E871" s="80" t="inlineStr">
        <is>
          <t>EE 苏州比斯特</t>
        </is>
      </c>
      <c r="F871" s="84" t="n">
        <v>4</v>
      </c>
      <c r="G871" s="84" t="inlineStr">
        <is>
          <t>奥特莱斯</t>
        </is>
      </c>
      <c r="H871" s="84" t="inlineStr">
        <is>
          <t>EERAG23E02</t>
        </is>
      </c>
      <c r="I871" s="84" t="n">
        <v>399</v>
      </c>
      <c r="J871" s="84" t="n">
        <v>399</v>
      </c>
      <c r="K871" s="85" t="n">
        <v>1</v>
      </c>
      <c r="L871" s="85" t="n">
        <v>279</v>
      </c>
    </row>
    <row r="872" ht="12.75" customHeight="1" s="103">
      <c r="A872" s="78">
        <f>MID(H872,3,2)</f>
        <v/>
      </c>
      <c r="B872" s="84" t="inlineStr">
        <is>
          <t>B331</t>
        </is>
      </c>
      <c r="C872" s="84" t="inlineStr">
        <is>
          <t>上海区域</t>
        </is>
      </c>
      <c r="D872" s="84" t="inlineStr">
        <is>
          <t>CN0Q</t>
        </is>
      </c>
      <c r="E872" s="80" t="inlineStr">
        <is>
          <t>EE 苏州比斯特</t>
        </is>
      </c>
      <c r="F872" s="84" t="n">
        <v>4</v>
      </c>
      <c r="G872" s="84" t="inlineStr">
        <is>
          <t>奥特莱斯</t>
        </is>
      </c>
      <c r="H872" s="84" t="inlineStr">
        <is>
          <t>EERAG23E02</t>
        </is>
      </c>
      <c r="I872" s="84" t="n">
        <v>399</v>
      </c>
      <c r="J872" s="84" t="n">
        <v>399</v>
      </c>
      <c r="K872" s="85" t="n">
        <v>2</v>
      </c>
      <c r="L872" s="85" t="n">
        <v>559</v>
      </c>
    </row>
    <row r="873" ht="12.75" customHeight="1" s="103">
      <c r="A873" s="78">
        <f>MID(H873,3,2)</f>
        <v/>
      </c>
      <c r="B873" s="84" t="inlineStr">
        <is>
          <t>B331</t>
        </is>
      </c>
      <c r="C873" s="84" t="inlineStr">
        <is>
          <t>上海区域</t>
        </is>
      </c>
      <c r="D873" s="84" t="inlineStr">
        <is>
          <t>CN0Q</t>
        </is>
      </c>
      <c r="E873" s="80" t="inlineStr">
        <is>
          <t>EE 苏州比斯特</t>
        </is>
      </c>
      <c r="F873" s="84" t="n">
        <v>4</v>
      </c>
      <c r="G873" s="84" t="inlineStr">
        <is>
          <t>奥特莱斯</t>
        </is>
      </c>
      <c r="H873" s="84" t="inlineStr">
        <is>
          <t>EERAG23E02</t>
        </is>
      </c>
      <c r="I873" s="84" t="n">
        <v>399</v>
      </c>
      <c r="J873" s="84" t="n">
        <v>399</v>
      </c>
      <c r="K873" s="85" t="n">
        <v>1</v>
      </c>
      <c r="L873" s="85" t="n"/>
    </row>
    <row r="874" ht="12.75" customHeight="1" s="103">
      <c r="A874" s="78">
        <f>MID(H874,3,2)</f>
        <v/>
      </c>
      <c r="B874" s="84" t="inlineStr">
        <is>
          <t>B331</t>
        </is>
      </c>
      <c r="C874" s="84" t="inlineStr">
        <is>
          <t>上海区域</t>
        </is>
      </c>
      <c r="D874" s="84" t="inlineStr">
        <is>
          <t>CN0Q</t>
        </is>
      </c>
      <c r="E874" s="80" t="inlineStr">
        <is>
          <t>EE 苏州比斯特</t>
        </is>
      </c>
      <c r="F874" s="84" t="n">
        <v>4</v>
      </c>
      <c r="G874" s="84" t="inlineStr">
        <is>
          <t>奥特莱斯</t>
        </is>
      </c>
      <c r="H874" s="84" t="inlineStr">
        <is>
          <t>EERAG23E02</t>
        </is>
      </c>
      <c r="I874" s="84" t="n">
        <v>399</v>
      </c>
      <c r="J874" s="84" t="n">
        <v>399</v>
      </c>
      <c r="K874" s="85" t="n">
        <v>1</v>
      </c>
      <c r="L874" s="85" t="n">
        <v>259</v>
      </c>
    </row>
    <row r="875" ht="12.75" customHeight="1" s="103">
      <c r="A875" s="78">
        <f>MID(H875,3,2)</f>
        <v/>
      </c>
      <c r="B875" s="84" t="inlineStr">
        <is>
          <t>B331</t>
        </is>
      </c>
      <c r="C875" s="84" t="inlineStr">
        <is>
          <t>上海区域</t>
        </is>
      </c>
      <c r="D875" s="84" t="inlineStr">
        <is>
          <t>CN0Q</t>
        </is>
      </c>
      <c r="E875" s="80" t="inlineStr">
        <is>
          <t>EE 苏州比斯特</t>
        </is>
      </c>
      <c r="F875" s="84" t="n">
        <v>4</v>
      </c>
      <c r="G875" s="84" t="inlineStr">
        <is>
          <t>奥特莱斯</t>
        </is>
      </c>
      <c r="H875" s="84" t="inlineStr">
        <is>
          <t>EERAG23E02</t>
        </is>
      </c>
      <c r="I875" s="84" t="n">
        <v>399</v>
      </c>
      <c r="J875" s="84" t="n">
        <v>399</v>
      </c>
      <c r="K875" s="85" t="n"/>
      <c r="L875" s="85" t="n"/>
    </row>
    <row r="876" ht="12.75" customHeight="1" s="103">
      <c r="A876" s="78">
        <f>MID(H876,3,2)</f>
        <v/>
      </c>
      <c r="B876" s="84" t="inlineStr">
        <is>
          <t>B331</t>
        </is>
      </c>
      <c r="C876" s="84" t="inlineStr">
        <is>
          <t>上海区域</t>
        </is>
      </c>
      <c r="D876" s="84" t="inlineStr">
        <is>
          <t>CN0Q</t>
        </is>
      </c>
      <c r="E876" s="80" t="inlineStr">
        <is>
          <t>EE 苏州比斯特</t>
        </is>
      </c>
      <c r="F876" s="84" t="n">
        <v>4</v>
      </c>
      <c r="G876" s="84" t="inlineStr">
        <is>
          <t>奥特莱斯</t>
        </is>
      </c>
      <c r="H876" s="84" t="inlineStr">
        <is>
          <t>EERAG23E02</t>
        </is>
      </c>
      <c r="I876" s="84" t="n">
        <v>399</v>
      </c>
      <c r="J876" s="84" t="n">
        <v>399</v>
      </c>
      <c r="K876" s="85" t="n"/>
      <c r="L876" s="85" t="n"/>
    </row>
    <row r="877" ht="12.75" customHeight="1" s="103">
      <c r="A877" s="78">
        <f>MID(H877,3,2)</f>
        <v/>
      </c>
      <c r="B877" s="84" t="inlineStr">
        <is>
          <t>B331</t>
        </is>
      </c>
      <c r="C877" s="84" t="inlineStr">
        <is>
          <t>上海区域</t>
        </is>
      </c>
      <c r="D877" s="84" t="inlineStr">
        <is>
          <t>CN0Q</t>
        </is>
      </c>
      <c r="E877" s="80" t="inlineStr">
        <is>
          <t>EE 苏州比斯特</t>
        </is>
      </c>
      <c r="F877" s="84" t="n">
        <v>4</v>
      </c>
      <c r="G877" s="84" t="inlineStr">
        <is>
          <t>奥特莱斯</t>
        </is>
      </c>
      <c r="H877" s="84" t="inlineStr">
        <is>
          <t>EERAG23E02</t>
        </is>
      </c>
      <c r="I877" s="84" t="n">
        <v>399</v>
      </c>
      <c r="J877" s="84" t="n">
        <v>399</v>
      </c>
      <c r="K877" s="85" t="n"/>
      <c r="L877" s="85" t="n"/>
    </row>
    <row r="878" ht="12.75" customHeight="1" s="103">
      <c r="A878" s="78">
        <f>MID(H878,3,2)</f>
        <v/>
      </c>
      <c r="B878" s="84" t="inlineStr">
        <is>
          <t>B331</t>
        </is>
      </c>
      <c r="C878" s="84" t="inlineStr">
        <is>
          <t>上海区域</t>
        </is>
      </c>
      <c r="D878" s="84" t="inlineStr">
        <is>
          <t>CN0Q</t>
        </is>
      </c>
      <c r="E878" s="80" t="inlineStr">
        <is>
          <t>EE 苏州比斯特</t>
        </is>
      </c>
      <c r="F878" s="84" t="n">
        <v>4</v>
      </c>
      <c r="G878" s="84" t="inlineStr">
        <is>
          <t>奥特莱斯</t>
        </is>
      </c>
      <c r="H878" s="84" t="inlineStr">
        <is>
          <t>EERAG23E02</t>
        </is>
      </c>
      <c r="I878" s="84" t="n">
        <v>399</v>
      </c>
      <c r="J878" s="84" t="n">
        <v>399</v>
      </c>
      <c r="K878" s="85" t="n"/>
      <c r="L878" s="85" t="n"/>
    </row>
    <row r="879" ht="12.75" customHeight="1" s="103">
      <c r="A879" s="78">
        <f>MID(H879,3,2)</f>
        <v/>
      </c>
      <c r="B879" s="84" t="inlineStr">
        <is>
          <t>B331</t>
        </is>
      </c>
      <c r="C879" s="84" t="inlineStr">
        <is>
          <t>上海区域</t>
        </is>
      </c>
      <c r="D879" s="84" t="inlineStr">
        <is>
          <t>CN0Q</t>
        </is>
      </c>
      <c r="E879" s="80" t="inlineStr">
        <is>
          <t>EE 苏州比斯特</t>
        </is>
      </c>
      <c r="F879" s="84" t="n">
        <v>4</v>
      </c>
      <c r="G879" s="84" t="inlineStr">
        <is>
          <t>奥特莱斯</t>
        </is>
      </c>
      <c r="H879" s="84" t="inlineStr">
        <is>
          <t>EERAG23E02</t>
        </is>
      </c>
      <c r="I879" s="84" t="n">
        <v>399</v>
      </c>
      <c r="J879" s="84" t="n">
        <v>399</v>
      </c>
      <c r="K879" s="85" t="n">
        <v>2</v>
      </c>
      <c r="L879" s="85" t="n">
        <v>279</v>
      </c>
    </row>
    <row r="880" ht="12.75" customHeight="1" s="103">
      <c r="A880" s="78">
        <f>MID(H880,3,2)</f>
        <v/>
      </c>
      <c r="B880" s="84" t="inlineStr">
        <is>
          <t>B331</t>
        </is>
      </c>
      <c r="C880" s="84" t="inlineStr">
        <is>
          <t>上海区域</t>
        </is>
      </c>
      <c r="D880" s="84" t="inlineStr">
        <is>
          <t>CN0Q</t>
        </is>
      </c>
      <c r="E880" s="80" t="inlineStr">
        <is>
          <t>EE 苏州比斯特</t>
        </is>
      </c>
      <c r="F880" s="84" t="n">
        <v>4</v>
      </c>
      <c r="G880" s="84" t="inlineStr">
        <is>
          <t>奥特莱斯</t>
        </is>
      </c>
      <c r="H880" s="84" t="inlineStr">
        <is>
          <t>EERAG23E02</t>
        </is>
      </c>
      <c r="I880" s="84" t="n">
        <v>399</v>
      </c>
      <c r="J880" s="84" t="n">
        <v>399</v>
      </c>
      <c r="K880" s="85" t="n">
        <v>1</v>
      </c>
      <c r="L880" s="85" t="n"/>
    </row>
    <row r="881" ht="12.75" customHeight="1" s="103">
      <c r="A881" s="78">
        <f>MID(H881,3,2)</f>
        <v/>
      </c>
      <c r="B881" s="84" t="inlineStr">
        <is>
          <t>B331</t>
        </is>
      </c>
      <c r="C881" s="84" t="inlineStr">
        <is>
          <t>上海区域</t>
        </is>
      </c>
      <c r="D881" s="84" t="inlineStr">
        <is>
          <t>CN0Q</t>
        </is>
      </c>
      <c r="E881" s="80" t="inlineStr">
        <is>
          <t>EE 苏州比斯特</t>
        </is>
      </c>
      <c r="F881" s="84" t="n">
        <v>4</v>
      </c>
      <c r="G881" s="84" t="inlineStr">
        <is>
          <t>奥特莱斯</t>
        </is>
      </c>
      <c r="H881" s="84" t="inlineStr">
        <is>
          <t>EERAG23E02</t>
        </is>
      </c>
      <c r="I881" s="84" t="n">
        <v>399</v>
      </c>
      <c r="J881" s="84" t="n">
        <v>399</v>
      </c>
      <c r="K881" s="85" t="n"/>
      <c r="L881" s="85" t="n"/>
    </row>
    <row r="882" ht="12.75" customHeight="1" s="103">
      <c r="A882" s="78">
        <f>MID(H882,3,2)</f>
        <v/>
      </c>
      <c r="B882" s="84" t="inlineStr">
        <is>
          <t>B331</t>
        </is>
      </c>
      <c r="C882" s="84" t="inlineStr">
        <is>
          <t>上海区域</t>
        </is>
      </c>
      <c r="D882" s="84" t="inlineStr">
        <is>
          <t>CN0Q</t>
        </is>
      </c>
      <c r="E882" s="80" t="inlineStr">
        <is>
          <t>EE 苏州比斯特</t>
        </is>
      </c>
      <c r="F882" s="84" t="n">
        <v>4</v>
      </c>
      <c r="G882" s="84" t="inlineStr">
        <is>
          <t>奥特莱斯</t>
        </is>
      </c>
      <c r="H882" s="84" t="inlineStr">
        <is>
          <t>EERAG23E02</t>
        </is>
      </c>
      <c r="I882" s="84" t="n">
        <v>399</v>
      </c>
      <c r="J882" s="84" t="n">
        <v>399</v>
      </c>
      <c r="K882" s="85" t="n"/>
      <c r="L882" s="85" t="n"/>
    </row>
    <row r="883" ht="12.75" customHeight="1" s="103">
      <c r="A883" s="78">
        <f>MID(H883,3,2)</f>
        <v/>
      </c>
      <c r="B883" s="84" t="inlineStr">
        <is>
          <t>B331</t>
        </is>
      </c>
      <c r="C883" s="84" t="inlineStr">
        <is>
          <t>上海区域</t>
        </is>
      </c>
      <c r="D883" s="84" t="inlineStr">
        <is>
          <t>CN0Q</t>
        </is>
      </c>
      <c r="E883" s="80" t="inlineStr">
        <is>
          <t>EE 苏州比斯特</t>
        </is>
      </c>
      <c r="F883" s="84" t="n">
        <v>4</v>
      </c>
      <c r="G883" s="84" t="inlineStr">
        <is>
          <t>奥特莱斯</t>
        </is>
      </c>
      <c r="H883" s="84" t="inlineStr">
        <is>
          <t>EERAG24B05</t>
        </is>
      </c>
      <c r="I883" s="84" t="n">
        <v>499</v>
      </c>
      <c r="J883" s="84" t="n">
        <v>499</v>
      </c>
      <c r="K883" s="85" t="n"/>
      <c r="L883" s="85" t="n"/>
    </row>
    <row r="884" ht="12.75" customHeight="1" s="103">
      <c r="A884" s="78">
        <f>MID(H884,3,2)</f>
        <v/>
      </c>
      <c r="B884" s="84" t="inlineStr">
        <is>
          <t>B331</t>
        </is>
      </c>
      <c r="C884" s="84" t="inlineStr">
        <is>
          <t>上海区域</t>
        </is>
      </c>
      <c r="D884" s="84" t="inlineStr">
        <is>
          <t>CN0Q</t>
        </is>
      </c>
      <c r="E884" s="80" t="inlineStr">
        <is>
          <t>EE 苏州比斯特</t>
        </is>
      </c>
      <c r="F884" s="84" t="n">
        <v>4</v>
      </c>
      <c r="G884" s="84" t="inlineStr">
        <is>
          <t>奥特莱斯</t>
        </is>
      </c>
      <c r="H884" s="84" t="inlineStr">
        <is>
          <t>EERAG24B05</t>
        </is>
      </c>
      <c r="I884" s="84" t="n">
        <v>499</v>
      </c>
      <c r="J884" s="84" t="n">
        <v>499</v>
      </c>
      <c r="K884" s="85" t="n"/>
      <c r="L884" s="85" t="n"/>
    </row>
    <row r="885" ht="12.75" customHeight="1" s="103">
      <c r="A885" s="78">
        <f>MID(H885,3,2)</f>
        <v/>
      </c>
      <c r="B885" s="84" t="inlineStr">
        <is>
          <t>B331</t>
        </is>
      </c>
      <c r="C885" s="84" t="inlineStr">
        <is>
          <t>上海区域</t>
        </is>
      </c>
      <c r="D885" s="84" t="inlineStr">
        <is>
          <t>CN0Q</t>
        </is>
      </c>
      <c r="E885" s="80" t="inlineStr">
        <is>
          <t>EE 苏州比斯特</t>
        </is>
      </c>
      <c r="F885" s="84" t="n">
        <v>4</v>
      </c>
      <c r="G885" s="84" t="inlineStr">
        <is>
          <t>奥特莱斯</t>
        </is>
      </c>
      <c r="H885" s="84" t="inlineStr">
        <is>
          <t>EERAG24B05</t>
        </is>
      </c>
      <c r="I885" s="84" t="n">
        <v>499</v>
      </c>
      <c r="J885" s="84" t="n">
        <v>499</v>
      </c>
      <c r="K885" s="85" t="n">
        <v>1</v>
      </c>
      <c r="L885" s="85" t="n">
        <v>349</v>
      </c>
    </row>
    <row r="886" ht="12.75" customHeight="1" s="103">
      <c r="A886" s="78">
        <f>MID(H886,3,2)</f>
        <v/>
      </c>
      <c r="B886" s="84" t="inlineStr">
        <is>
          <t>B331</t>
        </is>
      </c>
      <c r="C886" s="84" t="inlineStr">
        <is>
          <t>上海区域</t>
        </is>
      </c>
      <c r="D886" s="84" t="inlineStr">
        <is>
          <t>CN0Q</t>
        </is>
      </c>
      <c r="E886" s="80" t="inlineStr">
        <is>
          <t>EE 苏州比斯特</t>
        </is>
      </c>
      <c r="F886" s="84" t="n">
        <v>4</v>
      </c>
      <c r="G886" s="84" t="inlineStr">
        <is>
          <t>奥特莱斯</t>
        </is>
      </c>
      <c r="H886" s="84" t="inlineStr">
        <is>
          <t>EERAG24B05</t>
        </is>
      </c>
      <c r="I886" s="84" t="n">
        <v>499</v>
      </c>
      <c r="J886" s="84" t="n">
        <v>499</v>
      </c>
      <c r="K886" s="85" t="n"/>
      <c r="L886" s="85" t="n"/>
    </row>
    <row r="887" ht="12.75" customHeight="1" s="103">
      <c r="A887" s="78">
        <f>MID(H887,3,2)</f>
        <v/>
      </c>
      <c r="B887" s="84" t="inlineStr">
        <is>
          <t>B331</t>
        </is>
      </c>
      <c r="C887" s="84" t="inlineStr">
        <is>
          <t>上海区域</t>
        </is>
      </c>
      <c r="D887" s="84" t="inlineStr">
        <is>
          <t>CN0Q</t>
        </is>
      </c>
      <c r="E887" s="80" t="inlineStr">
        <is>
          <t>EE 苏州比斯特</t>
        </is>
      </c>
      <c r="F887" s="84" t="n">
        <v>4</v>
      </c>
      <c r="G887" s="84" t="inlineStr">
        <is>
          <t>奥特莱斯</t>
        </is>
      </c>
      <c r="H887" s="84" t="inlineStr">
        <is>
          <t>EERAG24B05</t>
        </is>
      </c>
      <c r="I887" s="84" t="n">
        <v>499</v>
      </c>
      <c r="J887" s="84" t="n">
        <v>499</v>
      </c>
      <c r="K887" s="85" t="n"/>
      <c r="L887" s="85" t="n"/>
    </row>
    <row r="888" ht="12.75" customHeight="1" s="103">
      <c r="A888" s="78">
        <f>MID(H888,3,2)</f>
        <v/>
      </c>
      <c r="B888" s="84" t="inlineStr">
        <is>
          <t>B331</t>
        </is>
      </c>
      <c r="C888" s="84" t="inlineStr">
        <is>
          <t>上海区域</t>
        </is>
      </c>
      <c r="D888" s="84" t="inlineStr">
        <is>
          <t>CN0Q</t>
        </is>
      </c>
      <c r="E888" s="80" t="inlineStr">
        <is>
          <t>EE 苏州比斯特</t>
        </is>
      </c>
      <c r="F888" s="84" t="n">
        <v>4</v>
      </c>
      <c r="G888" s="84" t="inlineStr">
        <is>
          <t>奥特莱斯</t>
        </is>
      </c>
      <c r="H888" s="84" t="inlineStr">
        <is>
          <t>EERAG24B05</t>
        </is>
      </c>
      <c r="I888" s="84" t="n">
        <v>499</v>
      </c>
      <c r="J888" s="84" t="n">
        <v>499</v>
      </c>
      <c r="K888" s="85" t="n"/>
      <c r="L888" s="85" t="n"/>
    </row>
    <row r="889" ht="12.75" customHeight="1" s="103">
      <c r="A889" s="78">
        <f>MID(H889,3,2)</f>
        <v/>
      </c>
      <c r="B889" s="84" t="inlineStr">
        <is>
          <t>B331</t>
        </is>
      </c>
      <c r="C889" s="84" t="inlineStr">
        <is>
          <t>上海区域</t>
        </is>
      </c>
      <c r="D889" s="84" t="inlineStr">
        <is>
          <t>CN0Q</t>
        </is>
      </c>
      <c r="E889" s="80" t="inlineStr">
        <is>
          <t>EE 苏州比斯特</t>
        </is>
      </c>
      <c r="F889" s="84" t="n">
        <v>4</v>
      </c>
      <c r="G889" s="84" t="inlineStr">
        <is>
          <t>奥特莱斯</t>
        </is>
      </c>
      <c r="H889" s="84" t="inlineStr">
        <is>
          <t>EERAG24B06</t>
        </is>
      </c>
      <c r="I889" s="84" t="n">
        <v>499</v>
      </c>
      <c r="J889" s="84" t="n">
        <v>499</v>
      </c>
      <c r="K889" s="85" t="n">
        <v>2</v>
      </c>
      <c r="L889" s="85" t="n">
        <v>639</v>
      </c>
    </row>
    <row r="890" ht="12.75" customHeight="1" s="103">
      <c r="A890" s="78">
        <f>MID(H890,3,2)</f>
        <v/>
      </c>
      <c r="B890" s="84" t="inlineStr">
        <is>
          <t>B331</t>
        </is>
      </c>
      <c r="C890" s="84" t="inlineStr">
        <is>
          <t>上海区域</t>
        </is>
      </c>
      <c r="D890" s="84" t="inlineStr">
        <is>
          <t>CN0Q</t>
        </is>
      </c>
      <c r="E890" s="80" t="inlineStr">
        <is>
          <t>EE 苏州比斯特</t>
        </is>
      </c>
      <c r="F890" s="84" t="n">
        <v>4</v>
      </c>
      <c r="G890" s="84" t="inlineStr">
        <is>
          <t>奥特莱斯</t>
        </is>
      </c>
      <c r="H890" s="84" t="inlineStr">
        <is>
          <t>EERAG24B06</t>
        </is>
      </c>
      <c r="I890" s="84" t="n">
        <v>499</v>
      </c>
      <c r="J890" s="84" t="n">
        <v>499</v>
      </c>
      <c r="K890" s="85" t="n">
        <v>2</v>
      </c>
      <c r="L890" s="85" t="n"/>
    </row>
    <row r="891" ht="12.75" customHeight="1" s="103">
      <c r="A891" s="78">
        <f>MID(H891,3,2)</f>
        <v/>
      </c>
      <c r="B891" s="84" t="inlineStr">
        <is>
          <t>B331</t>
        </is>
      </c>
      <c r="C891" s="84" t="inlineStr">
        <is>
          <t>上海区域</t>
        </is>
      </c>
      <c r="D891" s="84" t="inlineStr">
        <is>
          <t>CN0Q</t>
        </is>
      </c>
      <c r="E891" s="80" t="inlineStr">
        <is>
          <t>EE 苏州比斯特</t>
        </is>
      </c>
      <c r="F891" s="84" t="n">
        <v>4</v>
      </c>
      <c r="G891" s="84" t="inlineStr">
        <is>
          <t>奥特莱斯</t>
        </is>
      </c>
      <c r="H891" s="84" t="inlineStr">
        <is>
          <t>EERAG24B06</t>
        </is>
      </c>
      <c r="I891" s="84" t="n">
        <v>499</v>
      </c>
      <c r="J891" s="84" t="n">
        <v>499</v>
      </c>
      <c r="K891" s="85" t="n">
        <v>2</v>
      </c>
      <c r="L891" s="85" t="n">
        <v>328</v>
      </c>
    </row>
    <row r="892" ht="12.75" customHeight="1" s="103">
      <c r="A892" s="78">
        <f>MID(H892,3,2)</f>
        <v/>
      </c>
      <c r="B892" s="84" t="inlineStr">
        <is>
          <t>B331</t>
        </is>
      </c>
      <c r="C892" s="84" t="inlineStr">
        <is>
          <t>上海区域</t>
        </is>
      </c>
      <c r="D892" s="84" t="inlineStr">
        <is>
          <t>CN0Q</t>
        </is>
      </c>
      <c r="E892" s="80" t="inlineStr">
        <is>
          <t>EE 苏州比斯特</t>
        </is>
      </c>
      <c r="F892" s="84" t="n">
        <v>4</v>
      </c>
      <c r="G892" s="84" t="inlineStr">
        <is>
          <t>奥特莱斯</t>
        </is>
      </c>
      <c r="H892" s="84" t="inlineStr">
        <is>
          <t>EERAG24B06</t>
        </is>
      </c>
      <c r="I892" s="84" t="n">
        <v>499</v>
      </c>
      <c r="J892" s="84" t="n">
        <v>499</v>
      </c>
      <c r="K892" s="85" t="n"/>
      <c r="L892" s="85" t="n"/>
    </row>
    <row r="893" ht="12.75" customHeight="1" s="103">
      <c r="A893" s="78">
        <f>MID(H893,3,2)</f>
        <v/>
      </c>
      <c r="B893" s="84" t="inlineStr">
        <is>
          <t>B331</t>
        </is>
      </c>
      <c r="C893" s="84" t="inlineStr">
        <is>
          <t>上海区域</t>
        </is>
      </c>
      <c r="D893" s="84" t="inlineStr">
        <is>
          <t>CN0Q</t>
        </is>
      </c>
      <c r="E893" s="80" t="inlineStr">
        <is>
          <t>EE 苏州比斯特</t>
        </is>
      </c>
      <c r="F893" s="84" t="n">
        <v>4</v>
      </c>
      <c r="G893" s="84" t="inlineStr">
        <is>
          <t>奥特莱斯</t>
        </is>
      </c>
      <c r="H893" s="84" t="inlineStr">
        <is>
          <t>EERAG24B06</t>
        </is>
      </c>
      <c r="I893" s="84" t="n">
        <v>499</v>
      </c>
      <c r="J893" s="84" t="n">
        <v>499</v>
      </c>
      <c r="K893" s="85" t="n">
        <v>1</v>
      </c>
      <c r="L893" s="85" t="n"/>
    </row>
    <row r="894" ht="12.75" customHeight="1" s="103">
      <c r="A894" s="78">
        <f>MID(H894,3,2)</f>
        <v/>
      </c>
      <c r="B894" s="84" t="inlineStr">
        <is>
          <t>B331</t>
        </is>
      </c>
      <c r="C894" s="84" t="inlineStr">
        <is>
          <t>上海区域</t>
        </is>
      </c>
      <c r="D894" s="84" t="inlineStr">
        <is>
          <t>CN0Q</t>
        </is>
      </c>
      <c r="E894" s="80" t="inlineStr">
        <is>
          <t>EE 苏州比斯特</t>
        </is>
      </c>
      <c r="F894" s="84" t="n">
        <v>4</v>
      </c>
      <c r="G894" s="84" t="inlineStr">
        <is>
          <t>奥特莱斯</t>
        </is>
      </c>
      <c r="H894" s="84" t="inlineStr">
        <is>
          <t>EERAG24B06</t>
        </is>
      </c>
      <c r="I894" s="84" t="n">
        <v>499</v>
      </c>
      <c r="J894" s="84" t="n">
        <v>499</v>
      </c>
      <c r="K894" s="85" t="n"/>
      <c r="L894" s="85" t="n"/>
    </row>
    <row r="895" ht="12.75" customHeight="1" s="103">
      <c r="A895" s="78">
        <f>MID(H895,3,2)</f>
        <v/>
      </c>
      <c r="B895" s="84" t="inlineStr">
        <is>
          <t>B331</t>
        </is>
      </c>
      <c r="C895" s="84" t="inlineStr">
        <is>
          <t>上海区域</t>
        </is>
      </c>
      <c r="D895" s="84" t="inlineStr">
        <is>
          <t>CN0Q</t>
        </is>
      </c>
      <c r="E895" s="80" t="inlineStr">
        <is>
          <t>EE 苏州比斯特</t>
        </is>
      </c>
      <c r="F895" s="84" t="n">
        <v>4</v>
      </c>
      <c r="G895" s="84" t="inlineStr">
        <is>
          <t>奥特莱斯</t>
        </is>
      </c>
      <c r="H895" s="84" t="inlineStr">
        <is>
          <t>EERAG24E01</t>
        </is>
      </c>
      <c r="I895" s="84" t="n">
        <v>399</v>
      </c>
      <c r="J895" s="84" t="n">
        <v>399</v>
      </c>
      <c r="K895" s="85" t="n">
        <v>2</v>
      </c>
      <c r="L895" s="85" t="n">
        <v>507</v>
      </c>
    </row>
    <row r="896" ht="12.75" customHeight="1" s="103">
      <c r="A896" s="78">
        <f>MID(H896,3,2)</f>
        <v/>
      </c>
      <c r="B896" s="84" t="inlineStr">
        <is>
          <t>B331</t>
        </is>
      </c>
      <c r="C896" s="84" t="inlineStr">
        <is>
          <t>上海区域</t>
        </is>
      </c>
      <c r="D896" s="84" t="inlineStr">
        <is>
          <t>CN0Q</t>
        </is>
      </c>
      <c r="E896" s="80" t="inlineStr">
        <is>
          <t>EE 苏州比斯特</t>
        </is>
      </c>
      <c r="F896" s="84" t="n">
        <v>4</v>
      </c>
      <c r="G896" s="84" t="inlineStr">
        <is>
          <t>奥特莱斯</t>
        </is>
      </c>
      <c r="H896" s="84" t="inlineStr">
        <is>
          <t>EERAG24E01</t>
        </is>
      </c>
      <c r="I896" s="84" t="n">
        <v>399</v>
      </c>
      <c r="J896" s="84" t="n">
        <v>399</v>
      </c>
      <c r="K896" s="85" t="n">
        <v>1</v>
      </c>
      <c r="L896" s="85" t="n">
        <v>252</v>
      </c>
    </row>
    <row r="897" ht="12.75" customHeight="1" s="103">
      <c r="A897" s="78">
        <f>MID(H897,3,2)</f>
        <v/>
      </c>
      <c r="B897" s="84" t="inlineStr">
        <is>
          <t>B331</t>
        </is>
      </c>
      <c r="C897" s="84" t="inlineStr">
        <is>
          <t>上海区域</t>
        </is>
      </c>
      <c r="D897" s="84" t="inlineStr">
        <is>
          <t>CN0Q</t>
        </is>
      </c>
      <c r="E897" s="80" t="inlineStr">
        <is>
          <t>EE 苏州比斯特</t>
        </is>
      </c>
      <c r="F897" s="84" t="n">
        <v>4</v>
      </c>
      <c r="G897" s="84" t="inlineStr">
        <is>
          <t>奥特莱斯</t>
        </is>
      </c>
      <c r="H897" s="84" t="inlineStr">
        <is>
          <t>EERAG24E01</t>
        </is>
      </c>
      <c r="I897" s="84" t="n">
        <v>399</v>
      </c>
      <c r="J897" s="84" t="n">
        <v>399</v>
      </c>
      <c r="K897" s="85" t="n">
        <v>1</v>
      </c>
      <c r="L897" s="85" t="n"/>
    </row>
    <row r="898" ht="12.75" customHeight="1" s="103">
      <c r="A898" s="78">
        <f>MID(H898,3,2)</f>
        <v/>
      </c>
      <c r="B898" s="84" t="inlineStr">
        <is>
          <t>B331</t>
        </is>
      </c>
      <c r="C898" s="84" t="inlineStr">
        <is>
          <t>上海区域</t>
        </is>
      </c>
      <c r="D898" s="84" t="inlineStr">
        <is>
          <t>CN0Q</t>
        </is>
      </c>
      <c r="E898" s="80" t="inlineStr">
        <is>
          <t>EE 苏州比斯特</t>
        </is>
      </c>
      <c r="F898" s="84" t="n">
        <v>4</v>
      </c>
      <c r="G898" s="84" t="inlineStr">
        <is>
          <t>奥特莱斯</t>
        </is>
      </c>
      <c r="H898" s="84" t="inlineStr">
        <is>
          <t>EERAG24E01</t>
        </is>
      </c>
      <c r="I898" s="84" t="n">
        <v>399</v>
      </c>
      <c r="J898" s="84" t="n">
        <v>399</v>
      </c>
      <c r="K898" s="85" t="n"/>
      <c r="L898" s="85" t="n"/>
    </row>
    <row r="899" ht="12.75" customHeight="1" s="103">
      <c r="A899" s="78">
        <f>MID(H899,3,2)</f>
        <v/>
      </c>
      <c r="B899" s="84" t="inlineStr">
        <is>
          <t>B331</t>
        </is>
      </c>
      <c r="C899" s="84" t="inlineStr">
        <is>
          <t>上海区域</t>
        </is>
      </c>
      <c r="D899" s="84" t="inlineStr">
        <is>
          <t>CN0Q</t>
        </is>
      </c>
      <c r="E899" s="80" t="inlineStr">
        <is>
          <t>EE 苏州比斯特</t>
        </is>
      </c>
      <c r="F899" s="84" t="n">
        <v>4</v>
      </c>
      <c r="G899" s="84" t="inlineStr">
        <is>
          <t>奥特莱斯</t>
        </is>
      </c>
      <c r="H899" s="84" t="inlineStr">
        <is>
          <t>EERAG24E01</t>
        </is>
      </c>
      <c r="I899" s="84" t="n">
        <v>399</v>
      </c>
      <c r="J899" s="84" t="n">
        <v>399</v>
      </c>
      <c r="K899" s="85" t="n">
        <v>1</v>
      </c>
      <c r="L899" s="85" t="n">
        <v>256</v>
      </c>
    </row>
    <row r="900" ht="12.75" customHeight="1" s="103">
      <c r="A900" s="78">
        <f>MID(H900,3,2)</f>
        <v/>
      </c>
      <c r="B900" s="84" t="inlineStr">
        <is>
          <t>B331</t>
        </is>
      </c>
      <c r="C900" s="84" t="inlineStr">
        <is>
          <t>上海区域</t>
        </is>
      </c>
      <c r="D900" s="84" t="inlineStr">
        <is>
          <t>CN0Q</t>
        </is>
      </c>
      <c r="E900" s="80" t="inlineStr">
        <is>
          <t>EE 苏州比斯特</t>
        </is>
      </c>
      <c r="F900" s="84" t="n">
        <v>4</v>
      </c>
      <c r="G900" s="84" t="inlineStr">
        <is>
          <t>奥特莱斯</t>
        </is>
      </c>
      <c r="H900" s="84" t="inlineStr">
        <is>
          <t>EERAG24E01</t>
        </is>
      </c>
      <c r="I900" s="84" t="n">
        <v>399</v>
      </c>
      <c r="J900" s="84" t="n">
        <v>399</v>
      </c>
      <c r="K900" s="85" t="n">
        <v>1</v>
      </c>
      <c r="L900" s="85" t="n">
        <v>258</v>
      </c>
    </row>
    <row r="901" ht="12.75" customHeight="1" s="103">
      <c r="A901" s="78">
        <f>MID(H901,3,2)</f>
        <v/>
      </c>
      <c r="B901" s="84" t="inlineStr">
        <is>
          <t>B331</t>
        </is>
      </c>
      <c r="C901" s="84" t="inlineStr">
        <is>
          <t>上海区域</t>
        </is>
      </c>
      <c r="D901" s="84" t="inlineStr">
        <is>
          <t>CN0Q</t>
        </is>
      </c>
      <c r="E901" s="80" t="inlineStr">
        <is>
          <t>EE 苏州比斯特</t>
        </is>
      </c>
      <c r="F901" s="84" t="n">
        <v>4</v>
      </c>
      <c r="G901" s="84" t="inlineStr">
        <is>
          <t>奥特莱斯</t>
        </is>
      </c>
      <c r="H901" s="84" t="inlineStr">
        <is>
          <t>EERAG24E01</t>
        </is>
      </c>
      <c r="I901" s="84" t="n">
        <v>399</v>
      </c>
      <c r="J901" s="84" t="n">
        <v>399</v>
      </c>
      <c r="K901" s="85" t="n"/>
      <c r="L901" s="85" t="n"/>
    </row>
    <row r="902" ht="12.75" customHeight="1" s="103">
      <c r="A902" s="78">
        <f>MID(H902,3,2)</f>
        <v/>
      </c>
      <c r="B902" s="84" t="inlineStr">
        <is>
          <t>B331</t>
        </is>
      </c>
      <c r="C902" s="84" t="inlineStr">
        <is>
          <t>上海区域</t>
        </is>
      </c>
      <c r="D902" s="84" t="inlineStr">
        <is>
          <t>CN0Q</t>
        </is>
      </c>
      <c r="E902" s="80" t="inlineStr">
        <is>
          <t>EE 苏州比斯特</t>
        </is>
      </c>
      <c r="F902" s="84" t="n">
        <v>4</v>
      </c>
      <c r="G902" s="84" t="inlineStr">
        <is>
          <t>奥特莱斯</t>
        </is>
      </c>
      <c r="H902" s="84" t="inlineStr">
        <is>
          <t>EERAG24E01</t>
        </is>
      </c>
      <c r="I902" s="84" t="n">
        <v>399</v>
      </c>
      <c r="J902" s="84" t="n">
        <v>399</v>
      </c>
      <c r="K902" s="85" t="n"/>
      <c r="L902" s="85" t="n"/>
    </row>
    <row r="903" ht="12.75" customHeight="1" s="103">
      <c r="A903" s="78">
        <f>MID(H903,3,2)</f>
        <v/>
      </c>
      <c r="B903" s="84" t="inlineStr">
        <is>
          <t>B331</t>
        </is>
      </c>
      <c r="C903" s="84" t="inlineStr">
        <is>
          <t>上海区域</t>
        </is>
      </c>
      <c r="D903" s="84" t="inlineStr">
        <is>
          <t>CN0Q</t>
        </is>
      </c>
      <c r="E903" s="80" t="inlineStr">
        <is>
          <t>EE 苏州比斯特</t>
        </is>
      </c>
      <c r="F903" s="84" t="n">
        <v>4</v>
      </c>
      <c r="G903" s="84" t="inlineStr">
        <is>
          <t>奥特莱斯</t>
        </is>
      </c>
      <c r="H903" s="84" t="inlineStr">
        <is>
          <t>EERAG24E01</t>
        </is>
      </c>
      <c r="I903" s="84" t="n">
        <v>399</v>
      </c>
      <c r="J903" s="84" t="n">
        <v>399</v>
      </c>
      <c r="K903" s="85" t="n"/>
      <c r="L903" s="85" t="n"/>
    </row>
    <row r="904" ht="12.75" customHeight="1" s="103">
      <c r="A904" s="78">
        <f>MID(H904,3,2)</f>
        <v/>
      </c>
      <c r="B904" s="84" t="inlineStr">
        <is>
          <t>B331</t>
        </is>
      </c>
      <c r="C904" s="84" t="inlineStr">
        <is>
          <t>上海区域</t>
        </is>
      </c>
      <c r="D904" s="84" t="inlineStr">
        <is>
          <t>CN0Q</t>
        </is>
      </c>
      <c r="E904" s="80" t="inlineStr">
        <is>
          <t>EE 苏州比斯特</t>
        </is>
      </c>
      <c r="F904" s="84" t="n">
        <v>4</v>
      </c>
      <c r="G904" s="84" t="inlineStr">
        <is>
          <t>奥特莱斯</t>
        </is>
      </c>
      <c r="H904" s="84" t="inlineStr">
        <is>
          <t>EERAG24E01</t>
        </is>
      </c>
      <c r="I904" s="84" t="n">
        <v>399</v>
      </c>
      <c r="J904" s="84" t="n">
        <v>399</v>
      </c>
      <c r="K904" s="85" t="n">
        <v>1</v>
      </c>
      <c r="L904" s="85" t="n">
        <v>120</v>
      </c>
    </row>
    <row r="905" ht="12.75" customHeight="1" s="103">
      <c r="A905" s="78">
        <f>MID(H905,3,2)</f>
        <v/>
      </c>
      <c r="B905" s="84" t="inlineStr">
        <is>
          <t>B331</t>
        </is>
      </c>
      <c r="C905" s="84" t="inlineStr">
        <is>
          <t>上海区域</t>
        </is>
      </c>
      <c r="D905" s="84" t="inlineStr">
        <is>
          <t>CN0Q</t>
        </is>
      </c>
      <c r="E905" s="80" t="inlineStr">
        <is>
          <t>EE 苏州比斯特</t>
        </is>
      </c>
      <c r="F905" s="84" t="n">
        <v>4</v>
      </c>
      <c r="G905" s="84" t="inlineStr">
        <is>
          <t>奥特莱斯</t>
        </is>
      </c>
      <c r="H905" s="84" t="inlineStr">
        <is>
          <t>EERAG24E01</t>
        </is>
      </c>
      <c r="I905" s="84" t="n">
        <v>399</v>
      </c>
      <c r="J905" s="84" t="n">
        <v>399</v>
      </c>
      <c r="K905" s="85" t="n">
        <v>2</v>
      </c>
      <c r="L905" s="85" t="n">
        <v>533</v>
      </c>
    </row>
    <row r="906" ht="12.75" customHeight="1" s="103">
      <c r="A906" s="78">
        <f>MID(H906,3,2)</f>
        <v/>
      </c>
      <c r="B906" s="84" t="inlineStr">
        <is>
          <t>B331</t>
        </is>
      </c>
      <c r="C906" s="84" t="inlineStr">
        <is>
          <t>上海区域</t>
        </is>
      </c>
      <c r="D906" s="84" t="inlineStr">
        <is>
          <t>CN0Q</t>
        </is>
      </c>
      <c r="E906" s="80" t="inlineStr">
        <is>
          <t>EE 苏州比斯特</t>
        </is>
      </c>
      <c r="F906" s="84" t="n">
        <v>4</v>
      </c>
      <c r="G906" s="84" t="inlineStr">
        <is>
          <t>奥特莱斯</t>
        </is>
      </c>
      <c r="H906" s="84" t="inlineStr">
        <is>
          <t>EERAG24E01</t>
        </is>
      </c>
      <c r="I906" s="84" t="n">
        <v>399</v>
      </c>
      <c r="J906" s="84" t="n">
        <v>399</v>
      </c>
      <c r="K906" s="85" t="n"/>
      <c r="L906" s="85" t="n"/>
    </row>
    <row r="907" ht="12.75" customHeight="1" s="103">
      <c r="A907" s="78">
        <f>MID(H907,3,2)</f>
        <v/>
      </c>
      <c r="B907" s="84" t="inlineStr">
        <is>
          <t>B331</t>
        </is>
      </c>
      <c r="C907" s="84" t="inlineStr">
        <is>
          <t>上海区域</t>
        </is>
      </c>
      <c r="D907" s="84" t="inlineStr">
        <is>
          <t>CN0Q</t>
        </is>
      </c>
      <c r="E907" s="80" t="inlineStr">
        <is>
          <t>EE 苏州比斯特</t>
        </is>
      </c>
      <c r="F907" s="84" t="n">
        <v>4</v>
      </c>
      <c r="G907" s="84" t="inlineStr">
        <is>
          <t>奥特莱斯</t>
        </is>
      </c>
      <c r="H907" s="84" t="inlineStr">
        <is>
          <t>EERAG24E02</t>
        </is>
      </c>
      <c r="I907" s="84" t="n">
        <v>499</v>
      </c>
      <c r="J907" s="84" t="n">
        <v>499</v>
      </c>
      <c r="K907" s="85" t="n"/>
      <c r="L907" s="85" t="n"/>
    </row>
    <row r="908" ht="12.75" customHeight="1" s="103">
      <c r="A908" s="78">
        <f>MID(H908,3,2)</f>
        <v/>
      </c>
      <c r="B908" s="84" t="inlineStr">
        <is>
          <t>B331</t>
        </is>
      </c>
      <c r="C908" s="84" t="inlineStr">
        <is>
          <t>上海区域</t>
        </is>
      </c>
      <c r="D908" s="84" t="inlineStr">
        <is>
          <t>CN0Q</t>
        </is>
      </c>
      <c r="E908" s="80" t="inlineStr">
        <is>
          <t>EE 苏州比斯特</t>
        </is>
      </c>
      <c r="F908" s="84" t="n">
        <v>4</v>
      </c>
      <c r="G908" s="84" t="inlineStr">
        <is>
          <t>奥特莱斯</t>
        </is>
      </c>
      <c r="H908" s="84" t="inlineStr">
        <is>
          <t>EERAG24E02</t>
        </is>
      </c>
      <c r="I908" s="84" t="n">
        <v>499</v>
      </c>
      <c r="J908" s="84" t="n">
        <v>499</v>
      </c>
      <c r="K908" s="85" t="n"/>
      <c r="L908" s="85" t="n"/>
    </row>
    <row r="909" ht="12.75" customHeight="1" s="103">
      <c r="A909" s="78">
        <f>MID(H909,3,2)</f>
        <v/>
      </c>
      <c r="B909" s="84" t="inlineStr">
        <is>
          <t>B331</t>
        </is>
      </c>
      <c r="C909" s="84" t="inlineStr">
        <is>
          <t>上海区域</t>
        </is>
      </c>
      <c r="D909" s="84" t="inlineStr">
        <is>
          <t>CN0Q</t>
        </is>
      </c>
      <c r="E909" s="80" t="inlineStr">
        <is>
          <t>EE 苏州比斯特</t>
        </is>
      </c>
      <c r="F909" s="84" t="n">
        <v>4</v>
      </c>
      <c r="G909" s="84" t="inlineStr">
        <is>
          <t>奥特莱斯</t>
        </is>
      </c>
      <c r="H909" s="84" t="inlineStr">
        <is>
          <t>EERAG24E02</t>
        </is>
      </c>
      <c r="I909" s="84" t="n">
        <v>499</v>
      </c>
      <c r="J909" s="84" t="n">
        <v>499</v>
      </c>
      <c r="K909" s="85" t="n"/>
      <c r="L909" s="85" t="n"/>
    </row>
    <row r="910" ht="12.75" customHeight="1" s="103">
      <c r="A910" s="78">
        <f>MID(H910,3,2)</f>
        <v/>
      </c>
      <c r="B910" s="84" t="inlineStr">
        <is>
          <t>B331</t>
        </is>
      </c>
      <c r="C910" s="84" t="inlineStr">
        <is>
          <t>上海区域</t>
        </is>
      </c>
      <c r="D910" s="84" t="inlineStr">
        <is>
          <t>CN0Q</t>
        </is>
      </c>
      <c r="E910" s="80" t="inlineStr">
        <is>
          <t>EE 苏州比斯特</t>
        </is>
      </c>
      <c r="F910" s="84" t="n">
        <v>4</v>
      </c>
      <c r="G910" s="84" t="inlineStr">
        <is>
          <t>奥特莱斯</t>
        </is>
      </c>
      <c r="H910" s="84" t="inlineStr">
        <is>
          <t>EERAG24E02</t>
        </is>
      </c>
      <c r="I910" s="84" t="n">
        <v>499</v>
      </c>
      <c r="J910" s="84" t="n">
        <v>499</v>
      </c>
      <c r="K910" s="85" t="n"/>
      <c r="L910" s="85" t="n"/>
    </row>
    <row r="911" ht="12.75" customHeight="1" s="103">
      <c r="A911" s="78">
        <f>MID(H911,3,2)</f>
        <v/>
      </c>
      <c r="B911" s="84" t="inlineStr">
        <is>
          <t>B331</t>
        </is>
      </c>
      <c r="C911" s="84" t="inlineStr">
        <is>
          <t>上海区域</t>
        </is>
      </c>
      <c r="D911" s="84" t="inlineStr">
        <is>
          <t>CN0Q</t>
        </is>
      </c>
      <c r="E911" s="80" t="inlineStr">
        <is>
          <t>EE 苏州比斯特</t>
        </is>
      </c>
      <c r="F911" s="84" t="n">
        <v>4</v>
      </c>
      <c r="G911" s="84" t="inlineStr">
        <is>
          <t>奥特莱斯</t>
        </is>
      </c>
      <c r="H911" s="84" t="inlineStr">
        <is>
          <t>EERAG24E02</t>
        </is>
      </c>
      <c r="I911" s="84" t="n">
        <v>499</v>
      </c>
      <c r="J911" s="84" t="n">
        <v>499</v>
      </c>
      <c r="K911" s="85" t="n"/>
      <c r="L911" s="85" t="n"/>
    </row>
    <row r="912" ht="12.75" customHeight="1" s="103">
      <c r="A912" s="78">
        <f>MID(H912,3,2)</f>
        <v/>
      </c>
      <c r="B912" s="84" t="inlineStr">
        <is>
          <t>B331</t>
        </is>
      </c>
      <c r="C912" s="84" t="inlineStr">
        <is>
          <t>上海区域</t>
        </is>
      </c>
      <c r="D912" s="84" t="inlineStr">
        <is>
          <t>CN0Q</t>
        </is>
      </c>
      <c r="E912" s="80" t="inlineStr">
        <is>
          <t>EE 苏州比斯特</t>
        </is>
      </c>
      <c r="F912" s="84" t="n">
        <v>4</v>
      </c>
      <c r="G912" s="84" t="inlineStr">
        <is>
          <t>奥特莱斯</t>
        </is>
      </c>
      <c r="H912" s="84" t="inlineStr">
        <is>
          <t>EERAG24E02</t>
        </is>
      </c>
      <c r="I912" s="84" t="n">
        <v>499</v>
      </c>
      <c r="J912" s="84" t="n">
        <v>499</v>
      </c>
      <c r="K912" s="85" t="n"/>
      <c r="L912" s="85" t="n"/>
    </row>
    <row r="913" ht="12.75" customHeight="1" s="103">
      <c r="A913" s="78">
        <f>MID(H913,3,2)</f>
        <v/>
      </c>
      <c r="B913" s="84" t="inlineStr">
        <is>
          <t>B331</t>
        </is>
      </c>
      <c r="C913" s="84" t="inlineStr">
        <is>
          <t>上海区域</t>
        </is>
      </c>
      <c r="D913" s="84" t="inlineStr">
        <is>
          <t>CN0Q</t>
        </is>
      </c>
      <c r="E913" s="80" t="inlineStr">
        <is>
          <t>EE 苏州比斯特</t>
        </is>
      </c>
      <c r="F913" s="84" t="n">
        <v>4</v>
      </c>
      <c r="G913" s="84" t="inlineStr">
        <is>
          <t>奥特莱斯</t>
        </is>
      </c>
      <c r="H913" s="84" t="inlineStr">
        <is>
          <t>EERAG24E02</t>
        </is>
      </c>
      <c r="I913" s="84" t="n">
        <v>499</v>
      </c>
      <c r="J913" s="84" t="n">
        <v>499</v>
      </c>
      <c r="K913" s="85" t="n"/>
      <c r="L913" s="85" t="n"/>
    </row>
    <row r="914" ht="12.75" customHeight="1" s="103">
      <c r="A914" s="78">
        <f>MID(H914,3,2)</f>
        <v/>
      </c>
      <c r="B914" s="84" t="inlineStr">
        <is>
          <t>B331</t>
        </is>
      </c>
      <c r="C914" s="84" t="inlineStr">
        <is>
          <t>上海区域</t>
        </is>
      </c>
      <c r="D914" s="84" t="inlineStr">
        <is>
          <t>CN0Q</t>
        </is>
      </c>
      <c r="E914" s="80" t="inlineStr">
        <is>
          <t>EE 苏州比斯特</t>
        </is>
      </c>
      <c r="F914" s="84" t="n">
        <v>4</v>
      </c>
      <c r="G914" s="84" t="inlineStr">
        <is>
          <t>奥特莱斯</t>
        </is>
      </c>
      <c r="H914" s="84" t="inlineStr">
        <is>
          <t>EERAG24E02</t>
        </is>
      </c>
      <c r="I914" s="84" t="n">
        <v>499</v>
      </c>
      <c r="J914" s="84" t="n">
        <v>499</v>
      </c>
      <c r="K914" s="85" t="n"/>
      <c r="L914" s="85" t="n"/>
    </row>
    <row r="915" ht="12.75" customHeight="1" s="103">
      <c r="A915" s="78">
        <f>MID(H915,3,2)</f>
        <v/>
      </c>
      <c r="B915" s="84" t="inlineStr">
        <is>
          <t>B331</t>
        </is>
      </c>
      <c r="C915" s="84" t="inlineStr">
        <is>
          <t>上海区域</t>
        </is>
      </c>
      <c r="D915" s="84" t="inlineStr">
        <is>
          <t>CN0Q</t>
        </is>
      </c>
      <c r="E915" s="80" t="inlineStr">
        <is>
          <t>EE 苏州比斯特</t>
        </is>
      </c>
      <c r="F915" s="84" t="n">
        <v>4</v>
      </c>
      <c r="G915" s="84" t="inlineStr">
        <is>
          <t>奥特莱斯</t>
        </is>
      </c>
      <c r="H915" s="84" t="inlineStr">
        <is>
          <t>EERAG24E02</t>
        </is>
      </c>
      <c r="I915" s="84" t="n">
        <v>499</v>
      </c>
      <c r="J915" s="84" t="n">
        <v>499</v>
      </c>
      <c r="K915" s="85" t="n">
        <v>2</v>
      </c>
      <c r="L915" s="85" t="n">
        <v>349</v>
      </c>
    </row>
    <row r="916" ht="12.75" customHeight="1" s="103">
      <c r="A916" s="78">
        <f>MID(H916,3,2)</f>
        <v/>
      </c>
      <c r="B916" s="84" t="inlineStr">
        <is>
          <t>B331</t>
        </is>
      </c>
      <c r="C916" s="84" t="inlineStr">
        <is>
          <t>上海区域</t>
        </is>
      </c>
      <c r="D916" s="84" t="inlineStr">
        <is>
          <t>CN0Q</t>
        </is>
      </c>
      <c r="E916" s="80" t="inlineStr">
        <is>
          <t>EE 苏州比斯特</t>
        </is>
      </c>
      <c r="F916" s="84" t="n">
        <v>4</v>
      </c>
      <c r="G916" s="84" t="inlineStr">
        <is>
          <t>奥特莱斯</t>
        </is>
      </c>
      <c r="H916" s="84" t="inlineStr">
        <is>
          <t>EERAG24E02</t>
        </is>
      </c>
      <c r="I916" s="84" t="n">
        <v>499</v>
      </c>
      <c r="J916" s="84" t="n">
        <v>499</v>
      </c>
      <c r="K916" s="85" t="n">
        <v>1</v>
      </c>
      <c r="L916" s="85" t="n"/>
    </row>
    <row r="917" ht="12.75" customHeight="1" s="103">
      <c r="A917" s="78">
        <f>MID(H917,3,2)</f>
        <v/>
      </c>
      <c r="B917" s="84" t="inlineStr">
        <is>
          <t>B331</t>
        </is>
      </c>
      <c r="C917" s="84" t="inlineStr">
        <is>
          <t>上海区域</t>
        </is>
      </c>
      <c r="D917" s="84" t="inlineStr">
        <is>
          <t>CN0Q</t>
        </is>
      </c>
      <c r="E917" s="80" t="inlineStr">
        <is>
          <t>EE 苏州比斯特</t>
        </is>
      </c>
      <c r="F917" s="84" t="n">
        <v>4</v>
      </c>
      <c r="G917" s="84" t="inlineStr">
        <is>
          <t>奥特莱斯</t>
        </is>
      </c>
      <c r="H917" s="84" t="inlineStr">
        <is>
          <t>EERAG24E02</t>
        </is>
      </c>
      <c r="I917" s="84" t="n">
        <v>499</v>
      </c>
      <c r="J917" s="84" t="n">
        <v>499</v>
      </c>
      <c r="K917" s="85" t="n"/>
      <c r="L917" s="85" t="n"/>
    </row>
    <row r="918" ht="12.75" customHeight="1" s="103">
      <c r="A918" s="78">
        <f>MID(H918,3,2)</f>
        <v/>
      </c>
      <c r="B918" s="84" t="inlineStr">
        <is>
          <t>B331</t>
        </is>
      </c>
      <c r="C918" s="84" t="inlineStr">
        <is>
          <t>上海区域</t>
        </is>
      </c>
      <c r="D918" s="84" t="inlineStr">
        <is>
          <t>CN0Q</t>
        </is>
      </c>
      <c r="E918" s="80" t="inlineStr">
        <is>
          <t>EE 苏州比斯特</t>
        </is>
      </c>
      <c r="F918" s="84" t="n">
        <v>4</v>
      </c>
      <c r="G918" s="84" t="inlineStr">
        <is>
          <t>奥特莱斯</t>
        </is>
      </c>
      <c r="H918" s="84" t="inlineStr">
        <is>
          <t>EERAG24E02</t>
        </is>
      </c>
      <c r="I918" s="84" t="n">
        <v>499</v>
      </c>
      <c r="J918" s="84" t="n">
        <v>499</v>
      </c>
      <c r="K918" s="85" t="n"/>
      <c r="L918" s="85" t="n"/>
    </row>
    <row r="919" ht="12.75" customHeight="1" s="103">
      <c r="A919" s="78">
        <f>MID(H919,3,2)</f>
        <v/>
      </c>
      <c r="B919" s="84" t="inlineStr">
        <is>
          <t>B331</t>
        </is>
      </c>
      <c r="C919" s="84" t="inlineStr">
        <is>
          <t>上海区域</t>
        </is>
      </c>
      <c r="D919" s="84" t="inlineStr">
        <is>
          <t>CN0Q</t>
        </is>
      </c>
      <c r="E919" s="80" t="inlineStr">
        <is>
          <t>EE 苏州比斯特</t>
        </is>
      </c>
      <c r="F919" s="84" t="n">
        <v>4</v>
      </c>
      <c r="G919" s="84" t="inlineStr">
        <is>
          <t>奥特莱斯</t>
        </is>
      </c>
      <c r="H919" s="84" t="inlineStr">
        <is>
          <t>EERAG24E03</t>
        </is>
      </c>
      <c r="I919" s="84" t="n">
        <v>599</v>
      </c>
      <c r="J919" s="84" t="n">
        <v>599</v>
      </c>
      <c r="K919" s="85" t="n"/>
      <c r="L919" s="85" t="n"/>
    </row>
    <row r="920" ht="12.75" customHeight="1" s="103">
      <c r="A920" s="78">
        <f>MID(H920,3,2)</f>
        <v/>
      </c>
      <c r="B920" s="84" t="inlineStr">
        <is>
          <t>B331</t>
        </is>
      </c>
      <c r="C920" s="84" t="inlineStr">
        <is>
          <t>上海区域</t>
        </is>
      </c>
      <c r="D920" s="84" t="inlineStr">
        <is>
          <t>CN0Q</t>
        </is>
      </c>
      <c r="E920" s="80" t="inlineStr">
        <is>
          <t>EE 苏州比斯特</t>
        </is>
      </c>
      <c r="F920" s="84" t="n">
        <v>4</v>
      </c>
      <c r="G920" s="84" t="inlineStr">
        <is>
          <t>奥特莱斯</t>
        </is>
      </c>
      <c r="H920" s="84" t="inlineStr">
        <is>
          <t>EERAG24E03</t>
        </is>
      </c>
      <c r="I920" s="84" t="n">
        <v>599</v>
      </c>
      <c r="J920" s="84" t="n">
        <v>599</v>
      </c>
      <c r="K920" s="85" t="n"/>
      <c r="L920" s="85" t="n"/>
    </row>
    <row r="921" ht="12.75" customHeight="1" s="103">
      <c r="A921" s="78">
        <f>MID(H921,3,2)</f>
        <v/>
      </c>
      <c r="B921" s="84" t="inlineStr">
        <is>
          <t>B331</t>
        </is>
      </c>
      <c r="C921" s="84" t="inlineStr">
        <is>
          <t>上海区域</t>
        </is>
      </c>
      <c r="D921" s="84" t="inlineStr">
        <is>
          <t>CN0Q</t>
        </is>
      </c>
      <c r="E921" s="80" t="inlineStr">
        <is>
          <t>EE 苏州比斯特</t>
        </is>
      </c>
      <c r="F921" s="84" t="n">
        <v>4</v>
      </c>
      <c r="G921" s="84" t="inlineStr">
        <is>
          <t>奥特莱斯</t>
        </is>
      </c>
      <c r="H921" s="84" t="inlineStr">
        <is>
          <t>EERAG24E04</t>
        </is>
      </c>
      <c r="I921" s="84" t="n">
        <v>599</v>
      </c>
      <c r="J921" s="84" t="n">
        <v>499</v>
      </c>
      <c r="K921" s="85" t="n">
        <v>18</v>
      </c>
      <c r="L921" s="86" t="n">
        <v>3975</v>
      </c>
    </row>
    <row r="922" ht="12.75" customHeight="1" s="103">
      <c r="A922" s="78">
        <f>MID(H922,3,2)</f>
        <v/>
      </c>
      <c r="B922" s="84" t="inlineStr">
        <is>
          <t>B331</t>
        </is>
      </c>
      <c r="C922" s="84" t="inlineStr">
        <is>
          <t>上海区域</t>
        </is>
      </c>
      <c r="D922" s="84" t="inlineStr">
        <is>
          <t>CN0Q</t>
        </is>
      </c>
      <c r="E922" s="80" t="inlineStr">
        <is>
          <t>EE 苏州比斯特</t>
        </is>
      </c>
      <c r="F922" s="84" t="n">
        <v>4</v>
      </c>
      <c r="G922" s="84" t="inlineStr">
        <is>
          <t>奥特莱斯</t>
        </is>
      </c>
      <c r="H922" s="84" t="inlineStr">
        <is>
          <t>EERAG24E04</t>
        </is>
      </c>
      <c r="I922" s="84" t="n">
        <v>599</v>
      </c>
      <c r="J922" s="84" t="n">
        <v>499</v>
      </c>
      <c r="K922" s="85" t="n">
        <v>12</v>
      </c>
      <c r="L922" s="86" t="n">
        <v>1623</v>
      </c>
    </row>
    <row r="923" ht="12.75" customHeight="1" s="103">
      <c r="A923" s="78">
        <f>MID(H923,3,2)</f>
        <v/>
      </c>
      <c r="B923" s="84" t="inlineStr">
        <is>
          <t>B331</t>
        </is>
      </c>
      <c r="C923" s="84" t="inlineStr">
        <is>
          <t>上海区域</t>
        </is>
      </c>
      <c r="D923" s="84" t="inlineStr">
        <is>
          <t>CN0Q</t>
        </is>
      </c>
      <c r="E923" s="80" t="inlineStr">
        <is>
          <t>EE 苏州比斯特</t>
        </is>
      </c>
      <c r="F923" s="84" t="n">
        <v>4</v>
      </c>
      <c r="G923" s="84" t="inlineStr">
        <is>
          <t>奥特莱斯</t>
        </is>
      </c>
      <c r="H923" s="84" t="inlineStr">
        <is>
          <t>EERAG24E04</t>
        </is>
      </c>
      <c r="I923" s="84" t="n">
        <v>599</v>
      </c>
      <c r="J923" s="84" t="n">
        <v>499</v>
      </c>
      <c r="K923" s="85" t="n">
        <v>1</v>
      </c>
      <c r="L923" s="85" t="n">
        <v>349</v>
      </c>
    </row>
    <row r="924" ht="12.75" customHeight="1" s="103">
      <c r="A924" s="78">
        <f>MID(H924,3,2)</f>
        <v/>
      </c>
      <c r="B924" s="84" t="inlineStr">
        <is>
          <t>B331</t>
        </is>
      </c>
      <c r="C924" s="84" t="inlineStr">
        <is>
          <t>上海区域</t>
        </is>
      </c>
      <c r="D924" s="84" t="inlineStr">
        <is>
          <t>CN0Q</t>
        </is>
      </c>
      <c r="E924" s="80" t="inlineStr">
        <is>
          <t>EE 苏州比斯特</t>
        </is>
      </c>
      <c r="F924" s="84" t="n">
        <v>4</v>
      </c>
      <c r="G924" s="84" t="inlineStr">
        <is>
          <t>奥特莱斯</t>
        </is>
      </c>
      <c r="H924" s="84" t="inlineStr">
        <is>
          <t>EERAG24E04</t>
        </is>
      </c>
      <c r="I924" s="84" t="n">
        <v>599</v>
      </c>
      <c r="J924" s="84" t="n">
        <v>499</v>
      </c>
      <c r="K924" s="85" t="n">
        <v>15</v>
      </c>
      <c r="L924" s="86" t="n">
        <v>3253</v>
      </c>
    </row>
    <row r="925" ht="12.75" customHeight="1" s="103">
      <c r="A925" s="78">
        <f>MID(H925,3,2)</f>
        <v/>
      </c>
      <c r="B925" s="84" t="inlineStr">
        <is>
          <t>B331</t>
        </is>
      </c>
      <c r="C925" s="84" t="inlineStr">
        <is>
          <t>上海区域</t>
        </is>
      </c>
      <c r="D925" s="84" t="inlineStr">
        <is>
          <t>CN0Q</t>
        </is>
      </c>
      <c r="E925" s="80" t="inlineStr">
        <is>
          <t>EE 苏州比斯特</t>
        </is>
      </c>
      <c r="F925" s="84" t="n">
        <v>4</v>
      </c>
      <c r="G925" s="84" t="inlineStr">
        <is>
          <t>奥特莱斯</t>
        </is>
      </c>
      <c r="H925" s="84" t="inlineStr">
        <is>
          <t>EERAG24E04</t>
        </is>
      </c>
      <c r="I925" s="84" t="n">
        <v>599</v>
      </c>
      <c r="J925" s="84" t="n">
        <v>499</v>
      </c>
      <c r="K925" s="85" t="n">
        <v>11</v>
      </c>
      <c r="L925" s="86" t="n">
        <v>2604</v>
      </c>
    </row>
    <row r="926" ht="12.75" customHeight="1" s="103">
      <c r="A926" s="78">
        <f>MID(H926,3,2)</f>
        <v/>
      </c>
      <c r="B926" s="84" t="inlineStr">
        <is>
          <t>B331</t>
        </is>
      </c>
      <c r="C926" s="84" t="inlineStr">
        <is>
          <t>上海区域</t>
        </is>
      </c>
      <c r="D926" s="84" t="inlineStr">
        <is>
          <t>CN0Q</t>
        </is>
      </c>
      <c r="E926" s="80" t="inlineStr">
        <is>
          <t>EE 苏州比斯特</t>
        </is>
      </c>
      <c r="F926" s="84" t="n">
        <v>4</v>
      </c>
      <c r="G926" s="84" t="inlineStr">
        <is>
          <t>奥特莱斯</t>
        </is>
      </c>
      <c r="H926" s="84" t="inlineStr">
        <is>
          <t>EERAG24E04</t>
        </is>
      </c>
      <c r="I926" s="84" t="n">
        <v>599</v>
      </c>
      <c r="J926" s="84" t="n">
        <v>499</v>
      </c>
      <c r="K926" s="85" t="n">
        <v>3</v>
      </c>
      <c r="L926" s="85" t="n">
        <v>816</v>
      </c>
    </row>
    <row r="927" ht="12.75" customHeight="1" s="103">
      <c r="A927" s="78">
        <f>MID(H927,3,2)</f>
        <v/>
      </c>
      <c r="B927" s="84" t="inlineStr">
        <is>
          <t>B331</t>
        </is>
      </c>
      <c r="C927" s="84" t="inlineStr">
        <is>
          <t>上海区域</t>
        </is>
      </c>
      <c r="D927" s="84" t="inlineStr">
        <is>
          <t>CN0Q</t>
        </is>
      </c>
      <c r="E927" s="80" t="inlineStr">
        <is>
          <t>EE 苏州比斯特</t>
        </is>
      </c>
      <c r="F927" s="84" t="n">
        <v>4</v>
      </c>
      <c r="G927" s="84" t="inlineStr">
        <is>
          <t>奥特莱斯</t>
        </is>
      </c>
      <c r="H927" s="84" t="inlineStr">
        <is>
          <t>EERAG24E04</t>
        </is>
      </c>
      <c r="I927" s="84" t="n">
        <v>599</v>
      </c>
      <c r="J927" s="84" t="n">
        <v>499</v>
      </c>
      <c r="K927" s="85" t="n">
        <v>5</v>
      </c>
      <c r="L927" s="86" t="n">
        <v>1015</v>
      </c>
    </row>
    <row r="928" ht="12.75" customHeight="1" s="103">
      <c r="A928" s="78">
        <f>MID(H928,3,2)</f>
        <v/>
      </c>
      <c r="B928" s="84" t="inlineStr">
        <is>
          <t>B331</t>
        </is>
      </c>
      <c r="C928" s="84" t="inlineStr">
        <is>
          <t>上海区域</t>
        </is>
      </c>
      <c r="D928" s="84" t="inlineStr">
        <is>
          <t>CN0Q</t>
        </is>
      </c>
      <c r="E928" s="80" t="inlineStr">
        <is>
          <t>EE 苏州比斯特</t>
        </is>
      </c>
      <c r="F928" s="84" t="n">
        <v>4</v>
      </c>
      <c r="G928" s="84" t="inlineStr">
        <is>
          <t>奥特莱斯</t>
        </is>
      </c>
      <c r="H928" s="84" t="inlineStr">
        <is>
          <t>EERAG24E04</t>
        </is>
      </c>
      <c r="I928" s="84" t="n">
        <v>599</v>
      </c>
      <c r="J928" s="84" t="n">
        <v>499</v>
      </c>
      <c r="K928" s="85" t="n">
        <v>4</v>
      </c>
      <c r="L928" s="85" t="n">
        <v>318</v>
      </c>
    </row>
    <row r="929" ht="12.75" customHeight="1" s="103">
      <c r="A929" s="78">
        <f>MID(H929,3,2)</f>
        <v/>
      </c>
      <c r="B929" s="84" t="inlineStr">
        <is>
          <t>B331</t>
        </is>
      </c>
      <c r="C929" s="84" t="inlineStr">
        <is>
          <t>上海区域</t>
        </is>
      </c>
      <c r="D929" s="84" t="inlineStr">
        <is>
          <t>CN0Q</t>
        </is>
      </c>
      <c r="E929" s="80" t="inlineStr">
        <is>
          <t>EE 苏州比斯特</t>
        </is>
      </c>
      <c r="F929" s="84" t="n">
        <v>4</v>
      </c>
      <c r="G929" s="84" t="inlineStr">
        <is>
          <t>奥特莱斯</t>
        </is>
      </c>
      <c r="H929" s="84" t="inlineStr">
        <is>
          <t>EERAG24E04</t>
        </is>
      </c>
      <c r="I929" s="84" t="n">
        <v>599</v>
      </c>
      <c r="J929" s="84" t="n">
        <v>499</v>
      </c>
      <c r="K929" s="85" t="n">
        <v>2</v>
      </c>
      <c r="L929" s="85" t="n"/>
    </row>
    <row r="930" ht="12.75" customHeight="1" s="103">
      <c r="A930" s="78">
        <f>MID(H930,3,2)</f>
        <v/>
      </c>
      <c r="B930" s="84" t="inlineStr">
        <is>
          <t>B331</t>
        </is>
      </c>
      <c r="C930" s="84" t="inlineStr">
        <is>
          <t>上海区域</t>
        </is>
      </c>
      <c r="D930" s="84" t="inlineStr">
        <is>
          <t>CN0Q</t>
        </is>
      </c>
      <c r="E930" s="80" t="inlineStr">
        <is>
          <t>EE 苏州比斯特</t>
        </is>
      </c>
      <c r="F930" s="84" t="n">
        <v>4</v>
      </c>
      <c r="G930" s="84" t="inlineStr">
        <is>
          <t>奥特莱斯</t>
        </is>
      </c>
      <c r="H930" s="84" t="inlineStr">
        <is>
          <t>EERAG25B1G</t>
        </is>
      </c>
      <c r="I930" s="84" t="n">
        <v>499</v>
      </c>
      <c r="J930" s="84" t="n">
        <v>499</v>
      </c>
      <c r="K930" s="85" t="n">
        <v>3</v>
      </c>
      <c r="L930" s="85" t="n">
        <v>652</v>
      </c>
    </row>
    <row r="931" ht="12.75" customHeight="1" s="103">
      <c r="A931" s="78">
        <f>MID(H931,3,2)</f>
        <v/>
      </c>
      <c r="B931" s="84" t="inlineStr">
        <is>
          <t>B331</t>
        </is>
      </c>
      <c r="C931" s="84" t="inlineStr">
        <is>
          <t>上海区域</t>
        </is>
      </c>
      <c r="D931" s="84" t="inlineStr">
        <is>
          <t>CN0Q</t>
        </is>
      </c>
      <c r="E931" s="80" t="inlineStr">
        <is>
          <t>EE 苏州比斯特</t>
        </is>
      </c>
      <c r="F931" s="84" t="n">
        <v>4</v>
      </c>
      <c r="G931" s="84" t="inlineStr">
        <is>
          <t>奥特莱斯</t>
        </is>
      </c>
      <c r="H931" s="84" t="inlineStr">
        <is>
          <t>EERAG25B1G</t>
        </is>
      </c>
      <c r="I931" s="84" t="n">
        <v>499</v>
      </c>
      <c r="J931" s="84" t="n">
        <v>499</v>
      </c>
      <c r="K931" s="85" t="n"/>
      <c r="L931" s="85" t="n"/>
    </row>
    <row r="932" ht="12.75" customHeight="1" s="103">
      <c r="A932" s="78">
        <f>MID(H932,3,2)</f>
        <v/>
      </c>
      <c r="B932" s="84" t="inlineStr">
        <is>
          <t>B331</t>
        </is>
      </c>
      <c r="C932" s="84" t="inlineStr">
        <is>
          <t>上海区域</t>
        </is>
      </c>
      <c r="D932" s="84" t="inlineStr">
        <is>
          <t>CN0Q</t>
        </is>
      </c>
      <c r="E932" s="80" t="inlineStr">
        <is>
          <t>EE 苏州比斯特</t>
        </is>
      </c>
      <c r="F932" s="84" t="n">
        <v>4</v>
      </c>
      <c r="G932" s="84" t="inlineStr">
        <is>
          <t>奥特莱斯</t>
        </is>
      </c>
      <c r="H932" s="84" t="inlineStr">
        <is>
          <t>EERAG25B1G</t>
        </is>
      </c>
      <c r="I932" s="84" t="n">
        <v>499</v>
      </c>
      <c r="J932" s="84" t="n">
        <v>499</v>
      </c>
      <c r="K932" s="85" t="n">
        <v>1</v>
      </c>
      <c r="L932" s="85" t="n">
        <v>319</v>
      </c>
    </row>
    <row r="933" ht="12.75" customHeight="1" s="103">
      <c r="A933" s="78">
        <f>MID(H933,3,2)</f>
        <v/>
      </c>
      <c r="B933" s="84" t="inlineStr">
        <is>
          <t>B331</t>
        </is>
      </c>
      <c r="C933" s="84" t="inlineStr">
        <is>
          <t>上海区域</t>
        </is>
      </c>
      <c r="D933" s="84" t="inlineStr">
        <is>
          <t>CN0Q</t>
        </is>
      </c>
      <c r="E933" s="80" t="inlineStr">
        <is>
          <t>EE 苏州比斯特</t>
        </is>
      </c>
      <c r="F933" s="84" t="n">
        <v>4</v>
      </c>
      <c r="G933" s="84" t="inlineStr">
        <is>
          <t>奥特莱斯</t>
        </is>
      </c>
      <c r="H933" s="84" t="inlineStr">
        <is>
          <t>EERAG25B1G</t>
        </is>
      </c>
      <c r="I933" s="84" t="n">
        <v>499</v>
      </c>
      <c r="J933" s="84" t="n">
        <v>499</v>
      </c>
      <c r="K933" s="85" t="n"/>
      <c r="L933" s="85" t="n"/>
    </row>
    <row r="934" ht="12.75" customHeight="1" s="103">
      <c r="A934" s="78">
        <f>MID(H934,3,2)</f>
        <v/>
      </c>
      <c r="B934" s="84" t="inlineStr">
        <is>
          <t>B331</t>
        </is>
      </c>
      <c r="C934" s="84" t="inlineStr">
        <is>
          <t>上海区域</t>
        </is>
      </c>
      <c r="D934" s="84" t="inlineStr">
        <is>
          <t>CN0Q</t>
        </is>
      </c>
      <c r="E934" s="80" t="inlineStr">
        <is>
          <t>EE 苏州比斯特</t>
        </is>
      </c>
      <c r="F934" s="84" t="n">
        <v>4</v>
      </c>
      <c r="G934" s="84" t="inlineStr">
        <is>
          <t>奥特莱斯</t>
        </is>
      </c>
      <c r="H934" s="84" t="inlineStr">
        <is>
          <t>EERAG25B1G</t>
        </is>
      </c>
      <c r="I934" s="84" t="n">
        <v>499</v>
      </c>
      <c r="J934" s="84" t="n">
        <v>499</v>
      </c>
      <c r="K934" s="85" t="n"/>
      <c r="L934" s="85" t="n"/>
    </row>
    <row r="935" ht="12.75" customHeight="1" s="103">
      <c r="A935" s="78">
        <f>MID(H935,3,2)</f>
        <v/>
      </c>
      <c r="B935" s="84" t="inlineStr">
        <is>
          <t>B331</t>
        </is>
      </c>
      <c r="C935" s="84" t="inlineStr">
        <is>
          <t>上海区域</t>
        </is>
      </c>
      <c r="D935" s="84" t="inlineStr">
        <is>
          <t>CN0Q</t>
        </is>
      </c>
      <c r="E935" s="80" t="inlineStr">
        <is>
          <t>EE 苏州比斯特</t>
        </is>
      </c>
      <c r="F935" s="84" t="n">
        <v>4</v>
      </c>
      <c r="G935" s="84" t="inlineStr">
        <is>
          <t>奥特莱斯</t>
        </is>
      </c>
      <c r="H935" s="84" t="inlineStr">
        <is>
          <t>EERAG25B1G</t>
        </is>
      </c>
      <c r="I935" s="84" t="n">
        <v>499</v>
      </c>
      <c r="J935" s="84" t="n">
        <v>499</v>
      </c>
      <c r="K935" s="85" t="n"/>
      <c r="L935" s="85" t="n"/>
    </row>
    <row r="936" ht="12.75" customHeight="1" s="103">
      <c r="A936" s="78">
        <f>MID(H936,3,2)</f>
        <v/>
      </c>
      <c r="B936" s="84" t="inlineStr">
        <is>
          <t>B331</t>
        </is>
      </c>
      <c r="C936" s="84" t="inlineStr">
        <is>
          <t>上海区域</t>
        </is>
      </c>
      <c r="D936" s="84" t="inlineStr">
        <is>
          <t>CN0Q</t>
        </is>
      </c>
      <c r="E936" s="80" t="inlineStr">
        <is>
          <t>EE 苏州比斯特</t>
        </is>
      </c>
      <c r="F936" s="84" t="n">
        <v>4</v>
      </c>
      <c r="G936" s="84" t="inlineStr">
        <is>
          <t>奥特莱斯</t>
        </is>
      </c>
      <c r="H936" s="84" t="inlineStr">
        <is>
          <t>EERAG25B1G</t>
        </is>
      </c>
      <c r="I936" s="84" t="n">
        <v>499</v>
      </c>
      <c r="J936" s="84" t="n">
        <v>499</v>
      </c>
      <c r="K936" s="85" t="n"/>
      <c r="L936" s="85" t="n"/>
    </row>
    <row r="937" ht="12.75" customHeight="1" s="103">
      <c r="A937" s="78">
        <f>MID(H937,3,2)</f>
        <v/>
      </c>
      <c r="B937" s="84" t="inlineStr">
        <is>
          <t>B331</t>
        </is>
      </c>
      <c r="C937" s="84" t="inlineStr">
        <is>
          <t>上海区域</t>
        </is>
      </c>
      <c r="D937" s="84" t="inlineStr">
        <is>
          <t>CN0Q</t>
        </is>
      </c>
      <c r="E937" s="80" t="inlineStr">
        <is>
          <t>EE 苏州比斯特</t>
        </is>
      </c>
      <c r="F937" s="84" t="n">
        <v>4</v>
      </c>
      <c r="G937" s="84" t="inlineStr">
        <is>
          <t>奥特莱斯</t>
        </is>
      </c>
      <c r="H937" s="84" t="inlineStr">
        <is>
          <t>EERAG25B1G</t>
        </is>
      </c>
      <c r="I937" s="84" t="n">
        <v>499</v>
      </c>
      <c r="J937" s="84" t="n">
        <v>499</v>
      </c>
      <c r="K937" s="85" t="n"/>
      <c r="L937" s="85" t="n"/>
    </row>
    <row r="938" ht="12.75" customHeight="1" s="103">
      <c r="A938" s="78">
        <f>MID(H938,3,2)</f>
        <v/>
      </c>
      <c r="B938" s="84" t="inlineStr">
        <is>
          <t>B331</t>
        </is>
      </c>
      <c r="C938" s="84" t="inlineStr">
        <is>
          <t>上海区域</t>
        </is>
      </c>
      <c r="D938" s="84" t="inlineStr">
        <is>
          <t>CN0Q</t>
        </is>
      </c>
      <c r="E938" s="80" t="inlineStr">
        <is>
          <t>EE 苏州比斯特</t>
        </is>
      </c>
      <c r="F938" s="84" t="n">
        <v>4</v>
      </c>
      <c r="G938" s="84" t="inlineStr">
        <is>
          <t>奥特莱斯</t>
        </is>
      </c>
      <c r="H938" s="84" t="inlineStr">
        <is>
          <t>EERAG25B2G</t>
        </is>
      </c>
      <c r="I938" s="84" t="n">
        <v>499</v>
      </c>
      <c r="J938" s="84" t="n">
        <v>499</v>
      </c>
      <c r="K938" s="85" t="n">
        <v>0</v>
      </c>
      <c r="L938" s="85" t="n">
        <v>0</v>
      </c>
    </row>
    <row r="939" ht="12.75" customHeight="1" s="103">
      <c r="A939" s="78">
        <f>MID(H939,3,2)</f>
        <v/>
      </c>
      <c r="B939" s="84" t="inlineStr">
        <is>
          <t>B331</t>
        </is>
      </c>
      <c r="C939" s="84" t="inlineStr">
        <is>
          <t>上海区域</t>
        </is>
      </c>
      <c r="D939" s="84" t="inlineStr">
        <is>
          <t>CN0Q</t>
        </is>
      </c>
      <c r="E939" s="80" t="inlineStr">
        <is>
          <t>EE 苏州比斯特</t>
        </is>
      </c>
      <c r="F939" s="84" t="n">
        <v>4</v>
      </c>
      <c r="G939" s="84" t="inlineStr">
        <is>
          <t>奥特莱斯</t>
        </is>
      </c>
      <c r="H939" s="84" t="inlineStr">
        <is>
          <t>EERAG25B2G</t>
        </is>
      </c>
      <c r="I939" s="84" t="n">
        <v>499</v>
      </c>
      <c r="J939" s="84" t="n">
        <v>499</v>
      </c>
      <c r="K939" s="85" t="n">
        <v>1</v>
      </c>
      <c r="L939" s="85" t="n">
        <v>349</v>
      </c>
    </row>
    <row r="940" ht="12.75" customHeight="1" s="103">
      <c r="A940" s="78">
        <f>MID(H940,3,2)</f>
        <v/>
      </c>
      <c r="B940" s="84" t="inlineStr">
        <is>
          <t>B331</t>
        </is>
      </c>
      <c r="C940" s="84" t="inlineStr">
        <is>
          <t>上海区域</t>
        </is>
      </c>
      <c r="D940" s="84" t="inlineStr">
        <is>
          <t>CN0Q</t>
        </is>
      </c>
      <c r="E940" s="80" t="inlineStr">
        <is>
          <t>EE 苏州比斯特</t>
        </is>
      </c>
      <c r="F940" s="84" t="n">
        <v>4</v>
      </c>
      <c r="G940" s="84" t="inlineStr">
        <is>
          <t>奥特莱斯</t>
        </is>
      </c>
      <c r="H940" s="84" t="inlineStr">
        <is>
          <t>EERAG25B2G</t>
        </is>
      </c>
      <c r="I940" s="84" t="n">
        <v>499</v>
      </c>
      <c r="J940" s="84" t="n">
        <v>499</v>
      </c>
      <c r="K940" s="85" t="n"/>
      <c r="L940" s="85" t="n"/>
    </row>
    <row r="941" ht="12.75" customHeight="1" s="103">
      <c r="A941" s="78">
        <f>MID(H941,3,2)</f>
        <v/>
      </c>
      <c r="B941" s="84" t="inlineStr">
        <is>
          <t>B331</t>
        </is>
      </c>
      <c r="C941" s="84" t="inlineStr">
        <is>
          <t>上海区域</t>
        </is>
      </c>
      <c r="D941" s="84" t="inlineStr">
        <is>
          <t>CN0Q</t>
        </is>
      </c>
      <c r="E941" s="80" t="inlineStr">
        <is>
          <t>EE 苏州比斯特</t>
        </is>
      </c>
      <c r="F941" s="84" t="n">
        <v>4</v>
      </c>
      <c r="G941" s="84" t="inlineStr">
        <is>
          <t>奥特莱斯</t>
        </is>
      </c>
      <c r="H941" s="84" t="inlineStr">
        <is>
          <t>EERAG25E01</t>
        </is>
      </c>
      <c r="I941" s="84" t="n">
        <v>499</v>
      </c>
      <c r="J941" s="84" t="n">
        <v>499</v>
      </c>
      <c r="K941" s="85" t="n"/>
      <c r="L941" s="85" t="n"/>
    </row>
    <row r="942" ht="12.75" customHeight="1" s="103">
      <c r="A942" s="78">
        <f>MID(H942,3,2)</f>
        <v/>
      </c>
      <c r="B942" s="84" t="inlineStr">
        <is>
          <t>B331</t>
        </is>
      </c>
      <c r="C942" s="84" t="inlineStr">
        <is>
          <t>上海区域</t>
        </is>
      </c>
      <c r="D942" s="84" t="inlineStr">
        <is>
          <t>CN0Q</t>
        </is>
      </c>
      <c r="E942" s="80" t="inlineStr">
        <is>
          <t>EE 苏州比斯特</t>
        </is>
      </c>
      <c r="F942" s="84" t="n">
        <v>4</v>
      </c>
      <c r="G942" s="84" t="inlineStr">
        <is>
          <t>奥特莱斯</t>
        </is>
      </c>
      <c r="H942" s="84" t="inlineStr">
        <is>
          <t>EERAG25E01</t>
        </is>
      </c>
      <c r="I942" s="84" t="n">
        <v>499</v>
      </c>
      <c r="J942" s="84" t="n">
        <v>499</v>
      </c>
      <c r="K942" s="85" t="n"/>
      <c r="L942" s="85" t="n"/>
    </row>
    <row r="943" ht="12.75" customHeight="1" s="103">
      <c r="A943" s="78">
        <f>MID(H943,3,2)</f>
        <v/>
      </c>
      <c r="B943" s="84" t="inlineStr">
        <is>
          <t>B331</t>
        </is>
      </c>
      <c r="C943" s="84" t="inlineStr">
        <is>
          <t>上海区域</t>
        </is>
      </c>
      <c r="D943" s="84" t="inlineStr">
        <is>
          <t>CN0Q</t>
        </is>
      </c>
      <c r="E943" s="80" t="inlineStr">
        <is>
          <t>EE 苏州比斯特</t>
        </is>
      </c>
      <c r="F943" s="84" t="n">
        <v>4</v>
      </c>
      <c r="G943" s="84" t="inlineStr">
        <is>
          <t>奥特莱斯</t>
        </is>
      </c>
      <c r="H943" s="84" t="inlineStr">
        <is>
          <t>EERAG25E01</t>
        </is>
      </c>
      <c r="I943" s="84" t="n">
        <v>499</v>
      </c>
      <c r="J943" s="84" t="n">
        <v>499</v>
      </c>
      <c r="K943" s="85" t="n"/>
      <c r="L943" s="85" t="n"/>
    </row>
    <row r="944" ht="12.75" customHeight="1" s="103">
      <c r="A944" s="78">
        <f>MID(H944,3,2)</f>
        <v/>
      </c>
      <c r="B944" s="84" t="inlineStr">
        <is>
          <t>B331</t>
        </is>
      </c>
      <c r="C944" s="84" t="inlineStr">
        <is>
          <t>上海区域</t>
        </is>
      </c>
      <c r="D944" s="84" t="inlineStr">
        <is>
          <t>CN0Q</t>
        </is>
      </c>
      <c r="E944" s="80" t="inlineStr">
        <is>
          <t>EE 苏州比斯特</t>
        </is>
      </c>
      <c r="F944" s="84" t="n">
        <v>4</v>
      </c>
      <c r="G944" s="84" t="inlineStr">
        <is>
          <t>奥特莱斯</t>
        </is>
      </c>
      <c r="H944" s="84" t="inlineStr">
        <is>
          <t>EERAG25E01</t>
        </is>
      </c>
      <c r="I944" s="84" t="n">
        <v>499</v>
      </c>
      <c r="J944" s="84" t="n">
        <v>499</v>
      </c>
      <c r="K944" s="85" t="n"/>
      <c r="L944" s="85" t="n"/>
    </row>
    <row r="945" ht="12.75" customHeight="1" s="103">
      <c r="A945" s="78">
        <f>MID(H945,3,2)</f>
        <v/>
      </c>
      <c r="B945" s="84" t="inlineStr">
        <is>
          <t>B331</t>
        </is>
      </c>
      <c r="C945" s="84" t="inlineStr">
        <is>
          <t>上海区域</t>
        </is>
      </c>
      <c r="D945" s="84" t="inlineStr">
        <is>
          <t>CN0Q</t>
        </is>
      </c>
      <c r="E945" s="80" t="inlineStr">
        <is>
          <t>EE 苏州比斯特</t>
        </is>
      </c>
      <c r="F945" s="84" t="n">
        <v>4</v>
      </c>
      <c r="G945" s="84" t="inlineStr">
        <is>
          <t>奥特莱斯</t>
        </is>
      </c>
      <c r="H945" s="84" t="inlineStr">
        <is>
          <t>EERAG25E01</t>
        </is>
      </c>
      <c r="I945" s="84" t="n">
        <v>499</v>
      </c>
      <c r="J945" s="84" t="n">
        <v>499</v>
      </c>
      <c r="K945" s="85" t="n"/>
      <c r="L945" s="85" t="n"/>
    </row>
    <row r="946" ht="12.75" customHeight="1" s="103">
      <c r="A946" s="78">
        <f>MID(H946,3,2)</f>
        <v/>
      </c>
      <c r="B946" s="84" t="inlineStr">
        <is>
          <t>B331</t>
        </is>
      </c>
      <c r="C946" s="84" t="inlineStr">
        <is>
          <t>上海区域</t>
        </is>
      </c>
      <c r="D946" s="84" t="inlineStr">
        <is>
          <t>CN0Q</t>
        </is>
      </c>
      <c r="E946" s="80" t="inlineStr">
        <is>
          <t>EE 苏州比斯特</t>
        </is>
      </c>
      <c r="F946" s="84" t="n">
        <v>4</v>
      </c>
      <c r="G946" s="84" t="inlineStr">
        <is>
          <t>奥特莱斯</t>
        </is>
      </c>
      <c r="H946" s="84" t="inlineStr">
        <is>
          <t>EERAG25E01</t>
        </is>
      </c>
      <c r="I946" s="84" t="n">
        <v>499</v>
      </c>
      <c r="J946" s="84" t="n">
        <v>499</v>
      </c>
      <c r="K946" s="85" t="n"/>
      <c r="L946" s="85" t="n"/>
    </row>
    <row r="947" ht="12.75" customHeight="1" s="103">
      <c r="A947" s="78">
        <f>MID(H947,3,2)</f>
        <v/>
      </c>
      <c r="B947" s="84" t="inlineStr">
        <is>
          <t>B331</t>
        </is>
      </c>
      <c r="C947" s="84" t="inlineStr">
        <is>
          <t>上海区域</t>
        </is>
      </c>
      <c r="D947" s="84" t="inlineStr">
        <is>
          <t>CN0Q</t>
        </is>
      </c>
      <c r="E947" s="80" t="inlineStr">
        <is>
          <t>EE 苏州比斯特</t>
        </is>
      </c>
      <c r="F947" s="84" t="n">
        <v>4</v>
      </c>
      <c r="G947" s="84" t="inlineStr">
        <is>
          <t>奥特莱斯</t>
        </is>
      </c>
      <c r="H947" s="84" t="inlineStr">
        <is>
          <t>EERAG25E01</t>
        </is>
      </c>
      <c r="I947" s="84" t="n">
        <v>499</v>
      </c>
      <c r="J947" s="84" t="n">
        <v>499</v>
      </c>
      <c r="K947" s="85" t="n"/>
      <c r="L947" s="85" t="n"/>
    </row>
    <row r="948" ht="12.75" customHeight="1" s="103">
      <c r="A948" s="78">
        <f>MID(H948,3,2)</f>
        <v/>
      </c>
      <c r="B948" s="84" t="inlineStr">
        <is>
          <t>B331</t>
        </is>
      </c>
      <c r="C948" s="84" t="inlineStr">
        <is>
          <t>上海区域</t>
        </is>
      </c>
      <c r="D948" s="84" t="inlineStr">
        <is>
          <t>CN0Q</t>
        </is>
      </c>
      <c r="E948" s="80" t="inlineStr">
        <is>
          <t>EE 苏州比斯特</t>
        </is>
      </c>
      <c r="F948" s="84" t="n">
        <v>4</v>
      </c>
      <c r="G948" s="84" t="inlineStr">
        <is>
          <t>奥特莱斯</t>
        </is>
      </c>
      <c r="H948" s="84" t="inlineStr">
        <is>
          <t>EERAG25E01</t>
        </is>
      </c>
      <c r="I948" s="84" t="n">
        <v>499</v>
      </c>
      <c r="J948" s="84" t="n">
        <v>499</v>
      </c>
      <c r="K948" s="85" t="n"/>
      <c r="L948" s="85" t="n"/>
    </row>
    <row r="949" ht="12.75" customHeight="1" s="103">
      <c r="A949" s="78">
        <f>MID(H949,3,2)</f>
        <v/>
      </c>
      <c r="B949" s="84" t="inlineStr">
        <is>
          <t>B331</t>
        </is>
      </c>
      <c r="C949" s="84" t="inlineStr">
        <is>
          <t>上海区域</t>
        </is>
      </c>
      <c r="D949" s="84" t="inlineStr">
        <is>
          <t>CN0Q</t>
        </is>
      </c>
      <c r="E949" s="80" t="inlineStr">
        <is>
          <t>EE 苏州比斯特</t>
        </is>
      </c>
      <c r="F949" s="84" t="n">
        <v>4</v>
      </c>
      <c r="G949" s="84" t="inlineStr">
        <is>
          <t>奥特莱斯</t>
        </is>
      </c>
      <c r="H949" s="84" t="inlineStr">
        <is>
          <t>EERAG25E02</t>
        </is>
      </c>
      <c r="I949" s="84" t="n">
        <v>499</v>
      </c>
      <c r="J949" s="84" t="n">
        <v>399</v>
      </c>
      <c r="K949" s="85" t="n"/>
      <c r="L949" s="85" t="n"/>
    </row>
    <row r="950" ht="12.75" customHeight="1" s="103">
      <c r="A950" s="78">
        <f>MID(H950,3,2)</f>
        <v/>
      </c>
      <c r="B950" s="84" t="inlineStr">
        <is>
          <t>B331</t>
        </is>
      </c>
      <c r="C950" s="84" t="inlineStr">
        <is>
          <t>上海区域</t>
        </is>
      </c>
      <c r="D950" s="84" t="inlineStr">
        <is>
          <t>CN0Q</t>
        </is>
      </c>
      <c r="E950" s="80" t="inlineStr">
        <is>
          <t>EE 苏州比斯特</t>
        </is>
      </c>
      <c r="F950" s="84" t="n">
        <v>4</v>
      </c>
      <c r="G950" s="84" t="inlineStr">
        <is>
          <t>奥特莱斯</t>
        </is>
      </c>
      <c r="H950" s="84" t="inlineStr">
        <is>
          <t>EERAG25E02</t>
        </is>
      </c>
      <c r="I950" s="84" t="n">
        <v>499</v>
      </c>
      <c r="J950" s="84" t="n">
        <v>399</v>
      </c>
      <c r="K950" s="85" t="n"/>
      <c r="L950" s="85" t="n"/>
    </row>
    <row r="951" ht="12.75" customHeight="1" s="103">
      <c r="A951" s="78">
        <f>MID(H951,3,2)</f>
        <v/>
      </c>
      <c r="B951" s="84" t="inlineStr">
        <is>
          <t>B331</t>
        </is>
      </c>
      <c r="C951" s="84" t="inlineStr">
        <is>
          <t>上海区域</t>
        </is>
      </c>
      <c r="D951" s="84" t="inlineStr">
        <is>
          <t>CN0Q</t>
        </is>
      </c>
      <c r="E951" s="80" t="inlineStr">
        <is>
          <t>EE 苏州比斯特</t>
        </is>
      </c>
      <c r="F951" s="84" t="n">
        <v>4</v>
      </c>
      <c r="G951" s="84" t="inlineStr">
        <is>
          <t>奥特莱斯</t>
        </is>
      </c>
      <c r="H951" s="84" t="inlineStr">
        <is>
          <t>EERAG25E02</t>
        </is>
      </c>
      <c r="I951" s="84" t="n">
        <v>499</v>
      </c>
      <c r="J951" s="84" t="n">
        <v>399</v>
      </c>
      <c r="K951" s="85" t="n">
        <v>1</v>
      </c>
      <c r="L951" s="85" t="n">
        <v>120</v>
      </c>
    </row>
    <row r="952" ht="12.75" customHeight="1" s="103">
      <c r="A952" s="78">
        <f>MID(H952,3,2)</f>
        <v/>
      </c>
      <c r="B952" s="84" t="inlineStr">
        <is>
          <t>B331</t>
        </is>
      </c>
      <c r="C952" s="84" t="inlineStr">
        <is>
          <t>上海区域</t>
        </is>
      </c>
      <c r="D952" s="84" t="inlineStr">
        <is>
          <t>CN0Q</t>
        </is>
      </c>
      <c r="E952" s="80" t="inlineStr">
        <is>
          <t>EE 苏州比斯特</t>
        </is>
      </c>
      <c r="F952" s="84" t="n">
        <v>4</v>
      </c>
      <c r="G952" s="84" t="inlineStr">
        <is>
          <t>奥特莱斯</t>
        </is>
      </c>
      <c r="H952" s="84" t="inlineStr">
        <is>
          <t>EERAG25E02</t>
        </is>
      </c>
      <c r="I952" s="84" t="n">
        <v>499</v>
      </c>
      <c r="J952" s="84" t="n">
        <v>399</v>
      </c>
      <c r="K952" s="85" t="n">
        <v>3</v>
      </c>
      <c r="L952" s="85" t="n">
        <v>657</v>
      </c>
    </row>
    <row r="953" ht="12.75" customHeight="1" s="103">
      <c r="A953" s="78">
        <f>MID(H953,3,2)</f>
        <v/>
      </c>
      <c r="B953" s="84" t="inlineStr">
        <is>
          <t>B331</t>
        </is>
      </c>
      <c r="C953" s="84" t="inlineStr">
        <is>
          <t>上海区域</t>
        </is>
      </c>
      <c r="D953" s="84" t="inlineStr">
        <is>
          <t>CN0Q</t>
        </is>
      </c>
      <c r="E953" s="80" t="inlineStr">
        <is>
          <t>EE 苏州比斯特</t>
        </is>
      </c>
      <c r="F953" s="84" t="n">
        <v>4</v>
      </c>
      <c r="G953" s="84" t="inlineStr">
        <is>
          <t>奥特莱斯</t>
        </is>
      </c>
      <c r="H953" s="84" t="inlineStr">
        <is>
          <t>EERAG25E02</t>
        </is>
      </c>
      <c r="I953" s="84" t="n">
        <v>499</v>
      </c>
      <c r="J953" s="84" t="n">
        <v>399</v>
      </c>
      <c r="K953" s="85" t="n">
        <v>5</v>
      </c>
      <c r="L953" s="85" t="n">
        <v>532</v>
      </c>
    </row>
    <row r="954" ht="12.75" customHeight="1" s="103">
      <c r="A954" s="78">
        <f>MID(H954,3,2)</f>
        <v/>
      </c>
      <c r="B954" s="84" t="inlineStr">
        <is>
          <t>B331</t>
        </is>
      </c>
      <c r="C954" s="84" t="inlineStr">
        <is>
          <t>上海区域</t>
        </is>
      </c>
      <c r="D954" s="84" t="inlineStr">
        <is>
          <t>CN0Q</t>
        </is>
      </c>
      <c r="E954" s="80" t="inlineStr">
        <is>
          <t>EE 苏州比斯特</t>
        </is>
      </c>
      <c r="F954" s="84" t="n">
        <v>4</v>
      </c>
      <c r="G954" s="84" t="inlineStr">
        <is>
          <t>奥特莱斯</t>
        </is>
      </c>
      <c r="H954" s="84" t="inlineStr">
        <is>
          <t>EERAG25E02</t>
        </is>
      </c>
      <c r="I954" s="84" t="n">
        <v>499</v>
      </c>
      <c r="J954" s="84" t="n">
        <v>399</v>
      </c>
      <c r="K954" s="85" t="n">
        <v>4</v>
      </c>
      <c r="L954" s="85" t="n">
        <v>254</v>
      </c>
    </row>
    <row r="955" ht="12.75" customHeight="1" s="103">
      <c r="A955" s="78">
        <f>MID(H955,3,2)</f>
        <v/>
      </c>
      <c r="B955" s="84" t="inlineStr">
        <is>
          <t>B331</t>
        </is>
      </c>
      <c r="C955" s="84" t="inlineStr">
        <is>
          <t>上海区域</t>
        </is>
      </c>
      <c r="D955" s="84" t="inlineStr">
        <is>
          <t>CN0Q</t>
        </is>
      </c>
      <c r="E955" s="80" t="inlineStr">
        <is>
          <t>EE 苏州比斯特</t>
        </is>
      </c>
      <c r="F955" s="84" t="n">
        <v>4</v>
      </c>
      <c r="G955" s="84" t="inlineStr">
        <is>
          <t>奥特莱斯</t>
        </is>
      </c>
      <c r="H955" s="84" t="inlineStr">
        <is>
          <t>EERAG25E03</t>
        </is>
      </c>
      <c r="I955" s="84" t="n">
        <v>499</v>
      </c>
      <c r="J955" s="84" t="n">
        <v>499</v>
      </c>
      <c r="K955" s="85" t="n">
        <v>1</v>
      </c>
      <c r="L955" s="85" t="n"/>
    </row>
    <row r="956" ht="12.75" customHeight="1" s="103">
      <c r="A956" s="78">
        <f>MID(H956,3,2)</f>
        <v/>
      </c>
      <c r="B956" s="84" t="inlineStr">
        <is>
          <t>B331</t>
        </is>
      </c>
      <c r="C956" s="84" t="inlineStr">
        <is>
          <t>上海区域</t>
        </is>
      </c>
      <c r="D956" s="84" t="inlineStr">
        <is>
          <t>CN0Q</t>
        </is>
      </c>
      <c r="E956" s="80" t="inlineStr">
        <is>
          <t>EE 苏州比斯特</t>
        </is>
      </c>
      <c r="F956" s="84" t="n">
        <v>4</v>
      </c>
      <c r="G956" s="84" t="inlineStr">
        <is>
          <t>奥特莱斯</t>
        </is>
      </c>
      <c r="H956" s="84" t="inlineStr">
        <is>
          <t>EERAG25E03</t>
        </is>
      </c>
      <c r="I956" s="84" t="n">
        <v>499</v>
      </c>
      <c r="J956" s="84" t="n">
        <v>499</v>
      </c>
      <c r="K956" s="85" t="n">
        <v>5</v>
      </c>
      <c r="L956" s="85" t="n">
        <v>633</v>
      </c>
    </row>
    <row r="957" ht="12.75" customHeight="1" s="103">
      <c r="A957" s="78">
        <f>MID(H957,3,2)</f>
        <v/>
      </c>
      <c r="B957" s="84" t="inlineStr">
        <is>
          <t>B331</t>
        </is>
      </c>
      <c r="C957" s="84" t="inlineStr">
        <is>
          <t>上海区域</t>
        </is>
      </c>
      <c r="D957" s="84" t="inlineStr">
        <is>
          <t>CN0Q</t>
        </is>
      </c>
      <c r="E957" s="80" t="inlineStr">
        <is>
          <t>EE 苏州比斯特</t>
        </is>
      </c>
      <c r="F957" s="84" t="n">
        <v>4</v>
      </c>
      <c r="G957" s="84" t="inlineStr">
        <is>
          <t>奥特莱斯</t>
        </is>
      </c>
      <c r="H957" s="84" t="inlineStr">
        <is>
          <t>EERAG25E03</t>
        </is>
      </c>
      <c r="I957" s="84" t="n">
        <v>499</v>
      </c>
      <c r="J957" s="84" t="n">
        <v>499</v>
      </c>
      <c r="K957" s="85" t="n">
        <v>1</v>
      </c>
      <c r="L957" s="85" t="n">
        <v>322</v>
      </c>
    </row>
    <row r="958" ht="12.75" customHeight="1" s="103">
      <c r="A958" s="78">
        <f>MID(H958,3,2)</f>
        <v/>
      </c>
      <c r="B958" s="84" t="inlineStr">
        <is>
          <t>B331</t>
        </is>
      </c>
      <c r="C958" s="84" t="inlineStr">
        <is>
          <t>上海区域</t>
        </is>
      </c>
      <c r="D958" s="84" t="inlineStr">
        <is>
          <t>CN0Q</t>
        </is>
      </c>
      <c r="E958" s="80" t="inlineStr">
        <is>
          <t>EE 苏州比斯特</t>
        </is>
      </c>
      <c r="F958" s="84" t="n">
        <v>4</v>
      </c>
      <c r="G958" s="84" t="inlineStr">
        <is>
          <t>奥特莱斯</t>
        </is>
      </c>
      <c r="H958" s="84" t="inlineStr">
        <is>
          <t>EERAG25E03</t>
        </is>
      </c>
      <c r="I958" s="84" t="n">
        <v>499</v>
      </c>
      <c r="J958" s="84" t="n">
        <v>499</v>
      </c>
      <c r="K958" s="85" t="n">
        <v>3</v>
      </c>
      <c r="L958" s="85" t="n">
        <v>667</v>
      </c>
    </row>
    <row r="959" ht="12.75" customHeight="1" s="103">
      <c r="A959" s="78">
        <f>MID(H959,3,2)</f>
        <v/>
      </c>
      <c r="B959" s="84" t="inlineStr">
        <is>
          <t>B331</t>
        </is>
      </c>
      <c r="C959" s="84" t="inlineStr">
        <is>
          <t>上海区域</t>
        </is>
      </c>
      <c r="D959" s="84" t="inlineStr">
        <is>
          <t>CN0Q</t>
        </is>
      </c>
      <c r="E959" s="80" t="inlineStr">
        <is>
          <t>EE 苏州比斯特</t>
        </is>
      </c>
      <c r="F959" s="84" t="n">
        <v>4</v>
      </c>
      <c r="G959" s="84" t="inlineStr">
        <is>
          <t>奥特莱斯</t>
        </is>
      </c>
      <c r="H959" s="84" t="inlineStr">
        <is>
          <t>EERAG25E03</t>
        </is>
      </c>
      <c r="I959" s="84" t="n">
        <v>499</v>
      </c>
      <c r="J959" s="84" t="n">
        <v>499</v>
      </c>
      <c r="K959" s="85" t="n">
        <v>2</v>
      </c>
      <c r="L959" s="85" t="n">
        <v>666</v>
      </c>
    </row>
    <row r="960" ht="12.75" customHeight="1" s="103">
      <c r="A960" s="78">
        <f>MID(H960,3,2)</f>
        <v/>
      </c>
      <c r="B960" s="84" t="inlineStr">
        <is>
          <t>B331</t>
        </is>
      </c>
      <c r="C960" s="84" t="inlineStr">
        <is>
          <t>上海区域</t>
        </is>
      </c>
      <c r="D960" s="84" t="inlineStr">
        <is>
          <t>CN0Q</t>
        </is>
      </c>
      <c r="E960" s="80" t="inlineStr">
        <is>
          <t>EE 苏州比斯特</t>
        </is>
      </c>
      <c r="F960" s="84" t="n">
        <v>4</v>
      </c>
      <c r="G960" s="84" t="inlineStr">
        <is>
          <t>奥特莱斯</t>
        </is>
      </c>
      <c r="H960" s="84" t="inlineStr">
        <is>
          <t>EERAG25E03</t>
        </is>
      </c>
      <c r="I960" s="84" t="n">
        <v>499</v>
      </c>
      <c r="J960" s="84" t="n">
        <v>499</v>
      </c>
      <c r="K960" s="85" t="n"/>
      <c r="L960" s="85" t="n"/>
    </row>
    <row r="961" ht="12.75" customHeight="1" s="103">
      <c r="A961" s="78">
        <f>MID(H961,3,2)</f>
        <v/>
      </c>
      <c r="B961" s="84" t="inlineStr">
        <is>
          <t>B331</t>
        </is>
      </c>
      <c r="C961" s="84" t="inlineStr">
        <is>
          <t>上海区域</t>
        </is>
      </c>
      <c r="D961" s="84" t="inlineStr">
        <is>
          <t>CN0Q</t>
        </is>
      </c>
      <c r="E961" s="80" t="inlineStr">
        <is>
          <t>EE 苏州比斯特</t>
        </is>
      </c>
      <c r="F961" s="84" t="n">
        <v>4</v>
      </c>
      <c r="G961" s="84" t="inlineStr">
        <is>
          <t>奥特莱斯</t>
        </is>
      </c>
      <c r="H961" s="84" t="inlineStr">
        <is>
          <t>EERAG25E03</t>
        </is>
      </c>
      <c r="I961" s="84" t="n">
        <v>499</v>
      </c>
      <c r="J961" s="84" t="n">
        <v>499</v>
      </c>
      <c r="K961" s="85" t="n">
        <v>1</v>
      </c>
      <c r="L961" s="85" t="n">
        <v>321</v>
      </c>
    </row>
    <row r="962" ht="12.75" customHeight="1" s="103">
      <c r="A962" s="78">
        <f>MID(H962,3,2)</f>
        <v/>
      </c>
      <c r="B962" s="84" t="inlineStr">
        <is>
          <t>B331</t>
        </is>
      </c>
      <c r="C962" s="84" t="inlineStr">
        <is>
          <t>上海区域</t>
        </is>
      </c>
      <c r="D962" s="84" t="inlineStr">
        <is>
          <t>CN0Q</t>
        </is>
      </c>
      <c r="E962" s="80" t="inlineStr">
        <is>
          <t>EE 苏州比斯特</t>
        </is>
      </c>
      <c r="F962" s="84" t="n">
        <v>4</v>
      </c>
      <c r="G962" s="84" t="inlineStr">
        <is>
          <t>奥特莱斯</t>
        </is>
      </c>
      <c r="H962" s="84" t="inlineStr">
        <is>
          <t>EERAG25E03</t>
        </is>
      </c>
      <c r="I962" s="84" t="n">
        <v>499</v>
      </c>
      <c r="J962" s="84" t="n">
        <v>499</v>
      </c>
      <c r="K962" s="85" t="n">
        <v>1</v>
      </c>
      <c r="L962" s="85" t="n"/>
    </row>
    <row r="963" ht="12.75" customHeight="1" s="103">
      <c r="A963" s="78">
        <f>MID(H963,3,2)</f>
        <v/>
      </c>
      <c r="B963" s="84" t="inlineStr">
        <is>
          <t>B331</t>
        </is>
      </c>
      <c r="C963" s="84" t="inlineStr">
        <is>
          <t>上海区域</t>
        </is>
      </c>
      <c r="D963" s="84" t="inlineStr">
        <is>
          <t>CN0Q</t>
        </is>
      </c>
      <c r="E963" s="80" t="inlineStr">
        <is>
          <t>EE 苏州比斯特</t>
        </is>
      </c>
      <c r="F963" s="84" t="n">
        <v>4</v>
      </c>
      <c r="G963" s="84" t="inlineStr">
        <is>
          <t>奥特莱斯</t>
        </is>
      </c>
      <c r="H963" s="84" t="inlineStr">
        <is>
          <t>EERAG25E03</t>
        </is>
      </c>
      <c r="I963" s="84" t="n">
        <v>499</v>
      </c>
      <c r="J963" s="84" t="n">
        <v>499</v>
      </c>
      <c r="K963" s="85" t="n"/>
      <c r="L963" s="85" t="n"/>
    </row>
    <row r="964" ht="12.75" customHeight="1" s="103">
      <c r="A964" s="78">
        <f>MID(H964,3,2)</f>
        <v/>
      </c>
      <c r="B964" s="84" t="inlineStr">
        <is>
          <t>B331</t>
        </is>
      </c>
      <c r="C964" s="84" t="inlineStr">
        <is>
          <t>上海区域</t>
        </is>
      </c>
      <c r="D964" s="84" t="inlineStr">
        <is>
          <t>CN0Q</t>
        </is>
      </c>
      <c r="E964" s="80" t="inlineStr">
        <is>
          <t>EE 苏州比斯特</t>
        </is>
      </c>
      <c r="F964" s="84" t="n">
        <v>4</v>
      </c>
      <c r="G964" s="84" t="inlineStr">
        <is>
          <t>奥特莱斯</t>
        </is>
      </c>
      <c r="H964" s="84" t="inlineStr">
        <is>
          <t>EERAG25E1G</t>
        </is>
      </c>
      <c r="I964" s="84" t="n">
        <v>399</v>
      </c>
      <c r="J964" s="84" t="n">
        <v>399</v>
      </c>
      <c r="K964" s="85" t="n"/>
      <c r="L964" s="85" t="n"/>
    </row>
    <row r="965" ht="12.75" customHeight="1" s="103">
      <c r="A965" s="78">
        <f>MID(H965,3,2)</f>
        <v/>
      </c>
      <c r="B965" s="84" t="inlineStr">
        <is>
          <t>B331</t>
        </is>
      </c>
      <c r="C965" s="84" t="inlineStr">
        <is>
          <t>上海区域</t>
        </is>
      </c>
      <c r="D965" s="84" t="inlineStr">
        <is>
          <t>CN0Q</t>
        </is>
      </c>
      <c r="E965" s="80" t="inlineStr">
        <is>
          <t>EE 苏州比斯特</t>
        </is>
      </c>
      <c r="F965" s="84" t="n">
        <v>4</v>
      </c>
      <c r="G965" s="84" t="inlineStr">
        <is>
          <t>奥特莱斯</t>
        </is>
      </c>
      <c r="H965" s="84" t="inlineStr">
        <is>
          <t>EERAG25E1G</t>
        </is>
      </c>
      <c r="I965" s="84" t="n">
        <v>399</v>
      </c>
      <c r="J965" s="84" t="n">
        <v>399</v>
      </c>
      <c r="K965" s="85" t="n"/>
      <c r="L965" s="85" t="n"/>
    </row>
    <row r="966" ht="12.75" customHeight="1" s="103">
      <c r="A966" s="78">
        <f>MID(H966,3,2)</f>
        <v/>
      </c>
      <c r="B966" s="84" t="inlineStr">
        <is>
          <t>B331</t>
        </is>
      </c>
      <c r="C966" s="84" t="inlineStr">
        <is>
          <t>上海区域</t>
        </is>
      </c>
      <c r="D966" s="84" t="inlineStr">
        <is>
          <t>CN0Q</t>
        </is>
      </c>
      <c r="E966" s="80" t="inlineStr">
        <is>
          <t>EE 苏州比斯特</t>
        </is>
      </c>
      <c r="F966" s="84" t="n">
        <v>4</v>
      </c>
      <c r="G966" s="84" t="inlineStr">
        <is>
          <t>奥特莱斯</t>
        </is>
      </c>
      <c r="H966" s="84" t="inlineStr">
        <is>
          <t>EERAG25E1G</t>
        </is>
      </c>
      <c r="I966" s="84" t="n">
        <v>399</v>
      </c>
      <c r="J966" s="84" t="n">
        <v>399</v>
      </c>
      <c r="K966" s="85" t="n"/>
      <c r="L966" s="85" t="n"/>
    </row>
    <row r="967" ht="12.75" customHeight="1" s="103">
      <c r="A967" s="78">
        <f>MID(H967,3,2)</f>
        <v/>
      </c>
      <c r="B967" s="84" t="inlineStr">
        <is>
          <t>B331</t>
        </is>
      </c>
      <c r="C967" s="84" t="inlineStr">
        <is>
          <t>上海区域</t>
        </is>
      </c>
      <c r="D967" s="84" t="inlineStr">
        <is>
          <t>CN0Q</t>
        </is>
      </c>
      <c r="E967" s="80" t="inlineStr">
        <is>
          <t>EE 苏州比斯特</t>
        </is>
      </c>
      <c r="F967" s="84" t="n">
        <v>4</v>
      </c>
      <c r="G967" s="84" t="inlineStr">
        <is>
          <t>奥特莱斯</t>
        </is>
      </c>
      <c r="H967" s="84" t="inlineStr">
        <is>
          <t>EERAG25E1G</t>
        </is>
      </c>
      <c r="I967" s="84" t="n">
        <v>399</v>
      </c>
      <c r="J967" s="84" t="n">
        <v>399</v>
      </c>
      <c r="K967" s="85" t="n"/>
      <c r="L967" s="85" t="n"/>
    </row>
    <row r="968" ht="12.75" customHeight="1" s="103">
      <c r="A968" s="78">
        <f>MID(H968,3,2)</f>
        <v/>
      </c>
      <c r="B968" s="84" t="inlineStr">
        <is>
          <t>B331</t>
        </is>
      </c>
      <c r="C968" s="84" t="inlineStr">
        <is>
          <t>上海区域</t>
        </is>
      </c>
      <c r="D968" s="84" t="inlineStr">
        <is>
          <t>CN0Q</t>
        </is>
      </c>
      <c r="E968" s="80" t="inlineStr">
        <is>
          <t>EE 苏州比斯特</t>
        </is>
      </c>
      <c r="F968" s="84" t="n">
        <v>4</v>
      </c>
      <c r="G968" s="84" t="inlineStr">
        <is>
          <t>奥特莱斯</t>
        </is>
      </c>
      <c r="H968" s="84" t="inlineStr">
        <is>
          <t>EERAG25E1G</t>
        </is>
      </c>
      <c r="I968" s="84" t="n">
        <v>399</v>
      </c>
      <c r="J968" s="84" t="n">
        <v>399</v>
      </c>
      <c r="K968" s="85" t="n"/>
      <c r="L968" s="85" t="n"/>
    </row>
    <row r="969" ht="12.75" customHeight="1" s="103">
      <c r="A969" s="78">
        <f>MID(H969,3,2)</f>
        <v/>
      </c>
      <c r="B969" s="84" t="inlineStr">
        <is>
          <t>B331</t>
        </is>
      </c>
      <c r="C969" s="84" t="inlineStr">
        <is>
          <t>上海区域</t>
        </is>
      </c>
      <c r="D969" s="84" t="inlineStr">
        <is>
          <t>CN0Q</t>
        </is>
      </c>
      <c r="E969" s="80" t="inlineStr">
        <is>
          <t>EE 苏州比斯特</t>
        </is>
      </c>
      <c r="F969" s="84" t="n">
        <v>4</v>
      </c>
      <c r="G969" s="84" t="inlineStr">
        <is>
          <t>奥特莱斯</t>
        </is>
      </c>
      <c r="H969" s="84" t="inlineStr">
        <is>
          <t>EERAG25E1G</t>
        </is>
      </c>
      <c r="I969" s="84" t="n">
        <v>399</v>
      </c>
      <c r="J969" s="84" t="n">
        <v>399</v>
      </c>
      <c r="K969" s="85" t="n"/>
      <c r="L969" s="85" t="n"/>
    </row>
    <row r="970" ht="12.75" customHeight="1" s="103">
      <c r="A970" s="78">
        <f>MID(H970,3,2)</f>
        <v/>
      </c>
      <c r="B970" s="84" t="inlineStr">
        <is>
          <t>B331</t>
        </is>
      </c>
      <c r="C970" s="84" t="inlineStr">
        <is>
          <t>上海区域</t>
        </is>
      </c>
      <c r="D970" s="84" t="inlineStr">
        <is>
          <t>CN0Q</t>
        </is>
      </c>
      <c r="E970" s="80" t="inlineStr">
        <is>
          <t>EE 苏州比斯特</t>
        </is>
      </c>
      <c r="F970" s="84" t="n">
        <v>4</v>
      </c>
      <c r="G970" s="84" t="inlineStr">
        <is>
          <t>奥特莱斯</t>
        </is>
      </c>
      <c r="H970" s="84" t="inlineStr">
        <is>
          <t>EERAG25E1G</t>
        </is>
      </c>
      <c r="I970" s="84" t="n">
        <v>399</v>
      </c>
      <c r="J970" s="84" t="n">
        <v>399</v>
      </c>
      <c r="K970" s="85" t="n"/>
      <c r="L970" s="85" t="n"/>
    </row>
    <row r="971" ht="12.75" customHeight="1" s="103">
      <c r="A971" s="78">
        <f>MID(H971,3,2)</f>
        <v/>
      </c>
      <c r="B971" s="84" t="inlineStr">
        <is>
          <t>B331</t>
        </is>
      </c>
      <c r="C971" s="84" t="inlineStr">
        <is>
          <t>上海区域</t>
        </is>
      </c>
      <c r="D971" s="84" t="inlineStr">
        <is>
          <t>CN0Q</t>
        </is>
      </c>
      <c r="E971" s="80" t="inlineStr">
        <is>
          <t>EE 苏州比斯特</t>
        </is>
      </c>
      <c r="F971" s="84" t="n">
        <v>4</v>
      </c>
      <c r="G971" s="84" t="inlineStr">
        <is>
          <t>奥特莱斯</t>
        </is>
      </c>
      <c r="H971" s="84" t="inlineStr">
        <is>
          <t>EERAG25E1G</t>
        </is>
      </c>
      <c r="I971" s="84" t="n">
        <v>399</v>
      </c>
      <c r="J971" s="84" t="n">
        <v>399</v>
      </c>
      <c r="K971" s="85" t="n"/>
      <c r="L971" s="85" t="n"/>
    </row>
    <row r="972" ht="12.75" customHeight="1" s="103">
      <c r="A972" s="78">
        <f>MID(H972,3,2)</f>
        <v/>
      </c>
      <c r="B972" s="84" t="inlineStr">
        <is>
          <t>B331</t>
        </is>
      </c>
      <c r="C972" s="84" t="inlineStr">
        <is>
          <t>上海区域</t>
        </is>
      </c>
      <c r="D972" s="84" t="inlineStr">
        <is>
          <t>CN0Q</t>
        </is>
      </c>
      <c r="E972" s="80" t="inlineStr">
        <is>
          <t>EE 苏州比斯特</t>
        </is>
      </c>
      <c r="F972" s="84" t="n">
        <v>4</v>
      </c>
      <c r="G972" s="84" t="inlineStr">
        <is>
          <t>奥特莱斯</t>
        </is>
      </c>
      <c r="H972" s="84" t="inlineStr">
        <is>
          <t>EERAG25E1G</t>
        </is>
      </c>
      <c r="I972" s="84" t="n">
        <v>399</v>
      </c>
      <c r="J972" s="84" t="n">
        <v>399</v>
      </c>
      <c r="K972" s="85" t="n">
        <v>1</v>
      </c>
      <c r="L972" s="85" t="n"/>
    </row>
    <row r="973" ht="12.75" customHeight="1" s="103">
      <c r="A973" s="78">
        <f>MID(H973,3,2)</f>
        <v/>
      </c>
      <c r="B973" s="84" t="inlineStr">
        <is>
          <t>B331</t>
        </is>
      </c>
      <c r="C973" s="84" t="inlineStr">
        <is>
          <t>上海区域</t>
        </is>
      </c>
      <c r="D973" s="84" t="inlineStr">
        <is>
          <t>CN0Q</t>
        </is>
      </c>
      <c r="E973" s="80" t="inlineStr">
        <is>
          <t>EE 苏州比斯特</t>
        </is>
      </c>
      <c r="F973" s="84" t="n">
        <v>4</v>
      </c>
      <c r="G973" s="84" t="inlineStr">
        <is>
          <t>奥特莱斯</t>
        </is>
      </c>
      <c r="H973" s="84" t="inlineStr">
        <is>
          <t>EERAG25E1G</t>
        </is>
      </c>
      <c r="I973" s="84" t="n">
        <v>399</v>
      </c>
      <c r="J973" s="84" t="n">
        <v>399</v>
      </c>
      <c r="K973" s="85" t="n">
        <v>2</v>
      </c>
      <c r="L973" s="85" t="n"/>
    </row>
    <row r="974" ht="12.75" customHeight="1" s="103">
      <c r="A974" s="78">
        <f>MID(H974,3,2)</f>
        <v/>
      </c>
      <c r="B974" s="84" t="inlineStr">
        <is>
          <t>B331</t>
        </is>
      </c>
      <c r="C974" s="84" t="inlineStr">
        <is>
          <t>上海区域</t>
        </is>
      </c>
      <c r="D974" s="84" t="inlineStr">
        <is>
          <t>CN0Q</t>
        </is>
      </c>
      <c r="E974" s="80" t="inlineStr">
        <is>
          <t>EE 苏州比斯特</t>
        </is>
      </c>
      <c r="F974" s="84" t="n">
        <v>4</v>
      </c>
      <c r="G974" s="84" t="inlineStr">
        <is>
          <t>奥特莱斯</t>
        </is>
      </c>
      <c r="H974" s="84" t="inlineStr">
        <is>
          <t>EERAG25E1G</t>
        </is>
      </c>
      <c r="I974" s="84" t="n">
        <v>399</v>
      </c>
      <c r="J974" s="84" t="n">
        <v>399</v>
      </c>
      <c r="K974" s="85" t="n"/>
      <c r="L974" s="85" t="n"/>
    </row>
    <row r="975" ht="12.75" customHeight="1" s="103">
      <c r="A975" s="78">
        <f>MID(H975,3,2)</f>
        <v/>
      </c>
      <c r="B975" s="84" t="inlineStr">
        <is>
          <t>B331</t>
        </is>
      </c>
      <c r="C975" s="84" t="inlineStr">
        <is>
          <t>上海区域</t>
        </is>
      </c>
      <c r="D975" s="84" t="inlineStr">
        <is>
          <t>CN0Q</t>
        </is>
      </c>
      <c r="E975" s="80" t="inlineStr">
        <is>
          <t>EE 苏州比斯特</t>
        </is>
      </c>
      <c r="F975" s="84" t="n">
        <v>4</v>
      </c>
      <c r="G975" s="84" t="inlineStr">
        <is>
          <t>奥特莱斯</t>
        </is>
      </c>
      <c r="H975" s="84" t="inlineStr">
        <is>
          <t>EERAG25E1G</t>
        </is>
      </c>
      <c r="I975" s="84" t="n">
        <v>399</v>
      </c>
      <c r="J975" s="84" t="n">
        <v>399</v>
      </c>
      <c r="K975" s="85" t="n"/>
      <c r="L975" s="85" t="n"/>
    </row>
    <row r="976" ht="12.75" customHeight="1" s="103">
      <c r="A976" s="78">
        <f>MID(H976,3,2)</f>
        <v/>
      </c>
      <c r="B976" s="84" t="inlineStr">
        <is>
          <t>B331</t>
        </is>
      </c>
      <c r="C976" s="84" t="inlineStr">
        <is>
          <t>上海区域</t>
        </is>
      </c>
      <c r="D976" s="84" t="inlineStr">
        <is>
          <t>CN0Q</t>
        </is>
      </c>
      <c r="E976" s="80" t="inlineStr">
        <is>
          <t>EE 苏州比斯特</t>
        </is>
      </c>
      <c r="F976" s="84" t="n">
        <v>4</v>
      </c>
      <c r="G976" s="84" t="inlineStr">
        <is>
          <t>奥特莱斯</t>
        </is>
      </c>
      <c r="H976" s="84" t="inlineStr">
        <is>
          <t>EERAG26B02</t>
        </is>
      </c>
      <c r="I976" s="84" t="n">
        <v>399</v>
      </c>
      <c r="J976" s="84" t="n">
        <v>399</v>
      </c>
      <c r="K976" s="85" t="n">
        <v>1</v>
      </c>
      <c r="L976" s="85" t="n">
        <v>256</v>
      </c>
    </row>
    <row r="977" ht="12.75" customHeight="1" s="103">
      <c r="A977" s="78">
        <f>MID(H977,3,2)</f>
        <v/>
      </c>
      <c r="B977" s="84" t="inlineStr">
        <is>
          <t>B331</t>
        </is>
      </c>
      <c r="C977" s="84" t="inlineStr">
        <is>
          <t>上海区域</t>
        </is>
      </c>
      <c r="D977" s="84" t="inlineStr">
        <is>
          <t>CN0Q</t>
        </is>
      </c>
      <c r="E977" s="80" t="inlineStr">
        <is>
          <t>EE 苏州比斯特</t>
        </is>
      </c>
      <c r="F977" s="84" t="n">
        <v>4</v>
      </c>
      <c r="G977" s="84" t="inlineStr">
        <is>
          <t>奥特莱斯</t>
        </is>
      </c>
      <c r="H977" s="84" t="inlineStr">
        <is>
          <t>EERAG26B02</t>
        </is>
      </c>
      <c r="I977" s="84" t="n">
        <v>399</v>
      </c>
      <c r="J977" s="84" t="n">
        <v>399</v>
      </c>
      <c r="K977" s="85" t="n">
        <v>2</v>
      </c>
      <c r="L977" s="85" t="n">
        <v>531</v>
      </c>
    </row>
    <row r="978" ht="12.75" customHeight="1" s="103">
      <c r="A978" s="78">
        <f>MID(H978,3,2)</f>
        <v/>
      </c>
      <c r="B978" s="84" t="inlineStr">
        <is>
          <t>B331</t>
        </is>
      </c>
      <c r="C978" s="84" t="inlineStr">
        <is>
          <t>上海区域</t>
        </is>
      </c>
      <c r="D978" s="84" t="inlineStr">
        <is>
          <t>CN0Q</t>
        </is>
      </c>
      <c r="E978" s="80" t="inlineStr">
        <is>
          <t>EE 苏州比斯特</t>
        </is>
      </c>
      <c r="F978" s="84" t="n">
        <v>4</v>
      </c>
      <c r="G978" s="84" t="inlineStr">
        <is>
          <t>奥特莱斯</t>
        </is>
      </c>
      <c r="H978" s="84" t="inlineStr">
        <is>
          <t>EERAG26B02</t>
        </is>
      </c>
      <c r="I978" s="84" t="n">
        <v>399</v>
      </c>
      <c r="J978" s="84" t="n">
        <v>399</v>
      </c>
      <c r="K978" s="85" t="n">
        <v>1</v>
      </c>
      <c r="L978" s="85" t="n">
        <v>253</v>
      </c>
    </row>
    <row r="979" ht="12.75" customHeight="1" s="103">
      <c r="A979" s="78">
        <f>MID(H979,3,2)</f>
        <v/>
      </c>
      <c r="B979" s="84" t="inlineStr">
        <is>
          <t>B331</t>
        </is>
      </c>
      <c r="C979" s="84" t="inlineStr">
        <is>
          <t>上海区域</t>
        </is>
      </c>
      <c r="D979" s="84" t="inlineStr">
        <is>
          <t>CN0Q</t>
        </is>
      </c>
      <c r="E979" s="80" t="inlineStr">
        <is>
          <t>EE 苏州比斯特</t>
        </is>
      </c>
      <c r="F979" s="84" t="n">
        <v>4</v>
      </c>
      <c r="G979" s="84" t="inlineStr">
        <is>
          <t>奥特莱斯</t>
        </is>
      </c>
      <c r="H979" s="84" t="inlineStr">
        <is>
          <t>EERAG26B02</t>
        </is>
      </c>
      <c r="I979" s="84" t="n">
        <v>399</v>
      </c>
      <c r="J979" s="84" t="n">
        <v>399</v>
      </c>
      <c r="K979" s="85" t="n"/>
      <c r="L979" s="85" t="n"/>
    </row>
    <row r="980" ht="12.75" customHeight="1" s="103">
      <c r="A980" s="78">
        <f>MID(H980,3,2)</f>
        <v/>
      </c>
      <c r="B980" s="84" t="inlineStr">
        <is>
          <t>B331</t>
        </is>
      </c>
      <c r="C980" s="84" t="inlineStr">
        <is>
          <t>上海区域</t>
        </is>
      </c>
      <c r="D980" s="84" t="inlineStr">
        <is>
          <t>CN0Q</t>
        </is>
      </c>
      <c r="E980" s="80" t="inlineStr">
        <is>
          <t>EE 苏州比斯特</t>
        </is>
      </c>
      <c r="F980" s="84" t="n">
        <v>4</v>
      </c>
      <c r="G980" s="84" t="inlineStr">
        <is>
          <t>奥特莱斯</t>
        </is>
      </c>
      <c r="H980" s="84" t="inlineStr">
        <is>
          <t>EERAG26B02</t>
        </is>
      </c>
      <c r="I980" s="84" t="n">
        <v>399</v>
      </c>
      <c r="J980" s="84" t="n">
        <v>399</v>
      </c>
      <c r="K980" s="85" t="n"/>
      <c r="L980" s="85" t="n"/>
    </row>
    <row r="981" ht="12.75" customHeight="1" s="103">
      <c r="A981" s="78">
        <f>MID(H981,3,2)</f>
        <v/>
      </c>
      <c r="B981" s="84" t="inlineStr">
        <is>
          <t>B331</t>
        </is>
      </c>
      <c r="C981" s="84" t="inlineStr">
        <is>
          <t>上海区域</t>
        </is>
      </c>
      <c r="D981" s="84" t="inlineStr">
        <is>
          <t>CN0Q</t>
        </is>
      </c>
      <c r="E981" s="80" t="inlineStr">
        <is>
          <t>EE 苏州比斯特</t>
        </is>
      </c>
      <c r="F981" s="84" t="n">
        <v>4</v>
      </c>
      <c r="G981" s="84" t="inlineStr">
        <is>
          <t>奥特莱斯</t>
        </is>
      </c>
      <c r="H981" s="84" t="inlineStr">
        <is>
          <t>EERAG26B02</t>
        </is>
      </c>
      <c r="I981" s="84" t="n">
        <v>399</v>
      </c>
      <c r="J981" s="84" t="n">
        <v>399</v>
      </c>
      <c r="K981" s="85" t="n"/>
      <c r="L981" s="85" t="n"/>
    </row>
    <row r="982" ht="12.75" customHeight="1" s="103">
      <c r="A982" s="78">
        <f>MID(H982,3,2)</f>
        <v/>
      </c>
      <c r="B982" s="84" t="inlineStr">
        <is>
          <t>B331</t>
        </is>
      </c>
      <c r="C982" s="84" t="inlineStr">
        <is>
          <t>上海区域</t>
        </is>
      </c>
      <c r="D982" s="84" t="inlineStr">
        <is>
          <t>CN0Q</t>
        </is>
      </c>
      <c r="E982" s="80" t="inlineStr">
        <is>
          <t>EE 苏州比斯特</t>
        </is>
      </c>
      <c r="F982" s="84" t="n">
        <v>4</v>
      </c>
      <c r="G982" s="84" t="inlineStr">
        <is>
          <t>奥特莱斯</t>
        </is>
      </c>
      <c r="H982" s="84" t="inlineStr">
        <is>
          <t>EERAG26B02</t>
        </is>
      </c>
      <c r="I982" s="84" t="n">
        <v>399</v>
      </c>
      <c r="J982" s="84" t="n">
        <v>399</v>
      </c>
      <c r="K982" s="85" t="n">
        <v>2</v>
      </c>
      <c r="L982" s="85" t="n">
        <v>509</v>
      </c>
    </row>
    <row r="983" ht="12.75" customHeight="1" s="103">
      <c r="A983" s="78">
        <f>MID(H983,3,2)</f>
        <v/>
      </c>
      <c r="B983" s="84" t="inlineStr">
        <is>
          <t>B331</t>
        </is>
      </c>
      <c r="C983" s="84" t="inlineStr">
        <is>
          <t>上海区域</t>
        </is>
      </c>
      <c r="D983" s="84" t="inlineStr">
        <is>
          <t>CN0Q</t>
        </is>
      </c>
      <c r="E983" s="80" t="inlineStr">
        <is>
          <t>EE 苏州比斯特</t>
        </is>
      </c>
      <c r="F983" s="84" t="n">
        <v>4</v>
      </c>
      <c r="G983" s="84" t="inlineStr">
        <is>
          <t>奥特莱斯</t>
        </is>
      </c>
      <c r="H983" s="84" t="inlineStr">
        <is>
          <t>EERAG26B02</t>
        </is>
      </c>
      <c r="I983" s="84" t="n">
        <v>399</v>
      </c>
      <c r="J983" s="84" t="n">
        <v>399</v>
      </c>
      <c r="K983" s="85" t="n">
        <v>1</v>
      </c>
      <c r="L983" s="85" t="n">
        <v>252</v>
      </c>
    </row>
    <row r="984" ht="12.75" customHeight="1" s="103">
      <c r="A984" s="78">
        <f>MID(H984,3,2)</f>
        <v/>
      </c>
      <c r="B984" s="84" t="inlineStr">
        <is>
          <t>B331</t>
        </is>
      </c>
      <c r="C984" s="84" t="inlineStr">
        <is>
          <t>上海区域</t>
        </is>
      </c>
      <c r="D984" s="84" t="inlineStr">
        <is>
          <t>CN0Q</t>
        </is>
      </c>
      <c r="E984" s="80" t="inlineStr">
        <is>
          <t>EE 苏州比斯特</t>
        </is>
      </c>
      <c r="F984" s="84" t="n">
        <v>4</v>
      </c>
      <c r="G984" s="84" t="inlineStr">
        <is>
          <t>奥特莱斯</t>
        </is>
      </c>
      <c r="H984" s="84" t="inlineStr">
        <is>
          <t>EERAG26B03</t>
        </is>
      </c>
      <c r="I984" s="84" t="n">
        <v>499</v>
      </c>
      <c r="J984" s="84" t="n">
        <v>499</v>
      </c>
      <c r="K984" s="85" t="n">
        <v>3</v>
      </c>
      <c r="L984" s="85" t="n">
        <v>965</v>
      </c>
    </row>
    <row r="985" ht="12.75" customHeight="1" s="103">
      <c r="A985" s="78">
        <f>MID(H985,3,2)</f>
        <v/>
      </c>
      <c r="B985" s="84" t="inlineStr">
        <is>
          <t>B331</t>
        </is>
      </c>
      <c r="C985" s="84" t="inlineStr">
        <is>
          <t>上海区域</t>
        </is>
      </c>
      <c r="D985" s="84" t="inlineStr">
        <is>
          <t>CN0Q</t>
        </is>
      </c>
      <c r="E985" s="80" t="inlineStr">
        <is>
          <t>EE 苏州比斯特</t>
        </is>
      </c>
      <c r="F985" s="84" t="n">
        <v>4</v>
      </c>
      <c r="G985" s="84" t="inlineStr">
        <is>
          <t>奥特莱斯</t>
        </is>
      </c>
      <c r="H985" s="84" t="inlineStr">
        <is>
          <t>EERAG26B03</t>
        </is>
      </c>
      <c r="I985" s="84" t="n">
        <v>499</v>
      </c>
      <c r="J985" s="84" t="n">
        <v>499</v>
      </c>
      <c r="K985" s="85" t="n"/>
      <c r="L985" s="85" t="n"/>
    </row>
    <row r="986" ht="12.75" customHeight="1" s="103">
      <c r="A986" s="78">
        <f>MID(H986,3,2)</f>
        <v/>
      </c>
      <c r="B986" s="84" t="inlineStr">
        <is>
          <t>B331</t>
        </is>
      </c>
      <c r="C986" s="84" t="inlineStr">
        <is>
          <t>上海区域</t>
        </is>
      </c>
      <c r="D986" s="84" t="inlineStr">
        <is>
          <t>CN0Q</t>
        </is>
      </c>
      <c r="E986" s="80" t="inlineStr">
        <is>
          <t>EE 苏州比斯特</t>
        </is>
      </c>
      <c r="F986" s="84" t="n">
        <v>4</v>
      </c>
      <c r="G986" s="84" t="inlineStr">
        <is>
          <t>奥特莱斯</t>
        </is>
      </c>
      <c r="H986" s="84" t="inlineStr">
        <is>
          <t>EERAG26B03</t>
        </is>
      </c>
      <c r="I986" s="84" t="n">
        <v>499</v>
      </c>
      <c r="J986" s="84" t="n">
        <v>499</v>
      </c>
      <c r="K986" s="85" t="n"/>
      <c r="L986" s="85" t="n"/>
    </row>
    <row r="987" ht="12.75" customHeight="1" s="103">
      <c r="A987" s="78">
        <f>MID(H987,3,2)</f>
        <v/>
      </c>
      <c r="B987" s="84" t="inlineStr">
        <is>
          <t>B331</t>
        </is>
      </c>
      <c r="C987" s="84" t="inlineStr">
        <is>
          <t>上海区域</t>
        </is>
      </c>
      <c r="D987" s="84" t="inlineStr">
        <is>
          <t>CN0Q</t>
        </is>
      </c>
      <c r="E987" s="80" t="inlineStr">
        <is>
          <t>EE 苏州比斯特</t>
        </is>
      </c>
      <c r="F987" s="84" t="n">
        <v>4</v>
      </c>
      <c r="G987" s="84" t="inlineStr">
        <is>
          <t>奥特莱斯</t>
        </is>
      </c>
      <c r="H987" s="84" t="inlineStr">
        <is>
          <t>EERAG64S01</t>
        </is>
      </c>
      <c r="I987" s="84" t="n">
        <v>499</v>
      </c>
      <c r="J987" s="84" t="n">
        <v>399</v>
      </c>
      <c r="K987" s="85" t="n">
        <v>1</v>
      </c>
      <c r="L987" s="85" t="n">
        <v>182</v>
      </c>
    </row>
    <row r="988" ht="12.75" customHeight="1" s="103">
      <c r="A988" s="78">
        <f>MID(H988,3,2)</f>
        <v/>
      </c>
      <c r="B988" s="84" t="inlineStr">
        <is>
          <t>B331</t>
        </is>
      </c>
      <c r="C988" s="84" t="inlineStr">
        <is>
          <t>上海区域</t>
        </is>
      </c>
      <c r="D988" s="84" t="inlineStr">
        <is>
          <t>CN0Q</t>
        </is>
      </c>
      <c r="E988" s="80" t="inlineStr">
        <is>
          <t>EE 苏州比斯特</t>
        </is>
      </c>
      <c r="F988" s="84" t="n">
        <v>4</v>
      </c>
      <c r="G988" s="84" t="inlineStr">
        <is>
          <t>奥特莱斯</t>
        </is>
      </c>
      <c r="H988" s="84" t="inlineStr">
        <is>
          <t>EERAG64S01</t>
        </is>
      </c>
      <c r="I988" s="84" t="n">
        <v>499</v>
      </c>
      <c r="J988" s="84" t="n">
        <v>399</v>
      </c>
      <c r="K988" s="85" t="n">
        <v>3</v>
      </c>
      <c r="L988" s="85" t="n">
        <v>581</v>
      </c>
    </row>
    <row r="989" ht="12.75" customHeight="1" s="103">
      <c r="A989" s="78">
        <f>MID(H989,3,2)</f>
        <v/>
      </c>
      <c r="B989" s="84" t="inlineStr">
        <is>
          <t>B331</t>
        </is>
      </c>
      <c r="C989" s="84" t="inlineStr">
        <is>
          <t>上海区域</t>
        </is>
      </c>
      <c r="D989" s="84" t="inlineStr">
        <is>
          <t>CN0Q</t>
        </is>
      </c>
      <c r="E989" s="80" t="inlineStr">
        <is>
          <t>EE 苏州比斯特</t>
        </is>
      </c>
      <c r="F989" s="84" t="n">
        <v>4</v>
      </c>
      <c r="G989" s="84" t="inlineStr">
        <is>
          <t>奥特莱斯</t>
        </is>
      </c>
      <c r="H989" s="84" t="inlineStr">
        <is>
          <t>EERAG64S01</t>
        </is>
      </c>
      <c r="I989" s="84" t="n">
        <v>499</v>
      </c>
      <c r="J989" s="84" t="n">
        <v>399</v>
      </c>
      <c r="K989" s="85" t="n">
        <v>2</v>
      </c>
      <c r="L989" s="85" t="n"/>
    </row>
    <row r="990" ht="12.75" customHeight="1" s="103">
      <c r="A990" s="78">
        <f>MID(H990,3,2)</f>
        <v/>
      </c>
      <c r="B990" s="84" t="inlineStr">
        <is>
          <t>B331</t>
        </is>
      </c>
      <c r="C990" s="84" t="inlineStr">
        <is>
          <t>上海区域</t>
        </is>
      </c>
      <c r="D990" s="84" t="inlineStr">
        <is>
          <t>CN0Q</t>
        </is>
      </c>
      <c r="E990" s="80" t="inlineStr">
        <is>
          <t>EE 苏州比斯特</t>
        </is>
      </c>
      <c r="F990" s="84" t="n">
        <v>4</v>
      </c>
      <c r="G990" s="84" t="inlineStr">
        <is>
          <t>奥特莱斯</t>
        </is>
      </c>
      <c r="H990" s="84" t="inlineStr">
        <is>
          <t>EERAG64S01</t>
        </is>
      </c>
      <c r="I990" s="84" t="n">
        <v>499</v>
      </c>
      <c r="J990" s="84" t="n">
        <v>399</v>
      </c>
      <c r="K990" s="85" t="n">
        <v>2</v>
      </c>
      <c r="L990" s="85" t="n">
        <v>200</v>
      </c>
    </row>
    <row r="991" ht="12.75" customHeight="1" s="103">
      <c r="A991" s="78">
        <f>MID(H991,3,2)</f>
        <v/>
      </c>
      <c r="B991" s="84" t="inlineStr">
        <is>
          <t>B331</t>
        </is>
      </c>
      <c r="C991" s="84" t="inlineStr">
        <is>
          <t>上海区域</t>
        </is>
      </c>
      <c r="D991" s="84" t="inlineStr">
        <is>
          <t>CN0Q</t>
        </is>
      </c>
      <c r="E991" s="80" t="inlineStr">
        <is>
          <t>EE 苏州比斯特</t>
        </is>
      </c>
      <c r="F991" s="84" t="n">
        <v>4</v>
      </c>
      <c r="G991" s="84" t="inlineStr">
        <is>
          <t>奥特莱斯</t>
        </is>
      </c>
      <c r="H991" s="84" t="inlineStr">
        <is>
          <t>EERAG64S01</t>
        </is>
      </c>
      <c r="I991" s="84" t="n">
        <v>499</v>
      </c>
      <c r="J991" s="84" t="n">
        <v>399</v>
      </c>
      <c r="K991" s="85" t="n">
        <v>1</v>
      </c>
      <c r="L991" s="85" t="n"/>
    </row>
    <row r="992" ht="12.75" customHeight="1" s="103">
      <c r="A992" s="78">
        <f>MID(H992,3,2)</f>
        <v/>
      </c>
      <c r="B992" s="84" t="inlineStr">
        <is>
          <t>B331</t>
        </is>
      </c>
      <c r="C992" s="84" t="inlineStr">
        <is>
          <t>上海区域</t>
        </is>
      </c>
      <c r="D992" s="84" t="inlineStr">
        <is>
          <t>CN0Q</t>
        </is>
      </c>
      <c r="E992" s="80" t="inlineStr">
        <is>
          <t>EE 苏州比斯特</t>
        </is>
      </c>
      <c r="F992" s="84" t="n">
        <v>4</v>
      </c>
      <c r="G992" s="84" t="inlineStr">
        <is>
          <t>奥特莱斯</t>
        </is>
      </c>
      <c r="H992" s="84" t="inlineStr">
        <is>
          <t>EERAG64S01</t>
        </is>
      </c>
      <c r="I992" s="84" t="n">
        <v>499</v>
      </c>
      <c r="J992" s="84" t="n">
        <v>399</v>
      </c>
      <c r="K992" s="85" t="n">
        <v>2</v>
      </c>
      <c r="L992" s="85" t="n"/>
    </row>
    <row r="993" ht="12.75" customHeight="1" s="103">
      <c r="A993" s="78">
        <f>MID(H993,3,2)</f>
        <v/>
      </c>
      <c r="B993" s="84" t="inlineStr">
        <is>
          <t>B331</t>
        </is>
      </c>
      <c r="C993" s="84" t="inlineStr">
        <is>
          <t>上海区域</t>
        </is>
      </c>
      <c r="D993" s="84" t="inlineStr">
        <is>
          <t>CN0Q</t>
        </is>
      </c>
      <c r="E993" s="80" t="inlineStr">
        <is>
          <t>EE 苏州比斯特</t>
        </is>
      </c>
      <c r="F993" s="84" t="n">
        <v>4</v>
      </c>
      <c r="G993" s="84" t="inlineStr">
        <is>
          <t>奥特莱斯</t>
        </is>
      </c>
      <c r="H993" s="84" t="inlineStr">
        <is>
          <t>EERAG64S01</t>
        </is>
      </c>
      <c r="I993" s="84" t="n">
        <v>499</v>
      </c>
      <c r="J993" s="84" t="n">
        <v>399</v>
      </c>
      <c r="K993" s="85" t="n">
        <v>2</v>
      </c>
      <c r="L993" s="85" t="n"/>
    </row>
    <row r="994" ht="12.75" customHeight="1" s="103">
      <c r="A994" s="78">
        <f>MID(H994,3,2)</f>
        <v/>
      </c>
      <c r="B994" s="84" t="inlineStr">
        <is>
          <t>B331</t>
        </is>
      </c>
      <c r="C994" s="84" t="inlineStr">
        <is>
          <t>上海区域</t>
        </is>
      </c>
      <c r="D994" s="84" t="inlineStr">
        <is>
          <t>CN0Q</t>
        </is>
      </c>
      <c r="E994" s="80" t="inlineStr">
        <is>
          <t>EE 苏州比斯特</t>
        </is>
      </c>
      <c r="F994" s="84" t="n">
        <v>4</v>
      </c>
      <c r="G994" s="84" t="inlineStr">
        <is>
          <t>奥特莱斯</t>
        </is>
      </c>
      <c r="H994" s="84" t="inlineStr">
        <is>
          <t>EERAG64S01</t>
        </is>
      </c>
      <c r="I994" s="84" t="n">
        <v>499</v>
      </c>
      <c r="J994" s="84" t="n">
        <v>399</v>
      </c>
      <c r="K994" s="85" t="n"/>
      <c r="L994" s="85" t="n"/>
    </row>
    <row r="995" ht="12.75" customHeight="1" s="103">
      <c r="A995" s="78">
        <f>MID(H995,3,2)</f>
        <v/>
      </c>
      <c r="B995" s="84" t="inlineStr">
        <is>
          <t>B331</t>
        </is>
      </c>
      <c r="C995" s="84" t="inlineStr">
        <is>
          <t>上海区域</t>
        </is>
      </c>
      <c r="D995" s="84" t="inlineStr">
        <is>
          <t>CN0Q</t>
        </is>
      </c>
      <c r="E995" s="80" t="inlineStr">
        <is>
          <t>EE 苏州比斯特</t>
        </is>
      </c>
      <c r="F995" s="84" t="n">
        <v>4</v>
      </c>
      <c r="G995" s="84" t="inlineStr">
        <is>
          <t>奥特莱斯</t>
        </is>
      </c>
      <c r="H995" s="84" t="inlineStr">
        <is>
          <t>EERAG64S01</t>
        </is>
      </c>
      <c r="I995" s="84" t="n">
        <v>499</v>
      </c>
      <c r="J995" s="84" t="n">
        <v>399</v>
      </c>
      <c r="K995" s="85" t="n">
        <v>4</v>
      </c>
      <c r="L995" s="85" t="n">
        <v>182</v>
      </c>
    </row>
    <row r="996" ht="12.75" customHeight="1" s="103">
      <c r="A996" s="78">
        <f>MID(H996,3,2)</f>
        <v/>
      </c>
      <c r="B996" s="84" t="inlineStr">
        <is>
          <t>B331</t>
        </is>
      </c>
      <c r="C996" s="84" t="inlineStr">
        <is>
          <t>上海区域</t>
        </is>
      </c>
      <c r="D996" s="84" t="inlineStr">
        <is>
          <t>CN0Q</t>
        </is>
      </c>
      <c r="E996" s="80" t="inlineStr">
        <is>
          <t>EE 苏州比斯特</t>
        </is>
      </c>
      <c r="F996" s="84" t="n">
        <v>4</v>
      </c>
      <c r="G996" s="84" t="inlineStr">
        <is>
          <t>奥特莱斯</t>
        </is>
      </c>
      <c r="H996" s="84" t="inlineStr">
        <is>
          <t>EERAG64S01</t>
        </is>
      </c>
      <c r="I996" s="84" t="n">
        <v>499</v>
      </c>
      <c r="J996" s="84" t="n">
        <v>399</v>
      </c>
      <c r="K996" s="85" t="n">
        <v>2</v>
      </c>
      <c r="L996" s="85" t="n"/>
    </row>
    <row r="997" ht="12.75" customHeight="1" s="103">
      <c r="A997" s="78">
        <f>MID(H997,3,2)</f>
        <v/>
      </c>
      <c r="B997" s="84" t="inlineStr">
        <is>
          <t>B331</t>
        </is>
      </c>
      <c r="C997" s="84" t="inlineStr">
        <is>
          <t>上海区域</t>
        </is>
      </c>
      <c r="D997" s="84" t="inlineStr">
        <is>
          <t>CN0Q</t>
        </is>
      </c>
      <c r="E997" s="80" t="inlineStr">
        <is>
          <t>EE 苏州比斯特</t>
        </is>
      </c>
      <c r="F997" s="84" t="n">
        <v>4</v>
      </c>
      <c r="G997" s="84" t="inlineStr">
        <is>
          <t>奥特莱斯</t>
        </is>
      </c>
      <c r="H997" s="84" t="inlineStr">
        <is>
          <t>EERAG64S01</t>
        </is>
      </c>
      <c r="I997" s="84" t="n">
        <v>499</v>
      </c>
      <c r="J997" s="84" t="n">
        <v>399</v>
      </c>
      <c r="K997" s="85" t="n">
        <v>1</v>
      </c>
      <c r="L997" s="85" t="n"/>
    </row>
    <row r="998" ht="12.75" customHeight="1" s="103">
      <c r="A998" s="78">
        <f>MID(H998,3,2)</f>
        <v/>
      </c>
      <c r="B998" s="84" t="inlineStr">
        <is>
          <t>B331</t>
        </is>
      </c>
      <c r="C998" s="84" t="inlineStr">
        <is>
          <t>上海区域</t>
        </is>
      </c>
      <c r="D998" s="84" t="inlineStr">
        <is>
          <t>CN0Q</t>
        </is>
      </c>
      <c r="E998" s="80" t="inlineStr">
        <is>
          <t>EE 苏州比斯特</t>
        </is>
      </c>
      <c r="F998" s="84" t="n">
        <v>4</v>
      </c>
      <c r="G998" s="84" t="inlineStr">
        <is>
          <t>奥特莱斯</t>
        </is>
      </c>
      <c r="H998" s="84" t="inlineStr">
        <is>
          <t>EERAG64S01</t>
        </is>
      </c>
      <c r="I998" s="84" t="n">
        <v>499</v>
      </c>
      <c r="J998" s="84" t="n">
        <v>399</v>
      </c>
      <c r="K998" s="85" t="n">
        <v>1</v>
      </c>
      <c r="L998" s="85" t="n">
        <v>200</v>
      </c>
    </row>
    <row r="999" ht="12.75" customHeight="1" s="103">
      <c r="A999" s="78">
        <f>MID(H999,3,2)</f>
        <v/>
      </c>
      <c r="B999" s="84" t="inlineStr">
        <is>
          <t>B331</t>
        </is>
      </c>
      <c r="C999" s="84" t="inlineStr">
        <is>
          <t>上海区域</t>
        </is>
      </c>
      <c r="D999" s="84" t="inlineStr">
        <is>
          <t>CN0Q</t>
        </is>
      </c>
      <c r="E999" s="80" t="inlineStr">
        <is>
          <t>EE 苏州比斯特</t>
        </is>
      </c>
      <c r="F999" s="84" t="n">
        <v>4</v>
      </c>
      <c r="G999" s="84" t="inlineStr">
        <is>
          <t>奥特莱斯</t>
        </is>
      </c>
      <c r="H999" s="84" t="inlineStr">
        <is>
          <t>EERAG64S01</t>
        </is>
      </c>
      <c r="I999" s="84" t="n">
        <v>499</v>
      </c>
      <c r="J999" s="84" t="n">
        <v>399</v>
      </c>
      <c r="K999" s="85" t="n">
        <v>6</v>
      </c>
      <c r="L999" s="85" t="n">
        <v>542</v>
      </c>
    </row>
    <row r="1000" ht="12.75" customHeight="1" s="103">
      <c r="A1000" s="78">
        <f>MID(H1000,3,2)</f>
        <v/>
      </c>
      <c r="B1000" s="84" t="inlineStr">
        <is>
          <t>B331</t>
        </is>
      </c>
      <c r="C1000" s="84" t="inlineStr">
        <is>
          <t>上海区域</t>
        </is>
      </c>
      <c r="D1000" s="84" t="inlineStr">
        <is>
          <t>CN0Q</t>
        </is>
      </c>
      <c r="E1000" s="80" t="inlineStr">
        <is>
          <t>EE 苏州比斯特</t>
        </is>
      </c>
      <c r="F1000" s="84" t="n">
        <v>4</v>
      </c>
      <c r="G1000" s="84" t="inlineStr">
        <is>
          <t>奥特莱斯</t>
        </is>
      </c>
      <c r="H1000" s="84" t="inlineStr">
        <is>
          <t>EERAG64S01</t>
        </is>
      </c>
      <c r="I1000" s="84" t="n">
        <v>499</v>
      </c>
      <c r="J1000" s="84" t="n">
        <v>399</v>
      </c>
      <c r="K1000" s="85" t="n">
        <v>4</v>
      </c>
      <c r="L1000" s="85" t="n">
        <v>484</v>
      </c>
    </row>
    <row r="1001" ht="12.75" customHeight="1" s="103">
      <c r="A1001" s="78">
        <f>MID(H1001,3,2)</f>
        <v/>
      </c>
      <c r="B1001" s="84" t="inlineStr">
        <is>
          <t>B331</t>
        </is>
      </c>
      <c r="C1001" s="84" t="inlineStr">
        <is>
          <t>上海区域</t>
        </is>
      </c>
      <c r="D1001" s="84" t="inlineStr">
        <is>
          <t>CN0Q</t>
        </is>
      </c>
      <c r="E1001" s="80" t="inlineStr">
        <is>
          <t>EE 苏州比斯特</t>
        </is>
      </c>
      <c r="F1001" s="84" t="n">
        <v>4</v>
      </c>
      <c r="G1001" s="84" t="inlineStr">
        <is>
          <t>奥特莱斯</t>
        </is>
      </c>
      <c r="H1001" s="84" t="inlineStr">
        <is>
          <t>EERAG64S01</t>
        </is>
      </c>
      <c r="I1001" s="84" t="n">
        <v>499</v>
      </c>
      <c r="J1001" s="84" t="n">
        <v>399</v>
      </c>
      <c r="K1001" s="85" t="n">
        <v>1</v>
      </c>
      <c r="L1001" s="85" t="n">
        <v>181</v>
      </c>
    </row>
    <row r="1002" ht="12.75" customHeight="1" s="103">
      <c r="A1002" s="78">
        <f>MID(H1002,3,2)</f>
        <v/>
      </c>
      <c r="B1002" s="84" t="inlineStr">
        <is>
          <t>B331</t>
        </is>
      </c>
      <c r="C1002" s="84" t="inlineStr">
        <is>
          <t>上海区域</t>
        </is>
      </c>
      <c r="D1002" s="84" t="inlineStr">
        <is>
          <t>CN0Q</t>
        </is>
      </c>
      <c r="E1002" s="80" t="inlineStr">
        <is>
          <t>EE 苏州比斯特</t>
        </is>
      </c>
      <c r="F1002" s="84" t="n">
        <v>4</v>
      </c>
      <c r="G1002" s="84" t="inlineStr">
        <is>
          <t>奥特莱斯</t>
        </is>
      </c>
      <c r="H1002" s="84" t="inlineStr">
        <is>
          <t>EERNF24M01</t>
        </is>
      </c>
      <c r="I1002" s="84" t="n">
        <v>299</v>
      </c>
      <c r="J1002" s="84" t="n">
        <v>299</v>
      </c>
      <c r="K1002" s="85" t="n"/>
      <c r="L1002" s="85" t="n"/>
    </row>
    <row r="1003" ht="12.75" customHeight="1" s="103">
      <c r="A1003" s="78">
        <f>MID(H1003,3,2)</f>
        <v/>
      </c>
      <c r="B1003" s="84" t="inlineStr">
        <is>
          <t>B331</t>
        </is>
      </c>
      <c r="C1003" s="84" t="inlineStr">
        <is>
          <t>上海区域</t>
        </is>
      </c>
      <c r="D1003" s="84" t="inlineStr">
        <is>
          <t>CN0Q</t>
        </is>
      </c>
      <c r="E1003" s="80" t="inlineStr">
        <is>
          <t>EE 苏州比斯特</t>
        </is>
      </c>
      <c r="F1003" s="84" t="n">
        <v>4</v>
      </c>
      <c r="G1003" s="84" t="inlineStr">
        <is>
          <t>奥特莱斯</t>
        </is>
      </c>
      <c r="H1003" s="84" t="inlineStr">
        <is>
          <t>EERNF24M01</t>
        </is>
      </c>
      <c r="I1003" s="84" t="n">
        <v>299</v>
      </c>
      <c r="J1003" s="84" t="n">
        <v>299</v>
      </c>
      <c r="K1003" s="85" t="n"/>
      <c r="L1003" s="85" t="n"/>
    </row>
    <row r="1004" ht="12.75" customHeight="1" s="103">
      <c r="A1004" s="78">
        <f>MID(H1004,3,2)</f>
        <v/>
      </c>
      <c r="B1004" s="84" t="inlineStr">
        <is>
          <t>B331</t>
        </is>
      </c>
      <c r="C1004" s="84" t="inlineStr">
        <is>
          <t>上海区域</t>
        </is>
      </c>
      <c r="D1004" s="84" t="inlineStr">
        <is>
          <t>CN0Q</t>
        </is>
      </c>
      <c r="E1004" s="80" t="inlineStr">
        <is>
          <t>EE 苏州比斯特</t>
        </is>
      </c>
      <c r="F1004" s="84" t="n">
        <v>4</v>
      </c>
      <c r="G1004" s="84" t="inlineStr">
        <is>
          <t>奥特莱斯</t>
        </is>
      </c>
      <c r="H1004" s="84" t="inlineStr">
        <is>
          <t>EERNF24M01</t>
        </is>
      </c>
      <c r="I1004" s="84" t="n">
        <v>299</v>
      </c>
      <c r="J1004" s="84" t="n">
        <v>299</v>
      </c>
      <c r="K1004" s="85" t="n"/>
      <c r="L1004" s="85" t="n"/>
    </row>
    <row r="1005" ht="12.75" customHeight="1" s="103">
      <c r="A1005" s="78">
        <f>MID(H1005,3,2)</f>
        <v/>
      </c>
      <c r="B1005" s="84" t="inlineStr">
        <is>
          <t>B331</t>
        </is>
      </c>
      <c r="C1005" s="84" t="inlineStr">
        <is>
          <t>上海区域</t>
        </is>
      </c>
      <c r="D1005" s="84" t="inlineStr">
        <is>
          <t>CN0Q</t>
        </is>
      </c>
      <c r="E1005" s="80" t="inlineStr">
        <is>
          <t>EE 苏州比斯特</t>
        </is>
      </c>
      <c r="F1005" s="84" t="n">
        <v>4</v>
      </c>
      <c r="G1005" s="84" t="inlineStr">
        <is>
          <t>奥特莱斯</t>
        </is>
      </c>
      <c r="H1005" s="84" t="inlineStr">
        <is>
          <t>EERNF24M01</t>
        </is>
      </c>
      <c r="I1005" s="84" t="n">
        <v>299</v>
      </c>
      <c r="J1005" s="84" t="n">
        <v>299</v>
      </c>
      <c r="K1005" s="85" t="n"/>
      <c r="L1005" s="85" t="n"/>
    </row>
    <row r="1006" ht="12.75" customHeight="1" s="103">
      <c r="A1006" s="78">
        <f>MID(H1006,3,2)</f>
        <v/>
      </c>
      <c r="B1006" s="84" t="inlineStr">
        <is>
          <t>B331</t>
        </is>
      </c>
      <c r="C1006" s="84" t="inlineStr">
        <is>
          <t>上海区域</t>
        </is>
      </c>
      <c r="D1006" s="84" t="inlineStr">
        <is>
          <t>CN0Q</t>
        </is>
      </c>
      <c r="E1006" s="80" t="inlineStr">
        <is>
          <t>EE 苏州比斯特</t>
        </is>
      </c>
      <c r="F1006" s="84" t="n">
        <v>4</v>
      </c>
      <c r="G1006" s="84" t="inlineStr">
        <is>
          <t>奥特莱斯</t>
        </is>
      </c>
      <c r="H1006" s="84" t="inlineStr">
        <is>
          <t>EERNF24M01</t>
        </is>
      </c>
      <c r="I1006" s="84" t="n">
        <v>299</v>
      </c>
      <c r="J1006" s="84" t="n">
        <v>299</v>
      </c>
      <c r="K1006" s="85" t="n"/>
      <c r="L1006" s="85" t="n"/>
    </row>
    <row r="1007" ht="12.75" customHeight="1" s="103">
      <c r="A1007" s="78">
        <f>MID(H1007,3,2)</f>
        <v/>
      </c>
      <c r="B1007" s="84" t="inlineStr">
        <is>
          <t>B331</t>
        </is>
      </c>
      <c r="C1007" s="84" t="inlineStr">
        <is>
          <t>上海区域</t>
        </is>
      </c>
      <c r="D1007" s="84" t="inlineStr">
        <is>
          <t>CN0Q</t>
        </is>
      </c>
      <c r="E1007" s="80" t="inlineStr">
        <is>
          <t>EE 苏州比斯特</t>
        </is>
      </c>
      <c r="F1007" s="84" t="n">
        <v>4</v>
      </c>
      <c r="G1007" s="84" t="inlineStr">
        <is>
          <t>奥特莱斯</t>
        </is>
      </c>
      <c r="H1007" s="84" t="inlineStr">
        <is>
          <t>EERNF24M01</t>
        </is>
      </c>
      <c r="I1007" s="84" t="n">
        <v>299</v>
      </c>
      <c r="J1007" s="84" t="n">
        <v>299</v>
      </c>
      <c r="K1007" s="85" t="n"/>
      <c r="L1007" s="85" t="n"/>
    </row>
    <row r="1008" ht="12.75" customHeight="1" s="103">
      <c r="A1008" s="78">
        <f>MID(H1008,3,2)</f>
        <v/>
      </c>
      <c r="B1008" s="84" t="inlineStr">
        <is>
          <t>B331</t>
        </is>
      </c>
      <c r="C1008" s="84" t="inlineStr">
        <is>
          <t>上海区域</t>
        </is>
      </c>
      <c r="D1008" s="84" t="inlineStr">
        <is>
          <t>CN0Q</t>
        </is>
      </c>
      <c r="E1008" s="80" t="inlineStr">
        <is>
          <t>EE 苏州比斯特</t>
        </is>
      </c>
      <c r="F1008" s="84" t="n">
        <v>4</v>
      </c>
      <c r="G1008" s="84" t="inlineStr">
        <is>
          <t>奥特莱斯</t>
        </is>
      </c>
      <c r="H1008" s="84" t="inlineStr">
        <is>
          <t>EERNF24M01</t>
        </is>
      </c>
      <c r="I1008" s="84" t="n">
        <v>299</v>
      </c>
      <c r="J1008" s="84" t="n">
        <v>299</v>
      </c>
      <c r="K1008" s="85" t="n"/>
      <c r="L1008" s="85" t="n"/>
    </row>
    <row r="1009" ht="12.75" customHeight="1" s="103">
      <c r="A1009" s="78">
        <f>MID(H1009,3,2)</f>
        <v/>
      </c>
      <c r="B1009" s="84" t="inlineStr">
        <is>
          <t>B331</t>
        </is>
      </c>
      <c r="C1009" s="84" t="inlineStr">
        <is>
          <t>上海区域</t>
        </is>
      </c>
      <c r="D1009" s="84" t="inlineStr">
        <is>
          <t>CN0Q</t>
        </is>
      </c>
      <c r="E1009" s="80" t="inlineStr">
        <is>
          <t>EE 苏州比斯特</t>
        </is>
      </c>
      <c r="F1009" s="84" t="n">
        <v>4</v>
      </c>
      <c r="G1009" s="84" t="inlineStr">
        <is>
          <t>奥特莱斯</t>
        </is>
      </c>
      <c r="H1009" s="84" t="inlineStr">
        <is>
          <t>EERNF24M02</t>
        </is>
      </c>
      <c r="I1009" s="84" t="n">
        <v>299</v>
      </c>
      <c r="J1009" s="84" t="n">
        <v>299</v>
      </c>
      <c r="K1009" s="85" t="n"/>
      <c r="L1009" s="85" t="n"/>
    </row>
    <row r="1010" ht="12.75" customHeight="1" s="103">
      <c r="A1010" s="78">
        <f>MID(H1010,3,2)</f>
        <v/>
      </c>
      <c r="B1010" s="84" t="inlineStr">
        <is>
          <t>B331</t>
        </is>
      </c>
      <c r="C1010" s="84" t="inlineStr">
        <is>
          <t>上海区域</t>
        </is>
      </c>
      <c r="D1010" s="84" t="inlineStr">
        <is>
          <t>CN0Q</t>
        </is>
      </c>
      <c r="E1010" s="80" t="inlineStr">
        <is>
          <t>EE 苏州比斯特</t>
        </is>
      </c>
      <c r="F1010" s="84" t="n">
        <v>4</v>
      </c>
      <c r="G1010" s="84" t="inlineStr">
        <is>
          <t>奥特莱斯</t>
        </is>
      </c>
      <c r="H1010" s="84" t="inlineStr">
        <is>
          <t>EERNF24M02</t>
        </is>
      </c>
      <c r="I1010" s="84" t="n">
        <v>299</v>
      </c>
      <c r="J1010" s="84" t="n">
        <v>299</v>
      </c>
      <c r="K1010" s="85" t="n"/>
      <c r="L1010" s="85" t="n"/>
    </row>
    <row r="1011" ht="12.75" customHeight="1" s="103">
      <c r="A1011" s="78">
        <f>MID(H1011,3,2)</f>
        <v/>
      </c>
      <c r="B1011" s="84" t="inlineStr">
        <is>
          <t>B331</t>
        </is>
      </c>
      <c r="C1011" s="84" t="inlineStr">
        <is>
          <t>上海区域</t>
        </is>
      </c>
      <c r="D1011" s="84" t="inlineStr">
        <is>
          <t>CN0Q</t>
        </is>
      </c>
      <c r="E1011" s="80" t="inlineStr">
        <is>
          <t>EE 苏州比斯特</t>
        </is>
      </c>
      <c r="F1011" s="84" t="n">
        <v>4</v>
      </c>
      <c r="G1011" s="84" t="inlineStr">
        <is>
          <t>奥特莱斯</t>
        </is>
      </c>
      <c r="H1011" s="84" t="inlineStr">
        <is>
          <t>EERNF24M02</t>
        </is>
      </c>
      <c r="I1011" s="84" t="n">
        <v>299</v>
      </c>
      <c r="J1011" s="84" t="n">
        <v>299</v>
      </c>
      <c r="K1011" s="85" t="n"/>
      <c r="L1011" s="85" t="n"/>
    </row>
    <row r="1012" ht="12.75" customHeight="1" s="103">
      <c r="A1012" s="78">
        <f>MID(H1012,3,2)</f>
        <v/>
      </c>
      <c r="B1012" s="84" t="inlineStr">
        <is>
          <t>B331</t>
        </is>
      </c>
      <c r="C1012" s="84" t="inlineStr">
        <is>
          <t>上海区域</t>
        </is>
      </c>
      <c r="D1012" s="84" t="inlineStr">
        <is>
          <t>CN0Q</t>
        </is>
      </c>
      <c r="E1012" s="80" t="inlineStr">
        <is>
          <t>EE 苏州比斯特</t>
        </is>
      </c>
      <c r="F1012" s="84" t="n">
        <v>4</v>
      </c>
      <c r="G1012" s="84" t="inlineStr">
        <is>
          <t>奥特莱斯</t>
        </is>
      </c>
      <c r="H1012" s="84" t="inlineStr">
        <is>
          <t>EERNF24M02</t>
        </is>
      </c>
      <c r="I1012" s="84" t="n">
        <v>299</v>
      </c>
      <c r="J1012" s="84" t="n">
        <v>299</v>
      </c>
      <c r="K1012" s="85" t="n"/>
      <c r="L1012" s="85" t="n"/>
    </row>
    <row r="1013" ht="12.75" customHeight="1" s="103">
      <c r="A1013" s="78">
        <f>MID(H1013,3,2)</f>
        <v/>
      </c>
      <c r="B1013" s="84" t="inlineStr">
        <is>
          <t>B331</t>
        </is>
      </c>
      <c r="C1013" s="84" t="inlineStr">
        <is>
          <t>上海区域</t>
        </is>
      </c>
      <c r="D1013" s="84" t="inlineStr">
        <is>
          <t>CN0Q</t>
        </is>
      </c>
      <c r="E1013" s="80" t="inlineStr">
        <is>
          <t>EE 苏州比斯特</t>
        </is>
      </c>
      <c r="F1013" s="84" t="n">
        <v>4</v>
      </c>
      <c r="G1013" s="84" t="inlineStr">
        <is>
          <t>奥特莱斯</t>
        </is>
      </c>
      <c r="H1013" s="84" t="inlineStr">
        <is>
          <t>EERNF24M02</t>
        </is>
      </c>
      <c r="I1013" s="84" t="n">
        <v>299</v>
      </c>
      <c r="J1013" s="84" t="n">
        <v>299</v>
      </c>
      <c r="K1013" s="85" t="n"/>
      <c r="L1013" s="85" t="n"/>
    </row>
    <row r="1014" ht="12.75" customHeight="1" s="103">
      <c r="A1014" s="78">
        <f>MID(H1014,3,2)</f>
        <v/>
      </c>
      <c r="B1014" s="84" t="inlineStr">
        <is>
          <t>B331</t>
        </is>
      </c>
      <c r="C1014" s="84" t="inlineStr">
        <is>
          <t>上海区域</t>
        </is>
      </c>
      <c r="D1014" s="84" t="inlineStr">
        <is>
          <t>CN0Q</t>
        </is>
      </c>
      <c r="E1014" s="80" t="inlineStr">
        <is>
          <t>EE 苏州比斯特</t>
        </is>
      </c>
      <c r="F1014" s="84" t="n">
        <v>4</v>
      </c>
      <c r="G1014" s="84" t="inlineStr">
        <is>
          <t>奥特莱斯</t>
        </is>
      </c>
      <c r="H1014" s="84" t="inlineStr">
        <is>
          <t>EERNF24M02</t>
        </is>
      </c>
      <c r="I1014" s="84" t="n">
        <v>299</v>
      </c>
      <c r="J1014" s="84" t="n">
        <v>299</v>
      </c>
      <c r="K1014" s="85" t="n"/>
      <c r="L1014" s="85" t="n"/>
    </row>
    <row r="1015" ht="12.75" customHeight="1" s="103">
      <c r="A1015" s="78">
        <f>MID(H1015,3,2)</f>
        <v/>
      </c>
      <c r="B1015" s="84" t="inlineStr">
        <is>
          <t>B331</t>
        </is>
      </c>
      <c r="C1015" s="84" t="inlineStr">
        <is>
          <t>上海区域</t>
        </is>
      </c>
      <c r="D1015" s="84" t="inlineStr">
        <is>
          <t>CN0Q</t>
        </is>
      </c>
      <c r="E1015" s="80" t="inlineStr">
        <is>
          <t>EE 苏州比斯特</t>
        </is>
      </c>
      <c r="F1015" s="84" t="n">
        <v>4</v>
      </c>
      <c r="G1015" s="84" t="inlineStr">
        <is>
          <t>奥特莱斯</t>
        </is>
      </c>
      <c r="H1015" s="84" t="inlineStr">
        <is>
          <t>EERNF24M02</t>
        </is>
      </c>
      <c r="I1015" s="84" t="n">
        <v>299</v>
      </c>
      <c r="J1015" s="84" t="n">
        <v>299</v>
      </c>
      <c r="K1015" s="85" t="n"/>
      <c r="L1015" s="85" t="n"/>
    </row>
    <row r="1016" ht="12.75" customHeight="1" s="103">
      <c r="A1016" s="78">
        <f>MID(H1016,3,2)</f>
        <v/>
      </c>
      <c r="B1016" s="84" t="inlineStr">
        <is>
          <t>B331</t>
        </is>
      </c>
      <c r="C1016" s="84" t="inlineStr">
        <is>
          <t>上海区域</t>
        </is>
      </c>
      <c r="D1016" s="84" t="inlineStr">
        <is>
          <t>CN0Q</t>
        </is>
      </c>
      <c r="E1016" s="80" t="inlineStr">
        <is>
          <t>EE 苏州比斯特</t>
        </is>
      </c>
      <c r="F1016" s="84" t="n">
        <v>4</v>
      </c>
      <c r="G1016" s="84" t="inlineStr">
        <is>
          <t>奥特莱斯</t>
        </is>
      </c>
      <c r="H1016" s="84" t="inlineStr">
        <is>
          <t>EERNF24M02</t>
        </is>
      </c>
      <c r="I1016" s="84" t="n">
        <v>299</v>
      </c>
      <c r="J1016" s="84" t="n">
        <v>299</v>
      </c>
      <c r="K1016" s="85" t="n"/>
      <c r="L1016" s="85" t="n"/>
    </row>
    <row r="1017" ht="12.75" customHeight="1" s="103">
      <c r="A1017" s="78">
        <f>MID(H1017,3,2)</f>
        <v/>
      </c>
      <c r="B1017" s="84" t="inlineStr">
        <is>
          <t>B331</t>
        </is>
      </c>
      <c r="C1017" s="84" t="inlineStr">
        <is>
          <t>上海区域</t>
        </is>
      </c>
      <c r="D1017" s="84" t="inlineStr">
        <is>
          <t>CN0Q</t>
        </is>
      </c>
      <c r="E1017" s="80" t="inlineStr">
        <is>
          <t>EE 苏州比斯特</t>
        </is>
      </c>
      <c r="F1017" s="84" t="n">
        <v>4</v>
      </c>
      <c r="G1017" s="84" t="inlineStr">
        <is>
          <t>奥特莱斯</t>
        </is>
      </c>
      <c r="H1017" s="84" t="inlineStr">
        <is>
          <t>EERNF24M02</t>
        </is>
      </c>
      <c r="I1017" s="84" t="n">
        <v>299</v>
      </c>
      <c r="J1017" s="84" t="n">
        <v>299</v>
      </c>
      <c r="K1017" s="85" t="n"/>
      <c r="L1017" s="85" t="n"/>
    </row>
    <row r="1018" ht="12.75" customHeight="1" s="103">
      <c r="A1018" s="78">
        <f>MID(H1018,3,2)</f>
        <v/>
      </c>
      <c r="B1018" s="84" t="inlineStr">
        <is>
          <t>B331</t>
        </is>
      </c>
      <c r="C1018" s="84" t="inlineStr">
        <is>
          <t>上海区域</t>
        </is>
      </c>
      <c r="D1018" s="84" t="inlineStr">
        <is>
          <t>CN0Q</t>
        </is>
      </c>
      <c r="E1018" s="80" t="inlineStr">
        <is>
          <t>EE 苏州比斯特</t>
        </is>
      </c>
      <c r="F1018" s="84" t="n">
        <v>4</v>
      </c>
      <c r="G1018" s="84" t="inlineStr">
        <is>
          <t>奥特莱斯</t>
        </is>
      </c>
      <c r="H1018" s="84" t="inlineStr">
        <is>
          <t>EERNF24M02</t>
        </is>
      </c>
      <c r="I1018" s="84" t="n">
        <v>299</v>
      </c>
      <c r="J1018" s="84" t="n">
        <v>299</v>
      </c>
      <c r="K1018" s="85" t="n"/>
      <c r="L1018" s="85" t="n"/>
    </row>
    <row r="1019" ht="12.75" customHeight="1" s="103">
      <c r="A1019" s="78">
        <f>MID(H1019,3,2)</f>
        <v/>
      </c>
      <c r="B1019" s="84" t="inlineStr">
        <is>
          <t>B331</t>
        </is>
      </c>
      <c r="C1019" s="84" t="inlineStr">
        <is>
          <t>上海区域</t>
        </is>
      </c>
      <c r="D1019" s="84" t="inlineStr">
        <is>
          <t>CN0Q</t>
        </is>
      </c>
      <c r="E1019" s="80" t="inlineStr">
        <is>
          <t>EE 苏州比斯特</t>
        </is>
      </c>
      <c r="F1019" s="84" t="n">
        <v>4</v>
      </c>
      <c r="G1019" s="84" t="inlineStr">
        <is>
          <t>奥特莱斯</t>
        </is>
      </c>
      <c r="H1019" s="84" t="inlineStr">
        <is>
          <t>EERNF24M02</t>
        </is>
      </c>
      <c r="I1019" s="84" t="n">
        <v>299</v>
      </c>
      <c r="J1019" s="84" t="n">
        <v>299</v>
      </c>
      <c r="K1019" s="85" t="n"/>
      <c r="L1019" s="85" t="n"/>
    </row>
    <row r="1020" ht="12.75" customHeight="1" s="103">
      <c r="A1020" s="78">
        <f>MID(H1020,3,2)</f>
        <v/>
      </c>
      <c r="B1020" s="84" t="inlineStr">
        <is>
          <t>B331</t>
        </is>
      </c>
      <c r="C1020" s="84" t="inlineStr">
        <is>
          <t>上海区域</t>
        </is>
      </c>
      <c r="D1020" s="84" t="inlineStr">
        <is>
          <t>CN0Q</t>
        </is>
      </c>
      <c r="E1020" s="80" t="inlineStr">
        <is>
          <t>EE 苏州比斯特</t>
        </is>
      </c>
      <c r="F1020" s="84" t="n">
        <v>4</v>
      </c>
      <c r="G1020" s="84" t="inlineStr">
        <is>
          <t>奥特莱斯</t>
        </is>
      </c>
      <c r="H1020" s="84" t="inlineStr">
        <is>
          <t>EERNF24M02</t>
        </is>
      </c>
      <c r="I1020" s="84" t="n">
        <v>299</v>
      </c>
      <c r="J1020" s="84" t="n">
        <v>299</v>
      </c>
      <c r="K1020" s="85" t="n"/>
      <c r="L1020" s="85" t="n"/>
    </row>
    <row r="1021" ht="12.75" customHeight="1" s="103">
      <c r="A1021" s="78">
        <f>MID(H1021,3,2)</f>
        <v/>
      </c>
      <c r="B1021" s="84" t="inlineStr">
        <is>
          <t>B331</t>
        </is>
      </c>
      <c r="C1021" s="84" t="inlineStr">
        <is>
          <t>上海区域</t>
        </is>
      </c>
      <c r="D1021" s="84" t="inlineStr">
        <is>
          <t>CN0Q</t>
        </is>
      </c>
      <c r="E1021" s="80" t="inlineStr">
        <is>
          <t>EE 苏州比斯特</t>
        </is>
      </c>
      <c r="F1021" s="84" t="n">
        <v>4</v>
      </c>
      <c r="G1021" s="84" t="inlineStr">
        <is>
          <t>奥特莱斯</t>
        </is>
      </c>
      <c r="H1021" s="84" t="inlineStr">
        <is>
          <t>EERNF24M02</t>
        </is>
      </c>
      <c r="I1021" s="84" t="n">
        <v>299</v>
      </c>
      <c r="J1021" s="84" t="n">
        <v>299</v>
      </c>
      <c r="K1021" s="85" t="n"/>
      <c r="L1021" s="85" t="n"/>
    </row>
    <row r="1022" ht="12.75" customHeight="1" s="103">
      <c r="A1022" s="78">
        <f>MID(H1022,3,2)</f>
        <v/>
      </c>
      <c r="B1022" s="84" t="inlineStr">
        <is>
          <t>B331</t>
        </is>
      </c>
      <c r="C1022" s="84" t="inlineStr">
        <is>
          <t>上海区域</t>
        </is>
      </c>
      <c r="D1022" s="84" t="inlineStr">
        <is>
          <t>CN0Q</t>
        </is>
      </c>
      <c r="E1022" s="80" t="inlineStr">
        <is>
          <t>EE 苏州比斯特</t>
        </is>
      </c>
      <c r="F1022" s="84" t="n">
        <v>4</v>
      </c>
      <c r="G1022" s="84" t="inlineStr">
        <is>
          <t>奥特莱斯</t>
        </is>
      </c>
      <c r="H1022" s="84" t="inlineStr">
        <is>
          <t>EERNF24M02</t>
        </is>
      </c>
      <c r="I1022" s="84" t="n">
        <v>299</v>
      </c>
      <c r="J1022" s="84" t="n">
        <v>299</v>
      </c>
      <c r="K1022" s="85" t="n"/>
      <c r="L1022" s="85" t="n"/>
    </row>
    <row r="1023" ht="12.75" customHeight="1" s="103">
      <c r="A1023" s="78">
        <f>MID(H1023,3,2)</f>
        <v/>
      </c>
      <c r="B1023" s="84" t="inlineStr">
        <is>
          <t>B331</t>
        </is>
      </c>
      <c r="C1023" s="84" t="inlineStr">
        <is>
          <t>上海区域</t>
        </is>
      </c>
      <c r="D1023" s="84" t="inlineStr">
        <is>
          <t>CN0Q</t>
        </is>
      </c>
      <c r="E1023" s="80" t="inlineStr">
        <is>
          <t>EE 苏州比斯特</t>
        </is>
      </c>
      <c r="F1023" s="84" t="n">
        <v>4</v>
      </c>
      <c r="G1023" s="84" t="inlineStr">
        <is>
          <t>奥特莱斯</t>
        </is>
      </c>
      <c r="H1023" s="84" t="inlineStr">
        <is>
          <t>EERNF24M02</t>
        </is>
      </c>
      <c r="I1023" s="84" t="n">
        <v>299</v>
      </c>
      <c r="J1023" s="84" t="n">
        <v>299</v>
      </c>
      <c r="K1023" s="85" t="n"/>
      <c r="L1023" s="85" t="n"/>
    </row>
    <row r="1024" ht="12.75" customHeight="1" s="103">
      <c r="A1024" s="78">
        <f>MID(H1024,3,2)</f>
        <v/>
      </c>
      <c r="B1024" s="84" t="inlineStr">
        <is>
          <t>B331</t>
        </is>
      </c>
      <c r="C1024" s="84" t="inlineStr">
        <is>
          <t>上海区域</t>
        </is>
      </c>
      <c r="D1024" s="84" t="inlineStr">
        <is>
          <t>CN0Q</t>
        </is>
      </c>
      <c r="E1024" s="80" t="inlineStr">
        <is>
          <t>EE 苏州比斯特</t>
        </is>
      </c>
      <c r="F1024" s="84" t="n">
        <v>4</v>
      </c>
      <c r="G1024" s="84" t="inlineStr">
        <is>
          <t>奥特莱斯</t>
        </is>
      </c>
      <c r="H1024" s="84" t="inlineStr">
        <is>
          <t>EERNG23E01</t>
        </is>
      </c>
      <c r="I1024" s="84" t="n">
        <v>299</v>
      </c>
      <c r="J1024" s="84" t="n">
        <v>299</v>
      </c>
      <c r="K1024" s="85" t="n">
        <v>2</v>
      </c>
      <c r="L1024" s="85" t="n"/>
    </row>
    <row r="1025" ht="12.75" customHeight="1" s="103">
      <c r="A1025" s="78">
        <f>MID(H1025,3,2)</f>
        <v/>
      </c>
      <c r="B1025" s="84" t="inlineStr">
        <is>
          <t>B331</t>
        </is>
      </c>
      <c r="C1025" s="84" t="inlineStr">
        <is>
          <t>上海区域</t>
        </is>
      </c>
      <c r="D1025" s="84" t="inlineStr">
        <is>
          <t>CN0Q</t>
        </is>
      </c>
      <c r="E1025" s="80" t="inlineStr">
        <is>
          <t>EE 苏州比斯特</t>
        </is>
      </c>
      <c r="F1025" s="84" t="n">
        <v>4</v>
      </c>
      <c r="G1025" s="84" t="inlineStr">
        <is>
          <t>奥特莱斯</t>
        </is>
      </c>
      <c r="H1025" s="84" t="inlineStr">
        <is>
          <t>EERNG23E01</t>
        </is>
      </c>
      <c r="I1025" s="84" t="n">
        <v>299</v>
      </c>
      <c r="J1025" s="84" t="n">
        <v>299</v>
      </c>
      <c r="K1025" s="85" t="n">
        <v>2</v>
      </c>
      <c r="L1025" s="85" t="n">
        <v>192</v>
      </c>
    </row>
    <row r="1026" ht="12.75" customHeight="1" s="103">
      <c r="A1026" s="78">
        <f>MID(H1026,3,2)</f>
        <v/>
      </c>
      <c r="B1026" s="84" t="inlineStr">
        <is>
          <t>B331</t>
        </is>
      </c>
      <c r="C1026" s="84" t="inlineStr">
        <is>
          <t>上海区域</t>
        </is>
      </c>
      <c r="D1026" s="84" t="inlineStr">
        <is>
          <t>CN0Q</t>
        </is>
      </c>
      <c r="E1026" s="80" t="inlineStr">
        <is>
          <t>EE 苏州比斯特</t>
        </is>
      </c>
      <c r="F1026" s="84" t="n">
        <v>4</v>
      </c>
      <c r="G1026" s="84" t="inlineStr">
        <is>
          <t>奥特莱斯</t>
        </is>
      </c>
      <c r="H1026" s="84" t="inlineStr">
        <is>
          <t>EERNG23E01</t>
        </is>
      </c>
      <c r="I1026" s="84" t="n">
        <v>299</v>
      </c>
      <c r="J1026" s="84" t="n">
        <v>299</v>
      </c>
      <c r="K1026" s="85" t="n">
        <v>3</v>
      </c>
      <c r="L1026" s="85" t="n">
        <v>191</v>
      </c>
    </row>
    <row r="1027" ht="12.75" customHeight="1" s="103">
      <c r="A1027" s="78">
        <f>MID(H1027,3,2)</f>
        <v/>
      </c>
      <c r="B1027" s="84" t="inlineStr">
        <is>
          <t>B331</t>
        </is>
      </c>
      <c r="C1027" s="84" t="inlineStr">
        <is>
          <t>上海区域</t>
        </is>
      </c>
      <c r="D1027" s="84" t="inlineStr">
        <is>
          <t>CN0Q</t>
        </is>
      </c>
      <c r="E1027" s="80" t="inlineStr">
        <is>
          <t>EE 苏州比斯特</t>
        </is>
      </c>
      <c r="F1027" s="84" t="n">
        <v>4</v>
      </c>
      <c r="G1027" s="84" t="inlineStr">
        <is>
          <t>奥特莱斯</t>
        </is>
      </c>
      <c r="H1027" s="84" t="inlineStr">
        <is>
          <t>EERNG23E01</t>
        </is>
      </c>
      <c r="I1027" s="84" t="n">
        <v>299</v>
      </c>
      <c r="J1027" s="84" t="n">
        <v>299</v>
      </c>
      <c r="K1027" s="85" t="n"/>
      <c r="L1027" s="85" t="n"/>
    </row>
    <row r="1028" ht="12.75" customHeight="1" s="103">
      <c r="A1028" s="78">
        <f>MID(H1028,3,2)</f>
        <v/>
      </c>
      <c r="B1028" s="84" t="inlineStr">
        <is>
          <t>B331</t>
        </is>
      </c>
      <c r="C1028" s="84" t="inlineStr">
        <is>
          <t>上海区域</t>
        </is>
      </c>
      <c r="D1028" s="84" t="inlineStr">
        <is>
          <t>CN0Q</t>
        </is>
      </c>
      <c r="E1028" s="80" t="inlineStr">
        <is>
          <t>EE 苏州比斯特</t>
        </is>
      </c>
      <c r="F1028" s="84" t="n">
        <v>4</v>
      </c>
      <c r="G1028" s="84" t="inlineStr">
        <is>
          <t>奥特莱斯</t>
        </is>
      </c>
      <c r="H1028" s="84" t="inlineStr">
        <is>
          <t>EERNG23E01</t>
        </is>
      </c>
      <c r="I1028" s="84" t="n">
        <v>299</v>
      </c>
      <c r="J1028" s="84" t="n">
        <v>299</v>
      </c>
      <c r="K1028" s="85" t="n">
        <v>8</v>
      </c>
      <c r="L1028" s="85" t="n">
        <v>973</v>
      </c>
    </row>
    <row r="1029" ht="12.75" customHeight="1" s="103">
      <c r="A1029" s="78">
        <f>MID(H1029,3,2)</f>
        <v/>
      </c>
      <c r="B1029" s="84" t="inlineStr">
        <is>
          <t>B331</t>
        </is>
      </c>
      <c r="C1029" s="84" t="inlineStr">
        <is>
          <t>上海区域</t>
        </is>
      </c>
      <c r="D1029" s="84" t="inlineStr">
        <is>
          <t>CN0Q</t>
        </is>
      </c>
      <c r="E1029" s="80" t="inlineStr">
        <is>
          <t>EE 苏州比斯特</t>
        </is>
      </c>
      <c r="F1029" s="84" t="n">
        <v>4</v>
      </c>
      <c r="G1029" s="84" t="inlineStr">
        <is>
          <t>奥特莱斯</t>
        </is>
      </c>
      <c r="H1029" s="84" t="inlineStr">
        <is>
          <t>EERNG23E01</t>
        </is>
      </c>
      <c r="I1029" s="84" t="n">
        <v>299</v>
      </c>
      <c r="J1029" s="84" t="n">
        <v>299</v>
      </c>
      <c r="K1029" s="85" t="n">
        <v>8</v>
      </c>
      <c r="L1029" s="86" t="n">
        <v>1145</v>
      </c>
    </row>
    <row r="1030" ht="12.75" customHeight="1" s="103">
      <c r="A1030" s="78">
        <f>MID(H1030,3,2)</f>
        <v/>
      </c>
      <c r="B1030" s="84" t="inlineStr">
        <is>
          <t>B331</t>
        </is>
      </c>
      <c r="C1030" s="84" t="inlineStr">
        <is>
          <t>上海区域</t>
        </is>
      </c>
      <c r="D1030" s="84" t="inlineStr">
        <is>
          <t>CN0Q</t>
        </is>
      </c>
      <c r="E1030" s="80" t="inlineStr">
        <is>
          <t>EE 苏州比斯特</t>
        </is>
      </c>
      <c r="F1030" s="84" t="n">
        <v>4</v>
      </c>
      <c r="G1030" s="84" t="inlineStr">
        <is>
          <t>奥特莱斯</t>
        </is>
      </c>
      <c r="H1030" s="84" t="inlineStr">
        <is>
          <t>EERNG23E01</t>
        </is>
      </c>
      <c r="I1030" s="84" t="n">
        <v>299</v>
      </c>
      <c r="J1030" s="84" t="n">
        <v>299</v>
      </c>
      <c r="K1030" s="85" t="n">
        <v>3</v>
      </c>
      <c r="L1030" s="85" t="n">
        <v>388</v>
      </c>
    </row>
    <row r="1031" ht="12.75" customHeight="1" s="103">
      <c r="A1031" s="78">
        <f>MID(H1031,3,2)</f>
        <v/>
      </c>
      <c r="B1031" s="84" t="inlineStr">
        <is>
          <t>B331</t>
        </is>
      </c>
      <c r="C1031" s="84" t="inlineStr">
        <is>
          <t>上海区域</t>
        </is>
      </c>
      <c r="D1031" s="84" t="inlineStr">
        <is>
          <t>CN0Q</t>
        </is>
      </c>
      <c r="E1031" s="80" t="inlineStr">
        <is>
          <t>EE 苏州比斯特</t>
        </is>
      </c>
      <c r="F1031" s="84" t="n">
        <v>4</v>
      </c>
      <c r="G1031" s="84" t="inlineStr">
        <is>
          <t>奥特莱斯</t>
        </is>
      </c>
      <c r="H1031" s="84" t="inlineStr">
        <is>
          <t>EERNG23E01</t>
        </is>
      </c>
      <c r="I1031" s="84" t="n">
        <v>299</v>
      </c>
      <c r="J1031" s="84" t="n">
        <v>299</v>
      </c>
      <c r="K1031" s="85" t="n">
        <v>1</v>
      </c>
      <c r="L1031" s="85" t="n">
        <v>189</v>
      </c>
    </row>
    <row r="1032" ht="12.75" customHeight="1" s="103">
      <c r="A1032" s="78">
        <f>MID(H1032,3,2)</f>
        <v/>
      </c>
      <c r="B1032" s="84" t="inlineStr">
        <is>
          <t>B331</t>
        </is>
      </c>
      <c r="C1032" s="84" t="inlineStr">
        <is>
          <t>上海区域</t>
        </is>
      </c>
      <c r="D1032" s="84" t="inlineStr">
        <is>
          <t>CN0Q</t>
        </is>
      </c>
      <c r="E1032" s="80" t="inlineStr">
        <is>
          <t>EE 苏州比斯特</t>
        </is>
      </c>
      <c r="F1032" s="84" t="n">
        <v>4</v>
      </c>
      <c r="G1032" s="84" t="inlineStr">
        <is>
          <t>奥特莱斯</t>
        </is>
      </c>
      <c r="H1032" s="84" t="inlineStr">
        <is>
          <t>EERNG23E01</t>
        </is>
      </c>
      <c r="I1032" s="84" t="n">
        <v>299</v>
      </c>
      <c r="J1032" s="84" t="n">
        <v>299</v>
      </c>
      <c r="K1032" s="85" t="n">
        <v>2</v>
      </c>
      <c r="L1032" s="85" t="n">
        <v>189</v>
      </c>
    </row>
    <row r="1033" ht="12.75" customHeight="1" s="103">
      <c r="A1033" s="78">
        <f>MID(H1033,3,2)</f>
        <v/>
      </c>
      <c r="B1033" s="84" t="inlineStr">
        <is>
          <t>B331</t>
        </is>
      </c>
      <c r="C1033" s="84" t="inlineStr">
        <is>
          <t>上海区域</t>
        </is>
      </c>
      <c r="D1033" s="84" t="inlineStr">
        <is>
          <t>CN0Q</t>
        </is>
      </c>
      <c r="E1033" s="80" t="inlineStr">
        <is>
          <t>EE 苏州比斯特</t>
        </is>
      </c>
      <c r="F1033" s="84" t="n">
        <v>4</v>
      </c>
      <c r="G1033" s="84" t="inlineStr">
        <is>
          <t>奥特莱斯</t>
        </is>
      </c>
      <c r="H1033" s="84" t="inlineStr">
        <is>
          <t>EERNG23E01</t>
        </is>
      </c>
      <c r="I1033" s="84" t="n">
        <v>299</v>
      </c>
      <c r="J1033" s="84" t="n">
        <v>299</v>
      </c>
      <c r="K1033" s="85" t="n">
        <v>6</v>
      </c>
      <c r="L1033" s="85" t="n">
        <v>771</v>
      </c>
    </row>
    <row r="1034" ht="12.75" customHeight="1" s="103">
      <c r="A1034" s="78">
        <f>MID(H1034,3,2)</f>
        <v/>
      </c>
      <c r="B1034" s="84" t="inlineStr">
        <is>
          <t>B331</t>
        </is>
      </c>
      <c r="C1034" s="84" t="inlineStr">
        <is>
          <t>上海区域</t>
        </is>
      </c>
      <c r="D1034" s="84" t="inlineStr">
        <is>
          <t>CN0Q</t>
        </is>
      </c>
      <c r="E1034" s="80" t="inlineStr">
        <is>
          <t>EE 苏州比斯特</t>
        </is>
      </c>
      <c r="F1034" s="84" t="n">
        <v>4</v>
      </c>
      <c r="G1034" s="84" t="inlineStr">
        <is>
          <t>奥特莱斯</t>
        </is>
      </c>
      <c r="H1034" s="84" t="inlineStr">
        <is>
          <t>EERNG23E01</t>
        </is>
      </c>
      <c r="I1034" s="84" t="n">
        <v>299</v>
      </c>
      <c r="J1034" s="84" t="n">
        <v>299</v>
      </c>
      <c r="K1034" s="85" t="n">
        <v>1</v>
      </c>
      <c r="L1034" s="85" t="n">
        <v>189</v>
      </c>
    </row>
    <row r="1035" ht="12.75" customHeight="1" s="103">
      <c r="A1035" s="78">
        <f>MID(H1035,3,2)</f>
        <v/>
      </c>
      <c r="B1035" s="84" t="inlineStr">
        <is>
          <t>B331</t>
        </is>
      </c>
      <c r="C1035" s="84" t="inlineStr">
        <is>
          <t>上海区域</t>
        </is>
      </c>
      <c r="D1035" s="84" t="inlineStr">
        <is>
          <t>CN0Q</t>
        </is>
      </c>
      <c r="E1035" s="80" t="inlineStr">
        <is>
          <t>EE 苏州比斯特</t>
        </is>
      </c>
      <c r="F1035" s="84" t="n">
        <v>4</v>
      </c>
      <c r="G1035" s="84" t="inlineStr">
        <is>
          <t>奥特莱斯</t>
        </is>
      </c>
      <c r="H1035" s="84" t="inlineStr">
        <is>
          <t>EERNG23E01</t>
        </is>
      </c>
      <c r="I1035" s="84" t="n">
        <v>299</v>
      </c>
      <c r="J1035" s="84" t="n">
        <v>299</v>
      </c>
      <c r="K1035" s="85" t="n">
        <v>4</v>
      </c>
      <c r="L1035" s="85" t="n">
        <v>192</v>
      </c>
    </row>
    <row r="1036" ht="12.75" customHeight="1" s="103">
      <c r="A1036" s="78">
        <f>MID(H1036,3,2)</f>
        <v/>
      </c>
      <c r="B1036" s="84" t="inlineStr">
        <is>
          <t>B331</t>
        </is>
      </c>
      <c r="C1036" s="84" t="inlineStr">
        <is>
          <t>上海区域</t>
        </is>
      </c>
      <c r="D1036" s="84" t="inlineStr">
        <is>
          <t>CN0Q</t>
        </is>
      </c>
      <c r="E1036" s="80" t="inlineStr">
        <is>
          <t>EE 苏州比斯特</t>
        </is>
      </c>
      <c r="F1036" s="84" t="n">
        <v>4</v>
      </c>
      <c r="G1036" s="84" t="inlineStr">
        <is>
          <t>奥特莱斯</t>
        </is>
      </c>
      <c r="H1036" s="84" t="inlineStr">
        <is>
          <t>EERNG23E01</t>
        </is>
      </c>
      <c r="I1036" s="84" t="n">
        <v>299</v>
      </c>
      <c r="J1036" s="84" t="n">
        <v>299</v>
      </c>
      <c r="K1036" s="85" t="n">
        <v>6</v>
      </c>
      <c r="L1036" s="85" t="n">
        <v>391</v>
      </c>
    </row>
    <row r="1037" ht="12.75" customHeight="1" s="103">
      <c r="A1037" s="78">
        <f>MID(H1037,3,2)</f>
        <v/>
      </c>
      <c r="B1037" s="84" t="inlineStr">
        <is>
          <t>B331</t>
        </is>
      </c>
      <c r="C1037" s="84" t="inlineStr">
        <is>
          <t>上海区域</t>
        </is>
      </c>
      <c r="D1037" s="84" t="inlineStr">
        <is>
          <t>CN0Q</t>
        </is>
      </c>
      <c r="E1037" s="80" t="inlineStr">
        <is>
          <t>EE 苏州比斯特</t>
        </is>
      </c>
      <c r="F1037" s="84" t="n">
        <v>4</v>
      </c>
      <c r="G1037" s="84" t="inlineStr">
        <is>
          <t>奥特莱斯</t>
        </is>
      </c>
      <c r="H1037" s="84" t="inlineStr">
        <is>
          <t>EERNG23E01</t>
        </is>
      </c>
      <c r="I1037" s="84" t="n">
        <v>299</v>
      </c>
      <c r="J1037" s="84" t="n">
        <v>299</v>
      </c>
      <c r="K1037" s="85" t="n">
        <v>4</v>
      </c>
      <c r="L1037" s="85" t="n">
        <v>390</v>
      </c>
    </row>
    <row r="1038" ht="12.75" customHeight="1" s="103">
      <c r="A1038" s="78">
        <f>MID(H1038,3,2)</f>
        <v/>
      </c>
      <c r="B1038" s="84" t="inlineStr">
        <is>
          <t>B331</t>
        </is>
      </c>
      <c r="C1038" s="84" t="inlineStr">
        <is>
          <t>上海区域</t>
        </is>
      </c>
      <c r="D1038" s="84" t="inlineStr">
        <is>
          <t>CN0Q</t>
        </is>
      </c>
      <c r="E1038" s="80" t="inlineStr">
        <is>
          <t>EE 苏州比斯特</t>
        </is>
      </c>
      <c r="F1038" s="84" t="n">
        <v>4</v>
      </c>
      <c r="G1038" s="84" t="inlineStr">
        <is>
          <t>奥特莱斯</t>
        </is>
      </c>
      <c r="H1038" s="84" t="inlineStr">
        <is>
          <t>EERNG23E01</t>
        </is>
      </c>
      <c r="I1038" s="84" t="n">
        <v>299</v>
      </c>
      <c r="J1038" s="84" t="n">
        <v>299</v>
      </c>
      <c r="K1038" s="85" t="n">
        <v>2</v>
      </c>
      <c r="L1038" s="85" t="n">
        <v>209</v>
      </c>
    </row>
    <row r="1039" ht="12.75" customHeight="1" s="103">
      <c r="A1039" s="78">
        <f>MID(H1039,3,2)</f>
        <v/>
      </c>
      <c r="B1039" s="84" t="inlineStr">
        <is>
          <t>B331</t>
        </is>
      </c>
      <c r="C1039" s="84" t="inlineStr">
        <is>
          <t>上海区域</t>
        </is>
      </c>
      <c r="D1039" s="84" t="inlineStr">
        <is>
          <t>CN0Q</t>
        </is>
      </c>
      <c r="E1039" s="80" t="inlineStr">
        <is>
          <t>EE 苏州比斯特</t>
        </is>
      </c>
      <c r="F1039" s="84" t="n">
        <v>4</v>
      </c>
      <c r="G1039" s="84" t="inlineStr">
        <is>
          <t>奥特莱斯</t>
        </is>
      </c>
      <c r="H1039" s="84" t="inlineStr">
        <is>
          <t>EERNG24E51</t>
        </is>
      </c>
      <c r="I1039" s="84" t="n">
        <v>199</v>
      </c>
      <c r="J1039" s="84" t="n">
        <v>199</v>
      </c>
      <c r="K1039" s="85" t="n"/>
      <c r="L1039" s="85" t="n"/>
    </row>
    <row r="1040" ht="12.75" customHeight="1" s="103">
      <c r="A1040" s="78">
        <f>MID(H1040,3,2)</f>
        <v/>
      </c>
      <c r="B1040" s="84" t="inlineStr">
        <is>
          <t>B331</t>
        </is>
      </c>
      <c r="C1040" s="84" t="inlineStr">
        <is>
          <t>上海区域</t>
        </is>
      </c>
      <c r="D1040" s="84" t="inlineStr">
        <is>
          <t>CN0Q</t>
        </is>
      </c>
      <c r="E1040" s="80" t="inlineStr">
        <is>
          <t>EE 苏州比斯特</t>
        </is>
      </c>
      <c r="F1040" s="84" t="n">
        <v>4</v>
      </c>
      <c r="G1040" s="84" t="inlineStr">
        <is>
          <t>奥特莱斯</t>
        </is>
      </c>
      <c r="H1040" s="84" t="inlineStr">
        <is>
          <t>EERNG24E51</t>
        </is>
      </c>
      <c r="I1040" s="84" t="n">
        <v>199</v>
      </c>
      <c r="J1040" s="84" t="n">
        <v>199</v>
      </c>
      <c r="K1040" s="85" t="n">
        <v>1</v>
      </c>
      <c r="L1040" s="85" t="n">
        <v>126</v>
      </c>
    </row>
    <row r="1041" ht="12.75" customHeight="1" s="103">
      <c r="A1041" s="78">
        <f>MID(H1041,3,2)</f>
        <v/>
      </c>
      <c r="B1041" s="84" t="inlineStr">
        <is>
          <t>B331</t>
        </is>
      </c>
      <c r="C1041" s="84" t="inlineStr">
        <is>
          <t>上海区域</t>
        </is>
      </c>
      <c r="D1041" s="84" t="inlineStr">
        <is>
          <t>CN0Q</t>
        </is>
      </c>
      <c r="E1041" s="80" t="inlineStr">
        <is>
          <t>EE 苏州比斯特</t>
        </is>
      </c>
      <c r="F1041" s="84" t="n">
        <v>4</v>
      </c>
      <c r="G1041" s="84" t="inlineStr">
        <is>
          <t>奥特莱斯</t>
        </is>
      </c>
      <c r="H1041" s="84" t="inlineStr">
        <is>
          <t>EERNG24E51</t>
        </is>
      </c>
      <c r="I1041" s="84" t="n">
        <v>199</v>
      </c>
      <c r="J1041" s="84" t="n">
        <v>199</v>
      </c>
      <c r="K1041" s="85" t="n"/>
      <c r="L1041" s="85" t="n"/>
    </row>
    <row r="1042" ht="12.75" customHeight="1" s="103">
      <c r="A1042" s="78">
        <f>MID(H1042,3,2)</f>
        <v/>
      </c>
      <c r="B1042" s="84" t="inlineStr">
        <is>
          <t>B331</t>
        </is>
      </c>
      <c r="C1042" s="84" t="inlineStr">
        <is>
          <t>上海区域</t>
        </is>
      </c>
      <c r="D1042" s="84" t="inlineStr">
        <is>
          <t>CN0Q</t>
        </is>
      </c>
      <c r="E1042" s="80" t="inlineStr">
        <is>
          <t>EE 苏州比斯特</t>
        </is>
      </c>
      <c r="F1042" s="84" t="n">
        <v>4</v>
      </c>
      <c r="G1042" s="84" t="inlineStr">
        <is>
          <t>奥特莱斯</t>
        </is>
      </c>
      <c r="H1042" s="84" t="inlineStr">
        <is>
          <t>EERNG24E51</t>
        </is>
      </c>
      <c r="I1042" s="84" t="n">
        <v>199</v>
      </c>
      <c r="J1042" s="84" t="n">
        <v>199</v>
      </c>
      <c r="K1042" s="85" t="n">
        <v>1</v>
      </c>
      <c r="L1042" s="85" t="n"/>
    </row>
    <row r="1043" ht="12.75" customHeight="1" s="103">
      <c r="A1043" s="78">
        <f>MID(H1043,3,2)</f>
        <v/>
      </c>
      <c r="B1043" s="84" t="inlineStr">
        <is>
          <t>B331</t>
        </is>
      </c>
      <c r="C1043" s="84" t="inlineStr">
        <is>
          <t>上海区域</t>
        </is>
      </c>
      <c r="D1043" s="84" t="inlineStr">
        <is>
          <t>CN0Q</t>
        </is>
      </c>
      <c r="E1043" s="80" t="inlineStr">
        <is>
          <t>EE 苏州比斯特</t>
        </is>
      </c>
      <c r="F1043" s="84" t="n">
        <v>4</v>
      </c>
      <c r="G1043" s="84" t="inlineStr">
        <is>
          <t>奥特莱斯</t>
        </is>
      </c>
      <c r="H1043" s="84" t="inlineStr">
        <is>
          <t>EERNG24E51</t>
        </is>
      </c>
      <c r="I1043" s="84" t="n">
        <v>199</v>
      </c>
      <c r="J1043" s="84" t="n">
        <v>199</v>
      </c>
      <c r="K1043" s="85" t="n">
        <v>2</v>
      </c>
      <c r="L1043" s="85" t="n">
        <v>126</v>
      </c>
    </row>
    <row r="1044" ht="12.75" customHeight="1" s="103">
      <c r="A1044" s="78">
        <f>MID(H1044,3,2)</f>
        <v/>
      </c>
      <c r="B1044" s="84" t="inlineStr">
        <is>
          <t>B331</t>
        </is>
      </c>
      <c r="C1044" s="84" t="inlineStr">
        <is>
          <t>上海区域</t>
        </is>
      </c>
      <c r="D1044" s="84" t="inlineStr">
        <is>
          <t>CN0Q</t>
        </is>
      </c>
      <c r="E1044" s="80" t="inlineStr">
        <is>
          <t>EE 苏州比斯特</t>
        </is>
      </c>
      <c r="F1044" s="84" t="n">
        <v>4</v>
      </c>
      <c r="G1044" s="84" t="inlineStr">
        <is>
          <t>奥特莱斯</t>
        </is>
      </c>
      <c r="H1044" s="84" t="inlineStr">
        <is>
          <t>EERNG24E51</t>
        </is>
      </c>
      <c r="I1044" s="84" t="n">
        <v>199</v>
      </c>
      <c r="J1044" s="84" t="n">
        <v>199</v>
      </c>
      <c r="K1044" s="85" t="n"/>
      <c r="L1044" s="85" t="n"/>
    </row>
    <row r="1045" ht="12.75" customHeight="1" s="103">
      <c r="A1045" s="78">
        <f>MID(H1045,3,2)</f>
        <v/>
      </c>
      <c r="B1045" s="84" t="inlineStr">
        <is>
          <t>B331</t>
        </is>
      </c>
      <c r="C1045" s="84" t="inlineStr">
        <is>
          <t>上海区域</t>
        </is>
      </c>
      <c r="D1045" s="84" t="inlineStr">
        <is>
          <t>CN0Q</t>
        </is>
      </c>
      <c r="E1045" s="80" t="inlineStr">
        <is>
          <t>EE 苏州比斯特</t>
        </is>
      </c>
      <c r="F1045" s="84" t="n">
        <v>4</v>
      </c>
      <c r="G1045" s="84" t="inlineStr">
        <is>
          <t>奥特莱斯</t>
        </is>
      </c>
      <c r="H1045" s="84" t="inlineStr">
        <is>
          <t>EERNG25B01</t>
        </is>
      </c>
      <c r="I1045" s="84" t="n">
        <v>399</v>
      </c>
      <c r="J1045" s="84" t="n">
        <v>399</v>
      </c>
      <c r="K1045" s="85" t="n">
        <v>1</v>
      </c>
      <c r="L1045" s="85" t="n"/>
    </row>
    <row r="1046" ht="12.75" customHeight="1" s="103">
      <c r="A1046" s="78">
        <f>MID(H1046,3,2)</f>
        <v/>
      </c>
      <c r="B1046" s="84" t="inlineStr">
        <is>
          <t>B331</t>
        </is>
      </c>
      <c r="C1046" s="84" t="inlineStr">
        <is>
          <t>上海区域</t>
        </is>
      </c>
      <c r="D1046" s="84" t="inlineStr">
        <is>
          <t>CN0Q</t>
        </is>
      </c>
      <c r="E1046" s="80" t="inlineStr">
        <is>
          <t>EE 苏州比斯特</t>
        </is>
      </c>
      <c r="F1046" s="84" t="n">
        <v>4</v>
      </c>
      <c r="G1046" s="84" t="inlineStr">
        <is>
          <t>奥特莱斯</t>
        </is>
      </c>
      <c r="H1046" s="84" t="inlineStr">
        <is>
          <t>EERNG25B01</t>
        </is>
      </c>
      <c r="I1046" s="84" t="n">
        <v>399</v>
      </c>
      <c r="J1046" s="84" t="n">
        <v>399</v>
      </c>
      <c r="K1046" s="85" t="n">
        <v>1</v>
      </c>
      <c r="L1046" s="85" t="n"/>
    </row>
    <row r="1047" ht="12.75" customHeight="1" s="103">
      <c r="A1047" s="78">
        <f>MID(H1047,3,2)</f>
        <v/>
      </c>
      <c r="B1047" s="84" t="inlineStr">
        <is>
          <t>B331</t>
        </is>
      </c>
      <c r="C1047" s="84" t="inlineStr">
        <is>
          <t>上海区域</t>
        </is>
      </c>
      <c r="D1047" s="84" t="inlineStr">
        <is>
          <t>CN0Q</t>
        </is>
      </c>
      <c r="E1047" s="80" t="inlineStr">
        <is>
          <t>EE 苏州比斯特</t>
        </is>
      </c>
      <c r="F1047" s="84" t="n">
        <v>4</v>
      </c>
      <c r="G1047" s="84" t="inlineStr">
        <is>
          <t>奥特莱斯</t>
        </is>
      </c>
      <c r="H1047" s="84" t="inlineStr">
        <is>
          <t>EERNG25B01</t>
        </is>
      </c>
      <c r="I1047" s="84" t="n">
        <v>399</v>
      </c>
      <c r="J1047" s="84" t="n">
        <v>399</v>
      </c>
      <c r="K1047" s="85" t="n">
        <v>1</v>
      </c>
      <c r="L1047" s="85" t="n"/>
    </row>
    <row r="1048" ht="12.75" customHeight="1" s="103">
      <c r="A1048" s="78">
        <f>MID(H1048,3,2)</f>
        <v/>
      </c>
      <c r="B1048" s="84" t="inlineStr">
        <is>
          <t>B331</t>
        </is>
      </c>
      <c r="C1048" s="84" t="inlineStr">
        <is>
          <t>上海区域</t>
        </is>
      </c>
      <c r="D1048" s="84" t="inlineStr">
        <is>
          <t>CN0Q</t>
        </is>
      </c>
      <c r="E1048" s="80" t="inlineStr">
        <is>
          <t>EE 苏州比斯特</t>
        </is>
      </c>
      <c r="F1048" s="84" t="n">
        <v>4</v>
      </c>
      <c r="G1048" s="84" t="inlineStr">
        <is>
          <t>奥特莱斯</t>
        </is>
      </c>
      <c r="H1048" s="84" t="inlineStr">
        <is>
          <t>EERNG25B01</t>
        </is>
      </c>
      <c r="I1048" s="84" t="n">
        <v>399</v>
      </c>
      <c r="J1048" s="84" t="n">
        <v>399</v>
      </c>
      <c r="K1048" s="85" t="n"/>
      <c r="L1048" s="85" t="n"/>
    </row>
    <row r="1049" ht="12.75" customHeight="1" s="103">
      <c r="A1049" s="78">
        <f>MID(H1049,3,2)</f>
        <v/>
      </c>
      <c r="B1049" s="84" t="inlineStr">
        <is>
          <t>B331</t>
        </is>
      </c>
      <c r="C1049" s="84" t="inlineStr">
        <is>
          <t>上海区域</t>
        </is>
      </c>
      <c r="D1049" s="84" t="inlineStr">
        <is>
          <t>CN0Q</t>
        </is>
      </c>
      <c r="E1049" s="80" t="inlineStr">
        <is>
          <t>EE 苏州比斯特</t>
        </is>
      </c>
      <c r="F1049" s="84" t="n">
        <v>4</v>
      </c>
      <c r="G1049" s="84" t="inlineStr">
        <is>
          <t>奥特莱斯</t>
        </is>
      </c>
      <c r="H1049" s="84" t="inlineStr">
        <is>
          <t>EERNG25B01</t>
        </is>
      </c>
      <c r="I1049" s="84" t="n">
        <v>399</v>
      </c>
      <c r="J1049" s="84" t="n">
        <v>399</v>
      </c>
      <c r="K1049" s="85" t="n">
        <v>1</v>
      </c>
      <c r="L1049" s="85" t="n">
        <v>257</v>
      </c>
    </row>
    <row r="1050" ht="12.75" customHeight="1" s="103">
      <c r="A1050" s="78">
        <f>MID(H1050,3,2)</f>
        <v/>
      </c>
      <c r="B1050" s="84" t="inlineStr">
        <is>
          <t>B331</t>
        </is>
      </c>
      <c r="C1050" s="84" t="inlineStr">
        <is>
          <t>上海区域</t>
        </is>
      </c>
      <c r="D1050" s="84" t="inlineStr">
        <is>
          <t>CN0Q</t>
        </is>
      </c>
      <c r="E1050" s="80" t="inlineStr">
        <is>
          <t>EE 苏州比斯特</t>
        </is>
      </c>
      <c r="F1050" s="84" t="n">
        <v>4</v>
      </c>
      <c r="G1050" s="84" t="inlineStr">
        <is>
          <t>奥特莱斯</t>
        </is>
      </c>
      <c r="H1050" s="84" t="inlineStr">
        <is>
          <t>EERNG25B01</t>
        </is>
      </c>
      <c r="I1050" s="84" t="n">
        <v>399</v>
      </c>
      <c r="J1050" s="84" t="n">
        <v>399</v>
      </c>
      <c r="K1050" s="85" t="n"/>
      <c r="L1050" s="85" t="n"/>
    </row>
    <row r="1051" ht="12.75" customHeight="1" s="103">
      <c r="A1051" s="78">
        <f>MID(H1051,3,2)</f>
        <v/>
      </c>
      <c r="B1051" s="84" t="inlineStr">
        <is>
          <t>B331</t>
        </is>
      </c>
      <c r="C1051" s="84" t="inlineStr">
        <is>
          <t>上海区域</t>
        </is>
      </c>
      <c r="D1051" s="84" t="inlineStr">
        <is>
          <t>CN0Q</t>
        </is>
      </c>
      <c r="E1051" s="80" t="inlineStr">
        <is>
          <t>EE 苏州比斯特</t>
        </is>
      </c>
      <c r="F1051" s="84" t="n">
        <v>4</v>
      </c>
      <c r="G1051" s="84" t="inlineStr">
        <is>
          <t>奥特莱斯</t>
        </is>
      </c>
      <c r="H1051" s="84" t="inlineStr">
        <is>
          <t>EERNG25B01</t>
        </is>
      </c>
      <c r="I1051" s="84" t="n">
        <v>399</v>
      </c>
      <c r="J1051" s="84" t="n">
        <v>399</v>
      </c>
      <c r="K1051" s="85" t="n">
        <v>2</v>
      </c>
      <c r="L1051" s="85" t="n">
        <v>510</v>
      </c>
    </row>
    <row r="1052" ht="12.75" customHeight="1" s="103">
      <c r="A1052" s="78">
        <f>MID(H1052,3,2)</f>
        <v/>
      </c>
      <c r="B1052" s="84" t="inlineStr">
        <is>
          <t>B331</t>
        </is>
      </c>
      <c r="C1052" s="84" t="inlineStr">
        <is>
          <t>上海区域</t>
        </is>
      </c>
      <c r="D1052" s="84" t="inlineStr">
        <is>
          <t>CN0Q</t>
        </is>
      </c>
      <c r="E1052" s="80" t="inlineStr">
        <is>
          <t>EE 苏州比斯特</t>
        </is>
      </c>
      <c r="F1052" s="84" t="n">
        <v>4</v>
      </c>
      <c r="G1052" s="84" t="inlineStr">
        <is>
          <t>奥特莱斯</t>
        </is>
      </c>
      <c r="H1052" s="84" t="inlineStr">
        <is>
          <t>EERNG25B01</t>
        </is>
      </c>
      <c r="I1052" s="84" t="n">
        <v>399</v>
      </c>
      <c r="J1052" s="84" t="n">
        <v>399</v>
      </c>
      <c r="K1052" s="85" t="n">
        <v>1</v>
      </c>
      <c r="L1052" s="85" t="n">
        <v>279</v>
      </c>
    </row>
    <row r="1053" ht="12.75" customHeight="1" s="103">
      <c r="A1053" s="78">
        <f>MID(H1053,3,2)</f>
        <v/>
      </c>
      <c r="B1053" s="84" t="inlineStr">
        <is>
          <t>B331</t>
        </is>
      </c>
      <c r="C1053" s="84" t="inlineStr">
        <is>
          <t>上海区域</t>
        </is>
      </c>
      <c r="D1053" s="84" t="inlineStr">
        <is>
          <t>CN0Q</t>
        </is>
      </c>
      <c r="E1053" s="80" t="inlineStr">
        <is>
          <t>EE 苏州比斯特</t>
        </is>
      </c>
      <c r="F1053" s="84" t="n">
        <v>4</v>
      </c>
      <c r="G1053" s="84" t="inlineStr">
        <is>
          <t>奥特莱斯</t>
        </is>
      </c>
      <c r="H1053" s="84" t="inlineStr">
        <is>
          <t>EERNG25B01</t>
        </is>
      </c>
      <c r="I1053" s="84" t="n">
        <v>399</v>
      </c>
      <c r="J1053" s="84" t="n">
        <v>399</v>
      </c>
      <c r="K1053" s="85" t="n">
        <v>2</v>
      </c>
      <c r="L1053" s="85" t="n"/>
    </row>
    <row r="1054" ht="12.75" customHeight="1" s="103">
      <c r="A1054" s="78">
        <f>MID(H1054,3,2)</f>
        <v/>
      </c>
      <c r="B1054" s="84" t="inlineStr">
        <is>
          <t>B331</t>
        </is>
      </c>
      <c r="C1054" s="84" t="inlineStr">
        <is>
          <t>上海区域</t>
        </is>
      </c>
      <c r="D1054" s="84" t="inlineStr">
        <is>
          <t>CN0Q</t>
        </is>
      </c>
      <c r="E1054" s="80" t="inlineStr">
        <is>
          <t>EE 苏州比斯特</t>
        </is>
      </c>
      <c r="F1054" s="84" t="n">
        <v>4</v>
      </c>
      <c r="G1054" s="84" t="inlineStr">
        <is>
          <t>奥特莱斯</t>
        </is>
      </c>
      <c r="H1054" s="84" t="inlineStr">
        <is>
          <t>EERNG25B01</t>
        </is>
      </c>
      <c r="I1054" s="84" t="n">
        <v>399</v>
      </c>
      <c r="J1054" s="84" t="n">
        <v>399</v>
      </c>
      <c r="K1054" s="85" t="n"/>
      <c r="L1054" s="85" t="n"/>
    </row>
    <row r="1055" ht="12.75" customHeight="1" s="103">
      <c r="A1055" s="78">
        <f>MID(H1055,3,2)</f>
        <v/>
      </c>
      <c r="B1055" s="84" t="inlineStr">
        <is>
          <t>B331</t>
        </is>
      </c>
      <c r="C1055" s="84" t="inlineStr">
        <is>
          <t>上海区域</t>
        </is>
      </c>
      <c r="D1055" s="84" t="inlineStr">
        <is>
          <t>CN0Q</t>
        </is>
      </c>
      <c r="E1055" s="80" t="inlineStr">
        <is>
          <t>EE 苏州比斯特</t>
        </is>
      </c>
      <c r="F1055" s="84" t="n">
        <v>4</v>
      </c>
      <c r="G1055" s="84" t="inlineStr">
        <is>
          <t>奥特莱斯</t>
        </is>
      </c>
      <c r="H1055" s="84" t="inlineStr">
        <is>
          <t>EERNG25B01</t>
        </is>
      </c>
      <c r="I1055" s="84" t="n">
        <v>399</v>
      </c>
      <c r="J1055" s="84" t="n">
        <v>399</v>
      </c>
      <c r="K1055" s="85" t="n"/>
      <c r="L1055" s="85" t="n"/>
    </row>
    <row r="1056" ht="12.75" customHeight="1" s="103">
      <c r="A1056" s="78">
        <f>MID(H1056,3,2)</f>
        <v/>
      </c>
      <c r="B1056" s="84" t="inlineStr">
        <is>
          <t>B331</t>
        </is>
      </c>
      <c r="C1056" s="84" t="inlineStr">
        <is>
          <t>上海区域</t>
        </is>
      </c>
      <c r="D1056" s="84" t="inlineStr">
        <is>
          <t>CN0Q</t>
        </is>
      </c>
      <c r="E1056" s="80" t="inlineStr">
        <is>
          <t>EE 苏州比斯特</t>
        </is>
      </c>
      <c r="F1056" s="84" t="n">
        <v>4</v>
      </c>
      <c r="G1056" s="84" t="inlineStr">
        <is>
          <t>奥特莱斯</t>
        </is>
      </c>
      <c r="H1056" s="84" t="inlineStr">
        <is>
          <t>EERNG25B01</t>
        </is>
      </c>
      <c r="I1056" s="84" t="n">
        <v>399</v>
      </c>
      <c r="J1056" s="84" t="n">
        <v>399</v>
      </c>
      <c r="K1056" s="85" t="n"/>
      <c r="L1056" s="85" t="n"/>
    </row>
    <row r="1057" ht="12.75" customHeight="1" s="103">
      <c r="A1057" s="78">
        <f>MID(H1057,3,2)</f>
        <v/>
      </c>
      <c r="B1057" s="84" t="inlineStr">
        <is>
          <t>B331</t>
        </is>
      </c>
      <c r="C1057" s="84" t="inlineStr">
        <is>
          <t>上海区域</t>
        </is>
      </c>
      <c r="D1057" s="84" t="inlineStr">
        <is>
          <t>CN0Q</t>
        </is>
      </c>
      <c r="E1057" s="80" t="inlineStr">
        <is>
          <t>EE 苏州比斯特</t>
        </is>
      </c>
      <c r="F1057" s="84" t="n">
        <v>4</v>
      </c>
      <c r="G1057" s="84" t="inlineStr">
        <is>
          <t>奥特莱斯</t>
        </is>
      </c>
      <c r="H1057" s="84" t="inlineStr">
        <is>
          <t>EERSF23E01</t>
        </is>
      </c>
      <c r="I1057" s="84" t="n">
        <v>399</v>
      </c>
      <c r="J1057" s="84" t="n">
        <v>399</v>
      </c>
      <c r="K1057" s="85" t="n"/>
      <c r="L1057" s="85" t="n"/>
    </row>
    <row r="1058" ht="12.75" customHeight="1" s="103">
      <c r="A1058" s="78">
        <f>MID(H1058,3,2)</f>
        <v/>
      </c>
      <c r="B1058" s="84" t="inlineStr">
        <is>
          <t>B331</t>
        </is>
      </c>
      <c r="C1058" s="84" t="inlineStr">
        <is>
          <t>上海区域</t>
        </is>
      </c>
      <c r="D1058" s="84" t="inlineStr">
        <is>
          <t>CN0Q</t>
        </is>
      </c>
      <c r="E1058" s="80" t="inlineStr">
        <is>
          <t>EE 苏州比斯特</t>
        </is>
      </c>
      <c r="F1058" s="84" t="n">
        <v>4</v>
      </c>
      <c r="G1058" s="84" t="inlineStr">
        <is>
          <t>奥特莱斯</t>
        </is>
      </c>
      <c r="H1058" s="84" t="inlineStr">
        <is>
          <t>EERSF23E01</t>
        </is>
      </c>
      <c r="I1058" s="84" t="n">
        <v>399</v>
      </c>
      <c r="J1058" s="84" t="n">
        <v>399</v>
      </c>
      <c r="K1058" s="85" t="n"/>
      <c r="L1058" s="85" t="n"/>
    </row>
    <row r="1059" ht="12.75" customHeight="1" s="103">
      <c r="A1059" s="78">
        <f>MID(H1059,3,2)</f>
        <v/>
      </c>
      <c r="B1059" s="84" t="inlineStr">
        <is>
          <t>B331</t>
        </is>
      </c>
      <c r="C1059" s="84" t="inlineStr">
        <is>
          <t>上海区域</t>
        </is>
      </c>
      <c r="D1059" s="84" t="inlineStr">
        <is>
          <t>CN0Q</t>
        </is>
      </c>
      <c r="E1059" s="80" t="inlineStr">
        <is>
          <t>EE 苏州比斯特</t>
        </is>
      </c>
      <c r="F1059" s="84" t="n">
        <v>4</v>
      </c>
      <c r="G1059" s="84" t="inlineStr">
        <is>
          <t>奥特莱斯</t>
        </is>
      </c>
      <c r="H1059" s="84" t="inlineStr">
        <is>
          <t>EERSF23E01</t>
        </is>
      </c>
      <c r="I1059" s="84" t="n">
        <v>399</v>
      </c>
      <c r="J1059" s="84" t="n">
        <v>399</v>
      </c>
      <c r="K1059" s="85" t="n"/>
      <c r="L1059" s="85" t="n"/>
    </row>
    <row r="1060" ht="12.75" customHeight="1" s="103">
      <c r="A1060" s="78">
        <f>MID(H1060,3,2)</f>
        <v/>
      </c>
      <c r="B1060" s="84" t="inlineStr">
        <is>
          <t>B331</t>
        </is>
      </c>
      <c r="C1060" s="84" t="inlineStr">
        <is>
          <t>上海区域</t>
        </is>
      </c>
      <c r="D1060" s="84" t="inlineStr">
        <is>
          <t>CN0Q</t>
        </is>
      </c>
      <c r="E1060" s="80" t="inlineStr">
        <is>
          <t>EE 苏州比斯特</t>
        </is>
      </c>
      <c r="F1060" s="84" t="n">
        <v>4</v>
      </c>
      <c r="G1060" s="84" t="inlineStr">
        <is>
          <t>奥特莱斯</t>
        </is>
      </c>
      <c r="H1060" s="84" t="inlineStr">
        <is>
          <t>EERSF23E02</t>
        </is>
      </c>
      <c r="I1060" s="84" t="n">
        <v>399</v>
      </c>
      <c r="J1060" s="84" t="n">
        <v>499</v>
      </c>
      <c r="K1060" s="85" t="n"/>
      <c r="L1060" s="85" t="n"/>
    </row>
    <row r="1061" ht="12.75" customHeight="1" s="103">
      <c r="A1061" s="78">
        <f>MID(H1061,3,2)</f>
        <v/>
      </c>
      <c r="B1061" s="84" t="inlineStr">
        <is>
          <t>B331</t>
        </is>
      </c>
      <c r="C1061" s="84" t="inlineStr">
        <is>
          <t>上海区域</t>
        </is>
      </c>
      <c r="D1061" s="84" t="inlineStr">
        <is>
          <t>CN0Q</t>
        </is>
      </c>
      <c r="E1061" s="80" t="inlineStr">
        <is>
          <t>EE 苏州比斯特</t>
        </is>
      </c>
      <c r="F1061" s="84" t="n">
        <v>4</v>
      </c>
      <c r="G1061" s="84" t="inlineStr">
        <is>
          <t>奥特莱斯</t>
        </is>
      </c>
      <c r="H1061" s="84" t="inlineStr">
        <is>
          <t>EERSF23E02</t>
        </is>
      </c>
      <c r="I1061" s="84" t="n">
        <v>399</v>
      </c>
      <c r="J1061" s="84" t="n">
        <v>499</v>
      </c>
      <c r="K1061" s="85" t="n">
        <v>1</v>
      </c>
      <c r="L1061" s="85" t="n"/>
    </row>
    <row r="1062" ht="12.75" customHeight="1" s="103">
      <c r="A1062" s="78">
        <f>MID(H1062,3,2)</f>
        <v/>
      </c>
      <c r="B1062" s="84" t="inlineStr">
        <is>
          <t>B331</t>
        </is>
      </c>
      <c r="C1062" s="84" t="inlineStr">
        <is>
          <t>上海区域</t>
        </is>
      </c>
      <c r="D1062" s="84" t="inlineStr">
        <is>
          <t>CN0Q</t>
        </is>
      </c>
      <c r="E1062" s="80" t="inlineStr">
        <is>
          <t>EE 苏州比斯特</t>
        </is>
      </c>
      <c r="F1062" s="84" t="n">
        <v>4</v>
      </c>
      <c r="G1062" s="84" t="inlineStr">
        <is>
          <t>奥特莱斯</t>
        </is>
      </c>
      <c r="H1062" s="84" t="inlineStr">
        <is>
          <t>EERSF23E02</t>
        </is>
      </c>
      <c r="I1062" s="84" t="n">
        <v>399</v>
      </c>
      <c r="J1062" s="84" t="n">
        <v>499</v>
      </c>
      <c r="K1062" s="85" t="n"/>
      <c r="L1062" s="85" t="n"/>
    </row>
    <row r="1063" ht="12.75" customHeight="1" s="103">
      <c r="A1063" s="78">
        <f>MID(H1063,3,2)</f>
        <v/>
      </c>
      <c r="B1063" s="84" t="inlineStr">
        <is>
          <t>B331</t>
        </is>
      </c>
      <c r="C1063" s="84" t="inlineStr">
        <is>
          <t>上海区域</t>
        </is>
      </c>
      <c r="D1063" s="84" t="inlineStr">
        <is>
          <t>CN0Q</t>
        </is>
      </c>
      <c r="E1063" s="80" t="inlineStr">
        <is>
          <t>EE 苏州比斯特</t>
        </is>
      </c>
      <c r="F1063" s="84" t="n">
        <v>4</v>
      </c>
      <c r="G1063" s="84" t="inlineStr">
        <is>
          <t>奥特莱斯</t>
        </is>
      </c>
      <c r="H1063" s="84" t="inlineStr">
        <is>
          <t>EERSF23E02</t>
        </is>
      </c>
      <c r="I1063" s="84" t="n">
        <v>399</v>
      </c>
      <c r="J1063" s="84" t="n">
        <v>499</v>
      </c>
      <c r="K1063" s="85" t="n"/>
      <c r="L1063" s="85" t="n"/>
    </row>
    <row r="1064" ht="12.75" customHeight="1" s="103">
      <c r="A1064" s="78">
        <f>MID(H1064,3,2)</f>
        <v/>
      </c>
      <c r="B1064" s="84" t="inlineStr">
        <is>
          <t>B331</t>
        </is>
      </c>
      <c r="C1064" s="84" t="inlineStr">
        <is>
          <t>上海区域</t>
        </is>
      </c>
      <c r="D1064" s="84" t="inlineStr">
        <is>
          <t>CN0Q</t>
        </is>
      </c>
      <c r="E1064" s="80" t="inlineStr">
        <is>
          <t>EE 苏州比斯特</t>
        </is>
      </c>
      <c r="F1064" s="84" t="n">
        <v>4</v>
      </c>
      <c r="G1064" s="84" t="inlineStr">
        <is>
          <t>奥特莱斯</t>
        </is>
      </c>
      <c r="H1064" s="84" t="inlineStr">
        <is>
          <t>EERSF23N51</t>
        </is>
      </c>
      <c r="I1064" s="84" t="n">
        <v>399</v>
      </c>
      <c r="J1064" s="84" t="n">
        <v>399</v>
      </c>
      <c r="K1064" s="85" t="n"/>
      <c r="L1064" s="85" t="n"/>
    </row>
    <row r="1065" ht="12.75" customHeight="1" s="103">
      <c r="A1065" s="78">
        <f>MID(H1065,3,2)</f>
        <v/>
      </c>
      <c r="B1065" s="84" t="inlineStr">
        <is>
          <t>B331</t>
        </is>
      </c>
      <c r="C1065" s="84" t="inlineStr">
        <is>
          <t>上海区域</t>
        </is>
      </c>
      <c r="D1065" s="84" t="inlineStr">
        <is>
          <t>CN0Q</t>
        </is>
      </c>
      <c r="E1065" s="80" t="inlineStr">
        <is>
          <t>EE 苏州比斯特</t>
        </is>
      </c>
      <c r="F1065" s="84" t="n">
        <v>4</v>
      </c>
      <c r="G1065" s="84" t="inlineStr">
        <is>
          <t>奥特莱斯</t>
        </is>
      </c>
      <c r="H1065" s="84" t="inlineStr">
        <is>
          <t>EERSF23N51</t>
        </is>
      </c>
      <c r="I1065" s="84" t="n">
        <v>399</v>
      </c>
      <c r="J1065" s="84" t="n">
        <v>399</v>
      </c>
      <c r="K1065" s="85" t="n"/>
      <c r="L1065" s="85" t="n"/>
    </row>
    <row r="1066" ht="12.75" customHeight="1" s="103">
      <c r="A1066" s="78">
        <f>MID(H1066,3,2)</f>
        <v/>
      </c>
      <c r="B1066" s="84" t="inlineStr">
        <is>
          <t>B331</t>
        </is>
      </c>
      <c r="C1066" s="84" t="inlineStr">
        <is>
          <t>上海区域</t>
        </is>
      </c>
      <c r="D1066" s="84" t="inlineStr">
        <is>
          <t>CN0Q</t>
        </is>
      </c>
      <c r="E1066" s="80" t="inlineStr">
        <is>
          <t>EE 苏州比斯特</t>
        </is>
      </c>
      <c r="F1066" s="84" t="n">
        <v>4</v>
      </c>
      <c r="G1066" s="84" t="inlineStr">
        <is>
          <t>奥特莱斯</t>
        </is>
      </c>
      <c r="H1066" s="84" t="inlineStr">
        <is>
          <t>EERSF23N51</t>
        </is>
      </c>
      <c r="I1066" s="84" t="n">
        <v>399</v>
      </c>
      <c r="J1066" s="84" t="n">
        <v>399</v>
      </c>
      <c r="K1066" s="85" t="n"/>
      <c r="L1066" s="85" t="n"/>
    </row>
    <row r="1067" ht="12.75" customHeight="1" s="103">
      <c r="A1067" s="78">
        <f>MID(H1067,3,2)</f>
        <v/>
      </c>
      <c r="B1067" s="84" t="inlineStr">
        <is>
          <t>B331</t>
        </is>
      </c>
      <c r="C1067" s="84" t="inlineStr">
        <is>
          <t>上海区域</t>
        </is>
      </c>
      <c r="D1067" s="84" t="inlineStr">
        <is>
          <t>CN0Q</t>
        </is>
      </c>
      <c r="E1067" s="80" t="inlineStr">
        <is>
          <t>EE 苏州比斯特</t>
        </is>
      </c>
      <c r="F1067" s="84" t="n">
        <v>4</v>
      </c>
      <c r="G1067" s="84" t="inlineStr">
        <is>
          <t>奥特莱斯</t>
        </is>
      </c>
      <c r="H1067" s="84" t="inlineStr">
        <is>
          <t>EERSF23N51</t>
        </is>
      </c>
      <c r="I1067" s="84" t="n">
        <v>399</v>
      </c>
      <c r="J1067" s="84" t="n">
        <v>399</v>
      </c>
      <c r="K1067" s="85" t="n"/>
      <c r="L1067" s="85" t="n"/>
    </row>
    <row r="1068" ht="12.75" customHeight="1" s="103">
      <c r="A1068" s="78">
        <f>MID(H1068,3,2)</f>
        <v/>
      </c>
      <c r="B1068" s="84" t="inlineStr">
        <is>
          <t>B331</t>
        </is>
      </c>
      <c r="C1068" s="84" t="inlineStr">
        <is>
          <t>上海区域</t>
        </is>
      </c>
      <c r="D1068" s="84" t="inlineStr">
        <is>
          <t>CN0Q</t>
        </is>
      </c>
      <c r="E1068" s="80" t="inlineStr">
        <is>
          <t>EE 苏州比斯特</t>
        </is>
      </c>
      <c r="F1068" s="84" t="n">
        <v>4</v>
      </c>
      <c r="G1068" s="84" t="inlineStr">
        <is>
          <t>奥特莱斯</t>
        </is>
      </c>
      <c r="H1068" s="84" t="inlineStr">
        <is>
          <t>EERSF23N51</t>
        </is>
      </c>
      <c r="I1068" s="84" t="n">
        <v>399</v>
      </c>
      <c r="J1068" s="84" t="n">
        <v>399</v>
      </c>
      <c r="K1068" s="85" t="n"/>
      <c r="L1068" s="85" t="n"/>
    </row>
    <row r="1069" ht="12.75" customHeight="1" s="103">
      <c r="A1069" s="78">
        <f>MID(H1069,3,2)</f>
        <v/>
      </c>
      <c r="B1069" s="84" t="inlineStr">
        <is>
          <t>B331</t>
        </is>
      </c>
      <c r="C1069" s="84" t="inlineStr">
        <is>
          <t>上海区域</t>
        </is>
      </c>
      <c r="D1069" s="84" t="inlineStr">
        <is>
          <t>CN0Q</t>
        </is>
      </c>
      <c r="E1069" s="80" t="inlineStr">
        <is>
          <t>EE 苏州比斯特</t>
        </is>
      </c>
      <c r="F1069" s="84" t="n">
        <v>4</v>
      </c>
      <c r="G1069" s="84" t="inlineStr">
        <is>
          <t>奥特莱斯</t>
        </is>
      </c>
      <c r="H1069" s="84" t="inlineStr">
        <is>
          <t>EERSF23N51</t>
        </is>
      </c>
      <c r="I1069" s="84" t="n">
        <v>399</v>
      </c>
      <c r="J1069" s="84" t="n">
        <v>399</v>
      </c>
      <c r="K1069" s="85" t="n"/>
      <c r="L1069" s="85" t="n"/>
    </row>
    <row r="1070" ht="12.75" customHeight="1" s="103">
      <c r="A1070" s="78">
        <f>MID(H1070,3,2)</f>
        <v/>
      </c>
      <c r="B1070" s="84" t="inlineStr">
        <is>
          <t>B331</t>
        </is>
      </c>
      <c r="C1070" s="84" t="inlineStr">
        <is>
          <t>上海区域</t>
        </is>
      </c>
      <c r="D1070" s="84" t="inlineStr">
        <is>
          <t>CN0Q</t>
        </is>
      </c>
      <c r="E1070" s="80" t="inlineStr">
        <is>
          <t>EE 苏州比斯特</t>
        </is>
      </c>
      <c r="F1070" s="84" t="n">
        <v>4</v>
      </c>
      <c r="G1070" s="84" t="inlineStr">
        <is>
          <t>奥特莱斯</t>
        </is>
      </c>
      <c r="H1070" s="84" t="inlineStr">
        <is>
          <t>EERSF23N51</t>
        </is>
      </c>
      <c r="I1070" s="84" t="n">
        <v>399</v>
      </c>
      <c r="J1070" s="84" t="n">
        <v>399</v>
      </c>
      <c r="K1070" s="85" t="n"/>
      <c r="L1070" s="85" t="n"/>
    </row>
    <row r="1071" ht="12.75" customHeight="1" s="103">
      <c r="A1071" s="78">
        <f>MID(H1071,3,2)</f>
        <v/>
      </c>
      <c r="B1071" s="84" t="inlineStr">
        <is>
          <t>B331</t>
        </is>
      </c>
      <c r="C1071" s="84" t="inlineStr">
        <is>
          <t>上海区域</t>
        </is>
      </c>
      <c r="D1071" s="84" t="inlineStr">
        <is>
          <t>CN0Q</t>
        </is>
      </c>
      <c r="E1071" s="80" t="inlineStr">
        <is>
          <t>EE 苏州比斯特</t>
        </is>
      </c>
      <c r="F1071" s="84" t="n">
        <v>4</v>
      </c>
      <c r="G1071" s="84" t="inlineStr">
        <is>
          <t>奥特莱斯</t>
        </is>
      </c>
      <c r="H1071" s="84" t="inlineStr">
        <is>
          <t>EERSF23N51</t>
        </is>
      </c>
      <c r="I1071" s="84" t="n">
        <v>399</v>
      </c>
      <c r="J1071" s="84" t="n">
        <v>399</v>
      </c>
      <c r="K1071" s="85" t="n">
        <v>1</v>
      </c>
      <c r="L1071" s="85" t="n"/>
    </row>
    <row r="1072" ht="12.75" customHeight="1" s="103">
      <c r="A1072" s="78">
        <f>MID(H1072,3,2)</f>
        <v/>
      </c>
      <c r="B1072" s="84" t="inlineStr">
        <is>
          <t>B331</t>
        </is>
      </c>
      <c r="C1072" s="84" t="inlineStr">
        <is>
          <t>上海区域</t>
        </is>
      </c>
      <c r="D1072" s="84" t="inlineStr">
        <is>
          <t>CN0Q</t>
        </is>
      </c>
      <c r="E1072" s="80" t="inlineStr">
        <is>
          <t>EE 苏州比斯特</t>
        </is>
      </c>
      <c r="F1072" s="84" t="n">
        <v>4</v>
      </c>
      <c r="G1072" s="84" t="inlineStr">
        <is>
          <t>奥特莱斯</t>
        </is>
      </c>
      <c r="H1072" s="84" t="inlineStr">
        <is>
          <t>EERSF23N51</t>
        </is>
      </c>
      <c r="I1072" s="84" t="n">
        <v>399</v>
      </c>
      <c r="J1072" s="84" t="n">
        <v>399</v>
      </c>
      <c r="K1072" s="85" t="n"/>
      <c r="L1072" s="85" t="n"/>
    </row>
    <row r="1073" ht="12.75" customHeight="1" s="103">
      <c r="A1073" s="78">
        <f>MID(H1073,3,2)</f>
        <v/>
      </c>
      <c r="B1073" s="84" t="inlineStr">
        <is>
          <t>B331</t>
        </is>
      </c>
      <c r="C1073" s="84" t="inlineStr">
        <is>
          <t>上海区域</t>
        </is>
      </c>
      <c r="D1073" s="84" t="inlineStr">
        <is>
          <t>CN0Q</t>
        </is>
      </c>
      <c r="E1073" s="80" t="inlineStr">
        <is>
          <t>EE 苏州比斯特</t>
        </is>
      </c>
      <c r="F1073" s="84" t="n">
        <v>4</v>
      </c>
      <c r="G1073" s="84" t="inlineStr">
        <is>
          <t>奥特莱斯</t>
        </is>
      </c>
      <c r="H1073" s="84" t="inlineStr">
        <is>
          <t>EERSF23N51</t>
        </is>
      </c>
      <c r="I1073" s="84" t="n">
        <v>399</v>
      </c>
      <c r="J1073" s="84" t="n">
        <v>399</v>
      </c>
      <c r="K1073" s="85" t="n"/>
      <c r="L1073" s="85" t="n"/>
    </row>
    <row r="1074" ht="12.75" customHeight="1" s="103">
      <c r="A1074" s="78">
        <f>MID(H1074,3,2)</f>
        <v/>
      </c>
      <c r="B1074" s="84" t="inlineStr">
        <is>
          <t>B331</t>
        </is>
      </c>
      <c r="C1074" s="84" t="inlineStr">
        <is>
          <t>上海区域</t>
        </is>
      </c>
      <c r="D1074" s="84" t="inlineStr">
        <is>
          <t>CN0Q</t>
        </is>
      </c>
      <c r="E1074" s="80" t="inlineStr">
        <is>
          <t>EE 苏州比斯特</t>
        </is>
      </c>
      <c r="F1074" s="84" t="n">
        <v>4</v>
      </c>
      <c r="G1074" s="84" t="inlineStr">
        <is>
          <t>奥特莱斯</t>
        </is>
      </c>
      <c r="H1074" s="84" t="inlineStr">
        <is>
          <t>EERSG23E01</t>
        </is>
      </c>
      <c r="I1074" s="84" t="n">
        <v>399</v>
      </c>
      <c r="J1074" s="84" t="n">
        <v>399</v>
      </c>
      <c r="K1074" s="85" t="n">
        <v>1</v>
      </c>
      <c r="L1074" s="85" t="n">
        <v>257</v>
      </c>
    </row>
    <row r="1075" ht="12.75" customHeight="1" s="103">
      <c r="A1075" s="78">
        <f>MID(H1075,3,2)</f>
        <v/>
      </c>
      <c r="B1075" s="84" t="inlineStr">
        <is>
          <t>B331</t>
        </is>
      </c>
      <c r="C1075" s="84" t="inlineStr">
        <is>
          <t>上海区域</t>
        </is>
      </c>
      <c r="D1075" s="84" t="inlineStr">
        <is>
          <t>CN0Q</t>
        </is>
      </c>
      <c r="E1075" s="80" t="inlineStr">
        <is>
          <t>EE 苏州比斯特</t>
        </is>
      </c>
      <c r="F1075" s="84" t="n">
        <v>4</v>
      </c>
      <c r="G1075" s="84" t="inlineStr">
        <is>
          <t>奥特莱斯</t>
        </is>
      </c>
      <c r="H1075" s="84" t="inlineStr">
        <is>
          <t>EERSG23E01</t>
        </is>
      </c>
      <c r="I1075" s="84" t="n">
        <v>399</v>
      </c>
      <c r="J1075" s="84" t="n">
        <v>399</v>
      </c>
      <c r="K1075" s="85" t="n">
        <v>3</v>
      </c>
      <c r="L1075" s="85" t="n">
        <v>559</v>
      </c>
    </row>
    <row r="1076" ht="12.75" customHeight="1" s="103">
      <c r="A1076" s="78">
        <f>MID(H1076,3,2)</f>
        <v/>
      </c>
      <c r="B1076" s="84" t="inlineStr">
        <is>
          <t>B331</t>
        </is>
      </c>
      <c r="C1076" s="84" t="inlineStr">
        <is>
          <t>上海区域</t>
        </is>
      </c>
      <c r="D1076" s="84" t="inlineStr">
        <is>
          <t>CN0Q</t>
        </is>
      </c>
      <c r="E1076" s="80" t="inlineStr">
        <is>
          <t>EE 苏州比斯特</t>
        </is>
      </c>
      <c r="F1076" s="84" t="n">
        <v>4</v>
      </c>
      <c r="G1076" s="84" t="inlineStr">
        <is>
          <t>奥特莱斯</t>
        </is>
      </c>
      <c r="H1076" s="84" t="inlineStr">
        <is>
          <t>EERSG23E01</t>
        </is>
      </c>
      <c r="I1076" s="84" t="n">
        <v>399</v>
      </c>
      <c r="J1076" s="84" t="n">
        <v>399</v>
      </c>
      <c r="K1076" s="85" t="n">
        <v>3</v>
      </c>
      <c r="L1076" s="85" t="n">
        <v>541</v>
      </c>
    </row>
    <row r="1077" ht="12.75" customHeight="1" s="103">
      <c r="A1077" s="78">
        <f>MID(H1077,3,2)</f>
        <v/>
      </c>
      <c r="B1077" s="84" t="inlineStr">
        <is>
          <t>B331</t>
        </is>
      </c>
      <c r="C1077" s="84" t="inlineStr">
        <is>
          <t>上海区域</t>
        </is>
      </c>
      <c r="D1077" s="84" t="inlineStr">
        <is>
          <t>CN0Q</t>
        </is>
      </c>
      <c r="E1077" s="80" t="inlineStr">
        <is>
          <t>EE 苏州比斯特</t>
        </is>
      </c>
      <c r="F1077" s="84" t="n">
        <v>4</v>
      </c>
      <c r="G1077" s="84" t="inlineStr">
        <is>
          <t>奥特莱斯</t>
        </is>
      </c>
      <c r="H1077" s="84" t="inlineStr">
        <is>
          <t>EERSG23E01</t>
        </is>
      </c>
      <c r="I1077" s="84" t="n">
        <v>399</v>
      </c>
      <c r="J1077" s="84" t="n">
        <v>399</v>
      </c>
      <c r="K1077" s="85" t="n"/>
      <c r="L1077" s="85" t="n"/>
    </row>
    <row r="1078" ht="12.75" customHeight="1" s="103">
      <c r="A1078" s="78">
        <f>MID(H1078,3,2)</f>
        <v/>
      </c>
      <c r="B1078" s="84" t="inlineStr">
        <is>
          <t>B331</t>
        </is>
      </c>
      <c r="C1078" s="84" t="inlineStr">
        <is>
          <t>上海区域</t>
        </is>
      </c>
      <c r="D1078" s="84" t="inlineStr">
        <is>
          <t>CN0Q</t>
        </is>
      </c>
      <c r="E1078" s="80" t="inlineStr">
        <is>
          <t>EE 苏州比斯特</t>
        </is>
      </c>
      <c r="F1078" s="84" t="n">
        <v>4</v>
      </c>
      <c r="G1078" s="84" t="inlineStr">
        <is>
          <t>奥特莱斯</t>
        </is>
      </c>
      <c r="H1078" s="84" t="inlineStr">
        <is>
          <t>EERSG23E01</t>
        </is>
      </c>
      <c r="I1078" s="84" t="n">
        <v>399</v>
      </c>
      <c r="J1078" s="84" t="n">
        <v>399</v>
      </c>
      <c r="K1078" s="85" t="n"/>
      <c r="L1078" s="85" t="n"/>
    </row>
    <row r="1079" ht="12.75" customHeight="1" s="103">
      <c r="A1079" s="78">
        <f>MID(H1079,3,2)</f>
        <v/>
      </c>
      <c r="B1079" s="84" t="inlineStr">
        <is>
          <t>B331</t>
        </is>
      </c>
      <c r="C1079" s="84" t="inlineStr">
        <is>
          <t>上海区域</t>
        </is>
      </c>
      <c r="D1079" s="84" t="inlineStr">
        <is>
          <t>CN0Q</t>
        </is>
      </c>
      <c r="E1079" s="80" t="inlineStr">
        <is>
          <t>EE 苏州比斯特</t>
        </is>
      </c>
      <c r="F1079" s="84" t="n">
        <v>4</v>
      </c>
      <c r="G1079" s="84" t="inlineStr">
        <is>
          <t>奥特莱斯</t>
        </is>
      </c>
      <c r="H1079" s="84" t="inlineStr">
        <is>
          <t>EERSG23E01</t>
        </is>
      </c>
      <c r="I1079" s="84" t="n">
        <v>399</v>
      </c>
      <c r="J1079" s="84" t="n">
        <v>399</v>
      </c>
      <c r="K1079" s="85" t="n">
        <v>2</v>
      </c>
      <c r="L1079" s="85" t="n">
        <v>540</v>
      </c>
    </row>
    <row r="1080" ht="12.75" customHeight="1" s="103">
      <c r="A1080" s="78">
        <f>MID(H1080,3,2)</f>
        <v/>
      </c>
      <c r="B1080" s="84" t="inlineStr">
        <is>
          <t>B331</t>
        </is>
      </c>
      <c r="C1080" s="84" t="inlineStr">
        <is>
          <t>上海区域</t>
        </is>
      </c>
      <c r="D1080" s="84" t="inlineStr">
        <is>
          <t>CN0Q</t>
        </is>
      </c>
      <c r="E1080" s="80" t="inlineStr">
        <is>
          <t>EE 苏州比斯特</t>
        </is>
      </c>
      <c r="F1080" s="84" t="n">
        <v>4</v>
      </c>
      <c r="G1080" s="84" t="inlineStr">
        <is>
          <t>奥特莱斯</t>
        </is>
      </c>
      <c r="H1080" s="84" t="inlineStr">
        <is>
          <t>EERSG23E01</t>
        </is>
      </c>
      <c r="I1080" s="84" t="n">
        <v>399</v>
      </c>
      <c r="J1080" s="84" t="n">
        <v>399</v>
      </c>
      <c r="K1080" s="85" t="n"/>
      <c r="L1080" s="85" t="n"/>
    </row>
    <row r="1081" ht="12.75" customHeight="1" s="103">
      <c r="A1081" s="78">
        <f>MID(H1081,3,2)</f>
        <v/>
      </c>
      <c r="B1081" s="84" t="inlineStr">
        <is>
          <t>B331</t>
        </is>
      </c>
      <c r="C1081" s="84" t="inlineStr">
        <is>
          <t>上海区域</t>
        </is>
      </c>
      <c r="D1081" s="84" t="inlineStr">
        <is>
          <t>CN0Q</t>
        </is>
      </c>
      <c r="E1081" s="80" t="inlineStr">
        <is>
          <t>EE 苏州比斯特</t>
        </is>
      </c>
      <c r="F1081" s="84" t="n">
        <v>4</v>
      </c>
      <c r="G1081" s="84" t="inlineStr">
        <is>
          <t>奥特莱斯</t>
        </is>
      </c>
      <c r="H1081" s="84" t="inlineStr">
        <is>
          <t>EERSG23E01</t>
        </is>
      </c>
      <c r="I1081" s="84" t="n">
        <v>399</v>
      </c>
      <c r="J1081" s="84" t="n">
        <v>399</v>
      </c>
      <c r="K1081" s="85" t="n"/>
      <c r="L1081" s="85" t="n"/>
    </row>
    <row r="1082" ht="12.75" customHeight="1" s="103">
      <c r="A1082" s="78">
        <f>MID(H1082,3,2)</f>
        <v/>
      </c>
      <c r="B1082" s="84" t="inlineStr">
        <is>
          <t>B331</t>
        </is>
      </c>
      <c r="C1082" s="84" t="inlineStr">
        <is>
          <t>上海区域</t>
        </is>
      </c>
      <c r="D1082" s="84" t="inlineStr">
        <is>
          <t>CN0Q</t>
        </is>
      </c>
      <c r="E1082" s="80" t="inlineStr">
        <is>
          <t>EE 苏州比斯特</t>
        </is>
      </c>
      <c r="F1082" s="84" t="n">
        <v>4</v>
      </c>
      <c r="G1082" s="84" t="inlineStr">
        <is>
          <t>奥特莱斯</t>
        </is>
      </c>
      <c r="H1082" s="84" t="inlineStr">
        <is>
          <t>EERSG23E01</t>
        </is>
      </c>
      <c r="I1082" s="84" t="n">
        <v>399</v>
      </c>
      <c r="J1082" s="84" t="n">
        <v>399</v>
      </c>
      <c r="K1082" s="85" t="n"/>
      <c r="L1082" s="85" t="n"/>
    </row>
    <row r="1083" ht="12.75" customHeight="1" s="103">
      <c r="A1083" s="78">
        <f>MID(H1083,3,2)</f>
        <v/>
      </c>
      <c r="B1083" s="84" t="inlineStr">
        <is>
          <t>B331</t>
        </is>
      </c>
      <c r="C1083" s="84" t="inlineStr">
        <is>
          <t>上海区域</t>
        </is>
      </c>
      <c r="D1083" s="84" t="inlineStr">
        <is>
          <t>CN0Q</t>
        </is>
      </c>
      <c r="E1083" s="80" t="inlineStr">
        <is>
          <t>EE 苏州比斯特</t>
        </is>
      </c>
      <c r="F1083" s="84" t="n">
        <v>4</v>
      </c>
      <c r="G1083" s="84" t="inlineStr">
        <is>
          <t>奥特莱斯</t>
        </is>
      </c>
      <c r="H1083" s="84" t="inlineStr">
        <is>
          <t>EERSG23E01</t>
        </is>
      </c>
      <c r="I1083" s="84" t="n">
        <v>399</v>
      </c>
      <c r="J1083" s="84" t="n">
        <v>399</v>
      </c>
      <c r="K1083" s="85" t="n"/>
      <c r="L1083" s="85" t="n"/>
    </row>
    <row r="1084" ht="12.75" customHeight="1" s="103">
      <c r="A1084" s="78">
        <f>MID(H1084,3,2)</f>
        <v/>
      </c>
      <c r="B1084" s="84" t="inlineStr">
        <is>
          <t>B331</t>
        </is>
      </c>
      <c r="C1084" s="84" t="inlineStr">
        <is>
          <t>上海区域</t>
        </is>
      </c>
      <c r="D1084" s="84" t="inlineStr">
        <is>
          <t>CN0Q</t>
        </is>
      </c>
      <c r="E1084" s="80" t="inlineStr">
        <is>
          <t>EE 苏州比斯特</t>
        </is>
      </c>
      <c r="F1084" s="84" t="n">
        <v>4</v>
      </c>
      <c r="G1084" s="84" t="inlineStr">
        <is>
          <t>奥特莱斯</t>
        </is>
      </c>
      <c r="H1084" s="84" t="inlineStr">
        <is>
          <t>EERSG23E01</t>
        </is>
      </c>
      <c r="I1084" s="84" t="n">
        <v>399</v>
      </c>
      <c r="J1084" s="84" t="n">
        <v>399</v>
      </c>
      <c r="K1084" s="85" t="n">
        <v>1</v>
      </c>
      <c r="L1084" s="85" t="n">
        <v>120</v>
      </c>
    </row>
    <row r="1085" ht="12.75" customHeight="1" s="103">
      <c r="A1085" s="78">
        <f>MID(H1085,3,2)</f>
        <v/>
      </c>
      <c r="B1085" s="84" t="inlineStr">
        <is>
          <t>B331</t>
        </is>
      </c>
      <c r="C1085" s="84" t="inlineStr">
        <is>
          <t>上海区域</t>
        </is>
      </c>
      <c r="D1085" s="84" t="inlineStr">
        <is>
          <t>CN0Q</t>
        </is>
      </c>
      <c r="E1085" s="80" t="inlineStr">
        <is>
          <t>EE 苏州比斯特</t>
        </is>
      </c>
      <c r="F1085" s="84" t="n">
        <v>4</v>
      </c>
      <c r="G1085" s="84" t="inlineStr">
        <is>
          <t>奥特莱斯</t>
        </is>
      </c>
      <c r="H1085" s="84" t="inlineStr">
        <is>
          <t>EERSG23E01</t>
        </is>
      </c>
      <c r="I1085" s="84" t="n">
        <v>399</v>
      </c>
      <c r="J1085" s="84" t="n">
        <v>399</v>
      </c>
      <c r="K1085" s="85" t="n"/>
      <c r="L1085" s="85" t="n"/>
    </row>
    <row r="1086" ht="12.75" customHeight="1" s="103">
      <c r="A1086" s="78">
        <f>MID(H1086,3,2)</f>
        <v/>
      </c>
      <c r="B1086" s="84" t="inlineStr">
        <is>
          <t>B331</t>
        </is>
      </c>
      <c r="C1086" s="84" t="inlineStr">
        <is>
          <t>上海区域</t>
        </is>
      </c>
      <c r="D1086" s="84" t="inlineStr">
        <is>
          <t>CN0Q</t>
        </is>
      </c>
      <c r="E1086" s="80" t="inlineStr">
        <is>
          <t>EE 苏州比斯特</t>
        </is>
      </c>
      <c r="F1086" s="84" t="n">
        <v>4</v>
      </c>
      <c r="G1086" s="84" t="inlineStr">
        <is>
          <t>奥特莱斯</t>
        </is>
      </c>
      <c r="H1086" s="84" t="inlineStr">
        <is>
          <t>EERSG23E1G</t>
        </is>
      </c>
      <c r="I1086" s="84" t="n">
        <v>499</v>
      </c>
      <c r="J1086" s="84" t="n">
        <v>499</v>
      </c>
      <c r="K1086" s="85" t="n"/>
      <c r="L1086" s="85" t="n"/>
    </row>
    <row r="1087" ht="12.75" customHeight="1" s="103">
      <c r="A1087" s="78">
        <f>MID(H1087,3,2)</f>
        <v/>
      </c>
      <c r="B1087" s="84" t="inlineStr">
        <is>
          <t>B331</t>
        </is>
      </c>
      <c r="C1087" s="84" t="inlineStr">
        <is>
          <t>上海区域</t>
        </is>
      </c>
      <c r="D1087" s="84" t="inlineStr">
        <is>
          <t>CN0Q</t>
        </is>
      </c>
      <c r="E1087" s="80" t="inlineStr">
        <is>
          <t>EE 苏州比斯特</t>
        </is>
      </c>
      <c r="F1087" s="84" t="n">
        <v>4</v>
      </c>
      <c r="G1087" s="84" t="inlineStr">
        <is>
          <t>奥特莱斯</t>
        </is>
      </c>
      <c r="H1087" s="84" t="inlineStr">
        <is>
          <t>EERSG23E1G</t>
        </is>
      </c>
      <c r="I1087" s="84" t="n">
        <v>499</v>
      </c>
      <c r="J1087" s="84" t="n">
        <v>499</v>
      </c>
      <c r="K1087" s="85" t="n">
        <v>2</v>
      </c>
      <c r="L1087" s="85" t="n">
        <v>150</v>
      </c>
    </row>
    <row r="1088" ht="12.75" customHeight="1" s="103">
      <c r="A1088" s="78">
        <f>MID(H1088,3,2)</f>
        <v/>
      </c>
      <c r="B1088" s="84" t="inlineStr">
        <is>
          <t>B331</t>
        </is>
      </c>
      <c r="C1088" s="84" t="inlineStr">
        <is>
          <t>上海区域</t>
        </is>
      </c>
      <c r="D1088" s="84" t="inlineStr">
        <is>
          <t>CN0Q</t>
        </is>
      </c>
      <c r="E1088" s="80" t="inlineStr">
        <is>
          <t>EE 苏州比斯特</t>
        </is>
      </c>
      <c r="F1088" s="84" t="n">
        <v>4</v>
      </c>
      <c r="G1088" s="84" t="inlineStr">
        <is>
          <t>奥特莱斯</t>
        </is>
      </c>
      <c r="H1088" s="84" t="inlineStr">
        <is>
          <t>EERSG23E1G</t>
        </is>
      </c>
      <c r="I1088" s="84" t="n">
        <v>499</v>
      </c>
      <c r="J1088" s="84" t="n">
        <v>499</v>
      </c>
      <c r="K1088" s="85" t="n"/>
      <c r="L1088" s="85" t="n"/>
    </row>
    <row r="1089" ht="12.75" customHeight="1" s="103">
      <c r="A1089" s="78">
        <f>MID(H1089,3,2)</f>
        <v/>
      </c>
      <c r="B1089" s="84" t="inlineStr">
        <is>
          <t>B331</t>
        </is>
      </c>
      <c r="C1089" s="84" t="inlineStr">
        <is>
          <t>上海区域</t>
        </is>
      </c>
      <c r="D1089" s="84" t="inlineStr">
        <is>
          <t>CN0Q</t>
        </is>
      </c>
      <c r="E1089" s="80" t="inlineStr">
        <is>
          <t>EE 苏州比斯特</t>
        </is>
      </c>
      <c r="F1089" s="84" t="n">
        <v>4</v>
      </c>
      <c r="G1089" s="84" t="inlineStr">
        <is>
          <t>奥特莱斯</t>
        </is>
      </c>
      <c r="H1089" s="84" t="inlineStr">
        <is>
          <t>EERSG23E1G</t>
        </is>
      </c>
      <c r="I1089" s="84" t="n">
        <v>499</v>
      </c>
      <c r="J1089" s="84" t="n">
        <v>499</v>
      </c>
      <c r="K1089" s="85" t="n"/>
      <c r="L1089" s="85" t="n"/>
    </row>
    <row r="1090" ht="12.75" customHeight="1" s="103">
      <c r="A1090" s="78">
        <f>MID(H1090,3,2)</f>
        <v/>
      </c>
      <c r="B1090" s="84" t="inlineStr">
        <is>
          <t>B331</t>
        </is>
      </c>
      <c r="C1090" s="84" t="inlineStr">
        <is>
          <t>上海区域</t>
        </is>
      </c>
      <c r="D1090" s="84" t="inlineStr">
        <is>
          <t>CN0Q</t>
        </is>
      </c>
      <c r="E1090" s="80" t="inlineStr">
        <is>
          <t>EE 苏州比斯特</t>
        </is>
      </c>
      <c r="F1090" s="84" t="n">
        <v>4</v>
      </c>
      <c r="G1090" s="84" t="inlineStr">
        <is>
          <t>奥特莱斯</t>
        </is>
      </c>
      <c r="H1090" s="84" t="inlineStr">
        <is>
          <t>EERSG23E1G</t>
        </is>
      </c>
      <c r="I1090" s="84" t="n">
        <v>499</v>
      </c>
      <c r="J1090" s="84" t="n">
        <v>499</v>
      </c>
      <c r="K1090" s="85" t="n">
        <v>2</v>
      </c>
      <c r="L1090" s="85" t="n">
        <v>637</v>
      </c>
    </row>
    <row r="1091" ht="12.75" customHeight="1" s="103">
      <c r="A1091" s="78">
        <f>MID(H1091,3,2)</f>
        <v/>
      </c>
      <c r="B1091" s="84" t="inlineStr">
        <is>
          <t>B331</t>
        </is>
      </c>
      <c r="C1091" s="84" t="inlineStr">
        <is>
          <t>上海区域</t>
        </is>
      </c>
      <c r="D1091" s="84" t="inlineStr">
        <is>
          <t>CN0Q</t>
        </is>
      </c>
      <c r="E1091" s="80" t="inlineStr">
        <is>
          <t>EE 苏州比斯特</t>
        </is>
      </c>
      <c r="F1091" s="84" t="n">
        <v>4</v>
      </c>
      <c r="G1091" s="84" t="inlineStr">
        <is>
          <t>奥特莱斯</t>
        </is>
      </c>
      <c r="H1091" s="84" t="inlineStr">
        <is>
          <t>EERSG23E1G</t>
        </is>
      </c>
      <c r="I1091" s="84" t="n">
        <v>499</v>
      </c>
      <c r="J1091" s="84" t="n">
        <v>499</v>
      </c>
      <c r="K1091" s="85" t="n">
        <v>2</v>
      </c>
      <c r="L1091" s="85" t="n">
        <v>466</v>
      </c>
    </row>
    <row r="1092" ht="12.75" customHeight="1" s="103">
      <c r="A1092" s="78">
        <f>MID(H1092,3,2)</f>
        <v/>
      </c>
      <c r="B1092" s="84" t="inlineStr">
        <is>
          <t>B331</t>
        </is>
      </c>
      <c r="C1092" s="84" t="inlineStr">
        <is>
          <t>上海区域</t>
        </is>
      </c>
      <c r="D1092" s="84" t="inlineStr">
        <is>
          <t>CN0Q</t>
        </is>
      </c>
      <c r="E1092" s="80" t="inlineStr">
        <is>
          <t>EE 苏州比斯特</t>
        </is>
      </c>
      <c r="F1092" s="84" t="n">
        <v>4</v>
      </c>
      <c r="G1092" s="84" t="inlineStr">
        <is>
          <t>奥特莱斯</t>
        </is>
      </c>
      <c r="H1092" s="84" t="inlineStr">
        <is>
          <t>EERSG23E1G</t>
        </is>
      </c>
      <c r="I1092" s="84" t="n">
        <v>499</v>
      </c>
      <c r="J1092" s="84" t="n">
        <v>499</v>
      </c>
      <c r="K1092" s="85" t="n"/>
      <c r="L1092" s="85" t="n"/>
    </row>
    <row r="1093" ht="12.75" customHeight="1" s="103">
      <c r="A1093" s="78">
        <f>MID(H1093,3,2)</f>
        <v/>
      </c>
      <c r="B1093" s="84" t="inlineStr">
        <is>
          <t>B331</t>
        </is>
      </c>
      <c r="C1093" s="84" t="inlineStr">
        <is>
          <t>上海区域</t>
        </is>
      </c>
      <c r="D1093" s="84" t="inlineStr">
        <is>
          <t>CN0Q</t>
        </is>
      </c>
      <c r="E1093" s="80" t="inlineStr">
        <is>
          <t>EE 苏州比斯特</t>
        </is>
      </c>
      <c r="F1093" s="84" t="n">
        <v>4</v>
      </c>
      <c r="G1093" s="84" t="inlineStr">
        <is>
          <t>奥特莱斯</t>
        </is>
      </c>
      <c r="H1093" s="84" t="inlineStr">
        <is>
          <t>EERSG23E1G</t>
        </is>
      </c>
      <c r="I1093" s="84" t="n">
        <v>499</v>
      </c>
      <c r="J1093" s="84" t="n">
        <v>499</v>
      </c>
      <c r="K1093" s="85" t="n">
        <v>1</v>
      </c>
      <c r="L1093" s="85" t="n"/>
    </row>
    <row r="1094" ht="12.75" customHeight="1" s="103">
      <c r="A1094" s="78">
        <f>MID(H1094,3,2)</f>
        <v/>
      </c>
      <c r="B1094" s="84" t="inlineStr">
        <is>
          <t>B331</t>
        </is>
      </c>
      <c r="C1094" s="84" t="inlineStr">
        <is>
          <t>上海区域</t>
        </is>
      </c>
      <c r="D1094" s="84" t="inlineStr">
        <is>
          <t>CN0Q</t>
        </is>
      </c>
      <c r="E1094" s="80" t="inlineStr">
        <is>
          <t>EE 苏州比斯特</t>
        </is>
      </c>
      <c r="F1094" s="84" t="n">
        <v>4</v>
      </c>
      <c r="G1094" s="84" t="inlineStr">
        <is>
          <t>奥特莱斯</t>
        </is>
      </c>
      <c r="H1094" s="84" t="inlineStr">
        <is>
          <t>EERSG24B01</t>
        </is>
      </c>
      <c r="I1094" s="84" t="n">
        <v>399</v>
      </c>
      <c r="J1094" s="84" t="n">
        <v>399</v>
      </c>
      <c r="K1094" s="85" t="n"/>
      <c r="L1094" s="85" t="n"/>
    </row>
    <row r="1095" ht="12.75" customHeight="1" s="103">
      <c r="A1095" s="78">
        <f>MID(H1095,3,2)</f>
        <v/>
      </c>
      <c r="B1095" s="84" t="inlineStr">
        <is>
          <t>B331</t>
        </is>
      </c>
      <c r="C1095" s="84" t="inlineStr">
        <is>
          <t>上海区域</t>
        </is>
      </c>
      <c r="D1095" s="84" t="inlineStr">
        <is>
          <t>CN0Q</t>
        </is>
      </c>
      <c r="E1095" s="80" t="inlineStr">
        <is>
          <t>EE 苏州比斯特</t>
        </is>
      </c>
      <c r="F1095" s="84" t="n">
        <v>4</v>
      </c>
      <c r="G1095" s="84" t="inlineStr">
        <is>
          <t>奥特莱斯</t>
        </is>
      </c>
      <c r="H1095" s="84" t="inlineStr">
        <is>
          <t>EERSG24B01</t>
        </is>
      </c>
      <c r="I1095" s="84" t="n">
        <v>399</v>
      </c>
      <c r="J1095" s="84" t="n">
        <v>399</v>
      </c>
      <c r="K1095" s="85" t="n"/>
      <c r="L1095" s="85" t="n"/>
    </row>
    <row r="1096" ht="12.75" customHeight="1" s="103">
      <c r="A1096" s="78">
        <f>MID(H1096,3,2)</f>
        <v/>
      </c>
      <c r="B1096" s="84" t="inlineStr">
        <is>
          <t>B331</t>
        </is>
      </c>
      <c r="C1096" s="84" t="inlineStr">
        <is>
          <t>上海区域</t>
        </is>
      </c>
      <c r="D1096" s="84" t="inlineStr">
        <is>
          <t>CN0Q</t>
        </is>
      </c>
      <c r="E1096" s="80" t="inlineStr">
        <is>
          <t>EE 苏州比斯特</t>
        </is>
      </c>
      <c r="F1096" s="84" t="n">
        <v>4</v>
      </c>
      <c r="G1096" s="84" t="inlineStr">
        <is>
          <t>奥特莱斯</t>
        </is>
      </c>
      <c r="H1096" s="84" t="inlineStr">
        <is>
          <t>EERSG24B01</t>
        </is>
      </c>
      <c r="I1096" s="84" t="n">
        <v>399</v>
      </c>
      <c r="J1096" s="84" t="n">
        <v>399</v>
      </c>
      <c r="K1096" s="85" t="n"/>
      <c r="L1096" s="85" t="n"/>
    </row>
    <row r="1097" ht="12.75" customHeight="1" s="103">
      <c r="A1097" s="78">
        <f>MID(H1097,3,2)</f>
        <v/>
      </c>
      <c r="B1097" s="84" t="inlineStr">
        <is>
          <t>B331</t>
        </is>
      </c>
      <c r="C1097" s="84" t="inlineStr">
        <is>
          <t>上海区域</t>
        </is>
      </c>
      <c r="D1097" s="84" t="inlineStr">
        <is>
          <t>CN0Q</t>
        </is>
      </c>
      <c r="E1097" s="80" t="inlineStr">
        <is>
          <t>EE 苏州比斯特</t>
        </is>
      </c>
      <c r="F1097" s="84" t="n">
        <v>4</v>
      </c>
      <c r="G1097" s="84" t="inlineStr">
        <is>
          <t>奥特莱斯</t>
        </is>
      </c>
      <c r="H1097" s="84" t="inlineStr">
        <is>
          <t>EERSG24B01</t>
        </is>
      </c>
      <c r="I1097" s="84" t="n">
        <v>399</v>
      </c>
      <c r="J1097" s="84" t="n">
        <v>399</v>
      </c>
      <c r="K1097" s="85" t="n"/>
      <c r="L1097" s="85" t="n"/>
    </row>
    <row r="1098" ht="12.75" customHeight="1" s="103">
      <c r="A1098" s="78">
        <f>MID(H1098,3,2)</f>
        <v/>
      </c>
      <c r="B1098" s="84" t="inlineStr">
        <is>
          <t>B331</t>
        </is>
      </c>
      <c r="C1098" s="84" t="inlineStr">
        <is>
          <t>上海区域</t>
        </is>
      </c>
      <c r="D1098" s="84" t="inlineStr">
        <is>
          <t>CN0Q</t>
        </is>
      </c>
      <c r="E1098" s="80" t="inlineStr">
        <is>
          <t>EE 苏州比斯特</t>
        </is>
      </c>
      <c r="F1098" s="84" t="n">
        <v>4</v>
      </c>
      <c r="G1098" s="84" t="inlineStr">
        <is>
          <t>奥特莱斯</t>
        </is>
      </c>
      <c r="H1098" s="84" t="inlineStr">
        <is>
          <t>EERSG24B01</t>
        </is>
      </c>
      <c r="I1098" s="84" t="n">
        <v>399</v>
      </c>
      <c r="J1098" s="84" t="n">
        <v>399</v>
      </c>
      <c r="K1098" s="85" t="n"/>
      <c r="L1098" s="85" t="n"/>
    </row>
    <row r="1099" ht="12.75" customHeight="1" s="103">
      <c r="A1099" s="78">
        <f>MID(H1099,3,2)</f>
        <v/>
      </c>
      <c r="B1099" s="84" t="inlineStr">
        <is>
          <t>B331</t>
        </is>
      </c>
      <c r="C1099" s="84" t="inlineStr">
        <is>
          <t>上海区域</t>
        </is>
      </c>
      <c r="D1099" s="84" t="inlineStr">
        <is>
          <t>CN0Q</t>
        </is>
      </c>
      <c r="E1099" s="80" t="inlineStr">
        <is>
          <t>EE 苏州比斯特</t>
        </is>
      </c>
      <c r="F1099" s="84" t="n">
        <v>4</v>
      </c>
      <c r="G1099" s="84" t="inlineStr">
        <is>
          <t>奥特莱斯</t>
        </is>
      </c>
      <c r="H1099" s="84" t="inlineStr">
        <is>
          <t>EERSG24B01</t>
        </is>
      </c>
      <c r="I1099" s="84" t="n">
        <v>399</v>
      </c>
      <c r="J1099" s="84" t="n">
        <v>399</v>
      </c>
      <c r="K1099" s="85" t="n">
        <v>1</v>
      </c>
      <c r="L1099" s="85" t="n">
        <v>256</v>
      </c>
    </row>
    <row r="1100" ht="12.75" customHeight="1" s="103">
      <c r="A1100" s="78">
        <f>MID(H1100,3,2)</f>
        <v/>
      </c>
      <c r="B1100" s="84" t="inlineStr">
        <is>
          <t>B331</t>
        </is>
      </c>
      <c r="C1100" s="84" t="inlineStr">
        <is>
          <t>上海区域</t>
        </is>
      </c>
      <c r="D1100" s="84" t="inlineStr">
        <is>
          <t>CN0Q</t>
        </is>
      </c>
      <c r="E1100" s="80" t="inlineStr">
        <is>
          <t>EE 苏州比斯特</t>
        </is>
      </c>
      <c r="F1100" s="84" t="n">
        <v>4</v>
      </c>
      <c r="G1100" s="84" t="inlineStr">
        <is>
          <t>奥特莱斯</t>
        </is>
      </c>
      <c r="H1100" s="84" t="inlineStr">
        <is>
          <t>EERSG24B01</t>
        </is>
      </c>
      <c r="I1100" s="84" t="n">
        <v>399</v>
      </c>
      <c r="J1100" s="84" t="n">
        <v>399</v>
      </c>
      <c r="K1100" s="85" t="n">
        <v>1</v>
      </c>
      <c r="L1100" s="85" t="n">
        <v>279</v>
      </c>
    </row>
    <row r="1101" ht="12.75" customHeight="1" s="103">
      <c r="A1101" s="78">
        <f>MID(H1101,3,2)</f>
        <v/>
      </c>
      <c r="B1101" s="84" t="inlineStr">
        <is>
          <t>B331</t>
        </is>
      </c>
      <c r="C1101" s="84" t="inlineStr">
        <is>
          <t>上海区域</t>
        </is>
      </c>
      <c r="D1101" s="84" t="inlineStr">
        <is>
          <t>CN0Q</t>
        </is>
      </c>
      <c r="E1101" s="80" t="inlineStr">
        <is>
          <t>EE 苏州比斯特</t>
        </is>
      </c>
      <c r="F1101" s="84" t="n">
        <v>4</v>
      </c>
      <c r="G1101" s="84" t="inlineStr">
        <is>
          <t>奥特莱斯</t>
        </is>
      </c>
      <c r="H1101" s="84" t="inlineStr">
        <is>
          <t>EERSG24B01</t>
        </is>
      </c>
      <c r="I1101" s="84" t="n">
        <v>399</v>
      </c>
      <c r="J1101" s="84" t="n">
        <v>399</v>
      </c>
      <c r="K1101" s="85" t="n"/>
      <c r="L1101" s="85" t="n"/>
    </row>
    <row r="1102" ht="12.75" customHeight="1" s="103">
      <c r="A1102" s="78">
        <f>MID(H1102,3,2)</f>
        <v/>
      </c>
      <c r="B1102" s="84" t="inlineStr">
        <is>
          <t>B331</t>
        </is>
      </c>
      <c r="C1102" s="84" t="inlineStr">
        <is>
          <t>上海区域</t>
        </is>
      </c>
      <c r="D1102" s="84" t="inlineStr">
        <is>
          <t>CN0Q</t>
        </is>
      </c>
      <c r="E1102" s="80" t="inlineStr">
        <is>
          <t>EE 苏州比斯特</t>
        </is>
      </c>
      <c r="F1102" s="84" t="n">
        <v>4</v>
      </c>
      <c r="G1102" s="84" t="inlineStr">
        <is>
          <t>奥特莱斯</t>
        </is>
      </c>
      <c r="H1102" s="84" t="inlineStr">
        <is>
          <t>EERSG25B01</t>
        </is>
      </c>
      <c r="I1102" s="84" t="n">
        <v>499</v>
      </c>
      <c r="J1102" s="84" t="n">
        <v>499</v>
      </c>
      <c r="K1102" s="85" t="n"/>
      <c r="L1102" s="85" t="n"/>
    </row>
    <row r="1103" ht="12.75" customHeight="1" s="103">
      <c r="A1103" s="78">
        <f>MID(H1103,3,2)</f>
        <v/>
      </c>
      <c r="B1103" s="84" t="inlineStr">
        <is>
          <t>B331</t>
        </is>
      </c>
      <c r="C1103" s="84" t="inlineStr">
        <is>
          <t>上海区域</t>
        </is>
      </c>
      <c r="D1103" s="84" t="inlineStr">
        <is>
          <t>CN0Q</t>
        </is>
      </c>
      <c r="E1103" s="80" t="inlineStr">
        <is>
          <t>EE 苏州比斯特</t>
        </is>
      </c>
      <c r="F1103" s="84" t="n">
        <v>4</v>
      </c>
      <c r="G1103" s="84" t="inlineStr">
        <is>
          <t>奥特莱斯</t>
        </is>
      </c>
      <c r="H1103" s="84" t="inlineStr">
        <is>
          <t>EERSG25B01</t>
        </is>
      </c>
      <c r="I1103" s="84" t="n">
        <v>499</v>
      </c>
      <c r="J1103" s="84" t="n">
        <v>499</v>
      </c>
      <c r="K1103" s="85" t="n"/>
      <c r="L1103" s="85" t="n"/>
    </row>
    <row r="1104" ht="12.75" customHeight="1" s="103">
      <c r="A1104" s="78">
        <f>MID(H1104,3,2)</f>
        <v/>
      </c>
      <c r="B1104" s="84" t="inlineStr">
        <is>
          <t>B331</t>
        </is>
      </c>
      <c r="C1104" s="84" t="inlineStr">
        <is>
          <t>上海区域</t>
        </is>
      </c>
      <c r="D1104" s="84" t="inlineStr">
        <is>
          <t>CN0Q</t>
        </is>
      </c>
      <c r="E1104" s="80" t="inlineStr">
        <is>
          <t>EE 苏州比斯特</t>
        </is>
      </c>
      <c r="F1104" s="84" t="n">
        <v>4</v>
      </c>
      <c r="G1104" s="84" t="inlineStr">
        <is>
          <t>奥特莱斯</t>
        </is>
      </c>
      <c r="H1104" s="84" t="inlineStr">
        <is>
          <t>EERSG25B01</t>
        </is>
      </c>
      <c r="I1104" s="84" t="n">
        <v>499</v>
      </c>
      <c r="J1104" s="84" t="n">
        <v>499</v>
      </c>
      <c r="K1104" s="85" t="n"/>
      <c r="L1104" s="85" t="n"/>
    </row>
    <row r="1105" ht="12.75" customHeight="1" s="103">
      <c r="A1105" s="78">
        <f>MID(H1105,3,2)</f>
        <v/>
      </c>
      <c r="B1105" s="84" t="inlineStr">
        <is>
          <t>B331</t>
        </is>
      </c>
      <c r="C1105" s="84" t="inlineStr">
        <is>
          <t>上海区域</t>
        </is>
      </c>
      <c r="D1105" s="84" t="inlineStr">
        <is>
          <t>CN0Q</t>
        </is>
      </c>
      <c r="E1105" s="80" t="inlineStr">
        <is>
          <t>EE 苏州比斯特</t>
        </is>
      </c>
      <c r="F1105" s="84" t="n">
        <v>4</v>
      </c>
      <c r="G1105" s="84" t="inlineStr">
        <is>
          <t>奥特莱斯</t>
        </is>
      </c>
      <c r="H1105" s="84" t="inlineStr">
        <is>
          <t>EERSG25B01</t>
        </is>
      </c>
      <c r="I1105" s="84" t="n">
        <v>499</v>
      </c>
      <c r="J1105" s="84" t="n">
        <v>499</v>
      </c>
      <c r="K1105" s="85" t="n"/>
      <c r="L1105" s="85" t="n"/>
    </row>
    <row r="1106" ht="12.75" customHeight="1" s="103">
      <c r="A1106" s="78">
        <f>MID(H1106,3,2)</f>
        <v/>
      </c>
      <c r="B1106" s="84" t="inlineStr">
        <is>
          <t>B331</t>
        </is>
      </c>
      <c r="C1106" s="84" t="inlineStr">
        <is>
          <t>上海区域</t>
        </is>
      </c>
      <c r="D1106" s="84" t="inlineStr">
        <is>
          <t>CN0Q</t>
        </is>
      </c>
      <c r="E1106" s="80" t="inlineStr">
        <is>
          <t>EE 苏州比斯特</t>
        </is>
      </c>
      <c r="F1106" s="84" t="n">
        <v>4</v>
      </c>
      <c r="G1106" s="84" t="inlineStr">
        <is>
          <t>奥特莱斯</t>
        </is>
      </c>
      <c r="H1106" s="84" t="inlineStr">
        <is>
          <t>EERSG25B01</t>
        </is>
      </c>
      <c r="I1106" s="84" t="n">
        <v>499</v>
      </c>
      <c r="J1106" s="84" t="n">
        <v>499</v>
      </c>
      <c r="K1106" s="85" t="n"/>
      <c r="L1106" s="85" t="n"/>
    </row>
    <row r="1107" ht="12.75" customHeight="1" s="103">
      <c r="A1107" s="78">
        <f>MID(H1107,3,2)</f>
        <v/>
      </c>
      <c r="B1107" s="84" t="inlineStr">
        <is>
          <t>B331</t>
        </is>
      </c>
      <c r="C1107" s="84" t="inlineStr">
        <is>
          <t>上海区域</t>
        </is>
      </c>
      <c r="D1107" s="84" t="inlineStr">
        <is>
          <t>CN0Q</t>
        </is>
      </c>
      <c r="E1107" s="80" t="inlineStr">
        <is>
          <t>EE 苏州比斯特</t>
        </is>
      </c>
      <c r="F1107" s="84" t="n">
        <v>4</v>
      </c>
      <c r="G1107" s="84" t="inlineStr">
        <is>
          <t>奥特莱斯</t>
        </is>
      </c>
      <c r="H1107" s="84" t="inlineStr">
        <is>
          <t>EERSG25B01</t>
        </is>
      </c>
      <c r="I1107" s="84" t="n">
        <v>499</v>
      </c>
      <c r="J1107" s="84" t="n">
        <v>499</v>
      </c>
      <c r="K1107" s="85" t="n"/>
      <c r="L1107" s="85" t="n"/>
    </row>
    <row r="1108" ht="12.75" customHeight="1" s="103">
      <c r="A1108" s="78">
        <f>MID(H1108,3,2)</f>
        <v/>
      </c>
      <c r="B1108" s="84" t="inlineStr">
        <is>
          <t>B331</t>
        </is>
      </c>
      <c r="C1108" s="84" t="inlineStr">
        <is>
          <t>上海区域</t>
        </is>
      </c>
      <c r="D1108" s="84" t="inlineStr">
        <is>
          <t>CN0Q</t>
        </is>
      </c>
      <c r="E1108" s="80" t="inlineStr">
        <is>
          <t>EE 苏州比斯特</t>
        </is>
      </c>
      <c r="F1108" s="84" t="n">
        <v>4</v>
      </c>
      <c r="G1108" s="84" t="inlineStr">
        <is>
          <t>奥特莱斯</t>
        </is>
      </c>
      <c r="H1108" s="84" t="inlineStr">
        <is>
          <t>EERSG25B01</t>
        </is>
      </c>
      <c r="I1108" s="84" t="n">
        <v>499</v>
      </c>
      <c r="J1108" s="84" t="n">
        <v>499</v>
      </c>
      <c r="K1108" s="85" t="n"/>
      <c r="L1108" s="85" t="n"/>
    </row>
    <row r="1109" ht="12.75" customHeight="1" s="103">
      <c r="A1109" s="78">
        <f>MID(H1109,3,2)</f>
        <v/>
      </c>
      <c r="B1109" s="84" t="inlineStr">
        <is>
          <t>B331</t>
        </is>
      </c>
      <c r="C1109" s="84" t="inlineStr">
        <is>
          <t>上海区域</t>
        </is>
      </c>
      <c r="D1109" s="84" t="inlineStr">
        <is>
          <t>CN0Q</t>
        </is>
      </c>
      <c r="E1109" s="80" t="inlineStr">
        <is>
          <t>EE 苏州比斯特</t>
        </is>
      </c>
      <c r="F1109" s="84" t="n">
        <v>4</v>
      </c>
      <c r="G1109" s="84" t="inlineStr">
        <is>
          <t>奥特莱斯</t>
        </is>
      </c>
      <c r="H1109" s="84" t="inlineStr">
        <is>
          <t>EERSG25B01</t>
        </is>
      </c>
      <c r="I1109" s="84" t="n">
        <v>499</v>
      </c>
      <c r="J1109" s="84" t="n">
        <v>499</v>
      </c>
      <c r="K1109" s="85" t="n"/>
      <c r="L1109" s="85" t="n"/>
    </row>
    <row r="1110" ht="12.75" customHeight="1" s="103">
      <c r="A1110" s="78">
        <f>MID(H1110,3,2)</f>
        <v/>
      </c>
      <c r="B1110" s="84" t="inlineStr">
        <is>
          <t>B331</t>
        </is>
      </c>
      <c r="C1110" s="84" t="inlineStr">
        <is>
          <t>上海区域</t>
        </is>
      </c>
      <c r="D1110" s="84" t="inlineStr">
        <is>
          <t>CN0Q</t>
        </is>
      </c>
      <c r="E1110" s="80" t="inlineStr">
        <is>
          <t>EE 苏州比斯特</t>
        </is>
      </c>
      <c r="F1110" s="84" t="n">
        <v>4</v>
      </c>
      <c r="G1110" s="84" t="inlineStr">
        <is>
          <t>奥特莱斯</t>
        </is>
      </c>
      <c r="H1110" s="84" t="inlineStr">
        <is>
          <t>EERSG25B1G</t>
        </is>
      </c>
      <c r="I1110" s="84" t="n">
        <v>499</v>
      </c>
      <c r="J1110" s="84" t="n">
        <v>499</v>
      </c>
      <c r="K1110" s="85" t="n"/>
      <c r="L1110" s="85" t="n"/>
    </row>
    <row r="1111" ht="12.75" customHeight="1" s="103">
      <c r="A1111" s="78">
        <f>MID(H1111,3,2)</f>
        <v/>
      </c>
      <c r="B1111" s="84" t="inlineStr">
        <is>
          <t>B331</t>
        </is>
      </c>
      <c r="C1111" s="84" t="inlineStr">
        <is>
          <t>上海区域</t>
        </is>
      </c>
      <c r="D1111" s="84" t="inlineStr">
        <is>
          <t>CN0Q</t>
        </is>
      </c>
      <c r="E1111" s="80" t="inlineStr">
        <is>
          <t>EE 苏州比斯特</t>
        </is>
      </c>
      <c r="F1111" s="84" t="n">
        <v>4</v>
      </c>
      <c r="G1111" s="84" t="inlineStr">
        <is>
          <t>奥特莱斯</t>
        </is>
      </c>
      <c r="H1111" s="84" t="inlineStr">
        <is>
          <t>EERSG25B1G</t>
        </is>
      </c>
      <c r="I1111" s="84" t="n">
        <v>499</v>
      </c>
      <c r="J1111" s="84" t="n">
        <v>499</v>
      </c>
      <c r="K1111" s="85" t="n"/>
      <c r="L1111" s="85" t="n"/>
    </row>
    <row r="1112" ht="12.75" customHeight="1" s="103">
      <c r="A1112" s="78">
        <f>MID(H1112,3,2)</f>
        <v/>
      </c>
      <c r="B1112" s="84" t="inlineStr">
        <is>
          <t>B331</t>
        </is>
      </c>
      <c r="C1112" s="84" t="inlineStr">
        <is>
          <t>上海区域</t>
        </is>
      </c>
      <c r="D1112" s="84" t="inlineStr">
        <is>
          <t>CN0Q</t>
        </is>
      </c>
      <c r="E1112" s="80" t="inlineStr">
        <is>
          <t>EE 苏州比斯特</t>
        </is>
      </c>
      <c r="F1112" s="84" t="n">
        <v>4</v>
      </c>
      <c r="G1112" s="84" t="inlineStr">
        <is>
          <t>奥特莱斯</t>
        </is>
      </c>
      <c r="H1112" s="84" t="inlineStr">
        <is>
          <t>EERSG25B1G</t>
        </is>
      </c>
      <c r="I1112" s="84" t="n">
        <v>499</v>
      </c>
      <c r="J1112" s="84" t="n">
        <v>499</v>
      </c>
      <c r="K1112" s="85" t="n"/>
      <c r="L1112" s="85" t="n"/>
    </row>
    <row r="1113" ht="12.75" customHeight="1" s="103">
      <c r="A1113" s="78">
        <f>MID(H1113,3,2)</f>
        <v/>
      </c>
      <c r="B1113" s="84" t="inlineStr">
        <is>
          <t>B331</t>
        </is>
      </c>
      <c r="C1113" s="84" t="inlineStr">
        <is>
          <t>上海区域</t>
        </is>
      </c>
      <c r="D1113" s="84" t="inlineStr">
        <is>
          <t>CN0Q</t>
        </is>
      </c>
      <c r="E1113" s="80" t="inlineStr">
        <is>
          <t>EE 苏州比斯特</t>
        </is>
      </c>
      <c r="F1113" s="84" t="n">
        <v>4</v>
      </c>
      <c r="G1113" s="84" t="inlineStr">
        <is>
          <t>奥特莱斯</t>
        </is>
      </c>
      <c r="H1113" s="84" t="inlineStr">
        <is>
          <t>EERSG25B1G</t>
        </is>
      </c>
      <c r="I1113" s="84" t="n">
        <v>499</v>
      </c>
      <c r="J1113" s="84" t="n">
        <v>499</v>
      </c>
      <c r="K1113" s="85" t="n"/>
      <c r="L1113" s="85" t="n"/>
    </row>
    <row r="1114" ht="12.75" customHeight="1" s="103">
      <c r="A1114" s="78">
        <f>MID(H1114,3,2)</f>
        <v/>
      </c>
      <c r="B1114" s="84" t="inlineStr">
        <is>
          <t>B331</t>
        </is>
      </c>
      <c r="C1114" s="84" t="inlineStr">
        <is>
          <t>上海区域</t>
        </is>
      </c>
      <c r="D1114" s="84" t="inlineStr">
        <is>
          <t>CN0Q</t>
        </is>
      </c>
      <c r="E1114" s="80" t="inlineStr">
        <is>
          <t>EE 苏州比斯特</t>
        </is>
      </c>
      <c r="F1114" s="84" t="n">
        <v>4</v>
      </c>
      <c r="G1114" s="84" t="inlineStr">
        <is>
          <t>奥特莱斯</t>
        </is>
      </c>
      <c r="H1114" s="84" t="inlineStr">
        <is>
          <t>EERSG25B1G</t>
        </is>
      </c>
      <c r="I1114" s="84" t="n">
        <v>499</v>
      </c>
      <c r="J1114" s="84" t="n">
        <v>499</v>
      </c>
      <c r="K1114" s="85" t="n">
        <v>2</v>
      </c>
      <c r="L1114" s="85" t="n"/>
    </row>
    <row r="1115" ht="12.75" customHeight="1" s="103">
      <c r="A1115" s="78">
        <f>MID(H1115,3,2)</f>
        <v/>
      </c>
      <c r="B1115" s="84" t="inlineStr">
        <is>
          <t>B331</t>
        </is>
      </c>
      <c r="C1115" s="84" t="inlineStr">
        <is>
          <t>上海区域</t>
        </is>
      </c>
      <c r="D1115" s="84" t="inlineStr">
        <is>
          <t>CN0Q</t>
        </is>
      </c>
      <c r="E1115" s="80" t="inlineStr">
        <is>
          <t>EE 苏州比斯特</t>
        </is>
      </c>
      <c r="F1115" s="84" t="n">
        <v>4</v>
      </c>
      <c r="G1115" s="84" t="inlineStr">
        <is>
          <t>奥特莱斯</t>
        </is>
      </c>
      <c r="H1115" s="84" t="inlineStr">
        <is>
          <t>EERSG25B1G</t>
        </is>
      </c>
      <c r="I1115" s="84" t="n">
        <v>499</v>
      </c>
      <c r="J1115" s="84" t="n">
        <v>499</v>
      </c>
      <c r="K1115" s="85" t="n">
        <v>1</v>
      </c>
      <c r="L1115" s="85" t="n"/>
    </row>
    <row r="1116" ht="12.75" customHeight="1" s="103">
      <c r="A1116" s="78">
        <f>MID(H1116,3,2)</f>
        <v/>
      </c>
      <c r="B1116" s="84" t="inlineStr">
        <is>
          <t>B331</t>
        </is>
      </c>
      <c r="C1116" s="84" t="inlineStr">
        <is>
          <t>上海区域</t>
        </is>
      </c>
      <c r="D1116" s="84" t="inlineStr">
        <is>
          <t>CN0Q</t>
        </is>
      </c>
      <c r="E1116" s="80" t="inlineStr">
        <is>
          <t>EE 苏州比斯特</t>
        </is>
      </c>
      <c r="F1116" s="84" t="n">
        <v>4</v>
      </c>
      <c r="G1116" s="84" t="inlineStr">
        <is>
          <t>奥特莱斯</t>
        </is>
      </c>
      <c r="H1116" s="84" t="inlineStr">
        <is>
          <t>EERSG25B1G</t>
        </is>
      </c>
      <c r="I1116" s="84" t="n">
        <v>499</v>
      </c>
      <c r="J1116" s="84" t="n">
        <v>499</v>
      </c>
      <c r="K1116" s="85" t="n">
        <v>1</v>
      </c>
      <c r="L1116" s="85" t="n"/>
    </row>
    <row r="1117" ht="12.75" customHeight="1" s="103">
      <c r="A1117" s="78">
        <f>MID(H1117,3,2)</f>
        <v/>
      </c>
      <c r="B1117" s="84" t="inlineStr">
        <is>
          <t>B331</t>
        </is>
      </c>
      <c r="C1117" s="84" t="inlineStr">
        <is>
          <t>上海区域</t>
        </is>
      </c>
      <c r="D1117" s="84" t="inlineStr">
        <is>
          <t>CN0Q</t>
        </is>
      </c>
      <c r="E1117" s="80" t="inlineStr">
        <is>
          <t>EE 苏州比斯特</t>
        </is>
      </c>
      <c r="F1117" s="84" t="n">
        <v>4</v>
      </c>
      <c r="G1117" s="84" t="inlineStr">
        <is>
          <t>奥特莱斯</t>
        </is>
      </c>
      <c r="H1117" s="84" t="inlineStr">
        <is>
          <t>EERSG25B1G</t>
        </is>
      </c>
      <c r="I1117" s="84" t="n">
        <v>499</v>
      </c>
      <c r="J1117" s="84" t="n">
        <v>499</v>
      </c>
      <c r="K1117" s="85" t="n"/>
      <c r="L1117" s="85" t="n"/>
    </row>
    <row r="1118" ht="12.75" customHeight="1" s="103">
      <c r="A1118" s="78">
        <f>MID(H1118,3,2)</f>
        <v/>
      </c>
      <c r="B1118" s="84" t="inlineStr">
        <is>
          <t>B331</t>
        </is>
      </c>
      <c r="C1118" s="84" t="inlineStr">
        <is>
          <t>上海区域</t>
        </is>
      </c>
      <c r="D1118" s="84" t="inlineStr">
        <is>
          <t>CN0Q</t>
        </is>
      </c>
      <c r="E1118" s="80" t="inlineStr">
        <is>
          <t>EE 苏州比斯特</t>
        </is>
      </c>
      <c r="F1118" s="84" t="n">
        <v>4</v>
      </c>
      <c r="G1118" s="84" t="inlineStr">
        <is>
          <t>奥特莱斯</t>
        </is>
      </c>
      <c r="H1118" s="84" t="inlineStr">
        <is>
          <t>EERSG64S01</t>
        </is>
      </c>
      <c r="I1118" s="84" t="n">
        <v>399</v>
      </c>
      <c r="J1118" s="84" t="n">
        <v>399</v>
      </c>
      <c r="K1118" s="85" t="n">
        <v>4</v>
      </c>
      <c r="L1118" s="85" t="n">
        <v>380</v>
      </c>
    </row>
    <row r="1119" ht="12.75" customHeight="1" s="103">
      <c r="A1119" s="78">
        <f>MID(H1119,3,2)</f>
        <v/>
      </c>
      <c r="B1119" s="84" t="inlineStr">
        <is>
          <t>B331</t>
        </is>
      </c>
      <c r="C1119" s="84" t="inlineStr">
        <is>
          <t>上海区域</t>
        </is>
      </c>
      <c r="D1119" s="84" t="inlineStr">
        <is>
          <t>CN0Q</t>
        </is>
      </c>
      <c r="E1119" s="80" t="inlineStr">
        <is>
          <t>EE 苏州比斯特</t>
        </is>
      </c>
      <c r="F1119" s="84" t="n">
        <v>4</v>
      </c>
      <c r="G1119" s="84" t="inlineStr">
        <is>
          <t>奥特莱斯</t>
        </is>
      </c>
      <c r="H1119" s="84" t="inlineStr">
        <is>
          <t>EERSG64S01</t>
        </is>
      </c>
      <c r="I1119" s="84" t="n">
        <v>399</v>
      </c>
      <c r="J1119" s="84" t="n">
        <v>399</v>
      </c>
      <c r="K1119" s="85" t="n">
        <v>6</v>
      </c>
      <c r="L1119" s="85" t="n">
        <v>574</v>
      </c>
    </row>
    <row r="1120" ht="12.75" customHeight="1" s="103">
      <c r="A1120" s="78">
        <f>MID(H1120,3,2)</f>
        <v/>
      </c>
      <c r="B1120" s="84" t="inlineStr">
        <is>
          <t>B331</t>
        </is>
      </c>
      <c r="C1120" s="84" t="inlineStr">
        <is>
          <t>上海区域</t>
        </is>
      </c>
      <c r="D1120" s="84" t="inlineStr">
        <is>
          <t>CN0Q</t>
        </is>
      </c>
      <c r="E1120" s="80" t="inlineStr">
        <is>
          <t>EE 苏州比斯特</t>
        </is>
      </c>
      <c r="F1120" s="84" t="n">
        <v>4</v>
      </c>
      <c r="G1120" s="84" t="inlineStr">
        <is>
          <t>奥特莱斯</t>
        </is>
      </c>
      <c r="H1120" s="84" t="inlineStr">
        <is>
          <t>EERSG64S01</t>
        </is>
      </c>
      <c r="I1120" s="84" t="n">
        <v>399</v>
      </c>
      <c r="J1120" s="84" t="n">
        <v>399</v>
      </c>
      <c r="K1120" s="85" t="n">
        <v>7</v>
      </c>
      <c r="L1120" s="85" t="n">
        <v>726</v>
      </c>
    </row>
    <row r="1121" ht="12.75" customHeight="1" s="103">
      <c r="A1121" s="78">
        <f>MID(H1121,3,2)</f>
        <v/>
      </c>
      <c r="B1121" s="84" t="inlineStr">
        <is>
          <t>B331</t>
        </is>
      </c>
      <c r="C1121" s="84" t="inlineStr">
        <is>
          <t>上海区域</t>
        </is>
      </c>
      <c r="D1121" s="84" t="inlineStr">
        <is>
          <t>CN0Q</t>
        </is>
      </c>
      <c r="E1121" s="80" t="inlineStr">
        <is>
          <t>EE 苏州比斯特</t>
        </is>
      </c>
      <c r="F1121" s="84" t="n">
        <v>4</v>
      </c>
      <c r="G1121" s="84" t="inlineStr">
        <is>
          <t>奥特莱斯</t>
        </is>
      </c>
      <c r="H1121" s="84" t="inlineStr">
        <is>
          <t>EERSG64S01</t>
        </is>
      </c>
      <c r="I1121" s="84" t="n">
        <v>399</v>
      </c>
      <c r="J1121" s="84" t="n">
        <v>399</v>
      </c>
      <c r="K1121" s="85" t="n">
        <v>1</v>
      </c>
      <c r="L1121" s="85" t="n">
        <v>182</v>
      </c>
    </row>
    <row r="1122" ht="12.75" customHeight="1" s="103">
      <c r="A1122" s="78">
        <f>MID(H1122,3,2)</f>
        <v/>
      </c>
      <c r="B1122" s="84" t="inlineStr">
        <is>
          <t>B331</t>
        </is>
      </c>
      <c r="C1122" s="84" t="inlineStr">
        <is>
          <t>上海区域</t>
        </is>
      </c>
      <c r="D1122" s="84" t="inlineStr">
        <is>
          <t>CN0Q</t>
        </is>
      </c>
      <c r="E1122" s="80" t="inlineStr">
        <is>
          <t>EE 苏州比斯特</t>
        </is>
      </c>
      <c r="F1122" s="84" t="n">
        <v>4</v>
      </c>
      <c r="G1122" s="84" t="inlineStr">
        <is>
          <t>奥特莱斯</t>
        </is>
      </c>
      <c r="H1122" s="84" t="inlineStr">
        <is>
          <t>EERSG64S01</t>
        </is>
      </c>
      <c r="I1122" s="84" t="n">
        <v>399</v>
      </c>
      <c r="J1122" s="84" t="n">
        <v>399</v>
      </c>
      <c r="K1122" s="85" t="n">
        <v>1</v>
      </c>
      <c r="L1122" s="85" t="n"/>
    </row>
    <row r="1123" ht="12.75" customHeight="1" s="103">
      <c r="A1123" s="78">
        <f>MID(H1123,3,2)</f>
        <v/>
      </c>
      <c r="B1123" s="84" t="inlineStr">
        <is>
          <t>B331</t>
        </is>
      </c>
      <c r="C1123" s="84" t="inlineStr">
        <is>
          <t>上海区域</t>
        </is>
      </c>
      <c r="D1123" s="84" t="inlineStr">
        <is>
          <t>CN0Q</t>
        </is>
      </c>
      <c r="E1123" s="80" t="inlineStr">
        <is>
          <t>EE 苏州比斯特</t>
        </is>
      </c>
      <c r="F1123" s="84" t="n">
        <v>4</v>
      </c>
      <c r="G1123" s="84" t="inlineStr">
        <is>
          <t>奥特莱斯</t>
        </is>
      </c>
      <c r="H1123" s="84" t="inlineStr">
        <is>
          <t>EERSG64S01</t>
        </is>
      </c>
      <c r="I1123" s="84" t="n">
        <v>399</v>
      </c>
      <c r="J1123" s="84" t="n">
        <v>399</v>
      </c>
      <c r="K1123" s="85" t="n">
        <v>2</v>
      </c>
      <c r="L1123" s="85" t="n">
        <v>182</v>
      </c>
    </row>
    <row r="1124" ht="12.75" customHeight="1" s="103">
      <c r="A1124" s="78">
        <f>MID(H1124,3,2)</f>
        <v/>
      </c>
      <c r="B1124" s="84" t="inlineStr">
        <is>
          <t>B331</t>
        </is>
      </c>
      <c r="C1124" s="84" t="inlineStr">
        <is>
          <t>上海区域</t>
        </is>
      </c>
      <c r="D1124" s="84" t="inlineStr">
        <is>
          <t>CN0Q</t>
        </is>
      </c>
      <c r="E1124" s="80" t="inlineStr">
        <is>
          <t>EE 苏州比斯特</t>
        </is>
      </c>
      <c r="F1124" s="84" t="n">
        <v>4</v>
      </c>
      <c r="G1124" s="84" t="inlineStr">
        <is>
          <t>奥特莱斯</t>
        </is>
      </c>
      <c r="H1124" s="84" t="inlineStr">
        <is>
          <t>EERSG64S01</t>
        </is>
      </c>
      <c r="I1124" s="84" t="n">
        <v>399</v>
      </c>
      <c r="J1124" s="84" t="n">
        <v>399</v>
      </c>
      <c r="K1124" s="85" t="n">
        <v>2</v>
      </c>
      <c r="L1124" s="85" t="n"/>
    </row>
    <row r="1125" ht="12.75" customHeight="1" s="103">
      <c r="A1125" s="78">
        <f>MID(H1125,3,2)</f>
        <v/>
      </c>
      <c r="B1125" s="84" t="inlineStr">
        <is>
          <t>B331</t>
        </is>
      </c>
      <c r="C1125" s="84" t="inlineStr">
        <is>
          <t>上海区域</t>
        </is>
      </c>
      <c r="D1125" s="84" t="inlineStr">
        <is>
          <t>CN0Q</t>
        </is>
      </c>
      <c r="E1125" s="80" t="inlineStr">
        <is>
          <t>EE 苏州比斯特</t>
        </is>
      </c>
      <c r="F1125" s="84" t="n">
        <v>4</v>
      </c>
      <c r="G1125" s="84" t="inlineStr">
        <is>
          <t>奥特莱斯</t>
        </is>
      </c>
      <c r="H1125" s="84" t="inlineStr">
        <is>
          <t>EERSG64S01</t>
        </is>
      </c>
      <c r="I1125" s="84" t="n">
        <v>399</v>
      </c>
      <c r="J1125" s="84" t="n">
        <v>399</v>
      </c>
      <c r="K1125" s="85" t="n">
        <v>4</v>
      </c>
      <c r="L1125" s="85" t="n">
        <v>200</v>
      </c>
    </row>
    <row r="1126" ht="12.75" customHeight="1" s="103">
      <c r="A1126" s="78">
        <f>MID(H1126,3,2)</f>
        <v/>
      </c>
      <c r="B1126" s="84" t="inlineStr">
        <is>
          <t>B331</t>
        </is>
      </c>
      <c r="C1126" s="84" t="inlineStr">
        <is>
          <t>上海区域</t>
        </is>
      </c>
      <c r="D1126" s="84" t="inlineStr">
        <is>
          <t>CN0Q</t>
        </is>
      </c>
      <c r="E1126" s="80" t="inlineStr">
        <is>
          <t>EE 苏州比斯特</t>
        </is>
      </c>
      <c r="F1126" s="84" t="n">
        <v>4</v>
      </c>
      <c r="G1126" s="84" t="inlineStr">
        <is>
          <t>奥特莱斯</t>
        </is>
      </c>
      <c r="H1126" s="84" t="inlineStr">
        <is>
          <t>EERSG64S01</t>
        </is>
      </c>
      <c r="I1126" s="84" t="n">
        <v>399</v>
      </c>
      <c r="J1126" s="84" t="n">
        <v>399</v>
      </c>
      <c r="K1126" s="85" t="n">
        <v>2</v>
      </c>
      <c r="L1126" s="85" t="n"/>
    </row>
    <row r="1127" ht="12.75" customHeight="1" s="103">
      <c r="A1127" s="78">
        <f>MID(H1127,3,2)</f>
        <v/>
      </c>
      <c r="B1127" s="84" t="inlineStr">
        <is>
          <t>B331</t>
        </is>
      </c>
      <c r="C1127" s="84" t="inlineStr">
        <is>
          <t>上海区域</t>
        </is>
      </c>
      <c r="D1127" s="84" t="inlineStr">
        <is>
          <t>CN0Q</t>
        </is>
      </c>
      <c r="E1127" s="80" t="inlineStr">
        <is>
          <t>EE 苏州比斯特</t>
        </is>
      </c>
      <c r="F1127" s="84" t="n">
        <v>4</v>
      </c>
      <c r="G1127" s="84" t="inlineStr">
        <is>
          <t>奥特莱斯</t>
        </is>
      </c>
      <c r="H1127" s="84" t="inlineStr">
        <is>
          <t>EETAF24M01</t>
        </is>
      </c>
      <c r="I1127" s="84" t="n">
        <v>699</v>
      </c>
      <c r="J1127" s="84" t="n">
        <v>699</v>
      </c>
      <c r="K1127" s="85" t="n"/>
      <c r="L1127" s="85" t="n"/>
    </row>
    <row r="1128" ht="12.75" customHeight="1" s="103">
      <c r="A1128" s="78">
        <f>MID(H1128,3,2)</f>
        <v/>
      </c>
      <c r="B1128" s="84" t="inlineStr">
        <is>
          <t>B331</t>
        </is>
      </c>
      <c r="C1128" s="84" t="inlineStr">
        <is>
          <t>上海区域</t>
        </is>
      </c>
      <c r="D1128" s="84" t="inlineStr">
        <is>
          <t>CN0Q</t>
        </is>
      </c>
      <c r="E1128" s="80" t="inlineStr">
        <is>
          <t>EE 苏州比斯特</t>
        </is>
      </c>
      <c r="F1128" s="84" t="n">
        <v>4</v>
      </c>
      <c r="G1128" s="84" t="inlineStr">
        <is>
          <t>奥特莱斯</t>
        </is>
      </c>
      <c r="H1128" s="84" t="inlineStr">
        <is>
          <t>EETAF24M01</t>
        </is>
      </c>
      <c r="I1128" s="84" t="n">
        <v>699</v>
      </c>
      <c r="J1128" s="84" t="n">
        <v>699</v>
      </c>
      <c r="K1128" s="85" t="n"/>
      <c r="L1128" s="85" t="n"/>
    </row>
    <row r="1129" ht="12.75" customHeight="1" s="103">
      <c r="A1129" s="78">
        <f>MID(H1129,3,2)</f>
        <v/>
      </c>
      <c r="B1129" s="84" t="inlineStr">
        <is>
          <t>B331</t>
        </is>
      </c>
      <c r="C1129" s="84" t="inlineStr">
        <is>
          <t>上海区域</t>
        </is>
      </c>
      <c r="D1129" s="84" t="inlineStr">
        <is>
          <t>CN0Q</t>
        </is>
      </c>
      <c r="E1129" s="80" t="inlineStr">
        <is>
          <t>EE 苏州比斯特</t>
        </is>
      </c>
      <c r="F1129" s="84" t="n">
        <v>4</v>
      </c>
      <c r="G1129" s="84" t="inlineStr">
        <is>
          <t>奥特莱斯</t>
        </is>
      </c>
      <c r="H1129" s="84" t="inlineStr">
        <is>
          <t>EETAF24M01</t>
        </is>
      </c>
      <c r="I1129" s="84" t="n">
        <v>699</v>
      </c>
      <c r="J1129" s="84" t="n">
        <v>699</v>
      </c>
      <c r="K1129" s="85" t="n"/>
      <c r="L1129" s="85" t="n"/>
    </row>
    <row r="1130" ht="12.75" customHeight="1" s="103">
      <c r="A1130" s="78">
        <f>MID(H1130,3,2)</f>
        <v/>
      </c>
      <c r="B1130" s="84" t="inlineStr">
        <is>
          <t>B331</t>
        </is>
      </c>
      <c r="C1130" s="84" t="inlineStr">
        <is>
          <t>上海区域</t>
        </is>
      </c>
      <c r="D1130" s="84" t="inlineStr">
        <is>
          <t>CN0Q</t>
        </is>
      </c>
      <c r="E1130" s="80" t="inlineStr">
        <is>
          <t>EE 苏州比斯特</t>
        </is>
      </c>
      <c r="F1130" s="84" t="n">
        <v>4</v>
      </c>
      <c r="G1130" s="84" t="inlineStr">
        <is>
          <t>奥特莱斯</t>
        </is>
      </c>
      <c r="H1130" s="84" t="inlineStr">
        <is>
          <t>EETAF24M01</t>
        </is>
      </c>
      <c r="I1130" s="84" t="n">
        <v>699</v>
      </c>
      <c r="J1130" s="84" t="n">
        <v>699</v>
      </c>
      <c r="K1130" s="85" t="n"/>
      <c r="L1130" s="85" t="n"/>
    </row>
    <row r="1131" ht="12.75" customHeight="1" s="103">
      <c r="A1131" s="78">
        <f>MID(H1131,3,2)</f>
        <v/>
      </c>
      <c r="B1131" s="84" t="inlineStr">
        <is>
          <t>B331</t>
        </is>
      </c>
      <c r="C1131" s="84" t="inlineStr">
        <is>
          <t>上海区域</t>
        </is>
      </c>
      <c r="D1131" s="84" t="inlineStr">
        <is>
          <t>CN0Q</t>
        </is>
      </c>
      <c r="E1131" s="80" t="inlineStr">
        <is>
          <t>EE 苏州比斯特</t>
        </is>
      </c>
      <c r="F1131" s="84" t="n">
        <v>4</v>
      </c>
      <c r="G1131" s="84" t="inlineStr">
        <is>
          <t>奥特莱斯</t>
        </is>
      </c>
      <c r="H1131" s="84" t="inlineStr">
        <is>
          <t>EETAF24M01</t>
        </is>
      </c>
      <c r="I1131" s="84" t="n">
        <v>699</v>
      </c>
      <c r="J1131" s="84" t="n">
        <v>699</v>
      </c>
      <c r="K1131" s="85" t="n"/>
      <c r="L1131" s="85" t="n"/>
    </row>
    <row r="1132" ht="12.75" customHeight="1" s="103">
      <c r="A1132" s="78">
        <f>MID(H1132,3,2)</f>
        <v/>
      </c>
      <c r="B1132" s="84" t="inlineStr">
        <is>
          <t>B331</t>
        </is>
      </c>
      <c r="C1132" s="84" t="inlineStr">
        <is>
          <t>上海区域</t>
        </is>
      </c>
      <c r="D1132" s="84" t="inlineStr">
        <is>
          <t>CN0Q</t>
        </is>
      </c>
      <c r="E1132" s="80" t="inlineStr">
        <is>
          <t>EE 苏州比斯特</t>
        </is>
      </c>
      <c r="F1132" s="84" t="n">
        <v>4</v>
      </c>
      <c r="G1132" s="84" t="inlineStr">
        <is>
          <t>奥特莱斯</t>
        </is>
      </c>
      <c r="H1132" s="84" t="inlineStr">
        <is>
          <t>EETAF24M01</t>
        </is>
      </c>
      <c r="I1132" s="84" t="n">
        <v>699</v>
      </c>
      <c r="J1132" s="84" t="n">
        <v>699</v>
      </c>
      <c r="K1132" s="85" t="n"/>
      <c r="L1132" s="85" t="n"/>
    </row>
    <row r="1133" ht="12.75" customHeight="1" s="103">
      <c r="A1133" s="78">
        <f>MID(H1133,3,2)</f>
        <v/>
      </c>
      <c r="B1133" s="84" t="inlineStr">
        <is>
          <t>B331</t>
        </is>
      </c>
      <c r="C1133" s="84" t="inlineStr">
        <is>
          <t>上海区域</t>
        </is>
      </c>
      <c r="D1133" s="84" t="inlineStr">
        <is>
          <t>CN0Q</t>
        </is>
      </c>
      <c r="E1133" s="80" t="inlineStr">
        <is>
          <t>EE 苏州比斯特</t>
        </is>
      </c>
      <c r="F1133" s="84" t="n">
        <v>4</v>
      </c>
      <c r="G1133" s="84" t="inlineStr">
        <is>
          <t>奥特莱斯</t>
        </is>
      </c>
      <c r="H1133" s="84" t="inlineStr">
        <is>
          <t>EETAG24B03</t>
        </is>
      </c>
      <c r="I1133" s="84" t="n">
        <v>899</v>
      </c>
      <c r="J1133" s="84" t="n">
        <v>899</v>
      </c>
      <c r="K1133" s="85" t="n">
        <v>1</v>
      </c>
      <c r="L1133" s="85" t="n">
        <v>629</v>
      </c>
    </row>
    <row r="1134" ht="12.75" customHeight="1" s="103">
      <c r="A1134" s="78">
        <f>MID(H1134,3,2)</f>
        <v/>
      </c>
      <c r="B1134" s="84" t="inlineStr">
        <is>
          <t>B331</t>
        </is>
      </c>
      <c r="C1134" s="84" t="inlineStr">
        <is>
          <t>上海区域</t>
        </is>
      </c>
      <c r="D1134" s="84" t="inlineStr">
        <is>
          <t>CN0Q</t>
        </is>
      </c>
      <c r="E1134" s="80" t="inlineStr">
        <is>
          <t>EE 苏州比斯特</t>
        </is>
      </c>
      <c r="F1134" s="84" t="n">
        <v>4</v>
      </c>
      <c r="G1134" s="84" t="inlineStr">
        <is>
          <t>奥特莱斯</t>
        </is>
      </c>
      <c r="H1134" s="84" t="inlineStr">
        <is>
          <t>EETAG24B03</t>
        </is>
      </c>
      <c r="I1134" s="84" t="n">
        <v>899</v>
      </c>
      <c r="J1134" s="84" t="n">
        <v>899</v>
      </c>
      <c r="K1134" s="85" t="n">
        <v>1</v>
      </c>
      <c r="L1134" s="85" t="n"/>
    </row>
    <row r="1135" ht="12.75" customHeight="1" s="103">
      <c r="A1135" s="78">
        <f>MID(H1135,3,2)</f>
        <v/>
      </c>
      <c r="B1135" s="84" t="inlineStr">
        <is>
          <t>B331</t>
        </is>
      </c>
      <c r="C1135" s="84" t="inlineStr">
        <is>
          <t>上海区域</t>
        </is>
      </c>
      <c r="D1135" s="84" t="inlineStr">
        <is>
          <t>CN0Q</t>
        </is>
      </c>
      <c r="E1135" s="80" t="inlineStr">
        <is>
          <t>EE 苏州比斯特</t>
        </is>
      </c>
      <c r="F1135" s="84" t="n">
        <v>4</v>
      </c>
      <c r="G1135" s="84" t="inlineStr">
        <is>
          <t>奥特莱斯</t>
        </is>
      </c>
      <c r="H1135" s="84" t="inlineStr">
        <is>
          <t>EETAG24B03</t>
        </is>
      </c>
      <c r="I1135" s="84" t="n">
        <v>899</v>
      </c>
      <c r="J1135" s="84" t="n">
        <v>899</v>
      </c>
      <c r="K1135" s="85" t="n">
        <v>4</v>
      </c>
      <c r="L1135" s="86" t="n">
        <v>2319</v>
      </c>
    </row>
    <row r="1136" ht="12.75" customHeight="1" s="103">
      <c r="A1136" s="78">
        <f>MID(H1136,3,2)</f>
        <v/>
      </c>
      <c r="B1136" s="84" t="inlineStr">
        <is>
          <t>B331</t>
        </is>
      </c>
      <c r="C1136" s="84" t="inlineStr">
        <is>
          <t>上海区域</t>
        </is>
      </c>
      <c r="D1136" s="84" t="inlineStr">
        <is>
          <t>CN0Q</t>
        </is>
      </c>
      <c r="E1136" s="80" t="inlineStr">
        <is>
          <t>EE 苏州比斯特</t>
        </is>
      </c>
      <c r="F1136" s="84" t="n">
        <v>4</v>
      </c>
      <c r="G1136" s="84" t="inlineStr">
        <is>
          <t>奥特莱斯</t>
        </is>
      </c>
      <c r="H1136" s="84" t="inlineStr">
        <is>
          <t>EETAG24B03</t>
        </is>
      </c>
      <c r="I1136" s="84" t="n">
        <v>899</v>
      </c>
      <c r="J1136" s="84" t="n">
        <v>899</v>
      </c>
      <c r="K1136" s="85" t="n"/>
      <c r="L1136" s="85" t="n"/>
    </row>
    <row r="1137" ht="12.75" customHeight="1" s="103">
      <c r="A1137" s="78">
        <f>MID(H1137,3,2)</f>
        <v/>
      </c>
      <c r="B1137" s="84" t="inlineStr">
        <is>
          <t>B331</t>
        </is>
      </c>
      <c r="C1137" s="84" t="inlineStr">
        <is>
          <t>上海区域</t>
        </is>
      </c>
      <c r="D1137" s="84" t="inlineStr">
        <is>
          <t>CN0Q</t>
        </is>
      </c>
      <c r="E1137" s="80" t="inlineStr">
        <is>
          <t>EE 苏州比斯特</t>
        </is>
      </c>
      <c r="F1137" s="84" t="n">
        <v>4</v>
      </c>
      <c r="G1137" s="84" t="inlineStr">
        <is>
          <t>奥特莱斯</t>
        </is>
      </c>
      <c r="H1137" s="84" t="inlineStr">
        <is>
          <t>EETAG24B03</t>
        </is>
      </c>
      <c r="I1137" s="84" t="n">
        <v>899</v>
      </c>
      <c r="J1137" s="84" t="n">
        <v>899</v>
      </c>
      <c r="K1137" s="85" t="n"/>
      <c r="L1137" s="85" t="n"/>
    </row>
    <row r="1138" ht="12.75" customHeight="1" s="103">
      <c r="A1138" s="78">
        <f>MID(H1138,3,2)</f>
        <v/>
      </c>
      <c r="B1138" s="84" t="inlineStr">
        <is>
          <t>B331</t>
        </is>
      </c>
      <c r="C1138" s="84" t="inlineStr">
        <is>
          <t>上海区域</t>
        </is>
      </c>
      <c r="D1138" s="84" t="inlineStr">
        <is>
          <t>CN0Q</t>
        </is>
      </c>
      <c r="E1138" s="80" t="inlineStr">
        <is>
          <t>EE 苏州比斯特</t>
        </is>
      </c>
      <c r="F1138" s="84" t="n">
        <v>4</v>
      </c>
      <c r="G1138" s="84" t="inlineStr">
        <is>
          <t>奥特莱斯</t>
        </is>
      </c>
      <c r="H1138" s="84" t="inlineStr">
        <is>
          <t>EETAG24B03</t>
        </is>
      </c>
      <c r="I1138" s="84" t="n">
        <v>899</v>
      </c>
      <c r="J1138" s="84" t="n">
        <v>899</v>
      </c>
      <c r="K1138" s="85" t="n">
        <v>2</v>
      </c>
      <c r="L1138" s="85" t="n">
        <v>573</v>
      </c>
    </row>
    <row r="1139" ht="12.75" customHeight="1" s="103">
      <c r="A1139" s="78">
        <f>MID(H1139,3,2)</f>
        <v/>
      </c>
      <c r="B1139" s="84" t="inlineStr">
        <is>
          <t>B331</t>
        </is>
      </c>
      <c r="C1139" s="84" t="inlineStr">
        <is>
          <t>上海区域</t>
        </is>
      </c>
      <c r="D1139" s="84" t="inlineStr">
        <is>
          <t>CN0Q</t>
        </is>
      </c>
      <c r="E1139" s="80" t="inlineStr">
        <is>
          <t>EE 苏州比斯特</t>
        </is>
      </c>
      <c r="F1139" s="84" t="n">
        <v>4</v>
      </c>
      <c r="G1139" s="84" t="inlineStr">
        <is>
          <t>奥特莱斯</t>
        </is>
      </c>
      <c r="H1139" s="84" t="inlineStr">
        <is>
          <t>EETAG24B03</t>
        </is>
      </c>
      <c r="I1139" s="84" t="n">
        <v>899</v>
      </c>
      <c r="J1139" s="84" t="n">
        <v>899</v>
      </c>
      <c r="K1139" s="85" t="n">
        <v>2</v>
      </c>
      <c r="L1139" s="86" t="n">
        <v>1152</v>
      </c>
    </row>
    <row r="1140" ht="12.75" customHeight="1" s="103">
      <c r="A1140" s="78">
        <f>MID(H1140,3,2)</f>
        <v/>
      </c>
      <c r="B1140" s="84" t="inlineStr">
        <is>
          <t>B331</t>
        </is>
      </c>
      <c r="C1140" s="84" t="inlineStr">
        <is>
          <t>上海区域</t>
        </is>
      </c>
      <c r="D1140" s="84" t="inlineStr">
        <is>
          <t>CN0Q</t>
        </is>
      </c>
      <c r="E1140" s="80" t="inlineStr">
        <is>
          <t>EE 苏州比斯特</t>
        </is>
      </c>
      <c r="F1140" s="84" t="n">
        <v>4</v>
      </c>
      <c r="G1140" s="84" t="inlineStr">
        <is>
          <t>奥特莱斯</t>
        </is>
      </c>
      <c r="H1140" s="84" t="inlineStr">
        <is>
          <t>EETAG24B03</t>
        </is>
      </c>
      <c r="I1140" s="84" t="n">
        <v>899</v>
      </c>
      <c r="J1140" s="84" t="n">
        <v>899</v>
      </c>
      <c r="K1140" s="85" t="n">
        <v>1</v>
      </c>
      <c r="L1140" s="85" t="n">
        <v>270</v>
      </c>
    </row>
    <row r="1141" ht="12.75" customHeight="1" s="103">
      <c r="A1141" s="78">
        <f>MID(H1141,3,2)</f>
        <v/>
      </c>
      <c r="B1141" s="84" t="inlineStr">
        <is>
          <t>B331</t>
        </is>
      </c>
      <c r="C1141" s="84" t="inlineStr">
        <is>
          <t>上海区域</t>
        </is>
      </c>
      <c r="D1141" s="84" t="inlineStr">
        <is>
          <t>CN0Q</t>
        </is>
      </c>
      <c r="E1141" s="80" t="inlineStr">
        <is>
          <t>EE 苏州比斯特</t>
        </is>
      </c>
      <c r="F1141" s="84" t="n">
        <v>4</v>
      </c>
      <c r="G1141" s="84" t="inlineStr">
        <is>
          <t>奥特莱斯</t>
        </is>
      </c>
      <c r="H1141" s="84" t="inlineStr">
        <is>
          <t>EETAG24E02</t>
        </is>
      </c>
      <c r="I1141" s="84" t="n">
        <v>999</v>
      </c>
      <c r="J1141" s="84" t="n">
        <v>899</v>
      </c>
      <c r="K1141" s="85" t="n">
        <v>3</v>
      </c>
      <c r="L1141" s="86" t="n">
        <v>1202</v>
      </c>
    </row>
    <row r="1142" ht="12.75" customHeight="1" s="103">
      <c r="A1142" s="78">
        <f>MID(H1142,3,2)</f>
        <v/>
      </c>
      <c r="B1142" s="84" t="inlineStr">
        <is>
          <t>B331</t>
        </is>
      </c>
      <c r="C1142" s="84" t="inlineStr">
        <is>
          <t>上海区域</t>
        </is>
      </c>
      <c r="D1142" s="84" t="inlineStr">
        <is>
          <t>CN0Q</t>
        </is>
      </c>
      <c r="E1142" s="80" t="inlineStr">
        <is>
          <t>EE 苏州比斯特</t>
        </is>
      </c>
      <c r="F1142" s="84" t="n">
        <v>4</v>
      </c>
      <c r="G1142" s="84" t="inlineStr">
        <is>
          <t>奥特莱斯</t>
        </is>
      </c>
      <c r="H1142" s="84" t="inlineStr">
        <is>
          <t>EETAG24E02</t>
        </is>
      </c>
      <c r="I1142" s="84" t="n">
        <v>999</v>
      </c>
      <c r="J1142" s="84" t="n">
        <v>899</v>
      </c>
      <c r="K1142" s="85" t="n"/>
      <c r="L1142" s="85" t="n"/>
    </row>
    <row r="1143" ht="12.75" customHeight="1" s="103">
      <c r="A1143" s="78">
        <f>MID(H1143,3,2)</f>
        <v/>
      </c>
      <c r="B1143" s="84" t="inlineStr">
        <is>
          <t>B331</t>
        </is>
      </c>
      <c r="C1143" s="84" t="inlineStr">
        <is>
          <t>上海区域</t>
        </is>
      </c>
      <c r="D1143" s="84" t="inlineStr">
        <is>
          <t>CN0Q</t>
        </is>
      </c>
      <c r="E1143" s="80" t="inlineStr">
        <is>
          <t>EE 苏州比斯特</t>
        </is>
      </c>
      <c r="F1143" s="84" t="n">
        <v>4</v>
      </c>
      <c r="G1143" s="84" t="inlineStr">
        <is>
          <t>奥特莱斯</t>
        </is>
      </c>
      <c r="H1143" s="84" t="inlineStr">
        <is>
          <t>EETAG24E02</t>
        </is>
      </c>
      <c r="I1143" s="84" t="n">
        <v>999</v>
      </c>
      <c r="J1143" s="84" t="n">
        <v>899</v>
      </c>
      <c r="K1143" s="85" t="n">
        <v>0</v>
      </c>
      <c r="L1143" s="85" t="n">
        <v>-899</v>
      </c>
    </row>
    <row r="1144" ht="12.75" customHeight="1" s="103">
      <c r="A1144" s="78">
        <f>MID(H1144,3,2)</f>
        <v/>
      </c>
      <c r="B1144" s="84" t="inlineStr">
        <is>
          <t>B331</t>
        </is>
      </c>
      <c r="C1144" s="84" t="inlineStr">
        <is>
          <t>上海区域</t>
        </is>
      </c>
      <c r="D1144" s="84" t="inlineStr">
        <is>
          <t>CN0Q</t>
        </is>
      </c>
      <c r="E1144" s="80" t="inlineStr">
        <is>
          <t>EE 苏州比斯特</t>
        </is>
      </c>
      <c r="F1144" s="84" t="n">
        <v>4</v>
      </c>
      <c r="G1144" s="84" t="inlineStr">
        <is>
          <t>奥特莱斯</t>
        </is>
      </c>
      <c r="H1144" s="84" t="inlineStr">
        <is>
          <t>EETAG24E02</t>
        </is>
      </c>
      <c r="I1144" s="84" t="n">
        <v>999</v>
      </c>
      <c r="J1144" s="84" t="n">
        <v>899</v>
      </c>
      <c r="K1144" s="85" t="n">
        <v>1</v>
      </c>
      <c r="L1144" s="85" t="n"/>
    </row>
    <row r="1145" ht="12.75" customHeight="1" s="103">
      <c r="A1145" s="78">
        <f>MID(H1145,3,2)</f>
        <v/>
      </c>
      <c r="B1145" s="84" t="inlineStr">
        <is>
          <t>B331</t>
        </is>
      </c>
      <c r="C1145" s="84" t="inlineStr">
        <is>
          <t>上海区域</t>
        </is>
      </c>
      <c r="D1145" s="84" t="inlineStr">
        <is>
          <t>CN0Q</t>
        </is>
      </c>
      <c r="E1145" s="80" t="inlineStr">
        <is>
          <t>EE 苏州比斯特</t>
        </is>
      </c>
      <c r="F1145" s="84" t="n">
        <v>4</v>
      </c>
      <c r="G1145" s="84" t="inlineStr">
        <is>
          <t>奥特莱斯</t>
        </is>
      </c>
      <c r="H1145" s="84" t="inlineStr">
        <is>
          <t>EETAG24E02</t>
        </is>
      </c>
      <c r="I1145" s="84" t="n">
        <v>999</v>
      </c>
      <c r="J1145" s="84" t="n">
        <v>899</v>
      </c>
      <c r="K1145" s="85" t="n">
        <v>3</v>
      </c>
      <c r="L1145" s="85" t="n">
        <v>899</v>
      </c>
    </row>
    <row r="1146" ht="12.75" customHeight="1" s="103">
      <c r="A1146" s="78">
        <f>MID(H1146,3,2)</f>
        <v/>
      </c>
      <c r="B1146" s="84" t="inlineStr">
        <is>
          <t>B331</t>
        </is>
      </c>
      <c r="C1146" s="84" t="inlineStr">
        <is>
          <t>上海区域</t>
        </is>
      </c>
      <c r="D1146" s="84" t="inlineStr">
        <is>
          <t>CN0Q</t>
        </is>
      </c>
      <c r="E1146" s="80" t="inlineStr">
        <is>
          <t>EE 苏州比斯特</t>
        </is>
      </c>
      <c r="F1146" s="84" t="n">
        <v>4</v>
      </c>
      <c r="G1146" s="84" t="inlineStr">
        <is>
          <t>奥特莱斯</t>
        </is>
      </c>
      <c r="H1146" s="84" t="inlineStr">
        <is>
          <t>EETAG24E02</t>
        </is>
      </c>
      <c r="I1146" s="84" t="n">
        <v>999</v>
      </c>
      <c r="J1146" s="84" t="n">
        <v>899</v>
      </c>
      <c r="K1146" s="85" t="n">
        <v>9</v>
      </c>
      <c r="L1146" s="86" t="n">
        <v>3501</v>
      </c>
    </row>
    <row r="1147" ht="12.75" customHeight="1" s="103">
      <c r="A1147" s="78">
        <f>MID(H1147,3,2)</f>
        <v/>
      </c>
      <c r="B1147" s="84" t="inlineStr">
        <is>
          <t>B331</t>
        </is>
      </c>
      <c r="C1147" s="84" t="inlineStr">
        <is>
          <t>上海区域</t>
        </is>
      </c>
      <c r="D1147" s="84" t="inlineStr">
        <is>
          <t>CN0Q</t>
        </is>
      </c>
      <c r="E1147" s="80" t="inlineStr">
        <is>
          <t>EE 苏州比斯特</t>
        </is>
      </c>
      <c r="F1147" s="84" t="n">
        <v>4</v>
      </c>
      <c r="G1147" s="84" t="inlineStr">
        <is>
          <t>奥特莱斯</t>
        </is>
      </c>
      <c r="H1147" s="84" t="inlineStr">
        <is>
          <t>EETAG24E02</t>
        </is>
      </c>
      <c r="I1147" s="84" t="n">
        <v>999</v>
      </c>
      <c r="J1147" s="84" t="n">
        <v>899</v>
      </c>
      <c r="K1147" s="85" t="n">
        <v>6</v>
      </c>
      <c r="L1147" s="86" t="n">
        <v>2080</v>
      </c>
    </row>
    <row r="1148" ht="12.75" customHeight="1" s="103">
      <c r="A1148" s="78">
        <f>MID(H1148,3,2)</f>
        <v/>
      </c>
      <c r="B1148" s="84" t="inlineStr">
        <is>
          <t>B331</t>
        </is>
      </c>
      <c r="C1148" s="84" t="inlineStr">
        <is>
          <t>上海区域</t>
        </is>
      </c>
      <c r="D1148" s="84" t="inlineStr">
        <is>
          <t>CN0Q</t>
        </is>
      </c>
      <c r="E1148" s="80" t="inlineStr">
        <is>
          <t>EE 苏州比斯特</t>
        </is>
      </c>
      <c r="F1148" s="84" t="n">
        <v>4</v>
      </c>
      <c r="G1148" s="84" t="inlineStr">
        <is>
          <t>奥特莱斯</t>
        </is>
      </c>
      <c r="H1148" s="84" t="inlineStr">
        <is>
          <t>EETAG24E02</t>
        </is>
      </c>
      <c r="I1148" s="84" t="n">
        <v>999</v>
      </c>
      <c r="J1148" s="84" t="n">
        <v>899</v>
      </c>
      <c r="K1148" s="85" t="n">
        <v>4</v>
      </c>
      <c r="L1148" s="86" t="n">
        <v>1155</v>
      </c>
    </row>
    <row r="1149" ht="12.75" customHeight="1" s="103">
      <c r="A1149" s="78">
        <f>MID(H1149,3,2)</f>
        <v/>
      </c>
      <c r="B1149" s="84" t="inlineStr">
        <is>
          <t>B331</t>
        </is>
      </c>
      <c r="C1149" s="84" t="inlineStr">
        <is>
          <t>上海区域</t>
        </is>
      </c>
      <c r="D1149" s="84" t="inlineStr">
        <is>
          <t>CN0Q</t>
        </is>
      </c>
      <c r="E1149" s="80" t="inlineStr">
        <is>
          <t>EE 苏州比斯特</t>
        </is>
      </c>
      <c r="F1149" s="84" t="n">
        <v>4</v>
      </c>
      <c r="G1149" s="84" t="inlineStr">
        <is>
          <t>奥特莱斯</t>
        </is>
      </c>
      <c r="H1149" s="84" t="inlineStr">
        <is>
          <t>EETAG24E02</t>
        </is>
      </c>
      <c r="I1149" s="84" t="n">
        <v>999</v>
      </c>
      <c r="J1149" s="84" t="n">
        <v>899</v>
      </c>
      <c r="K1149" s="85" t="n">
        <v>1</v>
      </c>
      <c r="L1149" s="85" t="n">
        <v>566</v>
      </c>
    </row>
    <row r="1150" ht="12.75" customHeight="1" s="103">
      <c r="A1150" s="78">
        <f>MID(H1150,3,2)</f>
        <v/>
      </c>
      <c r="B1150" s="84" t="inlineStr">
        <is>
          <t>B331</t>
        </is>
      </c>
      <c r="C1150" s="84" t="inlineStr">
        <is>
          <t>上海区域</t>
        </is>
      </c>
      <c r="D1150" s="84" t="inlineStr">
        <is>
          <t>CN0Q</t>
        </is>
      </c>
      <c r="E1150" s="80" t="inlineStr">
        <is>
          <t>EE 苏州比斯特</t>
        </is>
      </c>
      <c r="F1150" s="84" t="n">
        <v>4</v>
      </c>
      <c r="G1150" s="84" t="inlineStr">
        <is>
          <t>奥特莱斯</t>
        </is>
      </c>
      <c r="H1150" s="84" t="inlineStr">
        <is>
          <t>EETAG24E02</t>
        </is>
      </c>
      <c r="I1150" s="84" t="n">
        <v>999</v>
      </c>
      <c r="J1150" s="84" t="n">
        <v>899</v>
      </c>
      <c r="K1150" s="85" t="n">
        <v>7</v>
      </c>
      <c r="L1150" s="86" t="n">
        <v>3243</v>
      </c>
    </row>
    <row r="1151" ht="12.75" customHeight="1" s="103">
      <c r="A1151" s="78">
        <f>MID(H1151,3,2)</f>
        <v/>
      </c>
      <c r="B1151" s="84" t="inlineStr">
        <is>
          <t>B331</t>
        </is>
      </c>
      <c r="C1151" s="84" t="inlineStr">
        <is>
          <t>上海区域</t>
        </is>
      </c>
      <c r="D1151" s="84" t="inlineStr">
        <is>
          <t>CN0Q</t>
        </is>
      </c>
      <c r="E1151" s="80" t="inlineStr">
        <is>
          <t>EE 苏州比斯特</t>
        </is>
      </c>
      <c r="F1151" s="84" t="n">
        <v>4</v>
      </c>
      <c r="G1151" s="84" t="inlineStr">
        <is>
          <t>奥特莱斯</t>
        </is>
      </c>
      <c r="H1151" s="84" t="inlineStr">
        <is>
          <t>EETAG24E02</t>
        </is>
      </c>
      <c r="I1151" s="84" t="n">
        <v>999</v>
      </c>
      <c r="J1151" s="84" t="n">
        <v>899</v>
      </c>
      <c r="K1151" s="85" t="n">
        <v>4</v>
      </c>
      <c r="L1151" s="86" t="n">
        <v>2304</v>
      </c>
    </row>
    <row r="1152" ht="12.75" customHeight="1" s="103">
      <c r="A1152" s="78">
        <f>MID(H1152,3,2)</f>
        <v/>
      </c>
      <c r="B1152" s="84" t="inlineStr">
        <is>
          <t>B331</t>
        </is>
      </c>
      <c r="C1152" s="84" t="inlineStr">
        <is>
          <t>上海区域</t>
        </is>
      </c>
      <c r="D1152" s="84" t="inlineStr">
        <is>
          <t>CN0Q</t>
        </is>
      </c>
      <c r="E1152" s="80" t="inlineStr">
        <is>
          <t>EE 苏州比斯特</t>
        </is>
      </c>
      <c r="F1152" s="84" t="n">
        <v>4</v>
      </c>
      <c r="G1152" s="84" t="inlineStr">
        <is>
          <t>奥特莱斯</t>
        </is>
      </c>
      <c r="H1152" s="84" t="inlineStr">
        <is>
          <t>EETAG24E02</t>
        </is>
      </c>
      <c r="I1152" s="84" t="n">
        <v>999</v>
      </c>
      <c r="J1152" s="84" t="n">
        <v>899</v>
      </c>
      <c r="K1152" s="85" t="n">
        <v>4</v>
      </c>
      <c r="L1152" s="86" t="n">
        <v>1144</v>
      </c>
    </row>
    <row r="1153" ht="12.75" customHeight="1" s="103">
      <c r="A1153" s="78">
        <f>MID(H1153,3,2)</f>
        <v/>
      </c>
      <c r="B1153" s="84" t="inlineStr">
        <is>
          <t>B331</t>
        </is>
      </c>
      <c r="C1153" s="84" t="inlineStr">
        <is>
          <t>上海区域</t>
        </is>
      </c>
      <c r="D1153" s="84" t="inlineStr">
        <is>
          <t>CN0Q</t>
        </is>
      </c>
      <c r="E1153" s="80" t="inlineStr">
        <is>
          <t>EE 苏州比斯特</t>
        </is>
      </c>
      <c r="F1153" s="84" t="n">
        <v>4</v>
      </c>
      <c r="G1153" s="84" t="inlineStr">
        <is>
          <t>奥特莱斯</t>
        </is>
      </c>
      <c r="H1153" s="84" t="inlineStr">
        <is>
          <t>EETAG24E04</t>
        </is>
      </c>
      <c r="I1153" s="84" t="n">
        <v>699</v>
      </c>
      <c r="J1153" s="84" t="n">
        <v>799</v>
      </c>
      <c r="K1153" s="85" t="n">
        <v>1</v>
      </c>
      <c r="L1153" s="85" t="n"/>
    </row>
    <row r="1154" ht="12.75" customHeight="1" s="103">
      <c r="A1154" s="78">
        <f>MID(H1154,3,2)</f>
        <v/>
      </c>
      <c r="B1154" s="84" t="inlineStr">
        <is>
          <t>B331</t>
        </is>
      </c>
      <c r="C1154" s="84" t="inlineStr">
        <is>
          <t>上海区域</t>
        </is>
      </c>
      <c r="D1154" s="84" t="inlineStr">
        <is>
          <t>CN0Q</t>
        </is>
      </c>
      <c r="E1154" s="80" t="inlineStr">
        <is>
          <t>EE 苏州比斯特</t>
        </is>
      </c>
      <c r="F1154" s="84" t="n">
        <v>4</v>
      </c>
      <c r="G1154" s="84" t="inlineStr">
        <is>
          <t>奥特莱斯</t>
        </is>
      </c>
      <c r="H1154" s="84" t="inlineStr">
        <is>
          <t>EETAG24E04</t>
        </is>
      </c>
      <c r="I1154" s="84" t="n">
        <v>699</v>
      </c>
      <c r="J1154" s="84" t="n">
        <v>799</v>
      </c>
      <c r="K1154" s="85" t="n">
        <v>1</v>
      </c>
      <c r="L1154" s="85" t="n"/>
    </row>
    <row r="1155" ht="12.75" customHeight="1" s="103">
      <c r="A1155" s="78">
        <f>MID(H1155,3,2)</f>
        <v/>
      </c>
      <c r="B1155" s="84" t="inlineStr">
        <is>
          <t>B331</t>
        </is>
      </c>
      <c r="C1155" s="84" t="inlineStr">
        <is>
          <t>上海区域</t>
        </is>
      </c>
      <c r="D1155" s="84" t="inlineStr">
        <is>
          <t>CN0Q</t>
        </is>
      </c>
      <c r="E1155" s="80" t="inlineStr">
        <is>
          <t>EE 苏州比斯特</t>
        </is>
      </c>
      <c r="F1155" s="84" t="n">
        <v>4</v>
      </c>
      <c r="G1155" s="84" t="inlineStr">
        <is>
          <t>奥特莱斯</t>
        </is>
      </c>
      <c r="H1155" s="84" t="inlineStr">
        <is>
          <t>EETAG24E04</t>
        </is>
      </c>
      <c r="I1155" s="84" t="n">
        <v>699</v>
      </c>
      <c r="J1155" s="84" t="n">
        <v>799</v>
      </c>
      <c r="K1155" s="85" t="n">
        <v>1</v>
      </c>
      <c r="L1155" s="85" t="n">
        <v>559</v>
      </c>
    </row>
    <row r="1156" ht="12.75" customHeight="1" s="103">
      <c r="A1156" s="78">
        <f>MID(H1156,3,2)</f>
        <v/>
      </c>
      <c r="B1156" s="84" t="inlineStr">
        <is>
          <t>B331</t>
        </is>
      </c>
      <c r="C1156" s="84" t="inlineStr">
        <is>
          <t>上海区域</t>
        </is>
      </c>
      <c r="D1156" s="84" t="inlineStr">
        <is>
          <t>CN0Q</t>
        </is>
      </c>
      <c r="E1156" s="80" t="inlineStr">
        <is>
          <t>EE 苏州比斯特</t>
        </is>
      </c>
      <c r="F1156" s="84" t="n">
        <v>4</v>
      </c>
      <c r="G1156" s="84" t="inlineStr">
        <is>
          <t>奥特莱斯</t>
        </is>
      </c>
      <c r="H1156" s="84" t="inlineStr">
        <is>
          <t>EETAG24E04</t>
        </is>
      </c>
      <c r="I1156" s="84" t="n">
        <v>699</v>
      </c>
      <c r="J1156" s="84" t="n">
        <v>799</v>
      </c>
      <c r="K1156" s="85" t="n"/>
      <c r="L1156" s="85" t="n"/>
    </row>
    <row r="1157" ht="12.75" customHeight="1" s="103">
      <c r="A1157" s="78">
        <f>MID(H1157,3,2)</f>
        <v/>
      </c>
      <c r="B1157" s="84" t="inlineStr">
        <is>
          <t>B331</t>
        </is>
      </c>
      <c r="C1157" s="84" t="inlineStr">
        <is>
          <t>上海区域</t>
        </is>
      </c>
      <c r="D1157" s="84" t="inlineStr">
        <is>
          <t>CN0Q</t>
        </is>
      </c>
      <c r="E1157" s="80" t="inlineStr">
        <is>
          <t>EE 苏州比斯特</t>
        </is>
      </c>
      <c r="F1157" s="84" t="n">
        <v>4</v>
      </c>
      <c r="G1157" s="84" t="inlineStr">
        <is>
          <t>奥特莱斯</t>
        </is>
      </c>
      <c r="H1157" s="84" t="inlineStr">
        <is>
          <t>EETAG24E04</t>
        </is>
      </c>
      <c r="I1157" s="84" t="n">
        <v>699</v>
      </c>
      <c r="J1157" s="84" t="n">
        <v>799</v>
      </c>
      <c r="K1157" s="85" t="n"/>
      <c r="L1157" s="85" t="n"/>
    </row>
    <row r="1158" ht="12.75" customHeight="1" s="103">
      <c r="A1158" s="78">
        <f>MID(H1158,3,2)</f>
        <v/>
      </c>
      <c r="B1158" s="84" t="inlineStr">
        <is>
          <t>B331</t>
        </is>
      </c>
      <c r="C1158" s="84" t="inlineStr">
        <is>
          <t>上海区域</t>
        </is>
      </c>
      <c r="D1158" s="84" t="inlineStr">
        <is>
          <t>CN0Q</t>
        </is>
      </c>
      <c r="E1158" s="80" t="inlineStr">
        <is>
          <t>EE 苏州比斯特</t>
        </is>
      </c>
      <c r="F1158" s="84" t="n">
        <v>4</v>
      </c>
      <c r="G1158" s="84" t="inlineStr">
        <is>
          <t>奥特莱斯</t>
        </is>
      </c>
      <c r="H1158" s="84" t="inlineStr">
        <is>
          <t>EETAG24E04</t>
        </is>
      </c>
      <c r="I1158" s="84" t="n">
        <v>699</v>
      </c>
      <c r="J1158" s="84" t="n">
        <v>799</v>
      </c>
      <c r="K1158" s="85" t="n"/>
      <c r="L1158" s="85" t="n"/>
    </row>
    <row r="1159" ht="12.75" customHeight="1" s="103">
      <c r="A1159" s="78">
        <f>MID(H1159,3,2)</f>
        <v/>
      </c>
      <c r="B1159" s="84" t="inlineStr">
        <is>
          <t>B331</t>
        </is>
      </c>
      <c r="C1159" s="84" t="inlineStr">
        <is>
          <t>上海区域</t>
        </is>
      </c>
      <c r="D1159" s="84" t="inlineStr">
        <is>
          <t>CN0Q</t>
        </is>
      </c>
      <c r="E1159" s="80" t="inlineStr">
        <is>
          <t>EE 苏州比斯特</t>
        </is>
      </c>
      <c r="F1159" s="84" t="n">
        <v>4</v>
      </c>
      <c r="G1159" s="84" t="inlineStr">
        <is>
          <t>奥特莱斯</t>
        </is>
      </c>
      <c r="H1159" s="84" t="inlineStr">
        <is>
          <t>EETAG24E04</t>
        </is>
      </c>
      <c r="I1159" s="84" t="n">
        <v>699</v>
      </c>
      <c r="J1159" s="84" t="n">
        <v>799</v>
      </c>
      <c r="K1159" s="85" t="n">
        <v>1</v>
      </c>
      <c r="L1159" s="85" t="n">
        <v>519</v>
      </c>
    </row>
    <row r="1160" ht="12.75" customHeight="1" s="103">
      <c r="A1160" s="78">
        <f>MID(H1160,3,2)</f>
        <v/>
      </c>
      <c r="B1160" s="84" t="inlineStr">
        <is>
          <t>B331</t>
        </is>
      </c>
      <c r="C1160" s="84" t="inlineStr">
        <is>
          <t>上海区域</t>
        </is>
      </c>
      <c r="D1160" s="84" t="inlineStr">
        <is>
          <t>CN0Q</t>
        </is>
      </c>
      <c r="E1160" s="80" t="inlineStr">
        <is>
          <t>EE 苏州比斯特</t>
        </is>
      </c>
      <c r="F1160" s="84" t="n">
        <v>4</v>
      </c>
      <c r="G1160" s="84" t="inlineStr">
        <is>
          <t>奥特莱斯</t>
        </is>
      </c>
      <c r="H1160" s="84" t="inlineStr">
        <is>
          <t>EETAG24E04</t>
        </is>
      </c>
      <c r="I1160" s="84" t="n">
        <v>699</v>
      </c>
      <c r="J1160" s="84" t="n">
        <v>799</v>
      </c>
      <c r="K1160" s="85" t="n"/>
      <c r="L1160" s="85" t="n"/>
    </row>
    <row r="1161" ht="12.75" customHeight="1" s="103">
      <c r="A1161" s="78">
        <f>MID(H1161,3,2)</f>
        <v/>
      </c>
      <c r="B1161" s="84" t="inlineStr">
        <is>
          <t>B331</t>
        </is>
      </c>
      <c r="C1161" s="84" t="inlineStr">
        <is>
          <t>上海区域</t>
        </is>
      </c>
      <c r="D1161" s="84" t="inlineStr">
        <is>
          <t>CN0Q</t>
        </is>
      </c>
      <c r="E1161" s="80" t="inlineStr">
        <is>
          <t>EE 苏州比斯特</t>
        </is>
      </c>
      <c r="F1161" s="84" t="n">
        <v>4</v>
      </c>
      <c r="G1161" s="84" t="inlineStr">
        <is>
          <t>奥特莱斯</t>
        </is>
      </c>
      <c r="H1161" s="84" t="inlineStr">
        <is>
          <t>EETCF23M02</t>
        </is>
      </c>
      <c r="I1161" s="84" t="n">
        <v>699</v>
      </c>
      <c r="J1161" s="84" t="n">
        <v>799</v>
      </c>
      <c r="K1161" s="85" t="n"/>
      <c r="L1161" s="85" t="n"/>
    </row>
    <row r="1162" ht="12.75" customHeight="1" s="103">
      <c r="A1162" s="78">
        <f>MID(H1162,3,2)</f>
        <v/>
      </c>
      <c r="B1162" s="84" t="inlineStr">
        <is>
          <t>B331</t>
        </is>
      </c>
      <c r="C1162" s="84" t="inlineStr">
        <is>
          <t>上海区域</t>
        </is>
      </c>
      <c r="D1162" s="84" t="inlineStr">
        <is>
          <t>CN0Q</t>
        </is>
      </c>
      <c r="E1162" s="80" t="inlineStr">
        <is>
          <t>EE 苏州比斯特</t>
        </is>
      </c>
      <c r="F1162" s="84" t="n">
        <v>4</v>
      </c>
      <c r="G1162" s="84" t="inlineStr">
        <is>
          <t>奥特莱斯</t>
        </is>
      </c>
      <c r="H1162" s="84" t="inlineStr">
        <is>
          <t>EETCF23M02</t>
        </is>
      </c>
      <c r="I1162" s="84" t="n">
        <v>699</v>
      </c>
      <c r="J1162" s="84" t="n">
        <v>799</v>
      </c>
      <c r="K1162" s="85" t="n"/>
      <c r="L1162" s="85" t="n"/>
    </row>
    <row r="1163" ht="12.75" customHeight="1" s="103">
      <c r="A1163" s="78">
        <f>MID(H1163,3,2)</f>
        <v/>
      </c>
      <c r="B1163" s="84" t="inlineStr">
        <is>
          <t>B331</t>
        </is>
      </c>
      <c r="C1163" s="84" t="inlineStr">
        <is>
          <t>上海区域</t>
        </is>
      </c>
      <c r="D1163" s="84" t="inlineStr">
        <is>
          <t>CN0Q</t>
        </is>
      </c>
      <c r="E1163" s="80" t="inlineStr">
        <is>
          <t>EE 苏州比斯特</t>
        </is>
      </c>
      <c r="F1163" s="84" t="n">
        <v>4</v>
      </c>
      <c r="G1163" s="84" t="inlineStr">
        <is>
          <t>奥特莱斯</t>
        </is>
      </c>
      <c r="H1163" s="84" t="inlineStr">
        <is>
          <t>EETCF23M02</t>
        </is>
      </c>
      <c r="I1163" s="84" t="n">
        <v>699</v>
      </c>
      <c r="J1163" s="84" t="n">
        <v>799</v>
      </c>
      <c r="K1163" s="85" t="n"/>
      <c r="L1163" s="85" t="n"/>
    </row>
    <row r="1164" ht="12.75" customHeight="1" s="103">
      <c r="A1164" s="78">
        <f>MID(H1164,3,2)</f>
        <v/>
      </c>
      <c r="B1164" s="84" t="inlineStr">
        <is>
          <t>B331</t>
        </is>
      </c>
      <c r="C1164" s="84" t="inlineStr">
        <is>
          <t>上海区域</t>
        </is>
      </c>
      <c r="D1164" s="84" t="inlineStr">
        <is>
          <t>CN0Q</t>
        </is>
      </c>
      <c r="E1164" s="80" t="inlineStr">
        <is>
          <t>EE 苏州比斯特</t>
        </is>
      </c>
      <c r="F1164" s="84" t="n">
        <v>4</v>
      </c>
      <c r="G1164" s="84" t="inlineStr">
        <is>
          <t>奥特莱斯</t>
        </is>
      </c>
      <c r="H1164" s="84" t="inlineStr">
        <is>
          <t>EETCF23M02</t>
        </is>
      </c>
      <c r="I1164" s="84" t="n">
        <v>699</v>
      </c>
      <c r="J1164" s="84" t="n">
        <v>799</v>
      </c>
      <c r="K1164" s="85" t="n"/>
      <c r="L1164" s="85" t="n"/>
    </row>
    <row r="1165" ht="12.75" customHeight="1" s="103">
      <c r="A1165" s="78">
        <f>MID(H1165,3,2)</f>
        <v/>
      </c>
      <c r="B1165" s="84" t="inlineStr">
        <is>
          <t>B331</t>
        </is>
      </c>
      <c r="C1165" s="84" t="inlineStr">
        <is>
          <t>上海区域</t>
        </is>
      </c>
      <c r="D1165" s="84" t="inlineStr">
        <is>
          <t>CN0Q</t>
        </is>
      </c>
      <c r="E1165" s="80" t="inlineStr">
        <is>
          <t>EE 苏州比斯特</t>
        </is>
      </c>
      <c r="F1165" s="84" t="n">
        <v>4</v>
      </c>
      <c r="G1165" s="84" t="inlineStr">
        <is>
          <t>奥特莱斯</t>
        </is>
      </c>
      <c r="H1165" s="84" t="inlineStr">
        <is>
          <t>EETCF23M02</t>
        </is>
      </c>
      <c r="I1165" s="84" t="n">
        <v>699</v>
      </c>
      <c r="J1165" s="84" t="n">
        <v>799</v>
      </c>
      <c r="K1165" s="85" t="n"/>
      <c r="L1165" s="85" t="n"/>
    </row>
    <row r="1166" ht="12.75" customHeight="1" s="103">
      <c r="A1166" s="78">
        <f>MID(H1166,3,2)</f>
        <v/>
      </c>
      <c r="B1166" s="84" t="inlineStr">
        <is>
          <t>B331</t>
        </is>
      </c>
      <c r="C1166" s="84" t="inlineStr">
        <is>
          <t>上海区域</t>
        </is>
      </c>
      <c r="D1166" s="84" t="inlineStr">
        <is>
          <t>CN0Q</t>
        </is>
      </c>
      <c r="E1166" s="80" t="inlineStr">
        <is>
          <t>EE 苏州比斯特</t>
        </is>
      </c>
      <c r="F1166" s="84" t="n">
        <v>4</v>
      </c>
      <c r="G1166" s="84" t="inlineStr">
        <is>
          <t>奥特莱斯</t>
        </is>
      </c>
      <c r="H1166" s="84" t="inlineStr">
        <is>
          <t>EETCF23M02</t>
        </is>
      </c>
      <c r="I1166" s="84" t="n">
        <v>699</v>
      </c>
      <c r="J1166" s="84" t="n">
        <v>799</v>
      </c>
      <c r="K1166" s="85" t="n"/>
      <c r="L1166" s="85" t="n"/>
    </row>
    <row r="1167" ht="12.75" customHeight="1" s="103">
      <c r="A1167" s="78">
        <f>MID(H1167,3,2)</f>
        <v/>
      </c>
      <c r="B1167" s="84" t="inlineStr">
        <is>
          <t>B331</t>
        </is>
      </c>
      <c r="C1167" s="84" t="inlineStr">
        <is>
          <t>上海区域</t>
        </is>
      </c>
      <c r="D1167" s="84" t="inlineStr">
        <is>
          <t>CN0Q</t>
        </is>
      </c>
      <c r="E1167" s="80" t="inlineStr">
        <is>
          <t>EE 苏州比斯特</t>
        </is>
      </c>
      <c r="F1167" s="84" t="n">
        <v>4</v>
      </c>
      <c r="G1167" s="84" t="inlineStr">
        <is>
          <t>奥特莱斯</t>
        </is>
      </c>
      <c r="H1167" s="84" t="inlineStr">
        <is>
          <t>EETCF23M02</t>
        </is>
      </c>
      <c r="I1167" s="84" t="n">
        <v>699</v>
      </c>
      <c r="J1167" s="84" t="n">
        <v>799</v>
      </c>
      <c r="K1167" s="85" t="n"/>
      <c r="L1167" s="85" t="n"/>
    </row>
    <row r="1168" ht="12.75" customHeight="1" s="103">
      <c r="A1168" s="78">
        <f>MID(H1168,3,2)</f>
        <v/>
      </c>
      <c r="B1168" s="84" t="inlineStr">
        <is>
          <t>B331</t>
        </is>
      </c>
      <c r="C1168" s="84" t="inlineStr">
        <is>
          <t>上海区域</t>
        </is>
      </c>
      <c r="D1168" s="84" t="inlineStr">
        <is>
          <t>CN0Q</t>
        </is>
      </c>
      <c r="E1168" s="80" t="inlineStr">
        <is>
          <t>EE 苏州比斯特</t>
        </is>
      </c>
      <c r="F1168" s="84" t="n">
        <v>4</v>
      </c>
      <c r="G1168" s="84" t="inlineStr">
        <is>
          <t>奥特莱斯</t>
        </is>
      </c>
      <c r="H1168" s="84" t="inlineStr">
        <is>
          <t>EETCF23M02</t>
        </is>
      </c>
      <c r="I1168" s="84" t="n">
        <v>699</v>
      </c>
      <c r="J1168" s="84" t="n">
        <v>799</v>
      </c>
      <c r="K1168" s="85" t="n"/>
      <c r="L1168" s="85" t="n"/>
    </row>
    <row r="1169" ht="12.75" customHeight="1" s="103">
      <c r="A1169" s="78">
        <f>MID(H1169,3,2)</f>
        <v/>
      </c>
      <c r="B1169" s="84" t="inlineStr">
        <is>
          <t>B331</t>
        </is>
      </c>
      <c r="C1169" s="84" t="inlineStr">
        <is>
          <t>上海区域</t>
        </is>
      </c>
      <c r="D1169" s="84" t="inlineStr">
        <is>
          <t>CN0Q</t>
        </is>
      </c>
      <c r="E1169" s="80" t="inlineStr">
        <is>
          <t>EE 苏州比斯特</t>
        </is>
      </c>
      <c r="F1169" s="84" t="n">
        <v>4</v>
      </c>
      <c r="G1169" s="84" t="inlineStr">
        <is>
          <t>奥特莱斯</t>
        </is>
      </c>
      <c r="H1169" s="84" t="inlineStr">
        <is>
          <t>EETCF24E01</t>
        </is>
      </c>
      <c r="I1169" s="84" t="n">
        <v>699</v>
      </c>
      <c r="J1169" s="84" t="n">
        <v>699</v>
      </c>
      <c r="K1169" s="85" t="n"/>
      <c r="L1169" s="85" t="n"/>
    </row>
    <row r="1170" ht="12.75" customHeight="1" s="103">
      <c r="A1170" s="78">
        <f>MID(H1170,3,2)</f>
        <v/>
      </c>
      <c r="B1170" s="84" t="inlineStr">
        <is>
          <t>B331</t>
        </is>
      </c>
      <c r="C1170" s="84" t="inlineStr">
        <is>
          <t>上海区域</t>
        </is>
      </c>
      <c r="D1170" s="84" t="inlineStr">
        <is>
          <t>CN0Q</t>
        </is>
      </c>
      <c r="E1170" s="80" t="inlineStr">
        <is>
          <t>EE 苏州比斯特</t>
        </is>
      </c>
      <c r="F1170" s="84" t="n">
        <v>4</v>
      </c>
      <c r="G1170" s="84" t="inlineStr">
        <is>
          <t>奥特莱斯</t>
        </is>
      </c>
      <c r="H1170" s="84" t="inlineStr">
        <is>
          <t>EETCF24E01</t>
        </is>
      </c>
      <c r="I1170" s="84" t="n">
        <v>699</v>
      </c>
      <c r="J1170" s="84" t="n">
        <v>699</v>
      </c>
      <c r="K1170" s="85" t="n"/>
      <c r="L1170" s="85" t="n"/>
    </row>
    <row r="1171" ht="12.75" customHeight="1" s="103">
      <c r="A1171" s="78">
        <f>MID(H1171,3,2)</f>
        <v/>
      </c>
      <c r="B1171" s="84" t="inlineStr">
        <is>
          <t>B331</t>
        </is>
      </c>
      <c r="C1171" s="84" t="inlineStr">
        <is>
          <t>上海区域</t>
        </is>
      </c>
      <c r="D1171" s="84" t="inlineStr">
        <is>
          <t>CN0Q</t>
        </is>
      </c>
      <c r="E1171" s="80" t="inlineStr">
        <is>
          <t>EE 苏州比斯特</t>
        </is>
      </c>
      <c r="F1171" s="84" t="n">
        <v>4</v>
      </c>
      <c r="G1171" s="84" t="inlineStr">
        <is>
          <t>奥特莱斯</t>
        </is>
      </c>
      <c r="H1171" s="84" t="inlineStr">
        <is>
          <t>EETCF24E01</t>
        </is>
      </c>
      <c r="I1171" s="84" t="n">
        <v>699</v>
      </c>
      <c r="J1171" s="84" t="n">
        <v>699</v>
      </c>
      <c r="K1171" s="85" t="n"/>
      <c r="L1171" s="85" t="n"/>
    </row>
    <row r="1172" ht="12.75" customHeight="1" s="103">
      <c r="A1172" s="78">
        <f>MID(H1172,3,2)</f>
        <v/>
      </c>
      <c r="B1172" s="84" t="inlineStr">
        <is>
          <t>B331</t>
        </is>
      </c>
      <c r="C1172" s="84" t="inlineStr">
        <is>
          <t>上海区域</t>
        </is>
      </c>
      <c r="D1172" s="84" t="inlineStr">
        <is>
          <t>CN0Q</t>
        </is>
      </c>
      <c r="E1172" s="80" t="inlineStr">
        <is>
          <t>EE 苏州比斯特</t>
        </is>
      </c>
      <c r="F1172" s="84" t="n">
        <v>4</v>
      </c>
      <c r="G1172" s="84" t="inlineStr">
        <is>
          <t>奥特莱斯</t>
        </is>
      </c>
      <c r="H1172" s="84" t="inlineStr">
        <is>
          <t>EETCF24E01</t>
        </is>
      </c>
      <c r="I1172" s="84" t="n">
        <v>699</v>
      </c>
      <c r="J1172" s="84" t="n">
        <v>699</v>
      </c>
      <c r="K1172" s="85" t="n"/>
      <c r="L1172" s="85" t="n"/>
    </row>
    <row r="1173" ht="12.75" customHeight="1" s="103">
      <c r="A1173" s="78">
        <f>MID(H1173,3,2)</f>
        <v/>
      </c>
      <c r="B1173" s="84" t="inlineStr">
        <is>
          <t>B331</t>
        </is>
      </c>
      <c r="C1173" s="84" t="inlineStr">
        <is>
          <t>上海区域</t>
        </is>
      </c>
      <c r="D1173" s="84" t="inlineStr">
        <is>
          <t>CN0Q</t>
        </is>
      </c>
      <c r="E1173" s="80" t="inlineStr">
        <is>
          <t>EE 苏州比斯特</t>
        </is>
      </c>
      <c r="F1173" s="84" t="n">
        <v>4</v>
      </c>
      <c r="G1173" s="84" t="inlineStr">
        <is>
          <t>奥特莱斯</t>
        </is>
      </c>
      <c r="H1173" s="84" t="inlineStr">
        <is>
          <t>EETCF24E01</t>
        </is>
      </c>
      <c r="I1173" s="84" t="n">
        <v>699</v>
      </c>
      <c r="J1173" s="84" t="n">
        <v>699</v>
      </c>
      <c r="K1173" s="85" t="n"/>
      <c r="L1173" s="85" t="n"/>
    </row>
    <row r="1174" ht="12.75" customHeight="1" s="103">
      <c r="A1174" s="78">
        <f>MID(H1174,3,2)</f>
        <v/>
      </c>
      <c r="B1174" s="84" t="inlineStr">
        <is>
          <t>B331</t>
        </is>
      </c>
      <c r="C1174" s="84" t="inlineStr">
        <is>
          <t>上海区域</t>
        </is>
      </c>
      <c r="D1174" s="84" t="inlineStr">
        <is>
          <t>CN0Q</t>
        </is>
      </c>
      <c r="E1174" s="80" t="inlineStr">
        <is>
          <t>EE 苏州比斯特</t>
        </is>
      </c>
      <c r="F1174" s="84" t="n">
        <v>4</v>
      </c>
      <c r="G1174" s="84" t="inlineStr">
        <is>
          <t>奥特莱斯</t>
        </is>
      </c>
      <c r="H1174" s="84" t="inlineStr">
        <is>
          <t>EETCF24E01</t>
        </is>
      </c>
      <c r="I1174" s="84" t="n">
        <v>699</v>
      </c>
      <c r="J1174" s="84" t="n">
        <v>699</v>
      </c>
      <c r="K1174" s="85" t="n"/>
      <c r="L1174" s="85" t="n"/>
    </row>
    <row r="1175" ht="12.75" customHeight="1" s="103">
      <c r="A1175" s="78">
        <f>MID(H1175,3,2)</f>
        <v/>
      </c>
      <c r="B1175" s="84" t="inlineStr">
        <is>
          <t>B331</t>
        </is>
      </c>
      <c r="C1175" s="84" t="inlineStr">
        <is>
          <t>上海区域</t>
        </is>
      </c>
      <c r="D1175" s="84" t="inlineStr">
        <is>
          <t>CN0Q</t>
        </is>
      </c>
      <c r="E1175" s="80" t="inlineStr">
        <is>
          <t>EE 苏州比斯特</t>
        </is>
      </c>
      <c r="F1175" s="84" t="n">
        <v>4</v>
      </c>
      <c r="G1175" s="84" t="inlineStr">
        <is>
          <t>奥特莱斯</t>
        </is>
      </c>
      <c r="H1175" s="84" t="inlineStr">
        <is>
          <t>EETCF24E01</t>
        </is>
      </c>
      <c r="I1175" s="84" t="n">
        <v>699</v>
      </c>
      <c r="J1175" s="84" t="n">
        <v>699</v>
      </c>
      <c r="K1175" s="85" t="n"/>
      <c r="L1175" s="85" t="n"/>
    </row>
    <row r="1176" ht="12.75" customHeight="1" s="103">
      <c r="A1176" s="78">
        <f>MID(H1176,3,2)</f>
        <v/>
      </c>
      <c r="B1176" s="84" t="inlineStr">
        <is>
          <t>B331</t>
        </is>
      </c>
      <c r="C1176" s="84" t="inlineStr">
        <is>
          <t>上海区域</t>
        </is>
      </c>
      <c r="D1176" s="84" t="inlineStr">
        <is>
          <t>CN0Q</t>
        </is>
      </c>
      <c r="E1176" s="80" t="inlineStr">
        <is>
          <t>EE 苏州比斯特</t>
        </is>
      </c>
      <c r="F1176" s="84" t="n">
        <v>4</v>
      </c>
      <c r="G1176" s="84" t="inlineStr">
        <is>
          <t>奥特莱斯</t>
        </is>
      </c>
      <c r="H1176" s="84" t="inlineStr">
        <is>
          <t>EETCF24E01</t>
        </is>
      </c>
      <c r="I1176" s="84" t="n">
        <v>699</v>
      </c>
      <c r="J1176" s="84" t="n">
        <v>699</v>
      </c>
      <c r="K1176" s="85" t="n"/>
      <c r="L1176" s="85" t="n"/>
    </row>
    <row r="1177" ht="12.75" customHeight="1" s="103">
      <c r="A1177" s="78">
        <f>MID(H1177,3,2)</f>
        <v/>
      </c>
      <c r="B1177" s="84" t="inlineStr">
        <is>
          <t>B331</t>
        </is>
      </c>
      <c r="C1177" s="84" t="inlineStr">
        <is>
          <t>上海区域</t>
        </is>
      </c>
      <c r="D1177" s="84" t="inlineStr">
        <is>
          <t>CN0Q</t>
        </is>
      </c>
      <c r="E1177" s="80" t="inlineStr">
        <is>
          <t>EE 苏州比斯特</t>
        </is>
      </c>
      <c r="F1177" s="84" t="n">
        <v>4</v>
      </c>
      <c r="G1177" s="84" t="inlineStr">
        <is>
          <t>奥特莱斯</t>
        </is>
      </c>
      <c r="H1177" s="84" t="inlineStr">
        <is>
          <t>EETCF24E01</t>
        </is>
      </c>
      <c r="I1177" s="84" t="n">
        <v>699</v>
      </c>
      <c r="J1177" s="84" t="n">
        <v>699</v>
      </c>
      <c r="K1177" s="85" t="n"/>
      <c r="L1177" s="85" t="n"/>
    </row>
    <row r="1178" ht="12.75" customHeight="1" s="103">
      <c r="A1178" s="78">
        <f>MID(H1178,3,2)</f>
        <v/>
      </c>
      <c r="B1178" s="84" t="inlineStr">
        <is>
          <t>B331</t>
        </is>
      </c>
      <c r="C1178" s="84" t="inlineStr">
        <is>
          <t>上海区域</t>
        </is>
      </c>
      <c r="D1178" s="84" t="inlineStr">
        <is>
          <t>CN0Q</t>
        </is>
      </c>
      <c r="E1178" s="80" t="inlineStr">
        <is>
          <t>EE 苏州比斯特</t>
        </is>
      </c>
      <c r="F1178" s="84" t="n">
        <v>4</v>
      </c>
      <c r="G1178" s="84" t="inlineStr">
        <is>
          <t>奥特莱斯</t>
        </is>
      </c>
      <c r="H1178" s="84" t="inlineStr">
        <is>
          <t>EETCF24E01</t>
        </is>
      </c>
      <c r="I1178" s="84" t="n">
        <v>699</v>
      </c>
      <c r="J1178" s="84" t="n">
        <v>699</v>
      </c>
      <c r="K1178" s="85" t="n"/>
      <c r="L1178" s="85" t="n"/>
    </row>
    <row r="1179" ht="12.75" customHeight="1" s="103">
      <c r="A1179" s="78">
        <f>MID(H1179,3,2)</f>
        <v/>
      </c>
      <c r="B1179" s="84" t="inlineStr">
        <is>
          <t>B331</t>
        </is>
      </c>
      <c r="C1179" s="84" t="inlineStr">
        <is>
          <t>上海区域</t>
        </is>
      </c>
      <c r="D1179" s="84" t="inlineStr">
        <is>
          <t>CN0Q</t>
        </is>
      </c>
      <c r="E1179" s="80" t="inlineStr">
        <is>
          <t>EE 苏州比斯特</t>
        </is>
      </c>
      <c r="F1179" s="84" t="n">
        <v>4</v>
      </c>
      <c r="G1179" s="84" t="inlineStr">
        <is>
          <t>奥特莱斯</t>
        </is>
      </c>
      <c r="H1179" s="84" t="inlineStr">
        <is>
          <t>EETCF24E01</t>
        </is>
      </c>
      <c r="I1179" s="84" t="n">
        <v>699</v>
      </c>
      <c r="J1179" s="84" t="n">
        <v>699</v>
      </c>
      <c r="K1179" s="85" t="n"/>
      <c r="L1179" s="85" t="n"/>
    </row>
    <row r="1180" ht="12.75" customHeight="1" s="103">
      <c r="A1180" s="78">
        <f>MID(H1180,3,2)</f>
        <v/>
      </c>
      <c r="B1180" s="84" t="inlineStr">
        <is>
          <t>B331</t>
        </is>
      </c>
      <c r="C1180" s="84" t="inlineStr">
        <is>
          <t>上海区域</t>
        </is>
      </c>
      <c r="D1180" s="84" t="inlineStr">
        <is>
          <t>CN0Q</t>
        </is>
      </c>
      <c r="E1180" s="80" t="inlineStr">
        <is>
          <t>EE 苏州比斯特</t>
        </is>
      </c>
      <c r="F1180" s="84" t="n">
        <v>4</v>
      </c>
      <c r="G1180" s="84" t="inlineStr">
        <is>
          <t>奥特莱斯</t>
        </is>
      </c>
      <c r="H1180" s="84" t="inlineStr">
        <is>
          <t>EETCF24M02</t>
        </is>
      </c>
      <c r="I1180" s="84" t="n">
        <v>899</v>
      </c>
      <c r="J1180" s="84" t="n">
        <v>899</v>
      </c>
      <c r="K1180" s="85" t="n">
        <v>2</v>
      </c>
      <c r="L1180" s="85" t="n">
        <v>854</v>
      </c>
    </row>
    <row r="1181" ht="12.75" customHeight="1" s="103">
      <c r="A1181" s="78">
        <f>MID(H1181,3,2)</f>
        <v/>
      </c>
      <c r="B1181" s="84" t="inlineStr">
        <is>
          <t>B331</t>
        </is>
      </c>
      <c r="C1181" s="84" t="inlineStr">
        <is>
          <t>上海区域</t>
        </is>
      </c>
      <c r="D1181" s="84" t="inlineStr">
        <is>
          <t>CN0Q</t>
        </is>
      </c>
      <c r="E1181" s="80" t="inlineStr">
        <is>
          <t>EE 苏州比斯特</t>
        </is>
      </c>
      <c r="F1181" s="84" t="n">
        <v>4</v>
      </c>
      <c r="G1181" s="84" t="inlineStr">
        <is>
          <t>奥特莱斯</t>
        </is>
      </c>
      <c r="H1181" s="84" t="inlineStr">
        <is>
          <t>EETCF24M02</t>
        </is>
      </c>
      <c r="I1181" s="84" t="n">
        <v>899</v>
      </c>
      <c r="J1181" s="84" t="n">
        <v>899</v>
      </c>
      <c r="K1181" s="85" t="n"/>
      <c r="L1181" s="85" t="n"/>
    </row>
    <row r="1182" ht="12.75" customHeight="1" s="103">
      <c r="A1182" s="78">
        <f>MID(H1182,3,2)</f>
        <v/>
      </c>
      <c r="B1182" s="84" t="inlineStr">
        <is>
          <t>B331</t>
        </is>
      </c>
      <c r="C1182" s="84" t="inlineStr">
        <is>
          <t>上海区域</t>
        </is>
      </c>
      <c r="D1182" s="84" t="inlineStr">
        <is>
          <t>CN0Q</t>
        </is>
      </c>
      <c r="E1182" s="80" t="inlineStr">
        <is>
          <t>EE 苏州比斯特</t>
        </is>
      </c>
      <c r="F1182" s="84" t="n">
        <v>4</v>
      </c>
      <c r="G1182" s="84" t="inlineStr">
        <is>
          <t>奥特莱斯</t>
        </is>
      </c>
      <c r="H1182" s="84" t="inlineStr">
        <is>
          <t>EETCF24M02</t>
        </is>
      </c>
      <c r="I1182" s="84" t="n">
        <v>899</v>
      </c>
      <c r="J1182" s="84" t="n">
        <v>899</v>
      </c>
      <c r="K1182" s="85" t="n">
        <v>2</v>
      </c>
      <c r="L1182" s="85" t="n">
        <v>822</v>
      </c>
    </row>
    <row r="1183" ht="12.75" customHeight="1" s="103">
      <c r="A1183" s="78">
        <f>MID(H1183,3,2)</f>
        <v/>
      </c>
      <c r="B1183" s="84" t="inlineStr">
        <is>
          <t>B331</t>
        </is>
      </c>
      <c r="C1183" s="84" t="inlineStr">
        <is>
          <t>上海区域</t>
        </is>
      </c>
      <c r="D1183" s="84" t="inlineStr">
        <is>
          <t>CN0Q</t>
        </is>
      </c>
      <c r="E1183" s="80" t="inlineStr">
        <is>
          <t>EE 苏州比斯特</t>
        </is>
      </c>
      <c r="F1183" s="84" t="n">
        <v>4</v>
      </c>
      <c r="G1183" s="84" t="inlineStr">
        <is>
          <t>奥特莱斯</t>
        </is>
      </c>
      <c r="H1183" s="84" t="inlineStr">
        <is>
          <t>EETCF24M02</t>
        </is>
      </c>
      <c r="I1183" s="84" t="n">
        <v>899</v>
      </c>
      <c r="J1183" s="84" t="n">
        <v>899</v>
      </c>
      <c r="K1183" s="85" t="n">
        <v>1</v>
      </c>
      <c r="L1183" s="85" t="n"/>
    </row>
    <row r="1184" ht="12.75" customHeight="1" s="103">
      <c r="A1184" s="78">
        <f>MID(H1184,3,2)</f>
        <v/>
      </c>
      <c r="B1184" s="84" t="inlineStr">
        <is>
          <t>B331</t>
        </is>
      </c>
      <c r="C1184" s="84" t="inlineStr">
        <is>
          <t>上海区域</t>
        </is>
      </c>
      <c r="D1184" s="84" t="inlineStr">
        <is>
          <t>CN0Q</t>
        </is>
      </c>
      <c r="E1184" s="80" t="inlineStr">
        <is>
          <t>EE 苏州比斯特</t>
        </is>
      </c>
      <c r="F1184" s="84" t="n">
        <v>4</v>
      </c>
      <c r="G1184" s="84" t="inlineStr">
        <is>
          <t>奥特莱斯</t>
        </is>
      </c>
      <c r="H1184" s="84" t="inlineStr">
        <is>
          <t>EETCF24M02</t>
        </is>
      </c>
      <c r="I1184" s="84" t="n">
        <v>899</v>
      </c>
      <c r="J1184" s="84" t="n">
        <v>899</v>
      </c>
      <c r="K1184" s="85" t="n"/>
      <c r="L1184" s="85" t="n"/>
    </row>
    <row r="1185" ht="12.75" customHeight="1" s="103">
      <c r="A1185" s="78">
        <f>MID(H1185,3,2)</f>
        <v/>
      </c>
      <c r="B1185" s="84" t="inlineStr">
        <is>
          <t>B331</t>
        </is>
      </c>
      <c r="C1185" s="84" t="inlineStr">
        <is>
          <t>上海区域</t>
        </is>
      </c>
      <c r="D1185" s="84" t="inlineStr">
        <is>
          <t>CN0Q</t>
        </is>
      </c>
      <c r="E1185" s="80" t="inlineStr">
        <is>
          <t>EE 苏州比斯特</t>
        </is>
      </c>
      <c r="F1185" s="84" t="n">
        <v>4</v>
      </c>
      <c r="G1185" s="84" t="inlineStr">
        <is>
          <t>奥特莱斯</t>
        </is>
      </c>
      <c r="H1185" s="84" t="inlineStr">
        <is>
          <t>EETCF24M02</t>
        </is>
      </c>
      <c r="I1185" s="84" t="n">
        <v>899</v>
      </c>
      <c r="J1185" s="84" t="n">
        <v>899</v>
      </c>
      <c r="K1185" s="85" t="n"/>
      <c r="L1185" s="85" t="n"/>
    </row>
    <row r="1186" ht="12.75" customHeight="1" s="103">
      <c r="A1186" s="78">
        <f>MID(H1186,3,2)</f>
        <v/>
      </c>
      <c r="B1186" s="84" t="inlineStr">
        <is>
          <t>B331</t>
        </is>
      </c>
      <c r="C1186" s="84" t="inlineStr">
        <is>
          <t>上海区域</t>
        </is>
      </c>
      <c r="D1186" s="84" t="inlineStr">
        <is>
          <t>CN0Q</t>
        </is>
      </c>
      <c r="E1186" s="80" t="inlineStr">
        <is>
          <t>EE 苏州比斯特</t>
        </is>
      </c>
      <c r="F1186" s="84" t="n">
        <v>4</v>
      </c>
      <c r="G1186" s="84" t="inlineStr">
        <is>
          <t>奥特莱斯</t>
        </is>
      </c>
      <c r="H1186" s="84" t="inlineStr">
        <is>
          <t>EETCF24M02</t>
        </is>
      </c>
      <c r="I1186" s="84" t="n">
        <v>899</v>
      </c>
      <c r="J1186" s="84" t="n">
        <v>899</v>
      </c>
      <c r="K1186" s="85" t="n"/>
      <c r="L1186" s="85" t="n"/>
    </row>
    <row r="1187" ht="12.75" customHeight="1" s="103">
      <c r="A1187" s="78">
        <f>MID(H1187,3,2)</f>
        <v/>
      </c>
      <c r="B1187" s="84" t="inlineStr">
        <is>
          <t>B331</t>
        </is>
      </c>
      <c r="C1187" s="84" t="inlineStr">
        <is>
          <t>上海区域</t>
        </is>
      </c>
      <c r="D1187" s="84" t="inlineStr">
        <is>
          <t>CN0Q</t>
        </is>
      </c>
      <c r="E1187" s="80" t="inlineStr">
        <is>
          <t>EE 苏州比斯特</t>
        </is>
      </c>
      <c r="F1187" s="84" t="n">
        <v>4</v>
      </c>
      <c r="G1187" s="84" t="inlineStr">
        <is>
          <t>奥特莱斯</t>
        </is>
      </c>
      <c r="H1187" s="84" t="inlineStr">
        <is>
          <t>EETCF24M02</t>
        </is>
      </c>
      <c r="I1187" s="84" t="n">
        <v>899</v>
      </c>
      <c r="J1187" s="84" t="n">
        <v>899</v>
      </c>
      <c r="K1187" s="85" t="n">
        <v>2</v>
      </c>
      <c r="L1187" s="85" t="n">
        <v>807</v>
      </c>
    </row>
    <row r="1188" ht="12.75" customHeight="1" s="103">
      <c r="A1188" s="78">
        <f>MID(H1188,3,2)</f>
        <v/>
      </c>
      <c r="B1188" s="84" t="inlineStr">
        <is>
          <t>B331</t>
        </is>
      </c>
      <c r="C1188" s="84" t="inlineStr">
        <is>
          <t>上海区域</t>
        </is>
      </c>
      <c r="D1188" s="84" t="inlineStr">
        <is>
          <t>CN0Q</t>
        </is>
      </c>
      <c r="E1188" s="80" t="inlineStr">
        <is>
          <t>EE 苏州比斯特</t>
        </is>
      </c>
      <c r="F1188" s="84" t="n">
        <v>4</v>
      </c>
      <c r="G1188" s="84" t="inlineStr">
        <is>
          <t>奥特莱斯</t>
        </is>
      </c>
      <c r="H1188" s="84" t="inlineStr">
        <is>
          <t>EETCF24M02</t>
        </is>
      </c>
      <c r="I1188" s="84" t="n">
        <v>899</v>
      </c>
      <c r="J1188" s="84" t="n">
        <v>899</v>
      </c>
      <c r="K1188" s="85" t="n"/>
      <c r="L1188" s="85" t="n"/>
    </row>
    <row r="1189" ht="12.75" customHeight="1" s="103">
      <c r="A1189" s="78">
        <f>MID(H1189,3,2)</f>
        <v/>
      </c>
      <c r="B1189" s="84" t="inlineStr">
        <is>
          <t>B331</t>
        </is>
      </c>
      <c r="C1189" s="84" t="inlineStr">
        <is>
          <t>上海区域</t>
        </is>
      </c>
      <c r="D1189" s="84" t="inlineStr">
        <is>
          <t>CN0Q</t>
        </is>
      </c>
      <c r="E1189" s="80" t="inlineStr">
        <is>
          <t>EE 苏州比斯特</t>
        </is>
      </c>
      <c r="F1189" s="84" t="n">
        <v>4</v>
      </c>
      <c r="G1189" s="84" t="inlineStr">
        <is>
          <t>奥特莱斯</t>
        </is>
      </c>
      <c r="H1189" s="84" t="inlineStr">
        <is>
          <t>EETCF24M02</t>
        </is>
      </c>
      <c r="I1189" s="84" t="n">
        <v>899</v>
      </c>
      <c r="J1189" s="84" t="n">
        <v>899</v>
      </c>
      <c r="K1189" s="85" t="n"/>
      <c r="L1189" s="85" t="n"/>
    </row>
    <row r="1190" ht="12.75" customHeight="1" s="103">
      <c r="A1190" s="78">
        <f>MID(H1190,3,2)</f>
        <v/>
      </c>
      <c r="B1190" s="84" t="inlineStr">
        <is>
          <t>B331</t>
        </is>
      </c>
      <c r="C1190" s="84" t="inlineStr">
        <is>
          <t>上海区域</t>
        </is>
      </c>
      <c r="D1190" s="84" t="inlineStr">
        <is>
          <t>CN0Q</t>
        </is>
      </c>
      <c r="E1190" s="80" t="inlineStr">
        <is>
          <t>EE 苏州比斯特</t>
        </is>
      </c>
      <c r="F1190" s="84" t="n">
        <v>4</v>
      </c>
      <c r="G1190" s="84" t="inlineStr">
        <is>
          <t>奥特莱斯</t>
        </is>
      </c>
      <c r="H1190" s="84" t="inlineStr">
        <is>
          <t>EETCF37N51</t>
        </is>
      </c>
      <c r="I1190" s="84" t="n">
        <v>899</v>
      </c>
      <c r="J1190" s="84" t="n">
        <v>899</v>
      </c>
      <c r="K1190" s="85" t="n">
        <v>1</v>
      </c>
      <c r="L1190" s="85" t="n">
        <v>405</v>
      </c>
    </row>
    <row r="1191" ht="12.75" customHeight="1" s="103">
      <c r="A1191" s="78">
        <f>MID(H1191,3,2)</f>
        <v/>
      </c>
      <c r="B1191" s="84" t="inlineStr">
        <is>
          <t>B331</t>
        </is>
      </c>
      <c r="C1191" s="84" t="inlineStr">
        <is>
          <t>上海区域</t>
        </is>
      </c>
      <c r="D1191" s="84" t="inlineStr">
        <is>
          <t>CN0Q</t>
        </is>
      </c>
      <c r="E1191" s="80" t="inlineStr">
        <is>
          <t>EE 苏州比斯特</t>
        </is>
      </c>
      <c r="F1191" s="84" t="n">
        <v>4</v>
      </c>
      <c r="G1191" s="84" t="inlineStr">
        <is>
          <t>奥特莱斯</t>
        </is>
      </c>
      <c r="H1191" s="84" t="inlineStr">
        <is>
          <t>EETCF37N51</t>
        </is>
      </c>
      <c r="I1191" s="84" t="n">
        <v>899</v>
      </c>
      <c r="J1191" s="84" t="n">
        <v>899</v>
      </c>
      <c r="K1191" s="85" t="n">
        <v>2</v>
      </c>
      <c r="L1191" s="85" t="n">
        <v>827</v>
      </c>
    </row>
    <row r="1192" ht="12.75" customHeight="1" s="103">
      <c r="A1192" s="78">
        <f>MID(H1192,3,2)</f>
        <v/>
      </c>
      <c r="B1192" s="84" t="inlineStr">
        <is>
          <t>B331</t>
        </is>
      </c>
      <c r="C1192" s="84" t="inlineStr">
        <is>
          <t>上海区域</t>
        </is>
      </c>
      <c r="D1192" s="84" t="inlineStr">
        <is>
          <t>CN0Q</t>
        </is>
      </c>
      <c r="E1192" s="80" t="inlineStr">
        <is>
          <t>EE 苏州比斯特</t>
        </is>
      </c>
      <c r="F1192" s="84" t="n">
        <v>4</v>
      </c>
      <c r="G1192" s="84" t="inlineStr">
        <is>
          <t>奥特莱斯</t>
        </is>
      </c>
      <c r="H1192" s="84" t="inlineStr">
        <is>
          <t>EETCF37N51</t>
        </is>
      </c>
      <c r="I1192" s="84" t="n">
        <v>899</v>
      </c>
      <c r="J1192" s="84" t="n">
        <v>899</v>
      </c>
      <c r="K1192" s="85" t="n">
        <v>1</v>
      </c>
      <c r="L1192" s="85" t="n">
        <v>450</v>
      </c>
    </row>
    <row r="1193" ht="12.75" customHeight="1" s="103">
      <c r="A1193" s="78">
        <f>MID(H1193,3,2)</f>
        <v/>
      </c>
      <c r="B1193" s="84" t="inlineStr">
        <is>
          <t>B331</t>
        </is>
      </c>
      <c r="C1193" s="84" t="inlineStr">
        <is>
          <t>上海区域</t>
        </is>
      </c>
      <c r="D1193" s="84" t="inlineStr">
        <is>
          <t>CN0Q</t>
        </is>
      </c>
      <c r="E1193" s="80" t="inlineStr">
        <is>
          <t>EE 苏州比斯特</t>
        </is>
      </c>
      <c r="F1193" s="84" t="n">
        <v>4</v>
      </c>
      <c r="G1193" s="84" t="inlineStr">
        <is>
          <t>奥特莱斯</t>
        </is>
      </c>
      <c r="H1193" s="84" t="inlineStr">
        <is>
          <t>EETCF37N51</t>
        </is>
      </c>
      <c r="I1193" s="84" t="n">
        <v>899</v>
      </c>
      <c r="J1193" s="84" t="n">
        <v>899</v>
      </c>
      <c r="K1193" s="85" t="n"/>
      <c r="L1193" s="85" t="n"/>
    </row>
    <row r="1194" ht="12.75" customHeight="1" s="103">
      <c r="A1194" s="78">
        <f>MID(H1194,3,2)</f>
        <v/>
      </c>
      <c r="B1194" s="84" t="inlineStr">
        <is>
          <t>B331</t>
        </is>
      </c>
      <c r="C1194" s="84" t="inlineStr">
        <is>
          <t>上海区域</t>
        </is>
      </c>
      <c r="D1194" s="84" t="inlineStr">
        <is>
          <t>CN0Q</t>
        </is>
      </c>
      <c r="E1194" s="80" t="inlineStr">
        <is>
          <t>EE 苏州比斯特</t>
        </is>
      </c>
      <c r="F1194" s="84" t="n">
        <v>4</v>
      </c>
      <c r="G1194" s="84" t="inlineStr">
        <is>
          <t>奥特莱斯</t>
        </is>
      </c>
      <c r="H1194" s="84" t="inlineStr">
        <is>
          <t>EETCF37N51</t>
        </is>
      </c>
      <c r="I1194" s="84" t="n">
        <v>899</v>
      </c>
      <c r="J1194" s="84" t="n">
        <v>899</v>
      </c>
      <c r="K1194" s="85" t="n">
        <v>1</v>
      </c>
      <c r="L1194" s="85" t="n">
        <v>405</v>
      </c>
    </row>
    <row r="1195" ht="12.75" customHeight="1" s="103">
      <c r="A1195" s="78">
        <f>MID(H1195,3,2)</f>
        <v/>
      </c>
      <c r="B1195" s="84" t="inlineStr">
        <is>
          <t>B331</t>
        </is>
      </c>
      <c r="C1195" s="84" t="inlineStr">
        <is>
          <t>上海区域</t>
        </is>
      </c>
      <c r="D1195" s="84" t="inlineStr">
        <is>
          <t>CN0Q</t>
        </is>
      </c>
      <c r="E1195" s="80" t="inlineStr">
        <is>
          <t>EE 苏州比斯特</t>
        </is>
      </c>
      <c r="F1195" s="84" t="n">
        <v>4</v>
      </c>
      <c r="G1195" s="84" t="inlineStr">
        <is>
          <t>奥特莱斯</t>
        </is>
      </c>
      <c r="H1195" s="84" t="inlineStr">
        <is>
          <t>EETCF37N51</t>
        </is>
      </c>
      <c r="I1195" s="84" t="n">
        <v>899</v>
      </c>
      <c r="J1195" s="84" t="n">
        <v>899</v>
      </c>
      <c r="K1195" s="85" t="n">
        <v>1</v>
      </c>
      <c r="L1195" s="85" t="n">
        <v>410</v>
      </c>
    </row>
    <row r="1196" ht="12.75" customHeight="1" s="103">
      <c r="A1196" s="78">
        <f>MID(H1196,3,2)</f>
        <v/>
      </c>
      <c r="B1196" s="84" t="inlineStr">
        <is>
          <t>B331</t>
        </is>
      </c>
      <c r="C1196" s="84" t="inlineStr">
        <is>
          <t>上海区域</t>
        </is>
      </c>
      <c r="D1196" s="84" t="inlineStr">
        <is>
          <t>CN0Q</t>
        </is>
      </c>
      <c r="E1196" s="80" t="inlineStr">
        <is>
          <t>EE 苏州比斯特</t>
        </is>
      </c>
      <c r="F1196" s="84" t="n">
        <v>4</v>
      </c>
      <c r="G1196" s="84" t="inlineStr">
        <is>
          <t>奥特莱斯</t>
        </is>
      </c>
      <c r="H1196" s="84" t="inlineStr">
        <is>
          <t>EETCF37N51</t>
        </is>
      </c>
      <c r="I1196" s="84" t="n">
        <v>899</v>
      </c>
      <c r="J1196" s="84" t="n">
        <v>899</v>
      </c>
      <c r="K1196" s="85" t="n">
        <v>2</v>
      </c>
      <c r="L1196" s="85" t="n">
        <v>870</v>
      </c>
    </row>
    <row r="1197" ht="12.75" customHeight="1" s="103">
      <c r="A1197" s="78">
        <f>MID(H1197,3,2)</f>
        <v/>
      </c>
      <c r="B1197" s="84" t="inlineStr">
        <is>
          <t>B331</t>
        </is>
      </c>
      <c r="C1197" s="84" t="inlineStr">
        <is>
          <t>上海区域</t>
        </is>
      </c>
      <c r="D1197" s="84" t="inlineStr">
        <is>
          <t>CN0Q</t>
        </is>
      </c>
      <c r="E1197" s="80" t="inlineStr">
        <is>
          <t>EE 苏州比斯特</t>
        </is>
      </c>
      <c r="F1197" s="84" t="n">
        <v>4</v>
      </c>
      <c r="G1197" s="84" t="inlineStr">
        <is>
          <t>奥特莱斯</t>
        </is>
      </c>
      <c r="H1197" s="84" t="inlineStr">
        <is>
          <t>EETCF37N51</t>
        </is>
      </c>
      <c r="I1197" s="84" t="n">
        <v>899</v>
      </c>
      <c r="J1197" s="84" t="n">
        <v>899</v>
      </c>
      <c r="K1197" s="85" t="n"/>
      <c r="L1197" s="85" t="n"/>
    </row>
    <row r="1198" ht="12.75" customHeight="1" s="103">
      <c r="A1198" s="78">
        <f>MID(H1198,3,2)</f>
        <v/>
      </c>
      <c r="B1198" s="84" t="inlineStr">
        <is>
          <t>B331</t>
        </is>
      </c>
      <c r="C1198" s="84" t="inlineStr">
        <is>
          <t>上海区域</t>
        </is>
      </c>
      <c r="D1198" s="84" t="inlineStr">
        <is>
          <t>CN0Q</t>
        </is>
      </c>
      <c r="E1198" s="80" t="inlineStr">
        <is>
          <t>EE 苏州比斯特</t>
        </is>
      </c>
      <c r="F1198" s="84" t="n">
        <v>4</v>
      </c>
      <c r="G1198" s="84" t="inlineStr">
        <is>
          <t>奥特莱斯</t>
        </is>
      </c>
      <c r="H1198" s="84" t="inlineStr">
        <is>
          <t>EETCG12D1G</t>
        </is>
      </c>
      <c r="I1198" s="84" t="n">
        <v>999</v>
      </c>
      <c r="J1198" s="84" t="n">
        <v>999</v>
      </c>
      <c r="K1198" s="85" t="n"/>
      <c r="L1198" s="85" t="n"/>
    </row>
    <row r="1199" ht="12.75" customHeight="1" s="103">
      <c r="A1199" s="78">
        <f>MID(H1199,3,2)</f>
        <v/>
      </c>
      <c r="B1199" s="84" t="inlineStr">
        <is>
          <t>B331</t>
        </is>
      </c>
      <c r="C1199" s="84" t="inlineStr">
        <is>
          <t>上海区域</t>
        </is>
      </c>
      <c r="D1199" s="84" t="inlineStr">
        <is>
          <t>CN0Q</t>
        </is>
      </c>
      <c r="E1199" s="80" t="inlineStr">
        <is>
          <t>EE 苏州比斯特</t>
        </is>
      </c>
      <c r="F1199" s="84" t="n">
        <v>4</v>
      </c>
      <c r="G1199" s="84" t="inlineStr">
        <is>
          <t>奥特莱斯</t>
        </is>
      </c>
      <c r="H1199" s="84" t="inlineStr">
        <is>
          <t>EETCG12D1G</t>
        </is>
      </c>
      <c r="I1199" s="84" t="n">
        <v>999</v>
      </c>
      <c r="J1199" s="84" t="n">
        <v>999</v>
      </c>
      <c r="K1199" s="85" t="n"/>
      <c r="L1199" s="85" t="n"/>
    </row>
    <row r="1200" ht="12.75" customHeight="1" s="103">
      <c r="A1200" s="78">
        <f>MID(H1200,3,2)</f>
        <v/>
      </c>
      <c r="B1200" s="84" t="inlineStr">
        <is>
          <t>B331</t>
        </is>
      </c>
      <c r="C1200" s="84" t="inlineStr">
        <is>
          <t>上海区域</t>
        </is>
      </c>
      <c r="D1200" s="84" t="inlineStr">
        <is>
          <t>CN0Q</t>
        </is>
      </c>
      <c r="E1200" s="80" t="inlineStr">
        <is>
          <t>EE 苏州比斯特</t>
        </is>
      </c>
      <c r="F1200" s="84" t="n">
        <v>4</v>
      </c>
      <c r="G1200" s="84" t="inlineStr">
        <is>
          <t>奥特莱斯</t>
        </is>
      </c>
      <c r="H1200" s="84" t="inlineStr">
        <is>
          <t>EETCG12D1G</t>
        </is>
      </c>
      <c r="I1200" s="84" t="n">
        <v>999</v>
      </c>
      <c r="J1200" s="84" t="n">
        <v>999</v>
      </c>
      <c r="K1200" s="85" t="n"/>
      <c r="L1200" s="85" t="n"/>
    </row>
    <row r="1201" ht="12.75" customHeight="1" s="103">
      <c r="A1201" s="78">
        <f>MID(H1201,3,2)</f>
        <v/>
      </c>
      <c r="B1201" s="84" t="inlineStr">
        <is>
          <t>B331</t>
        </is>
      </c>
      <c r="C1201" s="84" t="inlineStr">
        <is>
          <t>上海区域</t>
        </is>
      </c>
      <c r="D1201" s="84" t="inlineStr">
        <is>
          <t>CN0Q</t>
        </is>
      </c>
      <c r="E1201" s="80" t="inlineStr">
        <is>
          <t>EE 苏州比斯特</t>
        </is>
      </c>
      <c r="F1201" s="84" t="n">
        <v>4</v>
      </c>
      <c r="G1201" s="84" t="inlineStr">
        <is>
          <t>奥特莱斯</t>
        </is>
      </c>
      <c r="H1201" s="84" t="inlineStr">
        <is>
          <t>EETCG12E02</t>
        </is>
      </c>
      <c r="I1201" s="84" t="n">
        <v>799</v>
      </c>
      <c r="J1201" s="84" t="n">
        <v>799</v>
      </c>
      <c r="K1201" s="85" t="n"/>
      <c r="L1201" s="85" t="n"/>
    </row>
    <row r="1202" ht="12.75" customHeight="1" s="103">
      <c r="A1202" s="78">
        <f>MID(H1202,3,2)</f>
        <v/>
      </c>
      <c r="B1202" s="84" t="inlineStr">
        <is>
          <t>B331</t>
        </is>
      </c>
      <c r="C1202" s="84" t="inlineStr">
        <is>
          <t>上海区域</t>
        </is>
      </c>
      <c r="D1202" s="84" t="inlineStr">
        <is>
          <t>CN0Q</t>
        </is>
      </c>
      <c r="E1202" s="80" t="inlineStr">
        <is>
          <t>EE 苏州比斯特</t>
        </is>
      </c>
      <c r="F1202" s="84" t="n">
        <v>4</v>
      </c>
      <c r="G1202" s="84" t="inlineStr">
        <is>
          <t>奥特莱斯</t>
        </is>
      </c>
      <c r="H1202" s="84" t="inlineStr">
        <is>
          <t>EETCG12E02</t>
        </is>
      </c>
      <c r="I1202" s="84" t="n">
        <v>799</v>
      </c>
      <c r="J1202" s="84" t="n">
        <v>799</v>
      </c>
      <c r="K1202" s="85" t="n"/>
      <c r="L1202" s="85" t="n"/>
    </row>
    <row r="1203" ht="12.75" customHeight="1" s="103">
      <c r="A1203" s="78">
        <f>MID(H1203,3,2)</f>
        <v/>
      </c>
      <c r="B1203" s="84" t="inlineStr">
        <is>
          <t>B331</t>
        </is>
      </c>
      <c r="C1203" s="84" t="inlineStr">
        <is>
          <t>上海区域</t>
        </is>
      </c>
      <c r="D1203" s="84" t="inlineStr">
        <is>
          <t>CN0Q</t>
        </is>
      </c>
      <c r="E1203" s="80" t="inlineStr">
        <is>
          <t>EE 苏州比斯特</t>
        </is>
      </c>
      <c r="F1203" s="84" t="n">
        <v>4</v>
      </c>
      <c r="G1203" s="84" t="inlineStr">
        <is>
          <t>奥特莱斯</t>
        </is>
      </c>
      <c r="H1203" s="84" t="inlineStr">
        <is>
          <t>EETCG12E02</t>
        </is>
      </c>
      <c r="I1203" s="84" t="n">
        <v>799</v>
      </c>
      <c r="J1203" s="84" t="n">
        <v>799</v>
      </c>
      <c r="K1203" s="85" t="n"/>
      <c r="L1203" s="85" t="n"/>
    </row>
    <row r="1204" ht="12.75" customHeight="1" s="103">
      <c r="A1204" s="78">
        <f>MID(H1204,3,2)</f>
        <v/>
      </c>
      <c r="B1204" s="84" t="inlineStr">
        <is>
          <t>B331</t>
        </is>
      </c>
      <c r="C1204" s="84" t="inlineStr">
        <is>
          <t>上海区域</t>
        </is>
      </c>
      <c r="D1204" s="84" t="inlineStr">
        <is>
          <t>CN0Q</t>
        </is>
      </c>
      <c r="E1204" s="80" t="inlineStr">
        <is>
          <t>EE 苏州比斯特</t>
        </is>
      </c>
      <c r="F1204" s="84" t="n">
        <v>4</v>
      </c>
      <c r="G1204" s="84" t="inlineStr">
        <is>
          <t>奥特莱斯</t>
        </is>
      </c>
      <c r="H1204" s="84" t="inlineStr">
        <is>
          <t>EETCG12E02</t>
        </is>
      </c>
      <c r="I1204" s="84" t="n">
        <v>799</v>
      </c>
      <c r="J1204" s="84" t="n">
        <v>799</v>
      </c>
      <c r="K1204" s="85" t="n"/>
      <c r="L1204" s="85" t="n"/>
    </row>
    <row r="1205" ht="12.75" customHeight="1" s="103">
      <c r="A1205" s="78">
        <f>MID(H1205,3,2)</f>
        <v/>
      </c>
      <c r="B1205" s="84" t="inlineStr">
        <is>
          <t>B331</t>
        </is>
      </c>
      <c r="C1205" s="84" t="inlineStr">
        <is>
          <t>上海区域</t>
        </is>
      </c>
      <c r="D1205" s="84" t="inlineStr">
        <is>
          <t>CN0Q</t>
        </is>
      </c>
      <c r="E1205" s="80" t="inlineStr">
        <is>
          <t>EE 苏州比斯特</t>
        </is>
      </c>
      <c r="F1205" s="84" t="n">
        <v>4</v>
      </c>
      <c r="G1205" s="84" t="inlineStr">
        <is>
          <t>奥特莱斯</t>
        </is>
      </c>
      <c r="H1205" s="84" t="inlineStr">
        <is>
          <t>EETCG23E01</t>
        </is>
      </c>
      <c r="I1205" s="84" t="n">
        <v>799</v>
      </c>
      <c r="J1205" s="84" t="n">
        <v>799</v>
      </c>
      <c r="K1205" s="85" t="n"/>
      <c r="L1205" s="85" t="n"/>
    </row>
    <row r="1206" ht="12.75" customHeight="1" s="103">
      <c r="A1206" s="78">
        <f>MID(H1206,3,2)</f>
        <v/>
      </c>
      <c r="B1206" s="84" t="inlineStr">
        <is>
          <t>B331</t>
        </is>
      </c>
      <c r="C1206" s="84" t="inlineStr">
        <is>
          <t>上海区域</t>
        </is>
      </c>
      <c r="D1206" s="84" t="inlineStr">
        <is>
          <t>CN0Q</t>
        </is>
      </c>
      <c r="E1206" s="80" t="inlineStr">
        <is>
          <t>EE 苏州比斯特</t>
        </is>
      </c>
      <c r="F1206" s="84" t="n">
        <v>4</v>
      </c>
      <c r="G1206" s="84" t="inlineStr">
        <is>
          <t>奥特莱斯</t>
        </is>
      </c>
      <c r="H1206" s="84" t="inlineStr">
        <is>
          <t>EETCG23E01</t>
        </is>
      </c>
      <c r="I1206" s="84" t="n">
        <v>799</v>
      </c>
      <c r="J1206" s="84" t="n">
        <v>799</v>
      </c>
      <c r="K1206" s="85" t="n">
        <v>2</v>
      </c>
      <c r="L1206" s="85" t="n">
        <v>760</v>
      </c>
    </row>
    <row r="1207" ht="12.75" customHeight="1" s="103">
      <c r="A1207" s="78">
        <f>MID(H1207,3,2)</f>
        <v/>
      </c>
      <c r="B1207" s="84" t="inlineStr">
        <is>
          <t>B331</t>
        </is>
      </c>
      <c r="C1207" s="84" t="inlineStr">
        <is>
          <t>上海区域</t>
        </is>
      </c>
      <c r="D1207" s="84" t="inlineStr">
        <is>
          <t>CN0Q</t>
        </is>
      </c>
      <c r="E1207" s="80" t="inlineStr">
        <is>
          <t>EE 苏州比斯特</t>
        </is>
      </c>
      <c r="F1207" s="84" t="n">
        <v>4</v>
      </c>
      <c r="G1207" s="84" t="inlineStr">
        <is>
          <t>奥特莱斯</t>
        </is>
      </c>
      <c r="H1207" s="84" t="inlineStr">
        <is>
          <t>EETCG23E01</t>
        </is>
      </c>
      <c r="I1207" s="84" t="n">
        <v>799</v>
      </c>
      <c r="J1207" s="84" t="n">
        <v>799</v>
      </c>
      <c r="K1207" s="85" t="n">
        <v>1</v>
      </c>
      <c r="L1207" s="85" t="n">
        <v>519</v>
      </c>
    </row>
    <row r="1208" ht="12.75" customHeight="1" s="103">
      <c r="A1208" s="78">
        <f>MID(H1208,3,2)</f>
        <v/>
      </c>
      <c r="B1208" s="84" t="inlineStr">
        <is>
          <t>B331</t>
        </is>
      </c>
      <c r="C1208" s="84" t="inlineStr">
        <is>
          <t>上海区域</t>
        </is>
      </c>
      <c r="D1208" s="84" t="inlineStr">
        <is>
          <t>CN0Q</t>
        </is>
      </c>
      <c r="E1208" s="80" t="inlineStr">
        <is>
          <t>EE 苏州比斯特</t>
        </is>
      </c>
      <c r="F1208" s="84" t="n">
        <v>4</v>
      </c>
      <c r="G1208" s="84" t="inlineStr">
        <is>
          <t>奥特莱斯</t>
        </is>
      </c>
      <c r="H1208" s="84" t="inlineStr">
        <is>
          <t>EETCG23E01</t>
        </is>
      </c>
      <c r="I1208" s="84" t="n">
        <v>799</v>
      </c>
      <c r="J1208" s="84" t="n">
        <v>799</v>
      </c>
      <c r="K1208" s="85" t="n"/>
      <c r="L1208" s="85" t="n"/>
    </row>
    <row r="1209" ht="12.75" customHeight="1" s="103">
      <c r="A1209" s="78">
        <f>MID(H1209,3,2)</f>
        <v/>
      </c>
      <c r="B1209" s="84" t="inlineStr">
        <is>
          <t>B331</t>
        </is>
      </c>
      <c r="C1209" s="84" t="inlineStr">
        <is>
          <t>上海区域</t>
        </is>
      </c>
      <c r="D1209" s="84" t="inlineStr">
        <is>
          <t>CN0Q</t>
        </is>
      </c>
      <c r="E1209" s="80" t="inlineStr">
        <is>
          <t>EE 苏州比斯特</t>
        </is>
      </c>
      <c r="F1209" s="84" t="n">
        <v>4</v>
      </c>
      <c r="G1209" s="84" t="inlineStr">
        <is>
          <t>奥特莱斯</t>
        </is>
      </c>
      <c r="H1209" s="84" t="inlineStr">
        <is>
          <t>EETCG23E01</t>
        </is>
      </c>
      <c r="I1209" s="84" t="n">
        <v>799</v>
      </c>
      <c r="J1209" s="84" t="n">
        <v>799</v>
      </c>
      <c r="K1209" s="85" t="n">
        <v>2</v>
      </c>
      <c r="L1209" s="85" t="n">
        <v>761</v>
      </c>
    </row>
    <row r="1210" ht="12.75" customHeight="1" s="103">
      <c r="A1210" s="78">
        <f>MID(H1210,3,2)</f>
        <v/>
      </c>
      <c r="B1210" s="84" t="inlineStr">
        <is>
          <t>B331</t>
        </is>
      </c>
      <c r="C1210" s="84" t="inlineStr">
        <is>
          <t>上海区域</t>
        </is>
      </c>
      <c r="D1210" s="84" t="inlineStr">
        <is>
          <t>CN0Q</t>
        </is>
      </c>
      <c r="E1210" s="80" t="inlineStr">
        <is>
          <t>EE 苏州比斯特</t>
        </is>
      </c>
      <c r="F1210" s="84" t="n">
        <v>4</v>
      </c>
      <c r="G1210" s="84" t="inlineStr">
        <is>
          <t>奥特莱斯</t>
        </is>
      </c>
      <c r="H1210" s="84" t="inlineStr">
        <is>
          <t>EETCG23E01</t>
        </is>
      </c>
      <c r="I1210" s="84" t="n">
        <v>799</v>
      </c>
      <c r="J1210" s="84" t="n">
        <v>799</v>
      </c>
      <c r="K1210" s="85" t="n">
        <v>2</v>
      </c>
      <c r="L1210" s="85" t="n">
        <v>559</v>
      </c>
    </row>
    <row r="1211" ht="12.75" customHeight="1" s="103">
      <c r="A1211" s="78">
        <f>MID(H1211,3,2)</f>
        <v/>
      </c>
      <c r="B1211" s="84" t="inlineStr">
        <is>
          <t>B331</t>
        </is>
      </c>
      <c r="C1211" s="84" t="inlineStr">
        <is>
          <t>上海区域</t>
        </is>
      </c>
      <c r="D1211" s="84" t="inlineStr">
        <is>
          <t>CN0Q</t>
        </is>
      </c>
      <c r="E1211" s="80" t="inlineStr">
        <is>
          <t>EE 苏州比斯特</t>
        </is>
      </c>
      <c r="F1211" s="84" t="n">
        <v>4</v>
      </c>
      <c r="G1211" s="84" t="inlineStr">
        <is>
          <t>奥特莱斯</t>
        </is>
      </c>
      <c r="H1211" s="84" t="inlineStr">
        <is>
          <t>EETCG23E01</t>
        </is>
      </c>
      <c r="I1211" s="84" t="n">
        <v>799</v>
      </c>
      <c r="J1211" s="84" t="n">
        <v>799</v>
      </c>
      <c r="K1211" s="85" t="n">
        <v>1</v>
      </c>
      <c r="L1211" s="85" t="n">
        <v>559</v>
      </c>
    </row>
    <row r="1212" ht="12.75" customHeight="1" s="103">
      <c r="A1212" s="78">
        <f>MID(H1212,3,2)</f>
        <v/>
      </c>
      <c r="B1212" s="84" t="inlineStr">
        <is>
          <t>B331</t>
        </is>
      </c>
      <c r="C1212" s="84" t="inlineStr">
        <is>
          <t>上海区域</t>
        </is>
      </c>
      <c r="D1212" s="84" t="inlineStr">
        <is>
          <t>CN0Q</t>
        </is>
      </c>
      <c r="E1212" s="80" t="inlineStr">
        <is>
          <t>EE 苏州比斯特</t>
        </is>
      </c>
      <c r="F1212" s="84" t="n">
        <v>4</v>
      </c>
      <c r="G1212" s="84" t="inlineStr">
        <is>
          <t>奥特莱斯</t>
        </is>
      </c>
      <c r="H1212" s="84" t="inlineStr">
        <is>
          <t>EETCG23E01</t>
        </is>
      </c>
      <c r="I1212" s="84" t="n">
        <v>799</v>
      </c>
      <c r="J1212" s="84" t="n">
        <v>799</v>
      </c>
      <c r="K1212" s="85" t="n">
        <v>1</v>
      </c>
      <c r="L1212" s="85" t="n"/>
    </row>
    <row r="1213" ht="12.75" customHeight="1" s="103">
      <c r="A1213" s="78">
        <f>MID(H1213,3,2)</f>
        <v/>
      </c>
      <c r="B1213" s="84" t="inlineStr">
        <is>
          <t>B331</t>
        </is>
      </c>
      <c r="C1213" s="84" t="inlineStr">
        <is>
          <t>上海区域</t>
        </is>
      </c>
      <c r="D1213" s="84" t="inlineStr">
        <is>
          <t>CN0Q</t>
        </is>
      </c>
      <c r="E1213" s="80" t="inlineStr">
        <is>
          <t>EE 苏州比斯特</t>
        </is>
      </c>
      <c r="F1213" s="84" t="n">
        <v>4</v>
      </c>
      <c r="G1213" s="84" t="inlineStr">
        <is>
          <t>奥特莱斯</t>
        </is>
      </c>
      <c r="H1213" s="84" t="inlineStr">
        <is>
          <t>EETCG23E02</t>
        </is>
      </c>
      <c r="I1213" s="84" t="n">
        <v>899</v>
      </c>
      <c r="J1213" s="84" t="n">
        <v>999</v>
      </c>
      <c r="K1213" s="85" t="n"/>
      <c r="L1213" s="85" t="n"/>
    </row>
    <row r="1214" ht="12.75" customHeight="1" s="103">
      <c r="A1214" s="78">
        <f>MID(H1214,3,2)</f>
        <v/>
      </c>
      <c r="B1214" s="84" t="inlineStr">
        <is>
          <t>B331</t>
        </is>
      </c>
      <c r="C1214" s="84" t="inlineStr">
        <is>
          <t>上海区域</t>
        </is>
      </c>
      <c r="D1214" s="84" t="inlineStr">
        <is>
          <t>CN0Q</t>
        </is>
      </c>
      <c r="E1214" s="80" t="inlineStr">
        <is>
          <t>EE 苏州比斯特</t>
        </is>
      </c>
      <c r="F1214" s="84" t="n">
        <v>4</v>
      </c>
      <c r="G1214" s="84" t="inlineStr">
        <is>
          <t>奥特莱斯</t>
        </is>
      </c>
      <c r="H1214" s="84" t="inlineStr">
        <is>
          <t>EETCG23E02</t>
        </is>
      </c>
      <c r="I1214" s="84" t="n">
        <v>899</v>
      </c>
      <c r="J1214" s="84" t="n">
        <v>999</v>
      </c>
      <c r="K1214" s="85" t="n"/>
      <c r="L1214" s="85" t="n"/>
    </row>
    <row r="1215" ht="12.75" customHeight="1" s="103">
      <c r="A1215" s="78">
        <f>MID(H1215,3,2)</f>
        <v/>
      </c>
      <c r="B1215" s="84" t="inlineStr">
        <is>
          <t>B331</t>
        </is>
      </c>
      <c r="C1215" s="84" t="inlineStr">
        <is>
          <t>上海区域</t>
        </is>
      </c>
      <c r="D1215" s="84" t="inlineStr">
        <is>
          <t>CN0Q</t>
        </is>
      </c>
      <c r="E1215" s="80" t="inlineStr">
        <is>
          <t>EE 苏州比斯特</t>
        </is>
      </c>
      <c r="F1215" s="84" t="n">
        <v>4</v>
      </c>
      <c r="G1215" s="84" t="inlineStr">
        <is>
          <t>奥特莱斯</t>
        </is>
      </c>
      <c r="H1215" s="84" t="inlineStr">
        <is>
          <t>EETCG23E02</t>
        </is>
      </c>
      <c r="I1215" s="84" t="n">
        <v>899</v>
      </c>
      <c r="J1215" s="84" t="n">
        <v>999</v>
      </c>
      <c r="K1215" s="85" t="n"/>
      <c r="L1215" s="85" t="n"/>
    </row>
    <row r="1216" ht="12.75" customHeight="1" s="103">
      <c r="A1216" s="78">
        <f>MID(H1216,3,2)</f>
        <v/>
      </c>
      <c r="B1216" s="84" t="inlineStr">
        <is>
          <t>B331</t>
        </is>
      </c>
      <c r="C1216" s="84" t="inlineStr">
        <is>
          <t>上海区域</t>
        </is>
      </c>
      <c r="D1216" s="84" t="inlineStr">
        <is>
          <t>CN0Q</t>
        </is>
      </c>
      <c r="E1216" s="80" t="inlineStr">
        <is>
          <t>EE 苏州比斯特</t>
        </is>
      </c>
      <c r="F1216" s="84" t="n">
        <v>4</v>
      </c>
      <c r="G1216" s="84" t="inlineStr">
        <is>
          <t>奥特莱斯</t>
        </is>
      </c>
      <c r="H1216" s="84" t="inlineStr">
        <is>
          <t>EETCG23E02</t>
        </is>
      </c>
      <c r="I1216" s="84" t="n">
        <v>899</v>
      </c>
      <c r="J1216" s="84" t="n">
        <v>999</v>
      </c>
      <c r="K1216" s="85" t="n"/>
      <c r="L1216" s="85" t="n"/>
    </row>
    <row r="1217" ht="12.75" customHeight="1" s="103">
      <c r="A1217" s="78">
        <f>MID(H1217,3,2)</f>
        <v/>
      </c>
      <c r="B1217" s="84" t="inlineStr">
        <is>
          <t>B331</t>
        </is>
      </c>
      <c r="C1217" s="84" t="inlineStr">
        <is>
          <t>上海区域</t>
        </is>
      </c>
      <c r="D1217" s="84" t="inlineStr">
        <is>
          <t>CN0Q</t>
        </is>
      </c>
      <c r="E1217" s="80" t="inlineStr">
        <is>
          <t>EE 苏州比斯特</t>
        </is>
      </c>
      <c r="F1217" s="84" t="n">
        <v>4</v>
      </c>
      <c r="G1217" s="84" t="inlineStr">
        <is>
          <t>奥特莱斯</t>
        </is>
      </c>
      <c r="H1217" s="84" t="inlineStr">
        <is>
          <t>EETCG23E02</t>
        </is>
      </c>
      <c r="I1217" s="84" t="n">
        <v>899</v>
      </c>
      <c r="J1217" s="84" t="n">
        <v>999</v>
      </c>
      <c r="K1217" s="85" t="n"/>
      <c r="L1217" s="85" t="n"/>
    </row>
    <row r="1218" ht="12.75" customHeight="1" s="103">
      <c r="A1218" s="78">
        <f>MID(H1218,3,2)</f>
        <v/>
      </c>
      <c r="B1218" s="84" t="inlineStr">
        <is>
          <t>B331</t>
        </is>
      </c>
      <c r="C1218" s="84" t="inlineStr">
        <is>
          <t>上海区域</t>
        </is>
      </c>
      <c r="D1218" s="84" t="inlineStr">
        <is>
          <t>CN0Q</t>
        </is>
      </c>
      <c r="E1218" s="80" t="inlineStr">
        <is>
          <t>EE 苏州比斯特</t>
        </is>
      </c>
      <c r="F1218" s="84" t="n">
        <v>4</v>
      </c>
      <c r="G1218" s="84" t="inlineStr">
        <is>
          <t>奥特莱斯</t>
        </is>
      </c>
      <c r="H1218" s="84" t="inlineStr">
        <is>
          <t>EETCG23E02</t>
        </is>
      </c>
      <c r="I1218" s="84" t="n">
        <v>899</v>
      </c>
      <c r="J1218" s="84" t="n">
        <v>999</v>
      </c>
      <c r="K1218" s="85" t="n">
        <v>1</v>
      </c>
      <c r="L1218" s="85" t="n"/>
    </row>
    <row r="1219" ht="12.75" customHeight="1" s="103">
      <c r="A1219" s="78">
        <f>MID(H1219,3,2)</f>
        <v/>
      </c>
      <c r="B1219" s="84" t="inlineStr">
        <is>
          <t>B331</t>
        </is>
      </c>
      <c r="C1219" s="84" t="inlineStr">
        <is>
          <t>上海区域</t>
        </is>
      </c>
      <c r="D1219" s="84" t="inlineStr">
        <is>
          <t>CN0Q</t>
        </is>
      </c>
      <c r="E1219" s="80" t="inlineStr">
        <is>
          <t>EE 苏州比斯特</t>
        </is>
      </c>
      <c r="F1219" s="84" t="n">
        <v>4</v>
      </c>
      <c r="G1219" s="84" t="inlineStr">
        <is>
          <t>奥特莱斯</t>
        </is>
      </c>
      <c r="H1219" s="84" t="inlineStr">
        <is>
          <t>EETCG23E02</t>
        </is>
      </c>
      <c r="I1219" s="84" t="n">
        <v>899</v>
      </c>
      <c r="J1219" s="84" t="n">
        <v>999</v>
      </c>
      <c r="K1219" s="85" t="n">
        <v>1</v>
      </c>
      <c r="L1219" s="85" t="n">
        <v>644</v>
      </c>
    </row>
    <row r="1220" ht="12.75" customHeight="1" s="103">
      <c r="A1220" s="78">
        <f>MID(H1220,3,2)</f>
        <v/>
      </c>
      <c r="B1220" s="84" t="inlineStr">
        <is>
          <t>B331</t>
        </is>
      </c>
      <c r="C1220" s="84" t="inlineStr">
        <is>
          <t>上海区域</t>
        </is>
      </c>
      <c r="D1220" s="84" t="inlineStr">
        <is>
          <t>CN0Q</t>
        </is>
      </c>
      <c r="E1220" s="80" t="inlineStr">
        <is>
          <t>EE 苏州比斯特</t>
        </is>
      </c>
      <c r="F1220" s="84" t="n">
        <v>4</v>
      </c>
      <c r="G1220" s="84" t="inlineStr">
        <is>
          <t>奥特莱斯</t>
        </is>
      </c>
      <c r="H1220" s="84" t="inlineStr">
        <is>
          <t>EETCG23E02</t>
        </is>
      </c>
      <c r="I1220" s="84" t="n">
        <v>899</v>
      </c>
      <c r="J1220" s="84" t="n">
        <v>999</v>
      </c>
      <c r="K1220" s="85" t="n"/>
      <c r="L1220" s="85" t="n"/>
    </row>
    <row r="1221" ht="12.75" customHeight="1" s="103">
      <c r="A1221" s="78">
        <f>MID(H1221,3,2)</f>
        <v/>
      </c>
      <c r="B1221" s="84" t="inlineStr">
        <is>
          <t>B331</t>
        </is>
      </c>
      <c r="C1221" s="84" t="inlineStr">
        <is>
          <t>上海区域</t>
        </is>
      </c>
      <c r="D1221" s="84" t="inlineStr">
        <is>
          <t>CN0Q</t>
        </is>
      </c>
      <c r="E1221" s="80" t="inlineStr">
        <is>
          <t>EE 苏州比斯特</t>
        </is>
      </c>
      <c r="F1221" s="84" t="n">
        <v>4</v>
      </c>
      <c r="G1221" s="84" t="inlineStr">
        <is>
          <t>奥特莱斯</t>
        </is>
      </c>
      <c r="H1221" s="84" t="inlineStr">
        <is>
          <t>EETCG23E1G</t>
        </is>
      </c>
      <c r="I1221" s="84" t="n">
        <v>899</v>
      </c>
      <c r="J1221" s="84" t="n">
        <v>899</v>
      </c>
      <c r="K1221" s="85" t="n"/>
      <c r="L1221" s="85" t="n"/>
    </row>
    <row r="1222" ht="12.75" customHeight="1" s="103">
      <c r="A1222" s="78">
        <f>MID(H1222,3,2)</f>
        <v/>
      </c>
      <c r="B1222" s="84" t="inlineStr">
        <is>
          <t>B331</t>
        </is>
      </c>
      <c r="C1222" s="84" t="inlineStr">
        <is>
          <t>上海区域</t>
        </is>
      </c>
      <c r="D1222" s="84" t="inlineStr">
        <is>
          <t>CN0Q</t>
        </is>
      </c>
      <c r="E1222" s="80" t="inlineStr">
        <is>
          <t>EE 苏州比斯特</t>
        </is>
      </c>
      <c r="F1222" s="84" t="n">
        <v>4</v>
      </c>
      <c r="G1222" s="84" t="inlineStr">
        <is>
          <t>奥特莱斯</t>
        </is>
      </c>
      <c r="H1222" s="84" t="inlineStr">
        <is>
          <t>EETCG23E1G</t>
        </is>
      </c>
      <c r="I1222" s="84" t="n">
        <v>899</v>
      </c>
      <c r="J1222" s="84" t="n">
        <v>899</v>
      </c>
      <c r="K1222" s="85" t="n">
        <v>0</v>
      </c>
      <c r="L1222" s="85" t="n">
        <v>0</v>
      </c>
    </row>
    <row r="1223" ht="12.75" customHeight="1" s="103">
      <c r="A1223" s="78">
        <f>MID(H1223,3,2)</f>
        <v/>
      </c>
      <c r="B1223" s="84" t="inlineStr">
        <is>
          <t>B331</t>
        </is>
      </c>
      <c r="C1223" s="84" t="inlineStr">
        <is>
          <t>上海区域</t>
        </is>
      </c>
      <c r="D1223" s="84" t="inlineStr">
        <is>
          <t>CN0Q</t>
        </is>
      </c>
      <c r="E1223" s="80" t="inlineStr">
        <is>
          <t>EE 苏州比斯特</t>
        </is>
      </c>
      <c r="F1223" s="84" t="n">
        <v>4</v>
      </c>
      <c r="G1223" s="84" t="inlineStr">
        <is>
          <t>奥特莱斯</t>
        </is>
      </c>
      <c r="H1223" s="84" t="inlineStr">
        <is>
          <t>EETCG23E1G</t>
        </is>
      </c>
      <c r="I1223" s="84" t="n">
        <v>899</v>
      </c>
      <c r="J1223" s="84" t="n">
        <v>899</v>
      </c>
      <c r="K1223" s="85" t="n"/>
      <c r="L1223" s="85" t="n"/>
    </row>
    <row r="1224" ht="12.75" customHeight="1" s="103">
      <c r="A1224" s="78">
        <f>MID(H1224,3,2)</f>
        <v/>
      </c>
      <c r="B1224" s="84" t="inlineStr">
        <is>
          <t>B331</t>
        </is>
      </c>
      <c r="C1224" s="84" t="inlineStr">
        <is>
          <t>上海区域</t>
        </is>
      </c>
      <c r="D1224" s="84" t="inlineStr">
        <is>
          <t>CN0Q</t>
        </is>
      </c>
      <c r="E1224" s="80" t="inlineStr">
        <is>
          <t>EE 苏州比斯特</t>
        </is>
      </c>
      <c r="F1224" s="84" t="n">
        <v>4</v>
      </c>
      <c r="G1224" s="84" t="inlineStr">
        <is>
          <t>奥特莱斯</t>
        </is>
      </c>
      <c r="H1224" s="84" t="inlineStr">
        <is>
          <t>EETCG23E1G</t>
        </is>
      </c>
      <c r="I1224" s="84" t="n">
        <v>899</v>
      </c>
      <c r="J1224" s="84" t="n">
        <v>899</v>
      </c>
      <c r="K1224" s="85" t="n"/>
      <c r="L1224" s="85" t="n"/>
    </row>
    <row r="1225" ht="12.75" customHeight="1" s="103">
      <c r="A1225" s="78">
        <f>MID(H1225,3,2)</f>
        <v/>
      </c>
      <c r="B1225" s="84" t="inlineStr">
        <is>
          <t>B331</t>
        </is>
      </c>
      <c r="C1225" s="84" t="inlineStr">
        <is>
          <t>上海区域</t>
        </is>
      </c>
      <c r="D1225" s="84" t="inlineStr">
        <is>
          <t>CN0Q</t>
        </is>
      </c>
      <c r="E1225" s="80" t="inlineStr">
        <is>
          <t>EE 苏州比斯特</t>
        </is>
      </c>
      <c r="F1225" s="84" t="n">
        <v>4</v>
      </c>
      <c r="G1225" s="84" t="inlineStr">
        <is>
          <t>奥特莱斯</t>
        </is>
      </c>
      <c r="H1225" s="84" t="inlineStr">
        <is>
          <t>EETCG23E1G</t>
        </is>
      </c>
      <c r="I1225" s="84" t="n">
        <v>899</v>
      </c>
      <c r="J1225" s="84" t="n">
        <v>899</v>
      </c>
      <c r="K1225" s="85" t="n">
        <v>1</v>
      </c>
      <c r="L1225" s="85" t="n">
        <v>568</v>
      </c>
    </row>
    <row r="1226" ht="12.75" customHeight="1" s="103">
      <c r="A1226" s="78">
        <f>MID(H1226,3,2)</f>
        <v/>
      </c>
      <c r="B1226" s="84" t="inlineStr">
        <is>
          <t>B331</t>
        </is>
      </c>
      <c r="C1226" s="84" t="inlineStr">
        <is>
          <t>上海区域</t>
        </is>
      </c>
      <c r="D1226" s="84" t="inlineStr">
        <is>
          <t>CN0Q</t>
        </is>
      </c>
      <c r="E1226" s="80" t="inlineStr">
        <is>
          <t>EE 苏州比斯特</t>
        </is>
      </c>
      <c r="F1226" s="84" t="n">
        <v>4</v>
      </c>
      <c r="G1226" s="84" t="inlineStr">
        <is>
          <t>奥特莱斯</t>
        </is>
      </c>
      <c r="H1226" s="84" t="inlineStr">
        <is>
          <t>EETCG23E1G</t>
        </is>
      </c>
      <c r="I1226" s="84" t="n">
        <v>899</v>
      </c>
      <c r="J1226" s="84" t="n">
        <v>899</v>
      </c>
      <c r="K1226" s="85" t="n"/>
      <c r="L1226" s="85" t="n"/>
    </row>
    <row r="1227" ht="12.75" customHeight="1" s="103">
      <c r="A1227" s="78">
        <f>MID(H1227,3,2)</f>
        <v/>
      </c>
      <c r="B1227" s="84" t="inlineStr">
        <is>
          <t>B331</t>
        </is>
      </c>
      <c r="C1227" s="84" t="inlineStr">
        <is>
          <t>上海区域</t>
        </is>
      </c>
      <c r="D1227" s="84" t="inlineStr">
        <is>
          <t>CN0Q</t>
        </is>
      </c>
      <c r="E1227" s="80" t="inlineStr">
        <is>
          <t>EE 苏州比斯特</t>
        </is>
      </c>
      <c r="F1227" s="84" t="n">
        <v>4</v>
      </c>
      <c r="G1227" s="84" t="inlineStr">
        <is>
          <t>奥特莱斯</t>
        </is>
      </c>
      <c r="H1227" s="84" t="inlineStr">
        <is>
          <t>EETCG23E1G</t>
        </is>
      </c>
      <c r="I1227" s="84" t="n">
        <v>899</v>
      </c>
      <c r="J1227" s="84" t="n">
        <v>899</v>
      </c>
      <c r="K1227" s="85" t="n">
        <v>1</v>
      </c>
      <c r="L1227" s="85" t="n"/>
    </row>
    <row r="1228" ht="12.75" customHeight="1" s="103">
      <c r="A1228" s="78">
        <f>MID(H1228,3,2)</f>
        <v/>
      </c>
      <c r="B1228" s="84" t="inlineStr">
        <is>
          <t>B331</t>
        </is>
      </c>
      <c r="C1228" s="84" t="inlineStr">
        <is>
          <t>上海区域</t>
        </is>
      </c>
      <c r="D1228" s="84" t="inlineStr">
        <is>
          <t>CN0Q</t>
        </is>
      </c>
      <c r="E1228" s="80" t="inlineStr">
        <is>
          <t>EE 苏州比斯特</t>
        </is>
      </c>
      <c r="F1228" s="84" t="n">
        <v>4</v>
      </c>
      <c r="G1228" s="84" t="inlineStr">
        <is>
          <t>奥特莱斯</t>
        </is>
      </c>
      <c r="H1228" s="84" t="inlineStr">
        <is>
          <t>EETCG23E1G</t>
        </is>
      </c>
      <c r="I1228" s="84" t="n">
        <v>899</v>
      </c>
      <c r="J1228" s="84" t="n">
        <v>899</v>
      </c>
      <c r="K1228" s="85" t="n"/>
      <c r="L1228" s="85" t="n"/>
    </row>
    <row r="1229" ht="12.75" customHeight="1" s="103">
      <c r="A1229" s="78">
        <f>MID(H1229,3,2)</f>
        <v/>
      </c>
      <c r="B1229" s="84" t="inlineStr">
        <is>
          <t>B331</t>
        </is>
      </c>
      <c r="C1229" s="84" t="inlineStr">
        <is>
          <t>上海区域</t>
        </is>
      </c>
      <c r="D1229" s="84" t="inlineStr">
        <is>
          <t>CN0Q</t>
        </is>
      </c>
      <c r="E1229" s="80" t="inlineStr">
        <is>
          <t>EE 苏州比斯特</t>
        </is>
      </c>
      <c r="F1229" s="84" t="n">
        <v>4</v>
      </c>
      <c r="G1229" s="84" t="inlineStr">
        <is>
          <t>奥特莱斯</t>
        </is>
      </c>
      <c r="H1229" s="84" t="inlineStr">
        <is>
          <t>EETCG23E1G</t>
        </is>
      </c>
      <c r="I1229" s="84" t="n">
        <v>899</v>
      </c>
      <c r="J1229" s="84" t="n">
        <v>899</v>
      </c>
      <c r="K1229" s="85" t="n">
        <v>1</v>
      </c>
      <c r="L1229" s="85" t="n">
        <v>573</v>
      </c>
    </row>
    <row r="1230" ht="12.75" customHeight="1" s="103">
      <c r="A1230" s="78">
        <f>MID(H1230,3,2)</f>
        <v/>
      </c>
      <c r="B1230" s="84" t="inlineStr">
        <is>
          <t>B331</t>
        </is>
      </c>
      <c r="C1230" s="84" t="inlineStr">
        <is>
          <t>上海区域</t>
        </is>
      </c>
      <c r="D1230" s="84" t="inlineStr">
        <is>
          <t>CN0Q</t>
        </is>
      </c>
      <c r="E1230" s="80" t="inlineStr">
        <is>
          <t>EE 苏州比斯特</t>
        </is>
      </c>
      <c r="F1230" s="84" t="n">
        <v>4</v>
      </c>
      <c r="G1230" s="84" t="inlineStr">
        <is>
          <t>奥特莱斯</t>
        </is>
      </c>
      <c r="H1230" s="84" t="inlineStr">
        <is>
          <t>EETCG23E1G</t>
        </is>
      </c>
      <c r="I1230" s="84" t="n">
        <v>899</v>
      </c>
      <c r="J1230" s="84" t="n">
        <v>899</v>
      </c>
      <c r="K1230" s="85" t="n">
        <v>1</v>
      </c>
      <c r="L1230" s="85" t="n">
        <v>569</v>
      </c>
    </row>
    <row r="1231" ht="12.75" customHeight="1" s="103">
      <c r="A1231" s="78">
        <f>MID(H1231,3,2)</f>
        <v/>
      </c>
      <c r="B1231" s="84" t="inlineStr">
        <is>
          <t>B331</t>
        </is>
      </c>
      <c r="C1231" s="84" t="inlineStr">
        <is>
          <t>上海区域</t>
        </is>
      </c>
      <c r="D1231" s="84" t="inlineStr">
        <is>
          <t>CN0Q</t>
        </is>
      </c>
      <c r="E1231" s="80" t="inlineStr">
        <is>
          <t>EE 苏州比斯特</t>
        </is>
      </c>
      <c r="F1231" s="84" t="n">
        <v>4</v>
      </c>
      <c r="G1231" s="84" t="inlineStr">
        <is>
          <t>奥特莱斯</t>
        </is>
      </c>
      <c r="H1231" s="84" t="inlineStr">
        <is>
          <t>EETCG23E1G</t>
        </is>
      </c>
      <c r="I1231" s="84" t="n">
        <v>899</v>
      </c>
      <c r="J1231" s="84" t="n">
        <v>899</v>
      </c>
      <c r="K1231" s="85" t="n">
        <v>2</v>
      </c>
      <c r="L1231" s="85" t="n">
        <v>843</v>
      </c>
    </row>
    <row r="1232" ht="12.75" customHeight="1" s="103">
      <c r="A1232" s="78">
        <f>MID(H1232,3,2)</f>
        <v/>
      </c>
      <c r="B1232" s="84" t="inlineStr">
        <is>
          <t>B331</t>
        </is>
      </c>
      <c r="C1232" s="84" t="inlineStr">
        <is>
          <t>上海区域</t>
        </is>
      </c>
      <c r="D1232" s="84" t="inlineStr">
        <is>
          <t>CN0Q</t>
        </is>
      </c>
      <c r="E1232" s="80" t="inlineStr">
        <is>
          <t>EE 苏州比斯特</t>
        </is>
      </c>
      <c r="F1232" s="84" t="n">
        <v>4</v>
      </c>
      <c r="G1232" s="84" t="inlineStr">
        <is>
          <t>奥特莱斯</t>
        </is>
      </c>
      <c r="H1232" s="84" t="inlineStr">
        <is>
          <t>EETCG23E1G</t>
        </is>
      </c>
      <c r="I1232" s="84" t="n">
        <v>899</v>
      </c>
      <c r="J1232" s="84" t="n">
        <v>899</v>
      </c>
      <c r="K1232" s="85" t="n"/>
      <c r="L1232" s="85" t="n"/>
    </row>
    <row r="1233" ht="12.75" customHeight="1" s="103">
      <c r="A1233" s="78">
        <f>MID(H1233,3,2)</f>
        <v/>
      </c>
      <c r="B1233" s="84" t="inlineStr">
        <is>
          <t>B331</t>
        </is>
      </c>
      <c r="C1233" s="84" t="inlineStr">
        <is>
          <t>上海区域</t>
        </is>
      </c>
      <c r="D1233" s="84" t="inlineStr">
        <is>
          <t>CN0Q</t>
        </is>
      </c>
      <c r="E1233" s="80" t="inlineStr">
        <is>
          <t>EE 苏州比斯特</t>
        </is>
      </c>
      <c r="F1233" s="84" t="n">
        <v>4</v>
      </c>
      <c r="G1233" s="84" t="inlineStr">
        <is>
          <t>奥特莱斯</t>
        </is>
      </c>
      <c r="H1233" s="84" t="inlineStr">
        <is>
          <t>EETCG24E01</t>
        </is>
      </c>
      <c r="I1233" s="84" t="n">
        <v>699</v>
      </c>
      <c r="J1233" s="84" t="n">
        <v>699</v>
      </c>
      <c r="K1233" s="85" t="n">
        <v>1</v>
      </c>
      <c r="L1233" s="85" t="n"/>
    </row>
    <row r="1234" ht="12.75" customHeight="1" s="103">
      <c r="A1234" s="78">
        <f>MID(H1234,3,2)</f>
        <v/>
      </c>
      <c r="B1234" s="84" t="inlineStr">
        <is>
          <t>B331</t>
        </is>
      </c>
      <c r="C1234" s="84" t="inlineStr">
        <is>
          <t>上海区域</t>
        </is>
      </c>
      <c r="D1234" s="84" t="inlineStr">
        <is>
          <t>CN0Q</t>
        </is>
      </c>
      <c r="E1234" s="80" t="inlineStr">
        <is>
          <t>EE 苏州比斯特</t>
        </is>
      </c>
      <c r="F1234" s="84" t="n">
        <v>4</v>
      </c>
      <c r="G1234" s="84" t="inlineStr">
        <is>
          <t>奥特莱斯</t>
        </is>
      </c>
      <c r="H1234" s="84" t="inlineStr">
        <is>
          <t>EETCG24E01</t>
        </is>
      </c>
      <c r="I1234" s="84" t="n">
        <v>699</v>
      </c>
      <c r="J1234" s="84" t="n">
        <v>699</v>
      </c>
      <c r="K1234" s="85" t="n"/>
      <c r="L1234" s="85" t="n"/>
    </row>
    <row r="1235" ht="12.75" customHeight="1" s="103">
      <c r="A1235" s="78">
        <f>MID(H1235,3,2)</f>
        <v/>
      </c>
      <c r="B1235" s="84" t="inlineStr">
        <is>
          <t>B331</t>
        </is>
      </c>
      <c r="C1235" s="84" t="inlineStr">
        <is>
          <t>上海区域</t>
        </is>
      </c>
      <c r="D1235" s="84" t="inlineStr">
        <is>
          <t>CN0Q</t>
        </is>
      </c>
      <c r="E1235" s="80" t="inlineStr">
        <is>
          <t>EE 苏州比斯特</t>
        </is>
      </c>
      <c r="F1235" s="84" t="n">
        <v>4</v>
      </c>
      <c r="G1235" s="84" t="inlineStr">
        <is>
          <t>奥特莱斯</t>
        </is>
      </c>
      <c r="H1235" s="84" t="inlineStr">
        <is>
          <t>EETCG24E01</t>
        </is>
      </c>
      <c r="I1235" s="84" t="n">
        <v>699</v>
      </c>
      <c r="J1235" s="84" t="n">
        <v>699</v>
      </c>
      <c r="K1235" s="85" t="n">
        <v>1</v>
      </c>
      <c r="L1235" s="85" t="n">
        <v>451</v>
      </c>
    </row>
    <row r="1236" ht="12.75" customHeight="1" s="103">
      <c r="A1236" s="78">
        <f>MID(H1236,3,2)</f>
        <v/>
      </c>
      <c r="B1236" s="84" t="inlineStr">
        <is>
          <t>B331</t>
        </is>
      </c>
      <c r="C1236" s="84" t="inlineStr">
        <is>
          <t>上海区域</t>
        </is>
      </c>
      <c r="D1236" s="84" t="inlineStr">
        <is>
          <t>CN0Q</t>
        </is>
      </c>
      <c r="E1236" s="80" t="inlineStr">
        <is>
          <t>EE 苏州比斯特</t>
        </is>
      </c>
      <c r="F1236" s="84" t="n">
        <v>4</v>
      </c>
      <c r="G1236" s="84" t="inlineStr">
        <is>
          <t>奥特莱斯</t>
        </is>
      </c>
      <c r="H1236" s="84" t="inlineStr">
        <is>
          <t>EETCG24E01</t>
        </is>
      </c>
      <c r="I1236" s="84" t="n">
        <v>699</v>
      </c>
      <c r="J1236" s="84" t="n">
        <v>699</v>
      </c>
      <c r="K1236" s="85" t="n">
        <v>1</v>
      </c>
      <c r="L1236" s="85" t="n">
        <v>454</v>
      </c>
    </row>
    <row r="1237" ht="12.75" customHeight="1" s="103">
      <c r="A1237" s="78">
        <f>MID(H1237,3,2)</f>
        <v/>
      </c>
      <c r="B1237" s="84" t="inlineStr">
        <is>
          <t>B331</t>
        </is>
      </c>
      <c r="C1237" s="84" t="inlineStr">
        <is>
          <t>上海区域</t>
        </is>
      </c>
      <c r="D1237" s="84" t="inlineStr">
        <is>
          <t>CN0Q</t>
        </is>
      </c>
      <c r="E1237" s="80" t="inlineStr">
        <is>
          <t>EE 苏州比斯特</t>
        </is>
      </c>
      <c r="F1237" s="84" t="n">
        <v>4</v>
      </c>
      <c r="G1237" s="84" t="inlineStr">
        <is>
          <t>奥特莱斯</t>
        </is>
      </c>
      <c r="H1237" s="84" t="inlineStr">
        <is>
          <t>EETCG24E01</t>
        </is>
      </c>
      <c r="I1237" s="84" t="n">
        <v>699</v>
      </c>
      <c r="J1237" s="84" t="n">
        <v>699</v>
      </c>
      <c r="K1237" s="85" t="n"/>
      <c r="L1237" s="85" t="n"/>
    </row>
    <row r="1238" ht="12.75" customHeight="1" s="103">
      <c r="A1238" s="78">
        <f>MID(H1238,3,2)</f>
        <v/>
      </c>
      <c r="B1238" s="84" t="inlineStr">
        <is>
          <t>B331</t>
        </is>
      </c>
      <c r="C1238" s="84" t="inlineStr">
        <is>
          <t>上海区域</t>
        </is>
      </c>
      <c r="D1238" s="84" t="inlineStr">
        <is>
          <t>CN0Q</t>
        </is>
      </c>
      <c r="E1238" s="80" t="inlineStr">
        <is>
          <t>EE 苏州比斯特</t>
        </is>
      </c>
      <c r="F1238" s="84" t="n">
        <v>4</v>
      </c>
      <c r="G1238" s="84" t="inlineStr">
        <is>
          <t>奥特莱斯</t>
        </is>
      </c>
      <c r="H1238" s="84" t="inlineStr">
        <is>
          <t>EETCG24E01</t>
        </is>
      </c>
      <c r="I1238" s="84" t="n">
        <v>699</v>
      </c>
      <c r="J1238" s="84" t="n">
        <v>699</v>
      </c>
      <c r="K1238" s="85" t="n"/>
      <c r="L1238" s="85" t="n"/>
    </row>
    <row r="1239" ht="12.75" customHeight="1" s="103">
      <c r="A1239" s="78">
        <f>MID(H1239,3,2)</f>
        <v/>
      </c>
      <c r="B1239" s="84" t="inlineStr">
        <is>
          <t>B331</t>
        </is>
      </c>
      <c r="C1239" s="84" t="inlineStr">
        <is>
          <t>上海区域</t>
        </is>
      </c>
      <c r="D1239" s="84" t="inlineStr">
        <is>
          <t>CN0Q</t>
        </is>
      </c>
      <c r="E1239" s="80" t="inlineStr">
        <is>
          <t>EE 苏州比斯特</t>
        </is>
      </c>
      <c r="F1239" s="84" t="n">
        <v>4</v>
      </c>
      <c r="G1239" s="84" t="inlineStr">
        <is>
          <t>奥特莱斯</t>
        </is>
      </c>
      <c r="H1239" s="84" t="inlineStr">
        <is>
          <t>EETCG24E01</t>
        </is>
      </c>
      <c r="I1239" s="84" t="n">
        <v>699</v>
      </c>
      <c r="J1239" s="84" t="n">
        <v>699</v>
      </c>
      <c r="K1239" s="85" t="n"/>
      <c r="L1239" s="85" t="n"/>
    </row>
    <row r="1240" ht="12.75" customHeight="1" s="103">
      <c r="A1240" s="78">
        <f>MID(H1240,3,2)</f>
        <v/>
      </c>
      <c r="B1240" s="84" t="inlineStr">
        <is>
          <t>B331</t>
        </is>
      </c>
      <c r="C1240" s="84" t="inlineStr">
        <is>
          <t>上海区域</t>
        </is>
      </c>
      <c r="D1240" s="84" t="inlineStr">
        <is>
          <t>CN0Q</t>
        </is>
      </c>
      <c r="E1240" s="80" t="inlineStr">
        <is>
          <t>EE 苏州比斯特</t>
        </is>
      </c>
      <c r="F1240" s="84" t="n">
        <v>4</v>
      </c>
      <c r="G1240" s="84" t="inlineStr">
        <is>
          <t>奥特莱斯</t>
        </is>
      </c>
      <c r="H1240" s="84" t="inlineStr">
        <is>
          <t>EETCG24E01</t>
        </is>
      </c>
      <c r="I1240" s="84" t="n">
        <v>699</v>
      </c>
      <c r="J1240" s="84" t="n">
        <v>699</v>
      </c>
      <c r="K1240" s="85" t="n">
        <v>2</v>
      </c>
      <c r="L1240" s="85" t="n">
        <v>913</v>
      </c>
    </row>
    <row r="1241" ht="12.75" customHeight="1" s="103">
      <c r="A1241" s="78">
        <f>MID(H1241,3,2)</f>
        <v/>
      </c>
      <c r="B1241" s="84" t="inlineStr">
        <is>
          <t>B331</t>
        </is>
      </c>
      <c r="C1241" s="84" t="inlineStr">
        <is>
          <t>上海区域</t>
        </is>
      </c>
      <c r="D1241" s="84" t="inlineStr">
        <is>
          <t>CN0Q</t>
        </is>
      </c>
      <c r="E1241" s="80" t="inlineStr">
        <is>
          <t>EE 苏州比斯特</t>
        </is>
      </c>
      <c r="F1241" s="84" t="n">
        <v>4</v>
      </c>
      <c r="G1241" s="84" t="inlineStr">
        <is>
          <t>奥特莱斯</t>
        </is>
      </c>
      <c r="H1241" s="84" t="inlineStr">
        <is>
          <t>EETCG24E01</t>
        </is>
      </c>
      <c r="I1241" s="84" t="n">
        <v>699</v>
      </c>
      <c r="J1241" s="84" t="n">
        <v>699</v>
      </c>
      <c r="K1241" s="85" t="n">
        <v>2</v>
      </c>
      <c r="L1241" s="85" t="n">
        <v>446</v>
      </c>
    </row>
    <row r="1242" ht="12.75" customHeight="1" s="103">
      <c r="A1242" s="78">
        <f>MID(H1242,3,2)</f>
        <v/>
      </c>
      <c r="B1242" s="84" t="inlineStr">
        <is>
          <t>B331</t>
        </is>
      </c>
      <c r="C1242" s="84" t="inlineStr">
        <is>
          <t>上海区域</t>
        </is>
      </c>
      <c r="D1242" s="84" t="inlineStr">
        <is>
          <t>CN0Q</t>
        </is>
      </c>
      <c r="E1242" s="80" t="inlineStr">
        <is>
          <t>EE 苏州比斯特</t>
        </is>
      </c>
      <c r="F1242" s="84" t="n">
        <v>4</v>
      </c>
      <c r="G1242" s="84" t="inlineStr">
        <is>
          <t>奥特莱斯</t>
        </is>
      </c>
      <c r="H1242" s="84" t="inlineStr">
        <is>
          <t>EETCG24E01</t>
        </is>
      </c>
      <c r="I1242" s="84" t="n">
        <v>699</v>
      </c>
      <c r="J1242" s="84" t="n">
        <v>699</v>
      </c>
      <c r="K1242" s="85" t="n"/>
      <c r="L1242" s="85" t="n"/>
    </row>
    <row r="1243" ht="12.75" customHeight="1" s="103">
      <c r="A1243" s="78">
        <f>MID(H1243,3,2)</f>
        <v/>
      </c>
      <c r="B1243" s="84" t="inlineStr">
        <is>
          <t>B331</t>
        </is>
      </c>
      <c r="C1243" s="84" t="inlineStr">
        <is>
          <t>上海区域</t>
        </is>
      </c>
      <c r="D1243" s="84" t="inlineStr">
        <is>
          <t>CN0Q</t>
        </is>
      </c>
      <c r="E1243" s="80" t="inlineStr">
        <is>
          <t>EE 苏州比斯特</t>
        </is>
      </c>
      <c r="F1243" s="84" t="n">
        <v>4</v>
      </c>
      <c r="G1243" s="84" t="inlineStr">
        <is>
          <t>奥特莱斯</t>
        </is>
      </c>
      <c r="H1243" s="84" t="inlineStr">
        <is>
          <t>EETCG24E06</t>
        </is>
      </c>
      <c r="I1243" s="84" t="n">
        <v>1299</v>
      </c>
      <c r="J1243" s="84" t="n">
        <v>1299</v>
      </c>
      <c r="K1243" s="85" t="n">
        <v>2</v>
      </c>
      <c r="L1243" s="86" t="n">
        <v>1692</v>
      </c>
    </row>
    <row r="1244" ht="12.75" customHeight="1" s="103">
      <c r="A1244" s="78">
        <f>MID(H1244,3,2)</f>
        <v/>
      </c>
      <c r="B1244" s="84" t="inlineStr">
        <is>
          <t>B331</t>
        </is>
      </c>
      <c r="C1244" s="84" t="inlineStr">
        <is>
          <t>上海区域</t>
        </is>
      </c>
      <c r="D1244" s="84" t="inlineStr">
        <is>
          <t>CN0Q</t>
        </is>
      </c>
      <c r="E1244" s="80" t="inlineStr">
        <is>
          <t>EE 苏州比斯特</t>
        </is>
      </c>
      <c r="F1244" s="84" t="n">
        <v>4</v>
      </c>
      <c r="G1244" s="84" t="inlineStr">
        <is>
          <t>奥特莱斯</t>
        </is>
      </c>
      <c r="H1244" s="84" t="inlineStr">
        <is>
          <t>EETCG24E06</t>
        </is>
      </c>
      <c r="I1244" s="84" t="n">
        <v>1299</v>
      </c>
      <c r="J1244" s="84" t="n">
        <v>1299</v>
      </c>
      <c r="K1244" s="85" t="n">
        <v>3</v>
      </c>
      <c r="L1244" s="86" t="n">
        <v>1680</v>
      </c>
    </row>
    <row r="1245" ht="12.75" customHeight="1" s="103">
      <c r="A1245" s="78">
        <f>MID(H1245,3,2)</f>
        <v/>
      </c>
      <c r="B1245" s="84" t="inlineStr">
        <is>
          <t>B331</t>
        </is>
      </c>
      <c r="C1245" s="84" t="inlineStr">
        <is>
          <t>上海区域</t>
        </is>
      </c>
      <c r="D1245" s="84" t="inlineStr">
        <is>
          <t>CN0Q</t>
        </is>
      </c>
      <c r="E1245" s="80" t="inlineStr">
        <is>
          <t>EE 苏州比斯特</t>
        </is>
      </c>
      <c r="F1245" s="84" t="n">
        <v>4</v>
      </c>
      <c r="G1245" s="84" t="inlineStr">
        <is>
          <t>奥特莱斯</t>
        </is>
      </c>
      <c r="H1245" s="84" t="inlineStr">
        <is>
          <t>EETCG24E06</t>
        </is>
      </c>
      <c r="I1245" s="84" t="n">
        <v>1299</v>
      </c>
      <c r="J1245" s="84" t="n">
        <v>1299</v>
      </c>
      <c r="K1245" s="85" t="n">
        <v>3</v>
      </c>
      <c r="L1245" s="86" t="n">
        <v>1234</v>
      </c>
    </row>
    <row r="1246" ht="12.75" customHeight="1" s="103">
      <c r="A1246" s="78">
        <f>MID(H1246,3,2)</f>
        <v/>
      </c>
      <c r="B1246" s="84" t="inlineStr">
        <is>
          <t>B331</t>
        </is>
      </c>
      <c r="C1246" s="84" t="inlineStr">
        <is>
          <t>上海区域</t>
        </is>
      </c>
      <c r="D1246" s="84" t="inlineStr">
        <is>
          <t>CN0Q</t>
        </is>
      </c>
      <c r="E1246" s="80" t="inlineStr">
        <is>
          <t>EE 苏州比斯特</t>
        </is>
      </c>
      <c r="F1246" s="84" t="n">
        <v>4</v>
      </c>
      <c r="G1246" s="84" t="inlineStr">
        <is>
          <t>奥特莱斯</t>
        </is>
      </c>
      <c r="H1246" s="84" t="inlineStr">
        <is>
          <t>EETCG24E06</t>
        </is>
      </c>
      <c r="I1246" s="84" t="n">
        <v>1299</v>
      </c>
      <c r="J1246" s="84" t="n">
        <v>1299</v>
      </c>
      <c r="K1246" s="85" t="n">
        <v>1</v>
      </c>
      <c r="L1246" s="85" t="n"/>
    </row>
    <row r="1247" ht="12.75" customHeight="1" s="103">
      <c r="A1247" s="78">
        <f>MID(H1247,3,2)</f>
        <v/>
      </c>
      <c r="B1247" s="84" t="inlineStr">
        <is>
          <t>B331</t>
        </is>
      </c>
      <c r="C1247" s="84" t="inlineStr">
        <is>
          <t>上海区域</t>
        </is>
      </c>
      <c r="D1247" s="84" t="inlineStr">
        <is>
          <t>CN0Q</t>
        </is>
      </c>
      <c r="E1247" s="80" t="inlineStr">
        <is>
          <t>EE 苏州比斯特</t>
        </is>
      </c>
      <c r="F1247" s="84" t="n">
        <v>4</v>
      </c>
      <c r="G1247" s="84" t="inlineStr">
        <is>
          <t>奥特莱斯</t>
        </is>
      </c>
      <c r="H1247" s="84" t="inlineStr">
        <is>
          <t>EETCG24E06</t>
        </is>
      </c>
      <c r="I1247" s="84" t="n">
        <v>1299</v>
      </c>
      <c r="J1247" s="84" t="n">
        <v>1299</v>
      </c>
      <c r="K1247" s="85" t="n">
        <v>3</v>
      </c>
      <c r="L1247" s="85" t="n">
        <v>909</v>
      </c>
    </row>
    <row r="1248" ht="12.75" customHeight="1" s="103">
      <c r="A1248" s="78">
        <f>MID(H1248,3,2)</f>
        <v/>
      </c>
      <c r="B1248" s="84" t="inlineStr">
        <is>
          <t>B331</t>
        </is>
      </c>
      <c r="C1248" s="84" t="inlineStr">
        <is>
          <t>上海区域</t>
        </is>
      </c>
      <c r="D1248" s="84" t="inlineStr">
        <is>
          <t>CN0Q</t>
        </is>
      </c>
      <c r="E1248" s="80" t="inlineStr">
        <is>
          <t>EE 苏州比斯特</t>
        </is>
      </c>
      <c r="F1248" s="84" t="n">
        <v>4</v>
      </c>
      <c r="G1248" s="84" t="inlineStr">
        <is>
          <t>奥特莱斯</t>
        </is>
      </c>
      <c r="H1248" s="84" t="inlineStr">
        <is>
          <t>EETCG24E06</t>
        </is>
      </c>
      <c r="I1248" s="84" t="n">
        <v>1299</v>
      </c>
      <c r="J1248" s="84" t="n">
        <v>1299</v>
      </c>
      <c r="K1248" s="85" t="n">
        <v>9</v>
      </c>
      <c r="L1248" s="86" t="n">
        <v>4534</v>
      </c>
    </row>
    <row r="1249" ht="12.75" customHeight="1" s="103">
      <c r="A1249" s="78">
        <f>MID(H1249,3,2)</f>
        <v/>
      </c>
      <c r="B1249" s="84" t="inlineStr">
        <is>
          <t>B331</t>
        </is>
      </c>
      <c r="C1249" s="84" t="inlineStr">
        <is>
          <t>上海区域</t>
        </is>
      </c>
      <c r="D1249" s="84" t="inlineStr">
        <is>
          <t>CN0Q</t>
        </is>
      </c>
      <c r="E1249" s="80" t="inlineStr">
        <is>
          <t>EE 苏州比斯特</t>
        </is>
      </c>
      <c r="F1249" s="84" t="n">
        <v>4</v>
      </c>
      <c r="G1249" s="84" t="inlineStr">
        <is>
          <t>奥特莱斯</t>
        </is>
      </c>
      <c r="H1249" s="84" t="inlineStr">
        <is>
          <t>EETCG24E06</t>
        </is>
      </c>
      <c r="I1249" s="84" t="n">
        <v>1299</v>
      </c>
      <c r="J1249" s="84" t="n">
        <v>1299</v>
      </c>
      <c r="K1249" s="85" t="n">
        <v>5</v>
      </c>
      <c r="L1249" s="86" t="n">
        <v>1685</v>
      </c>
    </row>
    <row r="1250" ht="12.75" customHeight="1" s="103">
      <c r="A1250" s="78">
        <f>MID(H1250,3,2)</f>
        <v/>
      </c>
      <c r="B1250" s="84" t="inlineStr">
        <is>
          <t>B331</t>
        </is>
      </c>
      <c r="C1250" s="84" t="inlineStr">
        <is>
          <t>上海区域</t>
        </is>
      </c>
      <c r="D1250" s="84" t="inlineStr">
        <is>
          <t>CN0Q</t>
        </is>
      </c>
      <c r="E1250" s="80" t="inlineStr">
        <is>
          <t>EE 苏州比斯特</t>
        </is>
      </c>
      <c r="F1250" s="84" t="n">
        <v>4</v>
      </c>
      <c r="G1250" s="84" t="inlineStr">
        <is>
          <t>奥特莱斯</t>
        </is>
      </c>
      <c r="H1250" s="84" t="inlineStr">
        <is>
          <t>EETCG24E06</t>
        </is>
      </c>
      <c r="I1250" s="84" t="n">
        <v>1299</v>
      </c>
      <c r="J1250" s="84" t="n">
        <v>1299</v>
      </c>
      <c r="K1250" s="85" t="n">
        <v>5</v>
      </c>
      <c r="L1250" s="86" t="n">
        <v>1685</v>
      </c>
    </row>
    <row r="1251" ht="12.75" customHeight="1" s="103">
      <c r="A1251" s="78">
        <f>MID(H1251,3,2)</f>
        <v/>
      </c>
      <c r="B1251" s="84" t="inlineStr">
        <is>
          <t>B331</t>
        </is>
      </c>
      <c r="C1251" s="84" t="inlineStr">
        <is>
          <t>上海区域</t>
        </is>
      </c>
      <c r="D1251" s="84" t="inlineStr">
        <is>
          <t>CN0Q</t>
        </is>
      </c>
      <c r="E1251" s="80" t="inlineStr">
        <is>
          <t>EE 苏州比斯特</t>
        </is>
      </c>
      <c r="F1251" s="84" t="n">
        <v>4</v>
      </c>
      <c r="G1251" s="84" t="inlineStr">
        <is>
          <t>奥特莱斯</t>
        </is>
      </c>
      <c r="H1251" s="84" t="inlineStr">
        <is>
          <t>EETCG24E06</t>
        </is>
      </c>
      <c r="I1251" s="84" t="n">
        <v>1299</v>
      </c>
      <c r="J1251" s="84" t="n">
        <v>1299</v>
      </c>
      <c r="K1251" s="85" t="n"/>
      <c r="L1251" s="85" t="n"/>
    </row>
    <row r="1252" ht="12.75" customHeight="1" s="103">
      <c r="A1252" s="78">
        <f>MID(H1252,3,2)</f>
        <v/>
      </c>
      <c r="B1252" s="84" t="inlineStr">
        <is>
          <t>B331</t>
        </is>
      </c>
      <c r="C1252" s="84" t="inlineStr">
        <is>
          <t>上海区域</t>
        </is>
      </c>
      <c r="D1252" s="84" t="inlineStr">
        <is>
          <t>CN0Q</t>
        </is>
      </c>
      <c r="E1252" s="80" t="inlineStr">
        <is>
          <t>EE 苏州比斯特</t>
        </is>
      </c>
      <c r="F1252" s="84" t="n">
        <v>4</v>
      </c>
      <c r="G1252" s="84" t="inlineStr">
        <is>
          <t>奥特莱斯</t>
        </is>
      </c>
      <c r="H1252" s="84" t="inlineStr">
        <is>
          <t>EETCG24E06</t>
        </is>
      </c>
      <c r="I1252" s="84" t="n">
        <v>1299</v>
      </c>
      <c r="J1252" s="84" t="n">
        <v>1299</v>
      </c>
      <c r="K1252" s="85" t="n">
        <v>2</v>
      </c>
      <c r="L1252" s="85" t="n">
        <v>837</v>
      </c>
    </row>
    <row r="1253" ht="12.75" customHeight="1" s="103">
      <c r="A1253" s="78">
        <f>MID(H1253,3,2)</f>
        <v/>
      </c>
      <c r="B1253" s="84" t="inlineStr">
        <is>
          <t>B331</t>
        </is>
      </c>
      <c r="C1253" s="84" t="inlineStr">
        <is>
          <t>上海区域</t>
        </is>
      </c>
      <c r="D1253" s="84" t="inlineStr">
        <is>
          <t>CN0Q</t>
        </is>
      </c>
      <c r="E1253" s="80" t="inlineStr">
        <is>
          <t>EE 苏州比斯特</t>
        </is>
      </c>
      <c r="F1253" s="84" t="n">
        <v>4</v>
      </c>
      <c r="G1253" s="84" t="inlineStr">
        <is>
          <t>奥特莱斯</t>
        </is>
      </c>
      <c r="H1253" s="84" t="inlineStr">
        <is>
          <t>EETCG24E06</t>
        </is>
      </c>
      <c r="I1253" s="84" t="n">
        <v>1299</v>
      </c>
      <c r="J1253" s="84" t="n">
        <v>1299</v>
      </c>
      <c r="K1253" s="85" t="n">
        <v>4</v>
      </c>
      <c r="L1253" s="86" t="n">
        <v>3244</v>
      </c>
    </row>
    <row r="1254" ht="12.75" customHeight="1" s="103">
      <c r="A1254" s="78">
        <f>MID(H1254,3,2)</f>
        <v/>
      </c>
      <c r="B1254" s="84" t="inlineStr">
        <is>
          <t>B331</t>
        </is>
      </c>
      <c r="C1254" s="84" t="inlineStr">
        <is>
          <t>上海区域</t>
        </is>
      </c>
      <c r="D1254" s="84" t="inlineStr">
        <is>
          <t>CN0Q</t>
        </is>
      </c>
      <c r="E1254" s="80" t="inlineStr">
        <is>
          <t>EE 苏州比斯特</t>
        </is>
      </c>
      <c r="F1254" s="84" t="n">
        <v>4</v>
      </c>
      <c r="G1254" s="84" t="inlineStr">
        <is>
          <t>奥特莱斯</t>
        </is>
      </c>
      <c r="H1254" s="84" t="inlineStr">
        <is>
          <t>EETCG24E06</t>
        </is>
      </c>
      <c r="I1254" s="84" t="n">
        <v>1299</v>
      </c>
      <c r="J1254" s="84" t="n">
        <v>1299</v>
      </c>
      <c r="K1254" s="85" t="n">
        <v>1</v>
      </c>
      <c r="L1254" s="85" t="n">
        <v>837</v>
      </c>
    </row>
    <row r="1255" ht="12.75" customHeight="1" s="103">
      <c r="A1255" s="78">
        <f>MID(H1255,3,2)</f>
        <v/>
      </c>
      <c r="B1255" s="84" t="inlineStr">
        <is>
          <t>B331</t>
        </is>
      </c>
      <c r="C1255" s="84" t="inlineStr">
        <is>
          <t>上海区域</t>
        </is>
      </c>
      <c r="D1255" s="84" t="inlineStr">
        <is>
          <t>CN0Q</t>
        </is>
      </c>
      <c r="E1255" s="80" t="inlineStr">
        <is>
          <t>EE 苏州比斯特</t>
        </is>
      </c>
      <c r="F1255" s="84" t="n">
        <v>4</v>
      </c>
      <c r="G1255" s="84" t="inlineStr">
        <is>
          <t>奥特莱斯</t>
        </is>
      </c>
      <c r="H1255" s="84" t="inlineStr">
        <is>
          <t>EETCG64S01</t>
        </is>
      </c>
      <c r="I1255" s="84" t="n">
        <v>799</v>
      </c>
      <c r="J1255" s="84" t="n">
        <v>799</v>
      </c>
      <c r="K1255" s="85" t="n">
        <v>1</v>
      </c>
      <c r="L1255" s="85" t="n">
        <v>400</v>
      </c>
    </row>
    <row r="1256" ht="12.75" customHeight="1" s="103">
      <c r="A1256" s="78">
        <f>MID(H1256,3,2)</f>
        <v/>
      </c>
      <c r="B1256" s="84" t="inlineStr">
        <is>
          <t>B331</t>
        </is>
      </c>
      <c r="C1256" s="84" t="inlineStr">
        <is>
          <t>上海区域</t>
        </is>
      </c>
      <c r="D1256" s="84" t="inlineStr">
        <is>
          <t>CN0Q</t>
        </is>
      </c>
      <c r="E1256" s="80" t="inlineStr">
        <is>
          <t>EE 苏州比斯特</t>
        </is>
      </c>
      <c r="F1256" s="84" t="n">
        <v>4</v>
      </c>
      <c r="G1256" s="84" t="inlineStr">
        <is>
          <t>奥特莱斯</t>
        </is>
      </c>
      <c r="H1256" s="84" t="inlineStr">
        <is>
          <t>EETCG64S01</t>
        </is>
      </c>
      <c r="I1256" s="84" t="n">
        <v>799</v>
      </c>
      <c r="J1256" s="84" t="n">
        <v>799</v>
      </c>
      <c r="K1256" s="85" t="n"/>
      <c r="L1256" s="85" t="n"/>
    </row>
    <row r="1257" ht="12.75" customHeight="1" s="103">
      <c r="A1257" s="78">
        <f>MID(H1257,3,2)</f>
        <v/>
      </c>
      <c r="B1257" s="84" t="inlineStr">
        <is>
          <t>B331</t>
        </is>
      </c>
      <c r="C1257" s="84" t="inlineStr">
        <is>
          <t>上海区域</t>
        </is>
      </c>
      <c r="D1257" s="84" t="inlineStr">
        <is>
          <t>CN0Q</t>
        </is>
      </c>
      <c r="E1257" s="80" t="inlineStr">
        <is>
          <t>EE 苏州比斯特</t>
        </is>
      </c>
      <c r="F1257" s="84" t="n">
        <v>4</v>
      </c>
      <c r="G1257" s="84" t="inlineStr">
        <is>
          <t>奥特莱斯</t>
        </is>
      </c>
      <c r="H1257" s="84" t="inlineStr">
        <is>
          <t>EETCG64S01</t>
        </is>
      </c>
      <c r="I1257" s="84" t="n">
        <v>799</v>
      </c>
      <c r="J1257" s="84" t="n">
        <v>799</v>
      </c>
      <c r="K1257" s="85" t="n">
        <v>2</v>
      </c>
      <c r="L1257" s="85" t="n">
        <v>760</v>
      </c>
    </row>
    <row r="1258" ht="12.75" customHeight="1" s="103">
      <c r="A1258" s="78">
        <f>MID(H1258,3,2)</f>
        <v/>
      </c>
      <c r="B1258" s="84" t="inlineStr">
        <is>
          <t>B331</t>
        </is>
      </c>
      <c r="C1258" s="84" t="inlineStr">
        <is>
          <t>上海区域</t>
        </is>
      </c>
      <c r="D1258" s="84" t="inlineStr">
        <is>
          <t>CN0Q</t>
        </is>
      </c>
      <c r="E1258" s="80" t="inlineStr">
        <is>
          <t>EE 苏州比斯特</t>
        </is>
      </c>
      <c r="F1258" s="84" t="n">
        <v>4</v>
      </c>
      <c r="G1258" s="84" t="inlineStr">
        <is>
          <t>奥特莱斯</t>
        </is>
      </c>
      <c r="H1258" s="84" t="inlineStr">
        <is>
          <t>EETHF23T71</t>
        </is>
      </c>
      <c r="I1258" s="84" t="n">
        <v>599</v>
      </c>
      <c r="J1258" s="84" t="n">
        <v>699</v>
      </c>
      <c r="K1258" s="85" t="n"/>
      <c r="L1258" s="85" t="n"/>
    </row>
    <row r="1259" ht="12.75" customHeight="1" s="103">
      <c r="A1259" s="78">
        <f>MID(H1259,3,2)</f>
        <v/>
      </c>
      <c r="B1259" s="84" t="inlineStr">
        <is>
          <t>B331</t>
        </is>
      </c>
      <c r="C1259" s="84" t="inlineStr">
        <is>
          <t>上海区域</t>
        </is>
      </c>
      <c r="D1259" s="84" t="inlineStr">
        <is>
          <t>CN0Q</t>
        </is>
      </c>
      <c r="E1259" s="80" t="inlineStr">
        <is>
          <t>EE 苏州比斯特</t>
        </is>
      </c>
      <c r="F1259" s="84" t="n">
        <v>4</v>
      </c>
      <c r="G1259" s="84" t="inlineStr">
        <is>
          <t>奥特莱斯</t>
        </is>
      </c>
      <c r="H1259" s="84" t="inlineStr">
        <is>
          <t>EETHF23T71</t>
        </is>
      </c>
      <c r="I1259" s="84" t="n">
        <v>599</v>
      </c>
      <c r="J1259" s="84" t="n">
        <v>699</v>
      </c>
      <c r="K1259" s="85" t="n"/>
      <c r="L1259" s="85" t="n"/>
    </row>
    <row r="1260" ht="12.75" customHeight="1" s="103">
      <c r="A1260" s="78">
        <f>MID(H1260,3,2)</f>
        <v/>
      </c>
      <c r="B1260" s="84" t="inlineStr">
        <is>
          <t>B331</t>
        </is>
      </c>
      <c r="C1260" s="84" t="inlineStr">
        <is>
          <t>上海区域</t>
        </is>
      </c>
      <c r="D1260" s="84" t="inlineStr">
        <is>
          <t>CN0Q</t>
        </is>
      </c>
      <c r="E1260" s="80" t="inlineStr">
        <is>
          <t>EE 苏州比斯特</t>
        </is>
      </c>
      <c r="F1260" s="84" t="n">
        <v>4</v>
      </c>
      <c r="G1260" s="84" t="inlineStr">
        <is>
          <t>奥特莱斯</t>
        </is>
      </c>
      <c r="H1260" s="84" t="inlineStr">
        <is>
          <t>EETHF23T71</t>
        </is>
      </c>
      <c r="I1260" s="84" t="n">
        <v>599</v>
      </c>
      <c r="J1260" s="84" t="n">
        <v>699</v>
      </c>
      <c r="K1260" s="85" t="n"/>
      <c r="L1260" s="85" t="n"/>
    </row>
    <row r="1261" ht="12.75" customHeight="1" s="103">
      <c r="A1261" s="78">
        <f>MID(H1261,3,2)</f>
        <v/>
      </c>
      <c r="B1261" s="84" t="inlineStr">
        <is>
          <t>B331</t>
        </is>
      </c>
      <c r="C1261" s="84" t="inlineStr">
        <is>
          <t>上海区域</t>
        </is>
      </c>
      <c r="D1261" s="84" t="inlineStr">
        <is>
          <t>CN0Q</t>
        </is>
      </c>
      <c r="E1261" s="80" t="inlineStr">
        <is>
          <t>EE 苏州比斯特</t>
        </is>
      </c>
      <c r="F1261" s="84" t="n">
        <v>4</v>
      </c>
      <c r="G1261" s="84" t="inlineStr">
        <is>
          <t>奥特莱斯</t>
        </is>
      </c>
      <c r="H1261" s="84" t="inlineStr">
        <is>
          <t>EETHG23B1G</t>
        </is>
      </c>
      <c r="I1261" s="84" t="n">
        <v>799</v>
      </c>
      <c r="J1261" s="84" t="n">
        <v>799</v>
      </c>
      <c r="K1261" s="85" t="n"/>
      <c r="L1261" s="85" t="n"/>
    </row>
    <row r="1262" ht="12.75" customHeight="1" s="103">
      <c r="A1262" s="78">
        <f>MID(H1262,3,2)</f>
        <v/>
      </c>
      <c r="B1262" s="84" t="inlineStr">
        <is>
          <t>B331</t>
        </is>
      </c>
      <c r="C1262" s="84" t="inlineStr">
        <is>
          <t>上海区域</t>
        </is>
      </c>
      <c r="D1262" s="84" t="inlineStr">
        <is>
          <t>CN0Q</t>
        </is>
      </c>
      <c r="E1262" s="80" t="inlineStr">
        <is>
          <t>EE 苏州比斯特</t>
        </is>
      </c>
      <c r="F1262" s="84" t="n">
        <v>4</v>
      </c>
      <c r="G1262" s="84" t="inlineStr">
        <is>
          <t>奥特莱斯</t>
        </is>
      </c>
      <c r="H1262" s="84" t="inlineStr">
        <is>
          <t>EETHG23B1G</t>
        </is>
      </c>
      <c r="I1262" s="84" t="n">
        <v>799</v>
      </c>
      <c r="J1262" s="84" t="n">
        <v>799</v>
      </c>
      <c r="K1262" s="85" t="n"/>
      <c r="L1262" s="85" t="n"/>
    </row>
    <row r="1263" ht="12.75" customHeight="1" s="103">
      <c r="A1263" s="78">
        <f>MID(H1263,3,2)</f>
        <v/>
      </c>
      <c r="B1263" s="84" t="inlineStr">
        <is>
          <t>B331</t>
        </is>
      </c>
      <c r="C1263" s="84" t="inlineStr">
        <is>
          <t>上海区域</t>
        </is>
      </c>
      <c r="D1263" s="84" t="inlineStr">
        <is>
          <t>CN0Q</t>
        </is>
      </c>
      <c r="E1263" s="80" t="inlineStr">
        <is>
          <t>EE 苏州比斯特</t>
        </is>
      </c>
      <c r="F1263" s="84" t="n">
        <v>4</v>
      </c>
      <c r="G1263" s="84" t="inlineStr">
        <is>
          <t>奥特莱斯</t>
        </is>
      </c>
      <c r="H1263" s="84" t="inlineStr">
        <is>
          <t>EETHG23B1G</t>
        </is>
      </c>
      <c r="I1263" s="84" t="n">
        <v>799</v>
      </c>
      <c r="J1263" s="84" t="n">
        <v>799</v>
      </c>
      <c r="K1263" s="85" t="n"/>
      <c r="L1263" s="85" t="n"/>
    </row>
    <row r="1264" ht="12.75" customHeight="1" s="103">
      <c r="A1264" s="78">
        <f>MID(H1264,3,2)</f>
        <v/>
      </c>
      <c r="B1264" s="84" t="inlineStr">
        <is>
          <t>B331</t>
        </is>
      </c>
      <c r="C1264" s="84" t="inlineStr">
        <is>
          <t>上海区域</t>
        </is>
      </c>
      <c r="D1264" s="84" t="inlineStr">
        <is>
          <t>CN0Q</t>
        </is>
      </c>
      <c r="E1264" s="80" t="inlineStr">
        <is>
          <t>EE 苏州比斯特</t>
        </is>
      </c>
      <c r="F1264" s="84" t="n">
        <v>4</v>
      </c>
      <c r="G1264" s="84" t="inlineStr">
        <is>
          <t>奥特莱斯</t>
        </is>
      </c>
      <c r="H1264" s="84" t="inlineStr">
        <is>
          <t>EETHG24E02</t>
        </is>
      </c>
      <c r="I1264" s="84" t="n">
        <v>599</v>
      </c>
      <c r="J1264" s="84" t="n">
        <v>599</v>
      </c>
      <c r="K1264" s="85" t="n"/>
      <c r="L1264" s="85" t="n"/>
    </row>
    <row r="1265" ht="12.75" customHeight="1" s="103">
      <c r="A1265" s="78">
        <f>MID(H1265,3,2)</f>
        <v/>
      </c>
      <c r="B1265" s="84" t="inlineStr">
        <is>
          <t>B331</t>
        </is>
      </c>
      <c r="C1265" s="84" t="inlineStr">
        <is>
          <t>上海区域</t>
        </is>
      </c>
      <c r="D1265" s="84" t="inlineStr">
        <is>
          <t>CN0Q</t>
        </is>
      </c>
      <c r="E1265" s="80" t="inlineStr">
        <is>
          <t>EE 苏州比斯特</t>
        </is>
      </c>
      <c r="F1265" s="84" t="n">
        <v>4</v>
      </c>
      <c r="G1265" s="84" t="inlineStr">
        <is>
          <t>奥特莱斯</t>
        </is>
      </c>
      <c r="H1265" s="84" t="inlineStr">
        <is>
          <t>EETHG24E02</t>
        </is>
      </c>
      <c r="I1265" s="84" t="n">
        <v>599</v>
      </c>
      <c r="J1265" s="84" t="n">
        <v>599</v>
      </c>
      <c r="K1265" s="85" t="n"/>
      <c r="L1265" s="85" t="n"/>
    </row>
    <row r="1266" ht="12.75" customHeight="1" s="103">
      <c r="A1266" s="78">
        <f>MID(H1266,3,2)</f>
        <v/>
      </c>
      <c r="B1266" s="84" t="inlineStr">
        <is>
          <t>B331</t>
        </is>
      </c>
      <c r="C1266" s="84" t="inlineStr">
        <is>
          <t>上海区域</t>
        </is>
      </c>
      <c r="D1266" s="84" t="inlineStr">
        <is>
          <t>CN0Q</t>
        </is>
      </c>
      <c r="E1266" s="80" t="inlineStr">
        <is>
          <t>EE 苏州比斯特</t>
        </is>
      </c>
      <c r="F1266" s="84" t="n">
        <v>4</v>
      </c>
      <c r="G1266" s="84" t="inlineStr">
        <is>
          <t>奥特莱斯</t>
        </is>
      </c>
      <c r="H1266" s="84" t="inlineStr">
        <is>
          <t>EETHG24E02</t>
        </is>
      </c>
      <c r="I1266" s="84" t="n">
        <v>599</v>
      </c>
      <c r="J1266" s="84" t="n">
        <v>599</v>
      </c>
      <c r="K1266" s="85" t="n"/>
      <c r="L1266" s="85" t="n"/>
    </row>
    <row r="1267" ht="12.75" customHeight="1" s="103">
      <c r="A1267" s="78">
        <f>MID(H1267,3,2)</f>
        <v/>
      </c>
      <c r="B1267" s="84" t="inlineStr">
        <is>
          <t>B331</t>
        </is>
      </c>
      <c r="C1267" s="84" t="inlineStr">
        <is>
          <t>上海区域</t>
        </is>
      </c>
      <c r="D1267" s="84" t="inlineStr">
        <is>
          <t>CN0Q</t>
        </is>
      </c>
      <c r="E1267" s="80" t="inlineStr">
        <is>
          <t>EE 苏州比斯特</t>
        </is>
      </c>
      <c r="F1267" s="84" t="n">
        <v>4</v>
      </c>
      <c r="G1267" s="84" t="inlineStr">
        <is>
          <t>奥特莱斯</t>
        </is>
      </c>
      <c r="H1267" s="84" t="inlineStr">
        <is>
          <t>EETHG24E02</t>
        </is>
      </c>
      <c r="I1267" s="84" t="n">
        <v>599</v>
      </c>
      <c r="J1267" s="84" t="n">
        <v>599</v>
      </c>
      <c r="K1267" s="85" t="n"/>
      <c r="L1267" s="85" t="n"/>
    </row>
    <row r="1268" ht="12.75" customHeight="1" s="103">
      <c r="A1268" s="78">
        <f>MID(H1268,3,2)</f>
        <v/>
      </c>
      <c r="B1268" s="84" t="inlineStr">
        <is>
          <t>B331</t>
        </is>
      </c>
      <c r="C1268" s="84" t="inlineStr">
        <is>
          <t>上海区域</t>
        </is>
      </c>
      <c r="D1268" s="84" t="inlineStr">
        <is>
          <t>CN0Q</t>
        </is>
      </c>
      <c r="E1268" s="80" t="inlineStr">
        <is>
          <t>EE 苏州比斯特</t>
        </is>
      </c>
      <c r="F1268" s="84" t="n">
        <v>4</v>
      </c>
      <c r="G1268" s="84" t="inlineStr">
        <is>
          <t>奥特莱斯</t>
        </is>
      </c>
      <c r="H1268" s="84" t="inlineStr">
        <is>
          <t>EETHG24E02</t>
        </is>
      </c>
      <c r="I1268" s="84" t="n">
        <v>599</v>
      </c>
      <c r="J1268" s="84" t="n">
        <v>599</v>
      </c>
      <c r="K1268" s="85" t="n"/>
      <c r="L1268" s="85" t="n"/>
    </row>
    <row r="1269" ht="12.75" customHeight="1" s="103">
      <c r="A1269" s="78">
        <f>MID(H1269,3,2)</f>
        <v/>
      </c>
      <c r="B1269" s="84" t="inlineStr">
        <is>
          <t>B331</t>
        </is>
      </c>
      <c r="C1269" s="84" t="inlineStr">
        <is>
          <t>上海区域</t>
        </is>
      </c>
      <c r="D1269" s="84" t="inlineStr">
        <is>
          <t>CN0Q</t>
        </is>
      </c>
      <c r="E1269" s="80" t="inlineStr">
        <is>
          <t>EE 苏州比斯特</t>
        </is>
      </c>
      <c r="F1269" s="84" t="n">
        <v>4</v>
      </c>
      <c r="G1269" s="84" t="inlineStr">
        <is>
          <t>奥特莱斯</t>
        </is>
      </c>
      <c r="H1269" s="84" t="inlineStr">
        <is>
          <t>EETHG24E02</t>
        </is>
      </c>
      <c r="I1269" s="84" t="n">
        <v>599</v>
      </c>
      <c r="J1269" s="84" t="n">
        <v>599</v>
      </c>
      <c r="K1269" s="85" t="n">
        <v>1</v>
      </c>
      <c r="L1269" s="85" t="n"/>
    </row>
    <row r="1270" ht="12.75" customHeight="1" s="103">
      <c r="A1270" s="78">
        <f>MID(H1270,3,2)</f>
        <v/>
      </c>
      <c r="B1270" s="84" t="inlineStr">
        <is>
          <t>B331</t>
        </is>
      </c>
      <c r="C1270" s="84" t="inlineStr">
        <is>
          <t>上海区域</t>
        </is>
      </c>
      <c r="D1270" s="84" t="inlineStr">
        <is>
          <t>CN0Q</t>
        </is>
      </c>
      <c r="E1270" s="80" t="inlineStr">
        <is>
          <t>EE 苏州比斯特</t>
        </is>
      </c>
      <c r="F1270" s="84" t="n">
        <v>4</v>
      </c>
      <c r="G1270" s="84" t="inlineStr">
        <is>
          <t>奥特莱斯</t>
        </is>
      </c>
      <c r="H1270" s="84" t="inlineStr">
        <is>
          <t>EETHG24E02</t>
        </is>
      </c>
      <c r="I1270" s="84" t="n">
        <v>599</v>
      </c>
      <c r="J1270" s="84" t="n">
        <v>599</v>
      </c>
      <c r="K1270" s="85" t="n">
        <v>1</v>
      </c>
      <c r="L1270" s="85" t="n">
        <v>379</v>
      </c>
    </row>
    <row r="1271" ht="12.75" customHeight="1" s="103">
      <c r="A1271" s="78">
        <f>MID(H1271,3,2)</f>
        <v/>
      </c>
      <c r="B1271" s="84" t="inlineStr">
        <is>
          <t>B331</t>
        </is>
      </c>
      <c r="C1271" s="84" t="inlineStr">
        <is>
          <t>上海区域</t>
        </is>
      </c>
      <c r="D1271" s="84" t="inlineStr">
        <is>
          <t>CN0Q</t>
        </is>
      </c>
      <c r="E1271" s="80" t="inlineStr">
        <is>
          <t>EE 苏州比斯特</t>
        </is>
      </c>
      <c r="F1271" s="84" t="n">
        <v>4</v>
      </c>
      <c r="G1271" s="84" t="inlineStr">
        <is>
          <t>奥特莱斯</t>
        </is>
      </c>
      <c r="H1271" s="84" t="inlineStr">
        <is>
          <t>EETHG24E02</t>
        </is>
      </c>
      <c r="I1271" s="84" t="n">
        <v>599</v>
      </c>
      <c r="J1271" s="84" t="n">
        <v>599</v>
      </c>
      <c r="K1271" s="85" t="n"/>
      <c r="L1271" s="85" t="n"/>
    </row>
    <row r="1272" ht="12.75" customHeight="1" s="103">
      <c r="A1272" s="78">
        <f>MID(H1272,3,2)</f>
        <v/>
      </c>
      <c r="B1272" s="84" t="inlineStr">
        <is>
          <t>B331</t>
        </is>
      </c>
      <c r="C1272" s="84" t="inlineStr">
        <is>
          <t>上海区域</t>
        </is>
      </c>
      <c r="D1272" s="84" t="inlineStr">
        <is>
          <t>CN0Q</t>
        </is>
      </c>
      <c r="E1272" s="80" t="inlineStr">
        <is>
          <t>EE 苏州比斯特</t>
        </is>
      </c>
      <c r="F1272" s="84" t="n">
        <v>4</v>
      </c>
      <c r="G1272" s="84" t="inlineStr">
        <is>
          <t>奥特莱斯</t>
        </is>
      </c>
      <c r="H1272" s="84" t="inlineStr">
        <is>
          <t>EETHG24E03</t>
        </is>
      </c>
      <c r="I1272" s="84" t="n">
        <v>699</v>
      </c>
      <c r="J1272" s="84" t="n">
        <v>699</v>
      </c>
      <c r="K1272" s="85" t="n">
        <v>1</v>
      </c>
      <c r="L1272" s="85" t="n">
        <v>468</v>
      </c>
    </row>
    <row r="1273" ht="12.75" customHeight="1" s="103">
      <c r="A1273" s="78">
        <f>MID(H1273,3,2)</f>
        <v/>
      </c>
      <c r="B1273" s="84" t="inlineStr">
        <is>
          <t>B331</t>
        </is>
      </c>
      <c r="C1273" s="84" t="inlineStr">
        <is>
          <t>上海区域</t>
        </is>
      </c>
      <c r="D1273" s="84" t="inlineStr">
        <is>
          <t>CN0Q</t>
        </is>
      </c>
      <c r="E1273" s="80" t="inlineStr">
        <is>
          <t>EE 苏州比斯特</t>
        </is>
      </c>
      <c r="F1273" s="84" t="n">
        <v>4</v>
      </c>
      <c r="G1273" s="84" t="inlineStr">
        <is>
          <t>奥特莱斯</t>
        </is>
      </c>
      <c r="H1273" s="84" t="inlineStr">
        <is>
          <t>EETHG24E03</t>
        </is>
      </c>
      <c r="I1273" s="84" t="n">
        <v>699</v>
      </c>
      <c r="J1273" s="84" t="n">
        <v>699</v>
      </c>
      <c r="K1273" s="85" t="n">
        <v>0</v>
      </c>
      <c r="L1273" s="85" t="n">
        <v>-489</v>
      </c>
    </row>
    <row r="1274" ht="12.75" customHeight="1" s="103">
      <c r="A1274" s="78">
        <f>MID(H1274,3,2)</f>
        <v/>
      </c>
      <c r="B1274" s="84" t="inlineStr">
        <is>
          <t>B331</t>
        </is>
      </c>
      <c r="C1274" s="84" t="inlineStr">
        <is>
          <t>上海区域</t>
        </is>
      </c>
      <c r="D1274" s="84" t="inlineStr">
        <is>
          <t>CN0Q</t>
        </is>
      </c>
      <c r="E1274" s="80" t="inlineStr">
        <is>
          <t>EE 苏州比斯特</t>
        </is>
      </c>
      <c r="F1274" s="84" t="n">
        <v>4</v>
      </c>
      <c r="G1274" s="84" t="inlineStr">
        <is>
          <t>奥特莱斯</t>
        </is>
      </c>
      <c r="H1274" s="84" t="inlineStr">
        <is>
          <t>EETHG24E03</t>
        </is>
      </c>
      <c r="I1274" s="84" t="n">
        <v>699</v>
      </c>
      <c r="J1274" s="84" t="n">
        <v>699</v>
      </c>
      <c r="K1274" s="85" t="n">
        <v>2</v>
      </c>
      <c r="L1274" s="86" t="n">
        <v>1188</v>
      </c>
    </row>
    <row r="1275" ht="12.75" customHeight="1" s="103">
      <c r="A1275" s="78">
        <f>MID(H1275,3,2)</f>
        <v/>
      </c>
      <c r="B1275" s="84" t="inlineStr">
        <is>
          <t>B331</t>
        </is>
      </c>
      <c r="C1275" s="84" t="inlineStr">
        <is>
          <t>上海区域</t>
        </is>
      </c>
      <c r="D1275" s="84" t="inlineStr">
        <is>
          <t>CN0Q</t>
        </is>
      </c>
      <c r="E1275" s="80" t="inlineStr">
        <is>
          <t>EE 苏州比斯特</t>
        </is>
      </c>
      <c r="F1275" s="84" t="n">
        <v>4</v>
      </c>
      <c r="G1275" s="84" t="inlineStr">
        <is>
          <t>奥特莱斯</t>
        </is>
      </c>
      <c r="H1275" s="84" t="inlineStr">
        <is>
          <t>EETHG25E01</t>
        </is>
      </c>
      <c r="I1275" s="84" t="n">
        <v>699</v>
      </c>
      <c r="J1275" s="84" t="n">
        <v>699</v>
      </c>
      <c r="K1275" s="85" t="n">
        <v>5</v>
      </c>
      <c r="L1275" s="86" t="n">
        <v>1339</v>
      </c>
    </row>
    <row r="1276" ht="12.75" customHeight="1" s="103">
      <c r="A1276" s="78">
        <f>MID(H1276,3,2)</f>
        <v/>
      </c>
      <c r="B1276" s="84" t="inlineStr">
        <is>
          <t>B331</t>
        </is>
      </c>
      <c r="C1276" s="84" t="inlineStr">
        <is>
          <t>上海区域</t>
        </is>
      </c>
      <c r="D1276" s="84" t="inlineStr">
        <is>
          <t>CN0Q</t>
        </is>
      </c>
      <c r="E1276" s="80" t="inlineStr">
        <is>
          <t>EE 苏州比斯特</t>
        </is>
      </c>
      <c r="F1276" s="84" t="n">
        <v>4</v>
      </c>
      <c r="G1276" s="84" t="inlineStr">
        <is>
          <t>奥特莱斯</t>
        </is>
      </c>
      <c r="H1276" s="84" t="inlineStr">
        <is>
          <t>EETHG25E01</t>
        </is>
      </c>
      <c r="I1276" s="84" t="n">
        <v>699</v>
      </c>
      <c r="J1276" s="84" t="n">
        <v>699</v>
      </c>
      <c r="K1276" s="85" t="n">
        <v>7</v>
      </c>
      <c r="L1276" s="86" t="n">
        <v>1916</v>
      </c>
    </row>
    <row r="1277" ht="12.75" customHeight="1" s="103">
      <c r="A1277" s="78">
        <f>MID(H1277,3,2)</f>
        <v/>
      </c>
      <c r="B1277" s="84" t="inlineStr">
        <is>
          <t>B331</t>
        </is>
      </c>
      <c r="C1277" s="84" t="inlineStr">
        <is>
          <t>上海区域</t>
        </is>
      </c>
      <c r="D1277" s="84" t="inlineStr">
        <is>
          <t>CN0Q</t>
        </is>
      </c>
      <c r="E1277" s="80" t="inlineStr">
        <is>
          <t>EE 苏州比斯特</t>
        </is>
      </c>
      <c r="F1277" s="84" t="n">
        <v>4</v>
      </c>
      <c r="G1277" s="84" t="inlineStr">
        <is>
          <t>奥特莱斯</t>
        </is>
      </c>
      <c r="H1277" s="84" t="inlineStr">
        <is>
          <t>EETHG25E01</t>
        </is>
      </c>
      <c r="I1277" s="84" t="n">
        <v>699</v>
      </c>
      <c r="J1277" s="84" t="n">
        <v>699</v>
      </c>
      <c r="K1277" s="85" t="n">
        <v>3</v>
      </c>
      <c r="L1277" s="85" t="n">
        <v>901</v>
      </c>
    </row>
    <row r="1278" ht="12.75" customHeight="1" s="103">
      <c r="A1278" s="78">
        <f>MID(H1278,3,2)</f>
        <v/>
      </c>
      <c r="B1278" s="84" t="inlineStr">
        <is>
          <t>B331</t>
        </is>
      </c>
      <c r="C1278" s="84" t="inlineStr">
        <is>
          <t>上海区域</t>
        </is>
      </c>
      <c r="D1278" s="84" t="inlineStr">
        <is>
          <t>CN0Q</t>
        </is>
      </c>
      <c r="E1278" s="80" t="inlineStr">
        <is>
          <t>EE 苏州比斯特</t>
        </is>
      </c>
      <c r="F1278" s="84" t="n">
        <v>4</v>
      </c>
      <c r="G1278" s="84" t="inlineStr">
        <is>
          <t>奥特莱斯</t>
        </is>
      </c>
      <c r="H1278" s="84" t="inlineStr">
        <is>
          <t>EETHG25E01</t>
        </is>
      </c>
      <c r="I1278" s="84" t="n">
        <v>699</v>
      </c>
      <c r="J1278" s="84" t="n">
        <v>699</v>
      </c>
      <c r="K1278" s="85" t="n">
        <v>1</v>
      </c>
      <c r="L1278" s="85" t="n">
        <v>443</v>
      </c>
    </row>
    <row r="1279" ht="12.75" customHeight="1" s="103">
      <c r="A1279" s="78">
        <f>MID(H1279,3,2)</f>
        <v/>
      </c>
      <c r="B1279" s="84" t="inlineStr">
        <is>
          <t>B331</t>
        </is>
      </c>
      <c r="C1279" s="84" t="inlineStr">
        <is>
          <t>上海区域</t>
        </is>
      </c>
      <c r="D1279" s="84" t="inlineStr">
        <is>
          <t>CN0Q</t>
        </is>
      </c>
      <c r="E1279" s="80" t="inlineStr">
        <is>
          <t>EE 苏州比斯特</t>
        </is>
      </c>
      <c r="F1279" s="84" t="n">
        <v>4</v>
      </c>
      <c r="G1279" s="84" t="inlineStr">
        <is>
          <t>奥特莱斯</t>
        </is>
      </c>
      <c r="H1279" s="84" t="inlineStr">
        <is>
          <t>EETHG25E01</t>
        </is>
      </c>
      <c r="I1279" s="84" t="n">
        <v>699</v>
      </c>
      <c r="J1279" s="84" t="n">
        <v>699</v>
      </c>
      <c r="K1279" s="85" t="n"/>
      <c r="L1279" s="85" t="n"/>
    </row>
    <row r="1280" ht="12.75" customHeight="1" s="103">
      <c r="A1280" s="78">
        <f>MID(H1280,3,2)</f>
        <v/>
      </c>
      <c r="B1280" s="84" t="inlineStr">
        <is>
          <t>B331</t>
        </is>
      </c>
      <c r="C1280" s="84" t="inlineStr">
        <is>
          <t>上海区域</t>
        </is>
      </c>
      <c r="D1280" s="84" t="inlineStr">
        <is>
          <t>CN0Q</t>
        </is>
      </c>
      <c r="E1280" s="80" t="inlineStr">
        <is>
          <t>EE 苏州比斯特</t>
        </is>
      </c>
      <c r="F1280" s="84" t="n">
        <v>4</v>
      </c>
      <c r="G1280" s="84" t="inlineStr">
        <is>
          <t>奥特莱斯</t>
        </is>
      </c>
      <c r="H1280" s="84" t="inlineStr">
        <is>
          <t>EETHG25E01</t>
        </is>
      </c>
      <c r="I1280" s="84" t="n">
        <v>699</v>
      </c>
      <c r="J1280" s="84" t="n">
        <v>699</v>
      </c>
      <c r="K1280" s="85" t="n">
        <v>1</v>
      </c>
      <c r="L1280" s="85" t="n"/>
    </row>
    <row r="1281" ht="12.75" customHeight="1" s="103">
      <c r="A1281" s="78">
        <f>MID(H1281,3,2)</f>
        <v/>
      </c>
      <c r="B1281" s="84" t="inlineStr">
        <is>
          <t>B331</t>
        </is>
      </c>
      <c r="C1281" s="84" t="inlineStr">
        <is>
          <t>上海区域</t>
        </is>
      </c>
      <c r="D1281" s="84" t="inlineStr">
        <is>
          <t>CN0Q</t>
        </is>
      </c>
      <c r="E1281" s="80" t="inlineStr">
        <is>
          <t>EE 苏州比斯特</t>
        </is>
      </c>
      <c r="F1281" s="84" t="n">
        <v>4</v>
      </c>
      <c r="G1281" s="84" t="inlineStr">
        <is>
          <t>奥特莱斯</t>
        </is>
      </c>
      <c r="H1281" s="84" t="inlineStr">
        <is>
          <t>EETHG25E01</t>
        </is>
      </c>
      <c r="I1281" s="84" t="n">
        <v>699</v>
      </c>
      <c r="J1281" s="84" t="n">
        <v>699</v>
      </c>
      <c r="K1281" s="85" t="n"/>
      <c r="L1281" s="85" t="n"/>
    </row>
    <row r="1282" ht="12.75" customHeight="1" s="103">
      <c r="A1282" s="78">
        <f>MID(H1282,3,2)</f>
        <v/>
      </c>
      <c r="B1282" s="84" t="inlineStr">
        <is>
          <t>B331</t>
        </is>
      </c>
      <c r="C1282" s="84" t="inlineStr">
        <is>
          <t>上海区域</t>
        </is>
      </c>
      <c r="D1282" s="84" t="inlineStr">
        <is>
          <t>CN0Q</t>
        </is>
      </c>
      <c r="E1282" s="80" t="inlineStr">
        <is>
          <t>EE 苏州比斯特</t>
        </is>
      </c>
      <c r="F1282" s="84" t="n">
        <v>4</v>
      </c>
      <c r="G1282" s="84" t="inlineStr">
        <is>
          <t>奥特莱斯</t>
        </is>
      </c>
      <c r="H1282" s="84" t="inlineStr">
        <is>
          <t>EETHG25E01</t>
        </is>
      </c>
      <c r="I1282" s="84" t="n">
        <v>699</v>
      </c>
      <c r="J1282" s="84" t="n">
        <v>699</v>
      </c>
      <c r="K1282" s="85" t="n">
        <v>2</v>
      </c>
      <c r="L1282" s="85" t="n">
        <v>902</v>
      </c>
    </row>
    <row r="1283" ht="12.75" customHeight="1" s="103">
      <c r="A1283" s="78">
        <f>MID(H1283,3,2)</f>
        <v/>
      </c>
      <c r="B1283" s="84" t="inlineStr">
        <is>
          <t>B331</t>
        </is>
      </c>
      <c r="C1283" s="84" t="inlineStr">
        <is>
          <t>上海区域</t>
        </is>
      </c>
      <c r="D1283" s="84" t="inlineStr">
        <is>
          <t>CN0Q</t>
        </is>
      </c>
      <c r="E1283" s="80" t="inlineStr">
        <is>
          <t>EE 苏州比斯特</t>
        </is>
      </c>
      <c r="F1283" s="84" t="n">
        <v>4</v>
      </c>
      <c r="G1283" s="84" t="inlineStr">
        <is>
          <t>奥特莱斯</t>
        </is>
      </c>
      <c r="H1283" s="84" t="inlineStr">
        <is>
          <t>EETHG25E01</t>
        </is>
      </c>
      <c r="I1283" s="84" t="n">
        <v>699</v>
      </c>
      <c r="J1283" s="84" t="n">
        <v>699</v>
      </c>
      <c r="K1283" s="85" t="n">
        <v>1</v>
      </c>
      <c r="L1283" s="85" t="n">
        <v>443</v>
      </c>
    </row>
    <row r="1284" ht="12.75" customHeight="1" s="103">
      <c r="A1284" s="78">
        <f>MID(H1284,3,2)</f>
        <v/>
      </c>
      <c r="B1284" s="84" t="inlineStr">
        <is>
          <t>B331</t>
        </is>
      </c>
      <c r="C1284" s="84" t="inlineStr">
        <is>
          <t>上海区域</t>
        </is>
      </c>
      <c r="D1284" s="84" t="inlineStr">
        <is>
          <t>CN0Q</t>
        </is>
      </c>
      <c r="E1284" s="80" t="inlineStr">
        <is>
          <t>EE 苏州比斯特</t>
        </is>
      </c>
      <c r="F1284" s="84" t="n">
        <v>4</v>
      </c>
      <c r="G1284" s="84" t="inlineStr">
        <is>
          <t>奥特莱斯</t>
        </is>
      </c>
      <c r="H1284" s="84" t="inlineStr">
        <is>
          <t>EETHG25E01</t>
        </is>
      </c>
      <c r="I1284" s="84" t="n">
        <v>699</v>
      </c>
      <c r="J1284" s="84" t="n">
        <v>699</v>
      </c>
      <c r="K1284" s="85" t="n">
        <v>1</v>
      </c>
      <c r="L1284" s="85" t="n"/>
    </row>
    <row r="1285" ht="12.75" customHeight="1" s="103">
      <c r="A1285" s="78">
        <f>MID(H1285,3,2)</f>
        <v/>
      </c>
      <c r="B1285" s="84" t="inlineStr">
        <is>
          <t>B331</t>
        </is>
      </c>
      <c r="C1285" s="84" t="inlineStr">
        <is>
          <t>上海区域</t>
        </is>
      </c>
      <c r="D1285" s="84" t="inlineStr">
        <is>
          <t>CN0Q</t>
        </is>
      </c>
      <c r="E1285" s="80" t="inlineStr">
        <is>
          <t>EE 苏州比斯特</t>
        </is>
      </c>
      <c r="F1285" s="84" t="n">
        <v>4</v>
      </c>
      <c r="G1285" s="84" t="inlineStr">
        <is>
          <t>奥特莱斯</t>
        </is>
      </c>
      <c r="H1285" s="84" t="inlineStr">
        <is>
          <t>EETHG25E01</t>
        </is>
      </c>
      <c r="I1285" s="84" t="n">
        <v>699</v>
      </c>
      <c r="J1285" s="84" t="n">
        <v>699</v>
      </c>
      <c r="K1285" s="85" t="n">
        <v>2</v>
      </c>
      <c r="L1285" s="85" t="n">
        <v>456</v>
      </c>
    </row>
    <row r="1286" ht="12.75" customHeight="1" s="103">
      <c r="A1286" s="78">
        <f>MID(H1286,3,2)</f>
        <v/>
      </c>
      <c r="B1286" s="84" t="inlineStr">
        <is>
          <t>B331</t>
        </is>
      </c>
      <c r="C1286" s="84" t="inlineStr">
        <is>
          <t>上海区域</t>
        </is>
      </c>
      <c r="D1286" s="84" t="inlineStr">
        <is>
          <t>CN0Q</t>
        </is>
      </c>
      <c r="E1286" s="80" t="inlineStr">
        <is>
          <t>EE 苏州比斯特</t>
        </is>
      </c>
      <c r="F1286" s="84" t="n">
        <v>4</v>
      </c>
      <c r="G1286" s="84" t="inlineStr">
        <is>
          <t>奥特莱斯</t>
        </is>
      </c>
      <c r="H1286" s="84" t="inlineStr">
        <is>
          <t>EETHG25E01</t>
        </is>
      </c>
      <c r="I1286" s="84" t="n">
        <v>699</v>
      </c>
      <c r="J1286" s="84" t="n">
        <v>699</v>
      </c>
      <c r="K1286" s="85" t="n"/>
      <c r="L1286" s="85" t="n"/>
    </row>
    <row r="1287" ht="12.75" customHeight="1" s="103">
      <c r="A1287" s="78">
        <f>MID(H1287,3,2)</f>
        <v/>
      </c>
      <c r="B1287" s="84" t="inlineStr">
        <is>
          <t>B331</t>
        </is>
      </c>
      <c r="C1287" s="84" t="inlineStr">
        <is>
          <t>上海区域</t>
        </is>
      </c>
      <c r="D1287" s="84" t="inlineStr">
        <is>
          <t>CN0Q</t>
        </is>
      </c>
      <c r="E1287" s="80" t="inlineStr">
        <is>
          <t>EE 苏州比斯特</t>
        </is>
      </c>
      <c r="F1287" s="84" t="n">
        <v>4</v>
      </c>
      <c r="G1287" s="84" t="inlineStr">
        <is>
          <t>奥特莱斯</t>
        </is>
      </c>
      <c r="H1287" s="84" t="inlineStr">
        <is>
          <t>EETHG25E04</t>
        </is>
      </c>
      <c r="I1287" s="84" t="n">
        <v>699</v>
      </c>
      <c r="J1287" s="84" t="n">
        <v>699</v>
      </c>
      <c r="K1287" s="85" t="n">
        <v>1</v>
      </c>
      <c r="L1287" s="85" t="n"/>
    </row>
    <row r="1288" ht="12.75" customHeight="1" s="103">
      <c r="A1288" s="78">
        <f>MID(H1288,3,2)</f>
        <v/>
      </c>
      <c r="B1288" s="84" t="inlineStr">
        <is>
          <t>B331</t>
        </is>
      </c>
      <c r="C1288" s="84" t="inlineStr">
        <is>
          <t>上海区域</t>
        </is>
      </c>
      <c r="D1288" s="84" t="inlineStr">
        <is>
          <t>CN0Q</t>
        </is>
      </c>
      <c r="E1288" s="80" t="inlineStr">
        <is>
          <t>EE 苏州比斯特</t>
        </is>
      </c>
      <c r="F1288" s="84" t="n">
        <v>4</v>
      </c>
      <c r="G1288" s="84" t="inlineStr">
        <is>
          <t>奥特莱斯</t>
        </is>
      </c>
      <c r="H1288" s="84" t="inlineStr">
        <is>
          <t>EETHG25E04</t>
        </is>
      </c>
      <c r="I1288" s="84" t="n">
        <v>699</v>
      </c>
      <c r="J1288" s="84" t="n">
        <v>699</v>
      </c>
      <c r="K1288" s="85" t="n">
        <v>1</v>
      </c>
      <c r="L1288" s="85" t="n"/>
    </row>
    <row r="1289" ht="12.75" customHeight="1" s="103">
      <c r="A1289" s="78">
        <f>MID(H1289,3,2)</f>
        <v/>
      </c>
      <c r="B1289" s="84" t="inlineStr">
        <is>
          <t>B331</t>
        </is>
      </c>
      <c r="C1289" s="84" t="inlineStr">
        <is>
          <t>上海区域</t>
        </is>
      </c>
      <c r="D1289" s="84" t="inlineStr">
        <is>
          <t>CN0Q</t>
        </is>
      </c>
      <c r="E1289" s="80" t="inlineStr">
        <is>
          <t>EE 苏州比斯特</t>
        </is>
      </c>
      <c r="F1289" s="84" t="n">
        <v>4</v>
      </c>
      <c r="G1289" s="84" t="inlineStr">
        <is>
          <t>奥特莱斯</t>
        </is>
      </c>
      <c r="H1289" s="84" t="inlineStr">
        <is>
          <t>EETHG25E04</t>
        </is>
      </c>
      <c r="I1289" s="84" t="n">
        <v>699</v>
      </c>
      <c r="J1289" s="84" t="n">
        <v>699</v>
      </c>
      <c r="K1289" s="85" t="n">
        <v>3</v>
      </c>
      <c r="L1289" s="85" t="n">
        <v>947</v>
      </c>
    </row>
    <row r="1290" ht="12.75" customHeight="1" s="103">
      <c r="A1290" s="78">
        <f>MID(H1290,3,2)</f>
        <v/>
      </c>
      <c r="B1290" s="84" t="inlineStr">
        <is>
          <t>B331</t>
        </is>
      </c>
      <c r="C1290" s="84" t="inlineStr">
        <is>
          <t>上海区域</t>
        </is>
      </c>
      <c r="D1290" s="84" t="inlineStr">
        <is>
          <t>CN0Q</t>
        </is>
      </c>
      <c r="E1290" s="80" t="inlineStr">
        <is>
          <t>EE 苏州比斯特</t>
        </is>
      </c>
      <c r="F1290" s="84" t="n">
        <v>4</v>
      </c>
      <c r="G1290" s="84" t="inlineStr">
        <is>
          <t>奥特莱斯</t>
        </is>
      </c>
      <c r="H1290" s="84" t="inlineStr">
        <is>
          <t>EETHG25E04</t>
        </is>
      </c>
      <c r="I1290" s="84" t="n">
        <v>699</v>
      </c>
      <c r="J1290" s="84" t="n">
        <v>699</v>
      </c>
      <c r="K1290" s="85" t="n">
        <v>1</v>
      </c>
      <c r="L1290" s="85" t="n">
        <v>489</v>
      </c>
    </row>
    <row r="1291" ht="12.75" customHeight="1" s="103">
      <c r="A1291" s="78">
        <f>MID(H1291,3,2)</f>
        <v/>
      </c>
      <c r="B1291" s="84" t="inlineStr">
        <is>
          <t>B331</t>
        </is>
      </c>
      <c r="C1291" s="84" t="inlineStr">
        <is>
          <t>上海区域</t>
        </is>
      </c>
      <c r="D1291" s="84" t="inlineStr">
        <is>
          <t>CN0Q</t>
        </is>
      </c>
      <c r="E1291" s="80" t="inlineStr">
        <is>
          <t>EE 苏州比斯特</t>
        </is>
      </c>
      <c r="F1291" s="84" t="n">
        <v>4</v>
      </c>
      <c r="G1291" s="84" t="inlineStr">
        <is>
          <t>奥特莱斯</t>
        </is>
      </c>
      <c r="H1291" s="84" t="inlineStr">
        <is>
          <t>EETHG25E04</t>
        </is>
      </c>
      <c r="I1291" s="84" t="n">
        <v>699</v>
      </c>
      <c r="J1291" s="84" t="n">
        <v>699</v>
      </c>
      <c r="K1291" s="85" t="n">
        <v>4</v>
      </c>
      <c r="L1291" s="85" t="n">
        <v>892</v>
      </c>
    </row>
    <row r="1292" ht="12.75" customHeight="1" s="103">
      <c r="A1292" s="78">
        <f>MID(H1292,3,2)</f>
        <v/>
      </c>
      <c r="B1292" s="84" t="inlineStr">
        <is>
          <t>B331</t>
        </is>
      </c>
      <c r="C1292" s="84" t="inlineStr">
        <is>
          <t>上海区域</t>
        </is>
      </c>
      <c r="D1292" s="84" t="inlineStr">
        <is>
          <t>CN0Q</t>
        </is>
      </c>
      <c r="E1292" s="80" t="inlineStr">
        <is>
          <t>EE 苏州比斯特</t>
        </is>
      </c>
      <c r="F1292" s="84" t="n">
        <v>4</v>
      </c>
      <c r="G1292" s="84" t="inlineStr">
        <is>
          <t>奥特莱斯</t>
        </is>
      </c>
      <c r="H1292" s="84" t="inlineStr">
        <is>
          <t>EETHG25E04</t>
        </is>
      </c>
      <c r="I1292" s="84" t="n">
        <v>699</v>
      </c>
      <c r="J1292" s="84" t="n">
        <v>699</v>
      </c>
      <c r="K1292" s="85" t="n">
        <v>5</v>
      </c>
      <c r="L1292" s="86" t="n">
        <v>1376</v>
      </c>
    </row>
    <row r="1293" ht="12.75" customHeight="1" s="103">
      <c r="A1293" s="78">
        <f>MID(H1293,3,2)</f>
        <v/>
      </c>
      <c r="B1293" s="84" t="inlineStr">
        <is>
          <t>B331</t>
        </is>
      </c>
      <c r="C1293" s="84" t="inlineStr">
        <is>
          <t>上海区域</t>
        </is>
      </c>
      <c r="D1293" s="84" t="inlineStr">
        <is>
          <t>CN0Q</t>
        </is>
      </c>
      <c r="E1293" s="80" t="inlineStr">
        <is>
          <t>EE 苏州比斯特</t>
        </is>
      </c>
      <c r="F1293" s="84" t="n">
        <v>4</v>
      </c>
      <c r="G1293" s="84" t="inlineStr">
        <is>
          <t>奥特莱斯</t>
        </is>
      </c>
      <c r="H1293" s="84" t="inlineStr">
        <is>
          <t>EETHG25E04</t>
        </is>
      </c>
      <c r="I1293" s="84" t="n">
        <v>699</v>
      </c>
      <c r="J1293" s="84" t="n">
        <v>699</v>
      </c>
      <c r="K1293" s="85" t="n">
        <v>5</v>
      </c>
      <c r="L1293" s="85" t="n">
        <v>652</v>
      </c>
    </row>
    <row r="1294" ht="12.75" customHeight="1" s="103">
      <c r="A1294" s="78">
        <f>MID(H1294,3,2)</f>
        <v/>
      </c>
      <c r="B1294" s="84" t="inlineStr">
        <is>
          <t>B331</t>
        </is>
      </c>
      <c r="C1294" s="84" t="inlineStr">
        <is>
          <t>上海区域</t>
        </is>
      </c>
      <c r="D1294" s="84" t="inlineStr">
        <is>
          <t>CN0Q</t>
        </is>
      </c>
      <c r="E1294" s="80" t="inlineStr">
        <is>
          <t>EE 苏州比斯特</t>
        </is>
      </c>
      <c r="F1294" s="84" t="n">
        <v>4</v>
      </c>
      <c r="G1294" s="84" t="inlineStr">
        <is>
          <t>奥特莱斯</t>
        </is>
      </c>
      <c r="H1294" s="84" t="inlineStr">
        <is>
          <t>EETHG25E04</t>
        </is>
      </c>
      <c r="I1294" s="84" t="n">
        <v>699</v>
      </c>
      <c r="J1294" s="84" t="n">
        <v>699</v>
      </c>
      <c r="K1294" s="85" t="n">
        <v>1</v>
      </c>
      <c r="L1294" s="85" t="n"/>
    </row>
    <row r="1295" ht="12.75" customHeight="1" s="103">
      <c r="A1295" s="78">
        <f>MID(H1295,3,2)</f>
        <v/>
      </c>
      <c r="B1295" s="84" t="inlineStr">
        <is>
          <t>B331</t>
        </is>
      </c>
      <c r="C1295" s="84" t="inlineStr">
        <is>
          <t>上海区域</t>
        </is>
      </c>
      <c r="D1295" s="84" t="inlineStr">
        <is>
          <t>CN0Q</t>
        </is>
      </c>
      <c r="E1295" s="80" t="inlineStr">
        <is>
          <t>EE 苏州比斯特</t>
        </is>
      </c>
      <c r="F1295" s="84" t="n">
        <v>4</v>
      </c>
      <c r="G1295" s="84" t="inlineStr">
        <is>
          <t>奥特莱斯</t>
        </is>
      </c>
      <c r="H1295" s="84" t="inlineStr">
        <is>
          <t>EETHG25E04</t>
        </is>
      </c>
      <c r="I1295" s="84" t="n">
        <v>699</v>
      </c>
      <c r="J1295" s="84" t="n">
        <v>699</v>
      </c>
      <c r="K1295" s="85" t="n">
        <v>1</v>
      </c>
      <c r="L1295" s="85" t="n"/>
    </row>
    <row r="1296" ht="12.75" customHeight="1" s="103">
      <c r="A1296" s="78">
        <f>MID(H1296,3,2)</f>
        <v/>
      </c>
      <c r="B1296" s="84" t="inlineStr">
        <is>
          <t>B331</t>
        </is>
      </c>
      <c r="C1296" s="84" t="inlineStr">
        <is>
          <t>上海区域</t>
        </is>
      </c>
      <c r="D1296" s="84" t="inlineStr">
        <is>
          <t>CN0Q</t>
        </is>
      </c>
      <c r="E1296" s="80" t="inlineStr">
        <is>
          <t>EE 苏州比斯特</t>
        </is>
      </c>
      <c r="F1296" s="84" t="n">
        <v>4</v>
      </c>
      <c r="G1296" s="84" t="inlineStr">
        <is>
          <t>奥特莱斯</t>
        </is>
      </c>
      <c r="H1296" s="84" t="inlineStr">
        <is>
          <t>EETHG25E04</t>
        </is>
      </c>
      <c r="I1296" s="84" t="n">
        <v>699</v>
      </c>
      <c r="J1296" s="84" t="n">
        <v>699</v>
      </c>
      <c r="K1296" s="85" t="n">
        <v>5</v>
      </c>
      <c r="L1296" s="86" t="n">
        <v>1817</v>
      </c>
    </row>
    <row r="1297" ht="12.75" customHeight="1" s="103">
      <c r="A1297" s="78">
        <f>MID(H1297,3,2)</f>
        <v/>
      </c>
      <c r="B1297" s="84" t="inlineStr">
        <is>
          <t>B331</t>
        </is>
      </c>
      <c r="C1297" s="84" t="inlineStr">
        <is>
          <t>上海区域</t>
        </is>
      </c>
      <c r="D1297" s="84" t="inlineStr">
        <is>
          <t>CN0Q</t>
        </is>
      </c>
      <c r="E1297" s="80" t="inlineStr">
        <is>
          <t>EE 苏州比斯特</t>
        </is>
      </c>
      <c r="F1297" s="84" t="n">
        <v>4</v>
      </c>
      <c r="G1297" s="84" t="inlineStr">
        <is>
          <t>奥特莱斯</t>
        </is>
      </c>
      <c r="H1297" s="84" t="inlineStr">
        <is>
          <t>EETHG25E04</t>
        </is>
      </c>
      <c r="I1297" s="84" t="n">
        <v>699</v>
      </c>
      <c r="J1297" s="84" t="n">
        <v>699</v>
      </c>
      <c r="K1297" s="85" t="n">
        <v>2</v>
      </c>
      <c r="L1297" s="85" t="n">
        <v>888</v>
      </c>
    </row>
    <row r="1298" ht="12.75" customHeight="1" s="103">
      <c r="A1298" s="78">
        <f>MID(H1298,3,2)</f>
        <v/>
      </c>
      <c r="B1298" s="84" t="inlineStr">
        <is>
          <t>B331</t>
        </is>
      </c>
      <c r="C1298" s="84" t="inlineStr">
        <is>
          <t>上海区域</t>
        </is>
      </c>
      <c r="D1298" s="84" t="inlineStr">
        <is>
          <t>CN0Q</t>
        </is>
      </c>
      <c r="E1298" s="80" t="inlineStr">
        <is>
          <t>EE 苏州比斯特</t>
        </is>
      </c>
      <c r="F1298" s="84" t="n">
        <v>4</v>
      </c>
      <c r="G1298" s="84" t="inlineStr">
        <is>
          <t>奥特莱斯</t>
        </is>
      </c>
      <c r="H1298" s="84" t="inlineStr">
        <is>
          <t>EETHG25E04</t>
        </is>
      </c>
      <c r="I1298" s="84" t="n">
        <v>699</v>
      </c>
      <c r="J1298" s="84" t="n">
        <v>699</v>
      </c>
      <c r="K1298" s="85" t="n">
        <v>2</v>
      </c>
      <c r="L1298" s="85" t="n">
        <v>440</v>
      </c>
    </row>
    <row r="1299" ht="12.75" customHeight="1" s="103">
      <c r="A1299" s="78">
        <f>MID(H1299,3,2)</f>
        <v/>
      </c>
      <c r="B1299" s="84" t="inlineStr">
        <is>
          <t>B331</t>
        </is>
      </c>
      <c r="C1299" s="84" t="inlineStr">
        <is>
          <t>上海区域</t>
        </is>
      </c>
      <c r="D1299" s="84" t="inlineStr">
        <is>
          <t>CN0Q</t>
        </is>
      </c>
      <c r="E1299" s="80" t="inlineStr">
        <is>
          <t>EE 苏州比斯特</t>
        </is>
      </c>
      <c r="F1299" s="84" t="n">
        <v>4</v>
      </c>
      <c r="G1299" s="84" t="inlineStr">
        <is>
          <t>奥特莱斯</t>
        </is>
      </c>
      <c r="H1299" s="84" t="inlineStr">
        <is>
          <t>EETHG25E1G</t>
        </is>
      </c>
      <c r="I1299" s="84" t="n">
        <v>699</v>
      </c>
      <c r="J1299" s="84" t="n">
        <v>699</v>
      </c>
      <c r="K1299" s="85" t="n"/>
      <c r="L1299" s="85" t="n"/>
    </row>
    <row r="1300" ht="12.75" customHeight="1" s="103">
      <c r="A1300" s="78">
        <f>MID(H1300,3,2)</f>
        <v/>
      </c>
      <c r="B1300" s="84" t="inlineStr">
        <is>
          <t>B331</t>
        </is>
      </c>
      <c r="C1300" s="84" t="inlineStr">
        <is>
          <t>上海区域</t>
        </is>
      </c>
      <c r="D1300" s="84" t="inlineStr">
        <is>
          <t>CN0Q</t>
        </is>
      </c>
      <c r="E1300" s="80" t="inlineStr">
        <is>
          <t>EE 苏州比斯特</t>
        </is>
      </c>
      <c r="F1300" s="84" t="n">
        <v>4</v>
      </c>
      <c r="G1300" s="84" t="inlineStr">
        <is>
          <t>奥特莱斯</t>
        </is>
      </c>
      <c r="H1300" s="84" t="inlineStr">
        <is>
          <t>EETHG25E1G</t>
        </is>
      </c>
      <c r="I1300" s="84" t="n">
        <v>699</v>
      </c>
      <c r="J1300" s="84" t="n">
        <v>699</v>
      </c>
      <c r="K1300" s="85" t="n"/>
      <c r="L1300" s="85" t="n"/>
    </row>
    <row r="1301" ht="12.75" customHeight="1" s="103">
      <c r="A1301" s="78">
        <f>MID(H1301,3,2)</f>
        <v/>
      </c>
      <c r="B1301" s="84" t="inlineStr">
        <is>
          <t>B331</t>
        </is>
      </c>
      <c r="C1301" s="84" t="inlineStr">
        <is>
          <t>上海区域</t>
        </is>
      </c>
      <c r="D1301" s="84" t="inlineStr">
        <is>
          <t>CN0Q</t>
        </is>
      </c>
      <c r="E1301" s="80" t="inlineStr">
        <is>
          <t>EE 苏州比斯特</t>
        </is>
      </c>
      <c r="F1301" s="84" t="n">
        <v>4</v>
      </c>
      <c r="G1301" s="84" t="inlineStr">
        <is>
          <t>奥特莱斯</t>
        </is>
      </c>
      <c r="H1301" s="84" t="inlineStr">
        <is>
          <t>EETHG25E1G</t>
        </is>
      </c>
      <c r="I1301" s="84" t="n">
        <v>699</v>
      </c>
      <c r="J1301" s="84" t="n">
        <v>699</v>
      </c>
      <c r="K1301" s="85" t="n"/>
      <c r="L1301" s="85" t="n"/>
    </row>
    <row r="1302" ht="12.75" customHeight="1" s="103">
      <c r="A1302" s="78">
        <f>MID(H1302,3,2)</f>
        <v/>
      </c>
      <c r="B1302" s="84" t="inlineStr">
        <is>
          <t>B331</t>
        </is>
      </c>
      <c r="C1302" s="84" t="inlineStr">
        <is>
          <t>上海区域</t>
        </is>
      </c>
      <c r="D1302" s="84" t="inlineStr">
        <is>
          <t>CN0Q</t>
        </is>
      </c>
      <c r="E1302" s="80" t="inlineStr">
        <is>
          <t>EE 苏州比斯特</t>
        </is>
      </c>
      <c r="F1302" s="84" t="n">
        <v>4</v>
      </c>
      <c r="G1302" s="84" t="inlineStr">
        <is>
          <t>奥特莱斯</t>
        </is>
      </c>
      <c r="H1302" s="84" t="inlineStr">
        <is>
          <t>EETHG25E1G</t>
        </is>
      </c>
      <c r="I1302" s="84" t="n">
        <v>699</v>
      </c>
      <c r="J1302" s="84" t="n">
        <v>699</v>
      </c>
      <c r="K1302" s="85" t="n"/>
      <c r="L1302" s="85" t="n"/>
    </row>
    <row r="1303" ht="12.75" customHeight="1" s="103">
      <c r="A1303" s="78">
        <f>MID(H1303,3,2)</f>
        <v/>
      </c>
      <c r="B1303" s="84" t="inlineStr">
        <is>
          <t>B331</t>
        </is>
      </c>
      <c r="C1303" s="84" t="inlineStr">
        <is>
          <t>上海区域</t>
        </is>
      </c>
      <c r="D1303" s="84" t="inlineStr">
        <is>
          <t>CN0Q</t>
        </is>
      </c>
      <c r="E1303" s="80" t="inlineStr">
        <is>
          <t>EE 苏州比斯特</t>
        </is>
      </c>
      <c r="F1303" s="84" t="n">
        <v>4</v>
      </c>
      <c r="G1303" s="84" t="inlineStr">
        <is>
          <t>奥特莱斯</t>
        </is>
      </c>
      <c r="H1303" s="84" t="inlineStr">
        <is>
          <t>EETHG25E1G</t>
        </is>
      </c>
      <c r="I1303" s="84" t="n">
        <v>699</v>
      </c>
      <c r="J1303" s="84" t="n">
        <v>699</v>
      </c>
      <c r="K1303" s="85" t="n"/>
      <c r="L1303" s="85" t="n"/>
    </row>
    <row r="1304" ht="12.75" customHeight="1" s="103">
      <c r="A1304" s="78">
        <f>MID(H1304,3,2)</f>
        <v/>
      </c>
      <c r="B1304" s="84" t="inlineStr">
        <is>
          <t>B331</t>
        </is>
      </c>
      <c r="C1304" s="84" t="inlineStr">
        <is>
          <t>上海区域</t>
        </is>
      </c>
      <c r="D1304" s="84" t="inlineStr">
        <is>
          <t>CN0Q</t>
        </is>
      </c>
      <c r="E1304" s="80" t="inlineStr">
        <is>
          <t>EE 苏州比斯特</t>
        </is>
      </c>
      <c r="F1304" s="84" t="n">
        <v>4</v>
      </c>
      <c r="G1304" s="84" t="inlineStr">
        <is>
          <t>奥特莱斯</t>
        </is>
      </c>
      <c r="H1304" s="84" t="inlineStr">
        <is>
          <t>EETHG25E1G</t>
        </is>
      </c>
      <c r="I1304" s="84" t="n">
        <v>699</v>
      </c>
      <c r="J1304" s="84" t="n">
        <v>699</v>
      </c>
      <c r="K1304" s="85" t="n"/>
      <c r="L1304" s="85" t="n"/>
    </row>
    <row r="1305" ht="12.75" customHeight="1" s="103">
      <c r="A1305" s="78">
        <f>MID(H1305,3,2)</f>
        <v/>
      </c>
      <c r="B1305" s="84" t="inlineStr">
        <is>
          <t>B331</t>
        </is>
      </c>
      <c r="C1305" s="84" t="inlineStr">
        <is>
          <t>上海区域</t>
        </is>
      </c>
      <c r="D1305" s="84" t="inlineStr">
        <is>
          <t>CN0Q</t>
        </is>
      </c>
      <c r="E1305" s="80" t="inlineStr">
        <is>
          <t>EE 苏州比斯特</t>
        </is>
      </c>
      <c r="F1305" s="84" t="n">
        <v>4</v>
      </c>
      <c r="G1305" s="84" t="inlineStr">
        <is>
          <t>奥特莱斯</t>
        </is>
      </c>
      <c r="H1305" s="84" t="inlineStr">
        <is>
          <t>EETHG25E1G</t>
        </is>
      </c>
      <c r="I1305" s="84" t="n">
        <v>699</v>
      </c>
      <c r="J1305" s="84" t="n">
        <v>699</v>
      </c>
      <c r="K1305" s="85" t="n"/>
      <c r="L1305" s="85" t="n"/>
    </row>
    <row r="1306" ht="12.75" customHeight="1" s="103">
      <c r="A1306" s="78">
        <f>MID(H1306,3,2)</f>
        <v/>
      </c>
      <c r="B1306" s="84" t="inlineStr">
        <is>
          <t>B331</t>
        </is>
      </c>
      <c r="C1306" s="84" t="inlineStr">
        <is>
          <t>上海区域</t>
        </is>
      </c>
      <c r="D1306" s="84" t="inlineStr">
        <is>
          <t>CN0Q</t>
        </is>
      </c>
      <c r="E1306" s="80" t="inlineStr">
        <is>
          <t>EE 苏州比斯特</t>
        </is>
      </c>
      <c r="F1306" s="84" t="n">
        <v>4</v>
      </c>
      <c r="G1306" s="84" t="inlineStr">
        <is>
          <t>奥特莱斯</t>
        </is>
      </c>
      <c r="H1306" s="84" t="inlineStr">
        <is>
          <t>EETHG25E1G</t>
        </is>
      </c>
      <c r="I1306" s="84" t="n">
        <v>699</v>
      </c>
      <c r="J1306" s="84" t="n">
        <v>699</v>
      </c>
      <c r="K1306" s="85" t="n"/>
      <c r="L1306" s="85" t="n"/>
    </row>
    <row r="1307" ht="12.75" customHeight="1" s="103">
      <c r="A1307" s="78">
        <f>MID(H1307,3,2)</f>
        <v/>
      </c>
      <c r="B1307" s="84" t="inlineStr">
        <is>
          <t>B331</t>
        </is>
      </c>
      <c r="C1307" s="84" t="inlineStr">
        <is>
          <t>上海区域</t>
        </is>
      </c>
      <c r="D1307" s="84" t="inlineStr">
        <is>
          <t>CN0Q</t>
        </is>
      </c>
      <c r="E1307" s="80" t="inlineStr">
        <is>
          <t>EE 苏州比斯特</t>
        </is>
      </c>
      <c r="F1307" s="84" t="n">
        <v>4</v>
      </c>
      <c r="G1307" s="84" t="inlineStr">
        <is>
          <t>奥特莱斯</t>
        </is>
      </c>
      <c r="H1307" s="84" t="inlineStr">
        <is>
          <t>EETHG25E1G</t>
        </is>
      </c>
      <c r="I1307" s="84" t="n">
        <v>699</v>
      </c>
      <c r="J1307" s="84" t="n">
        <v>699</v>
      </c>
      <c r="K1307" s="85" t="n"/>
      <c r="L1307" s="85" t="n"/>
    </row>
    <row r="1308" ht="12.75" customHeight="1" s="103">
      <c r="A1308" s="78">
        <f>MID(H1308,3,2)</f>
        <v/>
      </c>
      <c r="B1308" s="84" t="inlineStr">
        <is>
          <t>B331</t>
        </is>
      </c>
      <c r="C1308" s="84" t="inlineStr">
        <is>
          <t>上海区域</t>
        </is>
      </c>
      <c r="D1308" s="84" t="inlineStr">
        <is>
          <t>CN0Q</t>
        </is>
      </c>
      <c r="E1308" s="80" t="inlineStr">
        <is>
          <t>EE 苏州比斯特</t>
        </is>
      </c>
      <c r="F1308" s="84" t="n">
        <v>4</v>
      </c>
      <c r="G1308" s="84" t="inlineStr">
        <is>
          <t>奥特莱斯</t>
        </is>
      </c>
      <c r="H1308" s="84" t="inlineStr">
        <is>
          <t>EETJF23E06</t>
        </is>
      </c>
      <c r="I1308" s="84" t="n">
        <v>899</v>
      </c>
      <c r="J1308" s="84" t="n">
        <v>899</v>
      </c>
      <c r="K1308" s="85" t="n"/>
      <c r="L1308" s="85" t="n"/>
    </row>
    <row r="1309" ht="12.75" customHeight="1" s="103">
      <c r="A1309" s="78">
        <f>MID(H1309,3,2)</f>
        <v/>
      </c>
      <c r="B1309" s="84" t="inlineStr">
        <is>
          <t>B331</t>
        </is>
      </c>
      <c r="C1309" s="84" t="inlineStr">
        <is>
          <t>上海区域</t>
        </is>
      </c>
      <c r="D1309" s="84" t="inlineStr">
        <is>
          <t>CN0Q</t>
        </is>
      </c>
      <c r="E1309" s="80" t="inlineStr">
        <is>
          <t>EE 苏州比斯特</t>
        </is>
      </c>
      <c r="F1309" s="84" t="n">
        <v>4</v>
      </c>
      <c r="G1309" s="84" t="inlineStr">
        <is>
          <t>奥特莱斯</t>
        </is>
      </c>
      <c r="H1309" s="84" t="inlineStr">
        <is>
          <t>EETJF23E06</t>
        </is>
      </c>
      <c r="I1309" s="84" t="n">
        <v>899</v>
      </c>
      <c r="J1309" s="84" t="n">
        <v>899</v>
      </c>
      <c r="K1309" s="85" t="n"/>
      <c r="L1309" s="85" t="n"/>
    </row>
    <row r="1310" ht="12.75" customHeight="1" s="103">
      <c r="A1310" s="78">
        <f>MID(H1310,3,2)</f>
        <v/>
      </c>
      <c r="B1310" s="84" t="inlineStr">
        <is>
          <t>B331</t>
        </is>
      </c>
      <c r="C1310" s="84" t="inlineStr">
        <is>
          <t>上海区域</t>
        </is>
      </c>
      <c r="D1310" s="84" t="inlineStr">
        <is>
          <t>CN0Q</t>
        </is>
      </c>
      <c r="E1310" s="80" t="inlineStr">
        <is>
          <t>EE 苏州比斯特</t>
        </is>
      </c>
      <c r="F1310" s="84" t="n">
        <v>4</v>
      </c>
      <c r="G1310" s="84" t="inlineStr">
        <is>
          <t>奥特莱斯</t>
        </is>
      </c>
      <c r="H1310" s="84" t="inlineStr">
        <is>
          <t>EETJF23E06</t>
        </is>
      </c>
      <c r="I1310" s="84" t="n">
        <v>899</v>
      </c>
      <c r="J1310" s="84" t="n">
        <v>899</v>
      </c>
      <c r="K1310" s="85" t="n"/>
      <c r="L1310" s="85" t="n"/>
    </row>
    <row r="1311" ht="12.75" customHeight="1" s="103">
      <c r="A1311" s="78">
        <f>MID(H1311,3,2)</f>
        <v/>
      </c>
      <c r="B1311" s="84" t="inlineStr">
        <is>
          <t>B331</t>
        </is>
      </c>
      <c r="C1311" s="84" t="inlineStr">
        <is>
          <t>上海区域</t>
        </is>
      </c>
      <c r="D1311" s="84" t="inlineStr">
        <is>
          <t>CN0Q</t>
        </is>
      </c>
      <c r="E1311" s="80" t="inlineStr">
        <is>
          <t>EE 苏州比斯特</t>
        </is>
      </c>
      <c r="F1311" s="84" t="n">
        <v>4</v>
      </c>
      <c r="G1311" s="84" t="inlineStr">
        <is>
          <t>奥特莱斯</t>
        </is>
      </c>
      <c r="H1311" s="84" t="inlineStr">
        <is>
          <t>EETJF23E06</t>
        </is>
      </c>
      <c r="I1311" s="84" t="n">
        <v>899</v>
      </c>
      <c r="J1311" s="84" t="n">
        <v>899</v>
      </c>
      <c r="K1311" s="85" t="n"/>
      <c r="L1311" s="85" t="n"/>
    </row>
    <row r="1312" ht="12.75" customHeight="1" s="103">
      <c r="A1312" s="78">
        <f>MID(H1312,3,2)</f>
        <v/>
      </c>
      <c r="B1312" s="84" t="inlineStr">
        <is>
          <t>B331</t>
        </is>
      </c>
      <c r="C1312" s="84" t="inlineStr">
        <is>
          <t>上海区域</t>
        </is>
      </c>
      <c r="D1312" s="84" t="inlineStr">
        <is>
          <t>CN0Q</t>
        </is>
      </c>
      <c r="E1312" s="80" t="inlineStr">
        <is>
          <t>EE 苏州比斯特</t>
        </is>
      </c>
      <c r="F1312" s="84" t="n">
        <v>4</v>
      </c>
      <c r="G1312" s="84" t="inlineStr">
        <is>
          <t>奥特莱斯</t>
        </is>
      </c>
      <c r="H1312" s="84" t="inlineStr">
        <is>
          <t>EETJF23E06</t>
        </is>
      </c>
      <c r="I1312" s="84" t="n">
        <v>899</v>
      </c>
      <c r="J1312" s="84" t="n">
        <v>899</v>
      </c>
      <c r="K1312" s="85" t="n"/>
      <c r="L1312" s="85" t="n"/>
    </row>
    <row r="1313" ht="12.75" customHeight="1" s="103">
      <c r="A1313" s="78">
        <f>MID(H1313,3,2)</f>
        <v/>
      </c>
      <c r="B1313" s="84" t="inlineStr">
        <is>
          <t>B331</t>
        </is>
      </c>
      <c r="C1313" s="84" t="inlineStr">
        <is>
          <t>上海区域</t>
        </is>
      </c>
      <c r="D1313" s="84" t="inlineStr">
        <is>
          <t>CN0Q</t>
        </is>
      </c>
      <c r="E1313" s="80" t="inlineStr">
        <is>
          <t>EE 苏州比斯特</t>
        </is>
      </c>
      <c r="F1313" s="84" t="n">
        <v>4</v>
      </c>
      <c r="G1313" s="84" t="inlineStr">
        <is>
          <t>奥特莱斯</t>
        </is>
      </c>
      <c r="H1313" s="84" t="inlineStr">
        <is>
          <t>EETJF23E06</t>
        </is>
      </c>
      <c r="I1313" s="84" t="n">
        <v>899</v>
      </c>
      <c r="J1313" s="84" t="n">
        <v>899</v>
      </c>
      <c r="K1313" s="85" t="n"/>
      <c r="L1313" s="85" t="n"/>
    </row>
    <row r="1314" ht="12.75" customHeight="1" s="103">
      <c r="A1314" s="78">
        <f>MID(H1314,3,2)</f>
        <v/>
      </c>
      <c r="B1314" s="84" t="inlineStr">
        <is>
          <t>B331</t>
        </is>
      </c>
      <c r="C1314" s="84" t="inlineStr">
        <is>
          <t>上海区域</t>
        </is>
      </c>
      <c r="D1314" s="84" t="inlineStr">
        <is>
          <t>CN0Q</t>
        </is>
      </c>
      <c r="E1314" s="80" t="inlineStr">
        <is>
          <t>EE 苏州比斯特</t>
        </is>
      </c>
      <c r="F1314" s="84" t="n">
        <v>4</v>
      </c>
      <c r="G1314" s="84" t="inlineStr">
        <is>
          <t>奥特莱斯</t>
        </is>
      </c>
      <c r="H1314" s="84" t="inlineStr">
        <is>
          <t>EETJF23E06</t>
        </is>
      </c>
      <c r="I1314" s="84" t="n">
        <v>899</v>
      </c>
      <c r="J1314" s="84" t="n">
        <v>899</v>
      </c>
      <c r="K1314" s="85" t="n"/>
      <c r="L1314" s="85" t="n"/>
    </row>
    <row r="1315" ht="12.75" customHeight="1" s="103">
      <c r="A1315" s="78">
        <f>MID(H1315,3,2)</f>
        <v/>
      </c>
      <c r="B1315" s="84" t="inlineStr">
        <is>
          <t>B331</t>
        </is>
      </c>
      <c r="C1315" s="84" t="inlineStr">
        <is>
          <t>上海区域</t>
        </is>
      </c>
      <c r="D1315" s="84" t="inlineStr">
        <is>
          <t>CN0Q</t>
        </is>
      </c>
      <c r="E1315" s="80" t="inlineStr">
        <is>
          <t>EE 苏州比斯特</t>
        </is>
      </c>
      <c r="F1315" s="84" t="n">
        <v>4</v>
      </c>
      <c r="G1315" s="84" t="inlineStr">
        <is>
          <t>奥特莱斯</t>
        </is>
      </c>
      <c r="H1315" s="84" t="inlineStr">
        <is>
          <t>EETJF23E07</t>
        </is>
      </c>
      <c r="I1315" s="84" t="n">
        <v>799</v>
      </c>
      <c r="J1315" s="84" t="n">
        <v>799</v>
      </c>
      <c r="K1315" s="85" t="n"/>
      <c r="L1315" s="85" t="n"/>
    </row>
    <row r="1316" ht="12.75" customHeight="1" s="103">
      <c r="A1316" s="78">
        <f>MID(H1316,3,2)</f>
        <v/>
      </c>
      <c r="B1316" s="84" t="inlineStr">
        <is>
          <t>B331</t>
        </is>
      </c>
      <c r="C1316" s="84" t="inlineStr">
        <is>
          <t>上海区域</t>
        </is>
      </c>
      <c r="D1316" s="84" t="inlineStr">
        <is>
          <t>CN0Q</t>
        </is>
      </c>
      <c r="E1316" s="80" t="inlineStr">
        <is>
          <t>EE 苏州比斯特</t>
        </is>
      </c>
      <c r="F1316" s="84" t="n">
        <v>4</v>
      </c>
      <c r="G1316" s="84" t="inlineStr">
        <is>
          <t>奥特莱斯</t>
        </is>
      </c>
      <c r="H1316" s="84" t="inlineStr">
        <is>
          <t>EETJF23E07</t>
        </is>
      </c>
      <c r="I1316" s="84" t="n">
        <v>799</v>
      </c>
      <c r="J1316" s="84" t="n">
        <v>799</v>
      </c>
      <c r="K1316" s="85" t="n"/>
      <c r="L1316" s="85" t="n"/>
    </row>
    <row r="1317" ht="12.75" customHeight="1" s="103">
      <c r="A1317" s="78">
        <f>MID(H1317,3,2)</f>
        <v/>
      </c>
      <c r="B1317" s="84" t="inlineStr">
        <is>
          <t>B331</t>
        </is>
      </c>
      <c r="C1317" s="84" t="inlineStr">
        <is>
          <t>上海区域</t>
        </is>
      </c>
      <c r="D1317" s="84" t="inlineStr">
        <is>
          <t>CN0Q</t>
        </is>
      </c>
      <c r="E1317" s="80" t="inlineStr">
        <is>
          <t>EE 苏州比斯特</t>
        </is>
      </c>
      <c r="F1317" s="84" t="n">
        <v>4</v>
      </c>
      <c r="G1317" s="84" t="inlineStr">
        <is>
          <t>奥特莱斯</t>
        </is>
      </c>
      <c r="H1317" s="84" t="inlineStr">
        <is>
          <t>EETJF23E07</t>
        </is>
      </c>
      <c r="I1317" s="84" t="n">
        <v>799</v>
      </c>
      <c r="J1317" s="84" t="n">
        <v>799</v>
      </c>
      <c r="K1317" s="85" t="n"/>
      <c r="L1317" s="85" t="n"/>
    </row>
    <row r="1318" ht="12.75" customHeight="1" s="103">
      <c r="A1318" s="78">
        <f>MID(H1318,3,2)</f>
        <v/>
      </c>
      <c r="B1318" s="84" t="inlineStr">
        <is>
          <t>B331</t>
        </is>
      </c>
      <c r="C1318" s="84" t="inlineStr">
        <is>
          <t>上海区域</t>
        </is>
      </c>
      <c r="D1318" s="84" t="inlineStr">
        <is>
          <t>CN0Q</t>
        </is>
      </c>
      <c r="E1318" s="80" t="inlineStr">
        <is>
          <t>EE 苏州比斯特</t>
        </is>
      </c>
      <c r="F1318" s="84" t="n">
        <v>4</v>
      </c>
      <c r="G1318" s="84" t="inlineStr">
        <is>
          <t>奥特莱斯</t>
        </is>
      </c>
      <c r="H1318" s="84" t="inlineStr">
        <is>
          <t>EETJF23E07</t>
        </is>
      </c>
      <c r="I1318" s="84" t="n">
        <v>799</v>
      </c>
      <c r="J1318" s="84" t="n">
        <v>799</v>
      </c>
      <c r="K1318" s="85" t="n"/>
      <c r="L1318" s="85" t="n"/>
    </row>
    <row r="1319" ht="12.75" customHeight="1" s="103">
      <c r="A1319" s="78">
        <f>MID(H1319,3,2)</f>
        <v/>
      </c>
      <c r="B1319" s="84" t="inlineStr">
        <is>
          <t>B331</t>
        </is>
      </c>
      <c r="C1319" s="84" t="inlineStr">
        <is>
          <t>上海区域</t>
        </is>
      </c>
      <c r="D1319" s="84" t="inlineStr">
        <is>
          <t>CN0Q</t>
        </is>
      </c>
      <c r="E1319" s="80" t="inlineStr">
        <is>
          <t>EE 苏州比斯特</t>
        </is>
      </c>
      <c r="F1319" s="84" t="n">
        <v>4</v>
      </c>
      <c r="G1319" s="84" t="inlineStr">
        <is>
          <t>奥特莱斯</t>
        </is>
      </c>
      <c r="H1319" s="84" t="inlineStr">
        <is>
          <t>EETJF23E09</t>
        </is>
      </c>
      <c r="I1319" s="84" t="n">
        <v>899</v>
      </c>
      <c r="J1319" s="84" t="n">
        <v>899</v>
      </c>
      <c r="K1319" s="85" t="n"/>
      <c r="L1319" s="85" t="n"/>
    </row>
    <row r="1320" ht="12.75" customHeight="1" s="103">
      <c r="A1320" s="78">
        <f>MID(H1320,3,2)</f>
        <v/>
      </c>
      <c r="B1320" s="84" t="inlineStr">
        <is>
          <t>B331</t>
        </is>
      </c>
      <c r="C1320" s="84" t="inlineStr">
        <is>
          <t>上海区域</t>
        </is>
      </c>
      <c r="D1320" s="84" t="inlineStr">
        <is>
          <t>CN0Q</t>
        </is>
      </c>
      <c r="E1320" s="80" t="inlineStr">
        <is>
          <t>EE 苏州比斯特</t>
        </is>
      </c>
      <c r="F1320" s="84" t="n">
        <v>4</v>
      </c>
      <c r="G1320" s="84" t="inlineStr">
        <is>
          <t>奥特莱斯</t>
        </is>
      </c>
      <c r="H1320" s="84" t="inlineStr">
        <is>
          <t>EETJF23E09</t>
        </is>
      </c>
      <c r="I1320" s="84" t="n">
        <v>899</v>
      </c>
      <c r="J1320" s="84" t="n">
        <v>899</v>
      </c>
      <c r="K1320" s="85" t="n"/>
      <c r="L1320" s="85" t="n"/>
    </row>
    <row r="1321" ht="12.75" customHeight="1" s="103">
      <c r="A1321" s="78">
        <f>MID(H1321,3,2)</f>
        <v/>
      </c>
      <c r="B1321" s="84" t="inlineStr">
        <is>
          <t>B331</t>
        </is>
      </c>
      <c r="C1321" s="84" t="inlineStr">
        <is>
          <t>上海区域</t>
        </is>
      </c>
      <c r="D1321" s="84" t="inlineStr">
        <is>
          <t>CN0Q</t>
        </is>
      </c>
      <c r="E1321" s="80" t="inlineStr">
        <is>
          <t>EE 苏州比斯特</t>
        </is>
      </c>
      <c r="F1321" s="84" t="n">
        <v>4</v>
      </c>
      <c r="G1321" s="84" t="inlineStr">
        <is>
          <t>奥特莱斯</t>
        </is>
      </c>
      <c r="H1321" s="84" t="inlineStr">
        <is>
          <t>EETJF23E09</t>
        </is>
      </c>
      <c r="I1321" s="84" t="n">
        <v>899</v>
      </c>
      <c r="J1321" s="84" t="n">
        <v>899</v>
      </c>
      <c r="K1321" s="85" t="n"/>
      <c r="L1321" s="85" t="n"/>
    </row>
    <row r="1322" ht="12.75" customHeight="1" s="103">
      <c r="A1322" s="78">
        <f>MID(H1322,3,2)</f>
        <v/>
      </c>
      <c r="B1322" s="84" t="inlineStr">
        <is>
          <t>B331</t>
        </is>
      </c>
      <c r="C1322" s="84" t="inlineStr">
        <is>
          <t>上海区域</t>
        </is>
      </c>
      <c r="D1322" s="84" t="inlineStr">
        <is>
          <t>CN0Q</t>
        </is>
      </c>
      <c r="E1322" s="80" t="inlineStr">
        <is>
          <t>EE 苏州比斯特</t>
        </is>
      </c>
      <c r="F1322" s="84" t="n">
        <v>4</v>
      </c>
      <c r="G1322" s="84" t="inlineStr">
        <is>
          <t>奥特莱斯</t>
        </is>
      </c>
      <c r="H1322" s="84" t="inlineStr">
        <is>
          <t>EETJF23E09</t>
        </is>
      </c>
      <c r="I1322" s="84" t="n">
        <v>899</v>
      </c>
      <c r="J1322" s="84" t="n">
        <v>899</v>
      </c>
      <c r="K1322" s="85" t="n"/>
      <c r="L1322" s="85" t="n"/>
    </row>
    <row r="1323" ht="12.75" customHeight="1" s="103">
      <c r="A1323" s="78">
        <f>MID(H1323,3,2)</f>
        <v/>
      </c>
      <c r="B1323" s="84" t="inlineStr">
        <is>
          <t>B331</t>
        </is>
      </c>
      <c r="C1323" s="84" t="inlineStr">
        <is>
          <t>上海区域</t>
        </is>
      </c>
      <c r="D1323" s="84" t="inlineStr">
        <is>
          <t>CN0Q</t>
        </is>
      </c>
      <c r="E1323" s="80" t="inlineStr">
        <is>
          <t>EE 苏州比斯特</t>
        </is>
      </c>
      <c r="F1323" s="84" t="n">
        <v>4</v>
      </c>
      <c r="G1323" s="84" t="inlineStr">
        <is>
          <t>奥特莱斯</t>
        </is>
      </c>
      <c r="H1323" s="84" t="inlineStr">
        <is>
          <t>EETJF24E01</t>
        </is>
      </c>
      <c r="I1323" s="84" t="n">
        <v>799</v>
      </c>
      <c r="J1323" s="84" t="n">
        <v>799</v>
      </c>
      <c r="K1323" s="85" t="n"/>
      <c r="L1323" s="85" t="n"/>
    </row>
    <row r="1324" ht="12.75" customHeight="1" s="103">
      <c r="A1324" s="78">
        <f>MID(H1324,3,2)</f>
        <v/>
      </c>
      <c r="B1324" s="84" t="inlineStr">
        <is>
          <t>B331</t>
        </is>
      </c>
      <c r="C1324" s="84" t="inlineStr">
        <is>
          <t>上海区域</t>
        </is>
      </c>
      <c r="D1324" s="84" t="inlineStr">
        <is>
          <t>CN0Q</t>
        </is>
      </c>
      <c r="E1324" s="80" t="inlineStr">
        <is>
          <t>EE 苏州比斯特</t>
        </is>
      </c>
      <c r="F1324" s="84" t="n">
        <v>4</v>
      </c>
      <c r="G1324" s="84" t="inlineStr">
        <is>
          <t>奥特莱斯</t>
        </is>
      </c>
      <c r="H1324" s="84" t="inlineStr">
        <is>
          <t>EETJF24E01</t>
        </is>
      </c>
      <c r="I1324" s="84" t="n">
        <v>799</v>
      </c>
      <c r="J1324" s="84" t="n">
        <v>799</v>
      </c>
      <c r="K1324" s="85" t="n"/>
      <c r="L1324" s="85" t="n"/>
    </row>
    <row r="1325" ht="12.75" customHeight="1" s="103">
      <c r="A1325" s="78">
        <f>MID(H1325,3,2)</f>
        <v/>
      </c>
      <c r="B1325" s="84" t="inlineStr">
        <is>
          <t>B331</t>
        </is>
      </c>
      <c r="C1325" s="84" t="inlineStr">
        <is>
          <t>上海区域</t>
        </is>
      </c>
      <c r="D1325" s="84" t="inlineStr">
        <is>
          <t>CN0Q</t>
        </is>
      </c>
      <c r="E1325" s="80" t="inlineStr">
        <is>
          <t>EE 苏州比斯特</t>
        </is>
      </c>
      <c r="F1325" s="84" t="n">
        <v>4</v>
      </c>
      <c r="G1325" s="84" t="inlineStr">
        <is>
          <t>奥特莱斯</t>
        </is>
      </c>
      <c r="H1325" s="84" t="inlineStr">
        <is>
          <t>EETJF24E01</t>
        </is>
      </c>
      <c r="I1325" s="84" t="n">
        <v>799</v>
      </c>
      <c r="J1325" s="84" t="n">
        <v>799</v>
      </c>
      <c r="K1325" s="85" t="n"/>
      <c r="L1325" s="85" t="n"/>
    </row>
    <row r="1326" ht="12.75" customHeight="1" s="103">
      <c r="A1326" s="78">
        <f>MID(H1326,3,2)</f>
        <v/>
      </c>
      <c r="B1326" s="84" t="inlineStr">
        <is>
          <t>B331</t>
        </is>
      </c>
      <c r="C1326" s="84" t="inlineStr">
        <is>
          <t>上海区域</t>
        </is>
      </c>
      <c r="D1326" s="84" t="inlineStr">
        <is>
          <t>CN0Q</t>
        </is>
      </c>
      <c r="E1326" s="80" t="inlineStr">
        <is>
          <t>EE 苏州比斯特</t>
        </is>
      </c>
      <c r="F1326" s="84" t="n">
        <v>4</v>
      </c>
      <c r="G1326" s="84" t="inlineStr">
        <is>
          <t>奥特莱斯</t>
        </is>
      </c>
      <c r="H1326" s="84" t="inlineStr">
        <is>
          <t>EETJF24E01</t>
        </is>
      </c>
      <c r="I1326" s="84" t="n">
        <v>799</v>
      </c>
      <c r="J1326" s="84" t="n">
        <v>799</v>
      </c>
      <c r="K1326" s="85" t="n"/>
      <c r="L1326" s="85" t="n"/>
    </row>
    <row r="1327" ht="12.75" customHeight="1" s="103">
      <c r="A1327" s="78">
        <f>MID(H1327,3,2)</f>
        <v/>
      </c>
      <c r="B1327" s="84" t="inlineStr">
        <is>
          <t>B331</t>
        </is>
      </c>
      <c r="C1327" s="84" t="inlineStr">
        <is>
          <t>上海区域</t>
        </is>
      </c>
      <c r="D1327" s="84" t="inlineStr">
        <is>
          <t>CN0Q</t>
        </is>
      </c>
      <c r="E1327" s="80" t="inlineStr">
        <is>
          <t>EE 苏州比斯特</t>
        </is>
      </c>
      <c r="F1327" s="84" t="n">
        <v>4</v>
      </c>
      <c r="G1327" s="84" t="inlineStr">
        <is>
          <t>奥特莱斯</t>
        </is>
      </c>
      <c r="H1327" s="84" t="inlineStr">
        <is>
          <t>EETJF24E01</t>
        </is>
      </c>
      <c r="I1327" s="84" t="n">
        <v>799</v>
      </c>
      <c r="J1327" s="84" t="n">
        <v>799</v>
      </c>
      <c r="K1327" s="85" t="n"/>
      <c r="L1327" s="85" t="n"/>
    </row>
    <row r="1328" ht="12.75" customHeight="1" s="103">
      <c r="A1328" s="78">
        <f>MID(H1328,3,2)</f>
        <v/>
      </c>
      <c r="B1328" s="84" t="inlineStr">
        <is>
          <t>B331</t>
        </is>
      </c>
      <c r="C1328" s="84" t="inlineStr">
        <is>
          <t>上海区域</t>
        </is>
      </c>
      <c r="D1328" s="84" t="inlineStr">
        <is>
          <t>CN0Q</t>
        </is>
      </c>
      <c r="E1328" s="80" t="inlineStr">
        <is>
          <t>EE 苏州比斯特</t>
        </is>
      </c>
      <c r="F1328" s="84" t="n">
        <v>4</v>
      </c>
      <c r="G1328" s="84" t="inlineStr">
        <is>
          <t>奥特莱斯</t>
        </is>
      </c>
      <c r="H1328" s="84" t="inlineStr">
        <is>
          <t>EETJF24E01</t>
        </is>
      </c>
      <c r="I1328" s="84" t="n">
        <v>799</v>
      </c>
      <c r="J1328" s="84" t="n">
        <v>799</v>
      </c>
      <c r="K1328" s="85" t="n"/>
      <c r="L1328" s="85" t="n"/>
    </row>
    <row r="1329" ht="12.75" customHeight="1" s="103">
      <c r="A1329" s="78">
        <f>MID(H1329,3,2)</f>
        <v/>
      </c>
      <c r="B1329" s="84" t="inlineStr">
        <is>
          <t>B331</t>
        </is>
      </c>
      <c r="C1329" s="84" t="inlineStr">
        <is>
          <t>上海区域</t>
        </is>
      </c>
      <c r="D1329" s="84" t="inlineStr">
        <is>
          <t>CN0Q</t>
        </is>
      </c>
      <c r="E1329" s="80" t="inlineStr">
        <is>
          <t>EE 苏州比斯特</t>
        </is>
      </c>
      <c r="F1329" s="84" t="n">
        <v>4</v>
      </c>
      <c r="G1329" s="84" t="inlineStr">
        <is>
          <t>奥特莱斯</t>
        </is>
      </c>
      <c r="H1329" s="84" t="inlineStr">
        <is>
          <t>EETJF24E01</t>
        </is>
      </c>
      <c r="I1329" s="84" t="n">
        <v>799</v>
      </c>
      <c r="J1329" s="84" t="n">
        <v>799</v>
      </c>
      <c r="K1329" s="85" t="n"/>
      <c r="L1329" s="85" t="n"/>
    </row>
    <row r="1330" ht="12.75" customHeight="1" s="103">
      <c r="A1330" s="78">
        <f>MID(H1330,3,2)</f>
        <v/>
      </c>
      <c r="B1330" s="84" t="inlineStr">
        <is>
          <t>B331</t>
        </is>
      </c>
      <c r="C1330" s="84" t="inlineStr">
        <is>
          <t>上海区域</t>
        </is>
      </c>
      <c r="D1330" s="84" t="inlineStr">
        <is>
          <t>CN0Q</t>
        </is>
      </c>
      <c r="E1330" s="80" t="inlineStr">
        <is>
          <t>EE 苏州比斯特</t>
        </is>
      </c>
      <c r="F1330" s="84" t="n">
        <v>4</v>
      </c>
      <c r="G1330" s="84" t="inlineStr">
        <is>
          <t>奥特莱斯</t>
        </is>
      </c>
      <c r="H1330" s="84" t="inlineStr">
        <is>
          <t>EETJF24M04</t>
        </is>
      </c>
      <c r="I1330" s="84" t="n">
        <v>799</v>
      </c>
      <c r="J1330" s="84" t="n">
        <v>799</v>
      </c>
      <c r="K1330" s="85" t="n">
        <v>1</v>
      </c>
      <c r="L1330" s="85" t="n">
        <v>240</v>
      </c>
    </row>
    <row r="1331" ht="12.75" customHeight="1" s="103">
      <c r="A1331" s="78">
        <f>MID(H1331,3,2)</f>
        <v/>
      </c>
      <c r="B1331" s="84" t="inlineStr">
        <is>
          <t>B331</t>
        </is>
      </c>
      <c r="C1331" s="84" t="inlineStr">
        <is>
          <t>上海区域</t>
        </is>
      </c>
      <c r="D1331" s="84" t="inlineStr">
        <is>
          <t>CN0Q</t>
        </is>
      </c>
      <c r="E1331" s="80" t="inlineStr">
        <is>
          <t>EE 苏州比斯特</t>
        </is>
      </c>
      <c r="F1331" s="84" t="n">
        <v>4</v>
      </c>
      <c r="G1331" s="84" t="inlineStr">
        <is>
          <t>奥特莱斯</t>
        </is>
      </c>
      <c r="H1331" s="84" t="inlineStr">
        <is>
          <t>EETJF24M04</t>
        </is>
      </c>
      <c r="I1331" s="84" t="n">
        <v>799</v>
      </c>
      <c r="J1331" s="84" t="n">
        <v>799</v>
      </c>
      <c r="K1331" s="85" t="n">
        <v>2</v>
      </c>
      <c r="L1331" s="85" t="n">
        <v>735</v>
      </c>
    </row>
    <row r="1332" ht="12.75" customHeight="1" s="103">
      <c r="A1332" s="78">
        <f>MID(H1332,3,2)</f>
        <v/>
      </c>
      <c r="B1332" s="84" t="inlineStr">
        <is>
          <t>B331</t>
        </is>
      </c>
      <c r="C1332" s="84" t="inlineStr">
        <is>
          <t>上海区域</t>
        </is>
      </c>
      <c r="D1332" s="84" t="inlineStr">
        <is>
          <t>CN0Q</t>
        </is>
      </c>
      <c r="E1332" s="80" t="inlineStr">
        <is>
          <t>EE 苏州比斯特</t>
        </is>
      </c>
      <c r="F1332" s="84" t="n">
        <v>4</v>
      </c>
      <c r="G1332" s="84" t="inlineStr">
        <is>
          <t>奥特莱斯</t>
        </is>
      </c>
      <c r="H1332" s="84" t="inlineStr">
        <is>
          <t>EETJF24M04</t>
        </is>
      </c>
      <c r="I1332" s="84" t="n">
        <v>799</v>
      </c>
      <c r="J1332" s="84" t="n">
        <v>799</v>
      </c>
      <c r="K1332" s="85" t="n"/>
      <c r="L1332" s="85" t="n"/>
    </row>
    <row r="1333" ht="12.75" customHeight="1" s="103">
      <c r="A1333" s="78">
        <f>MID(H1333,3,2)</f>
        <v/>
      </c>
      <c r="B1333" s="84" t="inlineStr">
        <is>
          <t>B331</t>
        </is>
      </c>
      <c r="C1333" s="84" t="inlineStr">
        <is>
          <t>上海区域</t>
        </is>
      </c>
      <c r="D1333" s="84" t="inlineStr">
        <is>
          <t>CN0Q</t>
        </is>
      </c>
      <c r="E1333" s="80" t="inlineStr">
        <is>
          <t>EE 苏州比斯特</t>
        </is>
      </c>
      <c r="F1333" s="84" t="n">
        <v>4</v>
      </c>
      <c r="G1333" s="84" t="inlineStr">
        <is>
          <t>奥特莱斯</t>
        </is>
      </c>
      <c r="H1333" s="84" t="inlineStr">
        <is>
          <t>EETJF24M04</t>
        </is>
      </c>
      <c r="I1333" s="84" t="n">
        <v>799</v>
      </c>
      <c r="J1333" s="84" t="n">
        <v>799</v>
      </c>
      <c r="K1333" s="85" t="n"/>
      <c r="L1333" s="85" t="n"/>
    </row>
    <row r="1334" ht="12.75" customHeight="1" s="103">
      <c r="A1334" s="78">
        <f>MID(H1334,3,2)</f>
        <v/>
      </c>
      <c r="B1334" s="84" t="inlineStr">
        <is>
          <t>B331</t>
        </is>
      </c>
      <c r="C1334" s="84" t="inlineStr">
        <is>
          <t>上海区域</t>
        </is>
      </c>
      <c r="D1334" s="84" t="inlineStr">
        <is>
          <t>CN0Q</t>
        </is>
      </c>
      <c r="E1334" s="80" t="inlineStr">
        <is>
          <t>EE 苏州比斯特</t>
        </is>
      </c>
      <c r="F1334" s="84" t="n">
        <v>4</v>
      </c>
      <c r="G1334" s="84" t="inlineStr">
        <is>
          <t>奥特莱斯</t>
        </is>
      </c>
      <c r="H1334" s="84" t="inlineStr">
        <is>
          <t>EETJF24M04</t>
        </is>
      </c>
      <c r="I1334" s="84" t="n">
        <v>799</v>
      </c>
      <c r="J1334" s="84" t="n">
        <v>799</v>
      </c>
      <c r="K1334" s="85" t="n"/>
      <c r="L1334" s="85" t="n"/>
    </row>
    <row r="1335" ht="12.75" customHeight="1" s="103">
      <c r="A1335" s="78">
        <f>MID(H1335,3,2)</f>
        <v/>
      </c>
      <c r="B1335" s="84" t="inlineStr">
        <is>
          <t>B331</t>
        </is>
      </c>
      <c r="C1335" s="84" t="inlineStr">
        <is>
          <t>上海区域</t>
        </is>
      </c>
      <c r="D1335" s="84" t="inlineStr">
        <is>
          <t>CN0Q</t>
        </is>
      </c>
      <c r="E1335" s="80" t="inlineStr">
        <is>
          <t>EE 苏州比斯特</t>
        </is>
      </c>
      <c r="F1335" s="84" t="n">
        <v>4</v>
      </c>
      <c r="G1335" s="84" t="inlineStr">
        <is>
          <t>奥特莱斯</t>
        </is>
      </c>
      <c r="H1335" s="84" t="inlineStr">
        <is>
          <t>EETJF24M04</t>
        </is>
      </c>
      <c r="I1335" s="84" t="n">
        <v>799</v>
      </c>
      <c r="J1335" s="84" t="n">
        <v>799</v>
      </c>
      <c r="K1335" s="85" t="n">
        <v>1</v>
      </c>
      <c r="L1335" s="85" t="n">
        <v>365</v>
      </c>
    </row>
    <row r="1336" ht="12.75" customHeight="1" s="103">
      <c r="A1336" s="78">
        <f>MID(H1336,3,2)</f>
        <v/>
      </c>
      <c r="B1336" s="84" t="inlineStr">
        <is>
          <t>B331</t>
        </is>
      </c>
      <c r="C1336" s="84" t="inlineStr">
        <is>
          <t>上海区域</t>
        </is>
      </c>
      <c r="D1336" s="84" t="inlineStr">
        <is>
          <t>CN0Q</t>
        </is>
      </c>
      <c r="E1336" s="80" t="inlineStr">
        <is>
          <t>EE 苏州比斯特</t>
        </is>
      </c>
      <c r="F1336" s="84" t="n">
        <v>4</v>
      </c>
      <c r="G1336" s="84" t="inlineStr">
        <is>
          <t>奥特莱斯</t>
        </is>
      </c>
      <c r="H1336" s="84" t="inlineStr">
        <is>
          <t>EETJF24M04</t>
        </is>
      </c>
      <c r="I1336" s="84" t="n">
        <v>799</v>
      </c>
      <c r="J1336" s="84" t="n">
        <v>799</v>
      </c>
      <c r="K1336" s="85" t="n"/>
      <c r="L1336" s="85" t="n"/>
    </row>
    <row r="1337" ht="12.75" customHeight="1" s="103">
      <c r="A1337" s="78">
        <f>MID(H1337,3,2)</f>
        <v/>
      </c>
      <c r="B1337" s="84" t="inlineStr">
        <is>
          <t>B331</t>
        </is>
      </c>
      <c r="C1337" s="84" t="inlineStr">
        <is>
          <t>上海区域</t>
        </is>
      </c>
      <c r="D1337" s="84" t="inlineStr">
        <is>
          <t>CN0Q</t>
        </is>
      </c>
      <c r="E1337" s="80" t="inlineStr">
        <is>
          <t>EE 苏州比斯特</t>
        </is>
      </c>
      <c r="F1337" s="84" t="n">
        <v>4</v>
      </c>
      <c r="G1337" s="84" t="inlineStr">
        <is>
          <t>奥特莱斯</t>
        </is>
      </c>
      <c r="H1337" s="84" t="inlineStr">
        <is>
          <t>EETJF25M01</t>
        </is>
      </c>
      <c r="I1337" s="84" t="n">
        <v>499</v>
      </c>
      <c r="J1337" s="84" t="n">
        <v>499</v>
      </c>
      <c r="K1337" s="85" t="n"/>
      <c r="L1337" s="85" t="n"/>
    </row>
    <row r="1338" ht="12.75" customHeight="1" s="103">
      <c r="A1338" s="78">
        <f>MID(H1338,3,2)</f>
        <v/>
      </c>
      <c r="B1338" s="84" t="inlineStr">
        <is>
          <t>B331</t>
        </is>
      </c>
      <c r="C1338" s="84" t="inlineStr">
        <is>
          <t>上海区域</t>
        </is>
      </c>
      <c r="D1338" s="84" t="inlineStr">
        <is>
          <t>CN0Q</t>
        </is>
      </c>
      <c r="E1338" s="80" t="inlineStr">
        <is>
          <t>EE 苏州比斯特</t>
        </is>
      </c>
      <c r="F1338" s="84" t="n">
        <v>4</v>
      </c>
      <c r="G1338" s="84" t="inlineStr">
        <is>
          <t>奥特莱斯</t>
        </is>
      </c>
      <c r="H1338" s="84" t="inlineStr">
        <is>
          <t>EETJF25M01</t>
        </is>
      </c>
      <c r="I1338" s="84" t="n">
        <v>499</v>
      </c>
      <c r="J1338" s="84" t="n">
        <v>499</v>
      </c>
      <c r="K1338" s="85" t="n"/>
      <c r="L1338" s="85" t="n"/>
    </row>
    <row r="1339" ht="12.75" customHeight="1" s="103">
      <c r="A1339" s="78">
        <f>MID(H1339,3,2)</f>
        <v/>
      </c>
      <c r="B1339" s="84" t="inlineStr">
        <is>
          <t>B331</t>
        </is>
      </c>
      <c r="C1339" s="84" t="inlineStr">
        <is>
          <t>上海区域</t>
        </is>
      </c>
      <c r="D1339" s="84" t="inlineStr">
        <is>
          <t>CN0Q</t>
        </is>
      </c>
      <c r="E1339" s="80" t="inlineStr">
        <is>
          <t>EE 苏州比斯特</t>
        </is>
      </c>
      <c r="F1339" s="84" t="n">
        <v>4</v>
      </c>
      <c r="G1339" s="84" t="inlineStr">
        <is>
          <t>奥特莱斯</t>
        </is>
      </c>
      <c r="H1339" s="84" t="inlineStr">
        <is>
          <t>EETJF25M01</t>
        </is>
      </c>
      <c r="I1339" s="84" t="n">
        <v>499</v>
      </c>
      <c r="J1339" s="84" t="n">
        <v>499</v>
      </c>
      <c r="K1339" s="85" t="n"/>
      <c r="L1339" s="85" t="n"/>
    </row>
    <row r="1340" ht="12.75" customHeight="1" s="103">
      <c r="A1340" s="78">
        <f>MID(H1340,3,2)</f>
        <v/>
      </c>
      <c r="B1340" s="84" t="inlineStr">
        <is>
          <t>B331</t>
        </is>
      </c>
      <c r="C1340" s="84" t="inlineStr">
        <is>
          <t>上海区域</t>
        </is>
      </c>
      <c r="D1340" s="84" t="inlineStr">
        <is>
          <t>CN0Q</t>
        </is>
      </c>
      <c r="E1340" s="80" t="inlineStr">
        <is>
          <t>EE 苏州比斯特</t>
        </is>
      </c>
      <c r="F1340" s="84" t="n">
        <v>4</v>
      </c>
      <c r="G1340" s="84" t="inlineStr">
        <is>
          <t>奥特莱斯</t>
        </is>
      </c>
      <c r="H1340" s="84" t="inlineStr">
        <is>
          <t>EETJF25M01</t>
        </is>
      </c>
      <c r="I1340" s="84" t="n">
        <v>499</v>
      </c>
      <c r="J1340" s="84" t="n">
        <v>499</v>
      </c>
      <c r="K1340" s="85" t="n"/>
      <c r="L1340" s="85" t="n"/>
    </row>
    <row r="1341" ht="12.75" customHeight="1" s="103">
      <c r="A1341" s="78">
        <f>MID(H1341,3,2)</f>
        <v/>
      </c>
      <c r="B1341" s="84" t="inlineStr">
        <is>
          <t>B331</t>
        </is>
      </c>
      <c r="C1341" s="84" t="inlineStr">
        <is>
          <t>上海区域</t>
        </is>
      </c>
      <c r="D1341" s="84" t="inlineStr">
        <is>
          <t>CN0Q</t>
        </is>
      </c>
      <c r="E1341" s="80" t="inlineStr">
        <is>
          <t>EE 苏州比斯特</t>
        </is>
      </c>
      <c r="F1341" s="84" t="n">
        <v>4</v>
      </c>
      <c r="G1341" s="84" t="inlineStr">
        <is>
          <t>奥特莱斯</t>
        </is>
      </c>
      <c r="H1341" s="84" t="inlineStr">
        <is>
          <t>EETJF25M01</t>
        </is>
      </c>
      <c r="I1341" s="84" t="n">
        <v>499</v>
      </c>
      <c r="J1341" s="84" t="n">
        <v>499</v>
      </c>
      <c r="K1341" s="85" t="n"/>
      <c r="L1341" s="85" t="n"/>
    </row>
    <row r="1342" ht="12.75" customHeight="1" s="103">
      <c r="A1342" s="78">
        <f>MID(H1342,3,2)</f>
        <v/>
      </c>
      <c r="B1342" s="84" t="inlineStr">
        <is>
          <t>B331</t>
        </is>
      </c>
      <c r="C1342" s="84" t="inlineStr">
        <is>
          <t>上海区域</t>
        </is>
      </c>
      <c r="D1342" s="84" t="inlineStr">
        <is>
          <t>CN0Q</t>
        </is>
      </c>
      <c r="E1342" s="80" t="inlineStr">
        <is>
          <t>EE 苏州比斯特</t>
        </is>
      </c>
      <c r="F1342" s="84" t="n">
        <v>4</v>
      </c>
      <c r="G1342" s="84" t="inlineStr">
        <is>
          <t>奥特莱斯</t>
        </is>
      </c>
      <c r="H1342" s="84" t="inlineStr">
        <is>
          <t>EETJF25M01</t>
        </is>
      </c>
      <c r="I1342" s="84" t="n">
        <v>499</v>
      </c>
      <c r="J1342" s="84" t="n">
        <v>499</v>
      </c>
      <c r="K1342" s="85" t="n"/>
      <c r="L1342" s="85" t="n"/>
    </row>
    <row r="1343" ht="12.75" customHeight="1" s="103">
      <c r="A1343" s="78">
        <f>MID(H1343,3,2)</f>
        <v/>
      </c>
      <c r="B1343" s="84" t="inlineStr">
        <is>
          <t>B331</t>
        </is>
      </c>
      <c r="C1343" s="84" t="inlineStr">
        <is>
          <t>上海区域</t>
        </is>
      </c>
      <c r="D1343" s="84" t="inlineStr">
        <is>
          <t>CN0Q</t>
        </is>
      </c>
      <c r="E1343" s="80" t="inlineStr">
        <is>
          <t>EE 苏州比斯特</t>
        </is>
      </c>
      <c r="F1343" s="84" t="n">
        <v>4</v>
      </c>
      <c r="G1343" s="84" t="inlineStr">
        <is>
          <t>奥特莱斯</t>
        </is>
      </c>
      <c r="H1343" s="84" t="inlineStr">
        <is>
          <t>EETJF25M01</t>
        </is>
      </c>
      <c r="I1343" s="84" t="n">
        <v>499</v>
      </c>
      <c r="J1343" s="84" t="n">
        <v>499</v>
      </c>
      <c r="K1343" s="85" t="n"/>
      <c r="L1343" s="85" t="n"/>
    </row>
    <row r="1344" ht="12.75" customHeight="1" s="103">
      <c r="A1344" s="78">
        <f>MID(H1344,3,2)</f>
        <v/>
      </c>
      <c r="B1344" s="84" t="inlineStr">
        <is>
          <t>B331</t>
        </is>
      </c>
      <c r="C1344" s="84" t="inlineStr">
        <is>
          <t>上海区域</t>
        </is>
      </c>
      <c r="D1344" s="84" t="inlineStr">
        <is>
          <t>CN0Q</t>
        </is>
      </c>
      <c r="E1344" s="80" t="inlineStr">
        <is>
          <t>EE 苏州比斯特</t>
        </is>
      </c>
      <c r="F1344" s="84" t="n">
        <v>4</v>
      </c>
      <c r="G1344" s="84" t="inlineStr">
        <is>
          <t>奥特莱斯</t>
        </is>
      </c>
      <c r="H1344" s="84" t="inlineStr">
        <is>
          <t>EETJF25M01</t>
        </is>
      </c>
      <c r="I1344" s="84" t="n">
        <v>499</v>
      </c>
      <c r="J1344" s="84" t="n">
        <v>499</v>
      </c>
      <c r="K1344" s="85" t="n"/>
      <c r="L1344" s="85" t="n"/>
    </row>
    <row r="1345" ht="12.75" customHeight="1" s="103">
      <c r="A1345" s="78">
        <f>MID(H1345,3,2)</f>
        <v/>
      </c>
      <c r="B1345" s="84" t="inlineStr">
        <is>
          <t>B331</t>
        </is>
      </c>
      <c r="C1345" s="84" t="inlineStr">
        <is>
          <t>上海区域</t>
        </is>
      </c>
      <c r="D1345" s="84" t="inlineStr">
        <is>
          <t>CN0Q</t>
        </is>
      </c>
      <c r="E1345" s="80" t="inlineStr">
        <is>
          <t>EE 苏州比斯特</t>
        </is>
      </c>
      <c r="F1345" s="84" t="n">
        <v>4</v>
      </c>
      <c r="G1345" s="84" t="inlineStr">
        <is>
          <t>奥特莱斯</t>
        </is>
      </c>
      <c r="H1345" s="84" t="inlineStr">
        <is>
          <t>EETJF25M03</t>
        </is>
      </c>
      <c r="I1345" s="84" t="n">
        <v>599</v>
      </c>
      <c r="J1345" s="84" t="n">
        <v>599</v>
      </c>
      <c r="K1345" s="85" t="n"/>
      <c r="L1345" s="85" t="n"/>
    </row>
    <row r="1346" ht="12.75" customHeight="1" s="103">
      <c r="A1346" s="78">
        <f>MID(H1346,3,2)</f>
        <v/>
      </c>
      <c r="B1346" s="84" t="inlineStr">
        <is>
          <t>B331</t>
        </is>
      </c>
      <c r="C1346" s="84" t="inlineStr">
        <is>
          <t>上海区域</t>
        </is>
      </c>
      <c r="D1346" s="84" t="inlineStr">
        <is>
          <t>CN0Q</t>
        </is>
      </c>
      <c r="E1346" s="80" t="inlineStr">
        <is>
          <t>EE 苏州比斯特</t>
        </is>
      </c>
      <c r="F1346" s="84" t="n">
        <v>4</v>
      </c>
      <c r="G1346" s="84" t="inlineStr">
        <is>
          <t>奥特莱斯</t>
        </is>
      </c>
      <c r="H1346" s="84" t="inlineStr">
        <is>
          <t>EETJF25M03</t>
        </is>
      </c>
      <c r="I1346" s="84" t="n">
        <v>599</v>
      </c>
      <c r="J1346" s="84" t="n">
        <v>599</v>
      </c>
      <c r="K1346" s="85" t="n"/>
      <c r="L1346" s="85" t="n"/>
    </row>
    <row r="1347" ht="12.75" customHeight="1" s="103">
      <c r="A1347" s="78">
        <f>MID(H1347,3,2)</f>
        <v/>
      </c>
      <c r="B1347" s="84" t="inlineStr">
        <is>
          <t>B331</t>
        </is>
      </c>
      <c r="C1347" s="84" t="inlineStr">
        <is>
          <t>上海区域</t>
        </is>
      </c>
      <c r="D1347" s="84" t="inlineStr">
        <is>
          <t>CN0Q</t>
        </is>
      </c>
      <c r="E1347" s="80" t="inlineStr">
        <is>
          <t>EE 苏州比斯特</t>
        </is>
      </c>
      <c r="F1347" s="84" t="n">
        <v>4</v>
      </c>
      <c r="G1347" s="84" t="inlineStr">
        <is>
          <t>奥特莱斯</t>
        </is>
      </c>
      <c r="H1347" s="84" t="inlineStr">
        <is>
          <t>EETJF25M03</t>
        </is>
      </c>
      <c r="I1347" s="84" t="n">
        <v>599</v>
      </c>
      <c r="J1347" s="84" t="n">
        <v>599</v>
      </c>
      <c r="K1347" s="85" t="n"/>
      <c r="L1347" s="85" t="n"/>
    </row>
    <row r="1348" ht="12.75" customHeight="1" s="103">
      <c r="A1348" s="78">
        <f>MID(H1348,3,2)</f>
        <v/>
      </c>
      <c r="B1348" s="84" t="inlineStr">
        <is>
          <t>B331</t>
        </is>
      </c>
      <c r="C1348" s="84" t="inlineStr">
        <is>
          <t>上海区域</t>
        </is>
      </c>
      <c r="D1348" s="84" t="inlineStr">
        <is>
          <t>CN0Q</t>
        </is>
      </c>
      <c r="E1348" s="80" t="inlineStr">
        <is>
          <t>EE 苏州比斯特</t>
        </is>
      </c>
      <c r="F1348" s="84" t="n">
        <v>4</v>
      </c>
      <c r="G1348" s="84" t="inlineStr">
        <is>
          <t>奥特莱斯</t>
        </is>
      </c>
      <c r="H1348" s="84" t="inlineStr">
        <is>
          <t>EETJF25M03</t>
        </is>
      </c>
      <c r="I1348" s="84" t="n">
        <v>599</v>
      </c>
      <c r="J1348" s="84" t="n">
        <v>599</v>
      </c>
      <c r="K1348" s="85" t="n"/>
      <c r="L1348" s="85" t="n"/>
    </row>
    <row r="1349" ht="12.75" customHeight="1" s="103">
      <c r="A1349" s="78">
        <f>MID(H1349,3,2)</f>
        <v/>
      </c>
      <c r="B1349" s="84" t="inlineStr">
        <is>
          <t>B331</t>
        </is>
      </c>
      <c r="C1349" s="84" t="inlineStr">
        <is>
          <t>上海区域</t>
        </is>
      </c>
      <c r="D1349" s="84" t="inlineStr">
        <is>
          <t>CN0Q</t>
        </is>
      </c>
      <c r="E1349" s="80" t="inlineStr">
        <is>
          <t>EE 苏州比斯特</t>
        </is>
      </c>
      <c r="F1349" s="84" t="n">
        <v>4</v>
      </c>
      <c r="G1349" s="84" t="inlineStr">
        <is>
          <t>奥特莱斯</t>
        </is>
      </c>
      <c r="H1349" s="84" t="inlineStr">
        <is>
          <t>EETJF25M03</t>
        </is>
      </c>
      <c r="I1349" s="84" t="n">
        <v>599</v>
      </c>
      <c r="J1349" s="84" t="n">
        <v>599</v>
      </c>
      <c r="K1349" s="85" t="n"/>
      <c r="L1349" s="85" t="n"/>
    </row>
    <row r="1350" ht="12.75" customHeight="1" s="103">
      <c r="A1350" s="78">
        <f>MID(H1350,3,2)</f>
        <v/>
      </c>
      <c r="B1350" s="84" t="inlineStr">
        <is>
          <t>B331</t>
        </is>
      </c>
      <c r="C1350" s="84" t="inlineStr">
        <is>
          <t>上海区域</t>
        </is>
      </c>
      <c r="D1350" s="84" t="inlineStr">
        <is>
          <t>CN0Q</t>
        </is>
      </c>
      <c r="E1350" s="80" t="inlineStr">
        <is>
          <t>EE 苏州比斯特</t>
        </is>
      </c>
      <c r="F1350" s="84" t="n">
        <v>4</v>
      </c>
      <c r="G1350" s="84" t="inlineStr">
        <is>
          <t>奥特莱斯</t>
        </is>
      </c>
      <c r="H1350" s="84" t="inlineStr">
        <is>
          <t>EETJF25M03</t>
        </is>
      </c>
      <c r="I1350" s="84" t="n">
        <v>599</v>
      </c>
      <c r="J1350" s="84" t="n">
        <v>599</v>
      </c>
      <c r="K1350" s="85" t="n"/>
      <c r="L1350" s="85" t="n"/>
    </row>
    <row r="1351" ht="12.75" customHeight="1" s="103">
      <c r="A1351" s="78">
        <f>MID(H1351,3,2)</f>
        <v/>
      </c>
      <c r="B1351" s="84" t="inlineStr">
        <is>
          <t>B331</t>
        </is>
      </c>
      <c r="C1351" s="84" t="inlineStr">
        <is>
          <t>上海区域</t>
        </is>
      </c>
      <c r="D1351" s="84" t="inlineStr">
        <is>
          <t>CN0Q</t>
        </is>
      </c>
      <c r="E1351" s="80" t="inlineStr">
        <is>
          <t>EE 苏州比斯特</t>
        </is>
      </c>
      <c r="F1351" s="84" t="n">
        <v>4</v>
      </c>
      <c r="G1351" s="84" t="inlineStr">
        <is>
          <t>奥特莱斯</t>
        </is>
      </c>
      <c r="H1351" s="84" t="inlineStr">
        <is>
          <t>EETJF25M03</t>
        </is>
      </c>
      <c r="I1351" s="84" t="n">
        <v>599</v>
      </c>
      <c r="J1351" s="84" t="n">
        <v>599</v>
      </c>
      <c r="K1351" s="85" t="n"/>
      <c r="L1351" s="85" t="n"/>
    </row>
    <row r="1352" ht="12.75" customHeight="1" s="103">
      <c r="A1352" s="78">
        <f>MID(H1352,3,2)</f>
        <v/>
      </c>
      <c r="B1352" s="84" t="inlineStr">
        <is>
          <t>B331</t>
        </is>
      </c>
      <c r="C1352" s="84" t="inlineStr">
        <is>
          <t>上海区域</t>
        </is>
      </c>
      <c r="D1352" s="84" t="inlineStr">
        <is>
          <t>CN0Q</t>
        </is>
      </c>
      <c r="E1352" s="80" t="inlineStr">
        <is>
          <t>EE 苏州比斯特</t>
        </is>
      </c>
      <c r="F1352" s="84" t="n">
        <v>4</v>
      </c>
      <c r="G1352" s="84" t="inlineStr">
        <is>
          <t>奥特莱斯</t>
        </is>
      </c>
      <c r="H1352" s="84" t="inlineStr">
        <is>
          <t>EETJF25M03</t>
        </is>
      </c>
      <c r="I1352" s="84" t="n">
        <v>599</v>
      </c>
      <c r="J1352" s="84" t="n">
        <v>599</v>
      </c>
      <c r="K1352" s="85" t="n"/>
      <c r="L1352" s="85" t="n"/>
    </row>
    <row r="1353" ht="12.75" customHeight="1" s="103">
      <c r="A1353" s="78">
        <f>MID(H1353,3,2)</f>
        <v/>
      </c>
      <c r="B1353" s="84" t="inlineStr">
        <is>
          <t>B331</t>
        </is>
      </c>
      <c r="C1353" s="84" t="inlineStr">
        <is>
          <t>上海区域</t>
        </is>
      </c>
      <c r="D1353" s="84" t="inlineStr">
        <is>
          <t>CN0Q</t>
        </is>
      </c>
      <c r="E1353" s="80" t="inlineStr">
        <is>
          <t>EE 苏州比斯特</t>
        </is>
      </c>
      <c r="F1353" s="84" t="n">
        <v>4</v>
      </c>
      <c r="G1353" s="84" t="inlineStr">
        <is>
          <t>奥特莱斯</t>
        </is>
      </c>
      <c r="H1353" s="84" t="inlineStr">
        <is>
          <t>EETJF25M04</t>
        </is>
      </c>
      <c r="I1353" s="84" t="n">
        <v>599</v>
      </c>
      <c r="J1353" s="84" t="n">
        <v>699</v>
      </c>
      <c r="K1353" s="85" t="n"/>
      <c r="L1353" s="85" t="n"/>
    </row>
    <row r="1354" ht="12.75" customHeight="1" s="103">
      <c r="A1354" s="78">
        <f>MID(H1354,3,2)</f>
        <v/>
      </c>
      <c r="B1354" s="84" t="inlineStr">
        <is>
          <t>B331</t>
        </is>
      </c>
      <c r="C1354" s="84" t="inlineStr">
        <is>
          <t>上海区域</t>
        </is>
      </c>
      <c r="D1354" s="84" t="inlineStr">
        <is>
          <t>CN0Q</t>
        </is>
      </c>
      <c r="E1354" s="80" t="inlineStr">
        <is>
          <t>EE 苏州比斯特</t>
        </is>
      </c>
      <c r="F1354" s="84" t="n">
        <v>4</v>
      </c>
      <c r="G1354" s="84" t="inlineStr">
        <is>
          <t>奥特莱斯</t>
        </is>
      </c>
      <c r="H1354" s="84" t="inlineStr">
        <is>
          <t>EETJF25M04</t>
        </is>
      </c>
      <c r="I1354" s="84" t="n">
        <v>599</v>
      </c>
      <c r="J1354" s="84" t="n">
        <v>699</v>
      </c>
      <c r="K1354" s="85" t="n"/>
      <c r="L1354" s="85" t="n"/>
    </row>
    <row r="1355" ht="12.75" customHeight="1" s="103">
      <c r="A1355" s="78">
        <f>MID(H1355,3,2)</f>
        <v/>
      </c>
      <c r="B1355" s="84" t="inlineStr">
        <is>
          <t>B331</t>
        </is>
      </c>
      <c r="C1355" s="84" t="inlineStr">
        <is>
          <t>上海区域</t>
        </is>
      </c>
      <c r="D1355" s="84" t="inlineStr">
        <is>
          <t>CN0Q</t>
        </is>
      </c>
      <c r="E1355" s="80" t="inlineStr">
        <is>
          <t>EE 苏州比斯特</t>
        </is>
      </c>
      <c r="F1355" s="84" t="n">
        <v>4</v>
      </c>
      <c r="G1355" s="84" t="inlineStr">
        <is>
          <t>奥特莱斯</t>
        </is>
      </c>
      <c r="H1355" s="84" t="inlineStr">
        <is>
          <t>EETJF25M04</t>
        </is>
      </c>
      <c r="I1355" s="84" t="n">
        <v>599</v>
      </c>
      <c r="J1355" s="84" t="n">
        <v>699</v>
      </c>
      <c r="K1355" s="85" t="n"/>
      <c r="L1355" s="85" t="n"/>
    </row>
    <row r="1356" ht="12.75" customHeight="1" s="103">
      <c r="A1356" s="78">
        <f>MID(H1356,3,2)</f>
        <v/>
      </c>
      <c r="B1356" s="84" t="inlineStr">
        <is>
          <t>B331</t>
        </is>
      </c>
      <c r="C1356" s="84" t="inlineStr">
        <is>
          <t>上海区域</t>
        </is>
      </c>
      <c r="D1356" s="84" t="inlineStr">
        <is>
          <t>CN0Q</t>
        </is>
      </c>
      <c r="E1356" s="80" t="inlineStr">
        <is>
          <t>EE 苏州比斯特</t>
        </is>
      </c>
      <c r="F1356" s="84" t="n">
        <v>4</v>
      </c>
      <c r="G1356" s="84" t="inlineStr">
        <is>
          <t>奥特莱斯</t>
        </is>
      </c>
      <c r="H1356" s="84" t="inlineStr">
        <is>
          <t>EETJF25M04</t>
        </is>
      </c>
      <c r="I1356" s="84" t="n">
        <v>599</v>
      </c>
      <c r="J1356" s="84" t="n">
        <v>699</v>
      </c>
      <c r="K1356" s="85" t="n"/>
      <c r="L1356" s="85" t="n"/>
    </row>
    <row r="1357" ht="12.75" customHeight="1" s="103">
      <c r="A1357" s="78">
        <f>MID(H1357,3,2)</f>
        <v/>
      </c>
      <c r="B1357" s="84" t="inlineStr">
        <is>
          <t>B331</t>
        </is>
      </c>
      <c r="C1357" s="84" t="inlineStr">
        <is>
          <t>上海区域</t>
        </is>
      </c>
      <c r="D1357" s="84" t="inlineStr">
        <is>
          <t>CN0Q</t>
        </is>
      </c>
      <c r="E1357" s="80" t="inlineStr">
        <is>
          <t>EE 苏州比斯特</t>
        </is>
      </c>
      <c r="F1357" s="84" t="n">
        <v>4</v>
      </c>
      <c r="G1357" s="84" t="inlineStr">
        <is>
          <t>奥特莱斯</t>
        </is>
      </c>
      <c r="H1357" s="84" t="inlineStr">
        <is>
          <t>EETJF25N52</t>
        </is>
      </c>
      <c r="I1357" s="84" t="n">
        <v>899</v>
      </c>
      <c r="J1357" s="84" t="n">
        <v>899</v>
      </c>
      <c r="K1357" s="85" t="n"/>
      <c r="L1357" s="85" t="n"/>
    </row>
    <row r="1358" ht="12.75" customHeight="1" s="103">
      <c r="A1358" s="78">
        <f>MID(H1358,3,2)</f>
        <v/>
      </c>
      <c r="B1358" s="84" t="inlineStr">
        <is>
          <t>B331</t>
        </is>
      </c>
      <c r="C1358" s="84" t="inlineStr">
        <is>
          <t>上海区域</t>
        </is>
      </c>
      <c r="D1358" s="84" t="inlineStr">
        <is>
          <t>CN0Q</t>
        </is>
      </c>
      <c r="E1358" s="80" t="inlineStr">
        <is>
          <t>EE 苏州比斯特</t>
        </is>
      </c>
      <c r="F1358" s="84" t="n">
        <v>4</v>
      </c>
      <c r="G1358" s="84" t="inlineStr">
        <is>
          <t>奥特莱斯</t>
        </is>
      </c>
      <c r="H1358" s="84" t="inlineStr">
        <is>
          <t>EETJF25N52</t>
        </is>
      </c>
      <c r="I1358" s="84" t="n">
        <v>899</v>
      </c>
      <c r="J1358" s="84" t="n">
        <v>899</v>
      </c>
      <c r="K1358" s="85" t="n"/>
      <c r="L1358" s="85" t="n"/>
    </row>
    <row r="1359" ht="12.75" customHeight="1" s="103">
      <c r="A1359" s="78">
        <f>MID(H1359,3,2)</f>
        <v/>
      </c>
      <c r="B1359" s="84" t="inlineStr">
        <is>
          <t>B331</t>
        </is>
      </c>
      <c r="C1359" s="84" t="inlineStr">
        <is>
          <t>上海区域</t>
        </is>
      </c>
      <c r="D1359" s="84" t="inlineStr">
        <is>
          <t>CN0Q</t>
        </is>
      </c>
      <c r="E1359" s="80" t="inlineStr">
        <is>
          <t>EE 苏州比斯特</t>
        </is>
      </c>
      <c r="F1359" s="84" t="n">
        <v>4</v>
      </c>
      <c r="G1359" s="84" t="inlineStr">
        <is>
          <t>奥特莱斯</t>
        </is>
      </c>
      <c r="H1359" s="84" t="inlineStr">
        <is>
          <t>EETJF25N52</t>
        </is>
      </c>
      <c r="I1359" s="84" t="n">
        <v>899</v>
      </c>
      <c r="J1359" s="84" t="n">
        <v>899</v>
      </c>
      <c r="K1359" s="85" t="n"/>
      <c r="L1359" s="85" t="n"/>
    </row>
    <row r="1360" ht="12.75" customHeight="1" s="103">
      <c r="A1360" s="78">
        <f>MID(H1360,3,2)</f>
        <v/>
      </c>
      <c r="B1360" s="84" t="inlineStr">
        <is>
          <t>B331</t>
        </is>
      </c>
      <c r="C1360" s="84" t="inlineStr">
        <is>
          <t>上海区域</t>
        </is>
      </c>
      <c r="D1360" s="84" t="inlineStr">
        <is>
          <t>CN0Q</t>
        </is>
      </c>
      <c r="E1360" s="80" t="inlineStr">
        <is>
          <t>EE 苏州比斯特</t>
        </is>
      </c>
      <c r="F1360" s="84" t="n">
        <v>4</v>
      </c>
      <c r="G1360" s="84" t="inlineStr">
        <is>
          <t>奥特莱斯</t>
        </is>
      </c>
      <c r="H1360" s="84" t="inlineStr">
        <is>
          <t>EETJF25N52</t>
        </is>
      </c>
      <c r="I1360" s="84" t="n">
        <v>899</v>
      </c>
      <c r="J1360" s="84" t="n">
        <v>899</v>
      </c>
      <c r="K1360" s="85" t="n"/>
      <c r="L1360" s="85" t="n"/>
    </row>
    <row r="1361" ht="12.75" customHeight="1" s="103">
      <c r="A1361" s="78">
        <f>MID(H1361,3,2)</f>
        <v/>
      </c>
      <c r="B1361" s="84" t="inlineStr">
        <is>
          <t>B331</t>
        </is>
      </c>
      <c r="C1361" s="84" t="inlineStr">
        <is>
          <t>上海区域</t>
        </is>
      </c>
      <c r="D1361" s="84" t="inlineStr">
        <is>
          <t>CN0Q</t>
        </is>
      </c>
      <c r="E1361" s="80" t="inlineStr">
        <is>
          <t>EE 苏州比斯特</t>
        </is>
      </c>
      <c r="F1361" s="84" t="n">
        <v>4</v>
      </c>
      <c r="G1361" s="84" t="inlineStr">
        <is>
          <t>奥特莱斯</t>
        </is>
      </c>
      <c r="H1361" s="84" t="inlineStr">
        <is>
          <t>EETJF25N52</t>
        </is>
      </c>
      <c r="I1361" s="84" t="n">
        <v>899</v>
      </c>
      <c r="J1361" s="84" t="n">
        <v>899</v>
      </c>
      <c r="K1361" s="85" t="n"/>
      <c r="L1361" s="85" t="n"/>
    </row>
    <row r="1362" ht="12.75" customHeight="1" s="103">
      <c r="A1362" s="78">
        <f>MID(H1362,3,2)</f>
        <v/>
      </c>
      <c r="B1362" s="84" t="inlineStr">
        <is>
          <t>B331</t>
        </is>
      </c>
      <c r="C1362" s="84" t="inlineStr">
        <is>
          <t>上海区域</t>
        </is>
      </c>
      <c r="D1362" s="84" t="inlineStr">
        <is>
          <t>CN0Q</t>
        </is>
      </c>
      <c r="E1362" s="80" t="inlineStr">
        <is>
          <t>EE 苏州比斯特</t>
        </is>
      </c>
      <c r="F1362" s="84" t="n">
        <v>4</v>
      </c>
      <c r="G1362" s="84" t="inlineStr">
        <is>
          <t>奥特莱斯</t>
        </is>
      </c>
      <c r="H1362" s="84" t="inlineStr">
        <is>
          <t>EETJF25N52</t>
        </is>
      </c>
      <c r="I1362" s="84" t="n">
        <v>899</v>
      </c>
      <c r="J1362" s="84" t="n">
        <v>899</v>
      </c>
      <c r="K1362" s="85" t="n"/>
      <c r="L1362" s="85" t="n"/>
    </row>
    <row r="1363" ht="12.75" customHeight="1" s="103">
      <c r="A1363" s="78">
        <f>MID(H1363,3,2)</f>
        <v/>
      </c>
      <c r="B1363" s="84" t="inlineStr">
        <is>
          <t>B331</t>
        </is>
      </c>
      <c r="C1363" s="84" t="inlineStr">
        <is>
          <t>上海区域</t>
        </is>
      </c>
      <c r="D1363" s="84" t="inlineStr">
        <is>
          <t>CN0Q</t>
        </is>
      </c>
      <c r="E1363" s="80" t="inlineStr">
        <is>
          <t>EE 苏州比斯特</t>
        </is>
      </c>
      <c r="F1363" s="84" t="n">
        <v>4</v>
      </c>
      <c r="G1363" s="84" t="inlineStr">
        <is>
          <t>奥特莱斯</t>
        </is>
      </c>
      <c r="H1363" s="84" t="inlineStr">
        <is>
          <t>EETJF25N54</t>
        </is>
      </c>
      <c r="I1363" s="84" t="n">
        <v>999</v>
      </c>
      <c r="J1363" s="84" t="n">
        <v>999</v>
      </c>
      <c r="K1363" s="85" t="n"/>
      <c r="L1363" s="85" t="n"/>
    </row>
    <row r="1364" ht="12.75" customHeight="1" s="103">
      <c r="A1364" s="78">
        <f>MID(H1364,3,2)</f>
        <v/>
      </c>
      <c r="B1364" s="84" t="inlineStr">
        <is>
          <t>B331</t>
        </is>
      </c>
      <c r="C1364" s="84" t="inlineStr">
        <is>
          <t>上海区域</t>
        </is>
      </c>
      <c r="D1364" s="84" t="inlineStr">
        <is>
          <t>CN0Q</t>
        </is>
      </c>
      <c r="E1364" s="80" t="inlineStr">
        <is>
          <t>EE 苏州比斯特</t>
        </is>
      </c>
      <c r="F1364" s="84" t="n">
        <v>4</v>
      </c>
      <c r="G1364" s="84" t="inlineStr">
        <is>
          <t>奥特莱斯</t>
        </is>
      </c>
      <c r="H1364" s="84" t="inlineStr">
        <is>
          <t>EETJF25N54</t>
        </is>
      </c>
      <c r="I1364" s="84" t="n">
        <v>999</v>
      </c>
      <c r="J1364" s="84" t="n">
        <v>999</v>
      </c>
      <c r="K1364" s="85" t="n"/>
      <c r="L1364" s="85" t="n"/>
    </row>
    <row r="1365" ht="12.75" customHeight="1" s="103">
      <c r="A1365" s="78">
        <f>MID(H1365,3,2)</f>
        <v/>
      </c>
      <c r="B1365" s="84" t="inlineStr">
        <is>
          <t>B331</t>
        </is>
      </c>
      <c r="C1365" s="84" t="inlineStr">
        <is>
          <t>上海区域</t>
        </is>
      </c>
      <c r="D1365" s="84" t="inlineStr">
        <is>
          <t>CN0Q</t>
        </is>
      </c>
      <c r="E1365" s="80" t="inlineStr">
        <is>
          <t>EE 苏州比斯特</t>
        </is>
      </c>
      <c r="F1365" s="84" t="n">
        <v>4</v>
      </c>
      <c r="G1365" s="84" t="inlineStr">
        <is>
          <t>奥特莱斯</t>
        </is>
      </c>
      <c r="H1365" s="84" t="inlineStr">
        <is>
          <t>EETJF25N54</t>
        </is>
      </c>
      <c r="I1365" s="84" t="n">
        <v>999</v>
      </c>
      <c r="J1365" s="84" t="n">
        <v>999</v>
      </c>
      <c r="K1365" s="85" t="n"/>
      <c r="L1365" s="85" t="n"/>
    </row>
    <row r="1366" ht="12.75" customHeight="1" s="103">
      <c r="A1366" s="78">
        <f>MID(H1366,3,2)</f>
        <v/>
      </c>
      <c r="B1366" s="84" t="inlineStr">
        <is>
          <t>B331</t>
        </is>
      </c>
      <c r="C1366" s="84" t="inlineStr">
        <is>
          <t>上海区域</t>
        </is>
      </c>
      <c r="D1366" s="84" t="inlineStr">
        <is>
          <t>CN0Q</t>
        </is>
      </c>
      <c r="E1366" s="80" t="inlineStr">
        <is>
          <t>EE 苏州比斯特</t>
        </is>
      </c>
      <c r="F1366" s="84" t="n">
        <v>4</v>
      </c>
      <c r="G1366" s="84" t="inlineStr">
        <is>
          <t>奥特莱斯</t>
        </is>
      </c>
      <c r="H1366" s="84" t="inlineStr">
        <is>
          <t>EETJF25N54</t>
        </is>
      </c>
      <c r="I1366" s="84" t="n">
        <v>999</v>
      </c>
      <c r="J1366" s="84" t="n">
        <v>999</v>
      </c>
      <c r="K1366" s="85" t="n"/>
      <c r="L1366" s="85" t="n"/>
    </row>
    <row r="1367" ht="12.75" customHeight="1" s="103">
      <c r="A1367" s="78">
        <f>MID(H1367,3,2)</f>
        <v/>
      </c>
      <c r="B1367" s="84" t="inlineStr">
        <is>
          <t>B331</t>
        </is>
      </c>
      <c r="C1367" s="84" t="inlineStr">
        <is>
          <t>上海区域</t>
        </is>
      </c>
      <c r="D1367" s="84" t="inlineStr">
        <is>
          <t>CN0Q</t>
        </is>
      </c>
      <c r="E1367" s="80" t="inlineStr">
        <is>
          <t>EE 苏州比斯特</t>
        </is>
      </c>
      <c r="F1367" s="84" t="n">
        <v>4</v>
      </c>
      <c r="G1367" s="84" t="inlineStr">
        <is>
          <t>奥特莱斯</t>
        </is>
      </c>
      <c r="H1367" s="84" t="inlineStr">
        <is>
          <t>EETJF25N54</t>
        </is>
      </c>
      <c r="I1367" s="84" t="n">
        <v>999</v>
      </c>
      <c r="J1367" s="84" t="n">
        <v>999</v>
      </c>
      <c r="K1367" s="85" t="n"/>
      <c r="L1367" s="85" t="n"/>
    </row>
    <row r="1368" ht="12.75" customHeight="1" s="103">
      <c r="A1368" s="78">
        <f>MID(H1368,3,2)</f>
        <v/>
      </c>
      <c r="B1368" s="84" t="inlineStr">
        <is>
          <t>B331</t>
        </is>
      </c>
      <c r="C1368" s="84" t="inlineStr">
        <is>
          <t>上海区域</t>
        </is>
      </c>
      <c r="D1368" s="84" t="inlineStr">
        <is>
          <t>CN0Q</t>
        </is>
      </c>
      <c r="E1368" s="80" t="inlineStr">
        <is>
          <t>EE 苏州比斯特</t>
        </is>
      </c>
      <c r="F1368" s="84" t="n">
        <v>4</v>
      </c>
      <c r="G1368" s="84" t="inlineStr">
        <is>
          <t>奥特莱斯</t>
        </is>
      </c>
      <c r="H1368" s="84" t="inlineStr">
        <is>
          <t>EETJF66L03</t>
        </is>
      </c>
      <c r="I1368" s="84" t="n">
        <v>799</v>
      </c>
      <c r="J1368" s="84" t="n">
        <v>799</v>
      </c>
      <c r="K1368" s="85" t="n"/>
      <c r="L1368" s="85" t="n"/>
    </row>
    <row r="1369" ht="12.75" customHeight="1" s="103">
      <c r="A1369" s="78">
        <f>MID(H1369,3,2)</f>
        <v/>
      </c>
      <c r="B1369" s="84" t="inlineStr">
        <is>
          <t>B331</t>
        </is>
      </c>
      <c r="C1369" s="84" t="inlineStr">
        <is>
          <t>上海区域</t>
        </is>
      </c>
      <c r="D1369" s="84" t="inlineStr">
        <is>
          <t>CN0Q</t>
        </is>
      </c>
      <c r="E1369" s="80" t="inlineStr">
        <is>
          <t>EE 苏州比斯特</t>
        </is>
      </c>
      <c r="F1369" s="84" t="n">
        <v>4</v>
      </c>
      <c r="G1369" s="84" t="inlineStr">
        <is>
          <t>奥特莱斯</t>
        </is>
      </c>
      <c r="H1369" s="84" t="inlineStr">
        <is>
          <t>EETJF66L03</t>
        </is>
      </c>
      <c r="I1369" s="84" t="n">
        <v>799</v>
      </c>
      <c r="J1369" s="84" t="n">
        <v>799</v>
      </c>
      <c r="K1369" s="85" t="n"/>
      <c r="L1369" s="85" t="n"/>
    </row>
    <row r="1370" ht="12.75" customHeight="1" s="103">
      <c r="A1370" s="78">
        <f>MID(H1370,3,2)</f>
        <v/>
      </c>
      <c r="B1370" s="84" t="inlineStr">
        <is>
          <t>B331</t>
        </is>
      </c>
      <c r="C1370" s="84" t="inlineStr">
        <is>
          <t>上海区域</t>
        </is>
      </c>
      <c r="D1370" s="84" t="inlineStr">
        <is>
          <t>CN0Q</t>
        </is>
      </c>
      <c r="E1370" s="80" t="inlineStr">
        <is>
          <t>EE 苏州比斯特</t>
        </is>
      </c>
      <c r="F1370" s="84" t="n">
        <v>4</v>
      </c>
      <c r="G1370" s="84" t="inlineStr">
        <is>
          <t>奥特莱斯</t>
        </is>
      </c>
      <c r="H1370" s="84" t="inlineStr">
        <is>
          <t>EETJF66L03</t>
        </is>
      </c>
      <c r="I1370" s="84" t="n">
        <v>799</v>
      </c>
      <c r="J1370" s="84" t="n">
        <v>799</v>
      </c>
      <c r="K1370" s="85" t="n"/>
      <c r="L1370" s="85" t="n"/>
    </row>
    <row r="1371" ht="12.75" customHeight="1" s="103">
      <c r="A1371" s="78">
        <f>MID(H1371,3,2)</f>
        <v/>
      </c>
      <c r="B1371" s="84" t="inlineStr">
        <is>
          <t>B331</t>
        </is>
      </c>
      <c r="C1371" s="84" t="inlineStr">
        <is>
          <t>上海区域</t>
        </is>
      </c>
      <c r="D1371" s="84" t="inlineStr">
        <is>
          <t>CN0Q</t>
        </is>
      </c>
      <c r="E1371" s="80" t="inlineStr">
        <is>
          <t>EE 苏州比斯特</t>
        </is>
      </c>
      <c r="F1371" s="84" t="n">
        <v>4</v>
      </c>
      <c r="G1371" s="84" t="inlineStr">
        <is>
          <t>奥特莱斯</t>
        </is>
      </c>
      <c r="H1371" s="84" t="inlineStr">
        <is>
          <t>EETJF66L03</t>
        </is>
      </c>
      <c r="I1371" s="84" t="n">
        <v>799</v>
      </c>
      <c r="J1371" s="84" t="n">
        <v>799</v>
      </c>
      <c r="K1371" s="85" t="n"/>
      <c r="L1371" s="85" t="n"/>
    </row>
    <row r="1372" ht="12.75" customHeight="1" s="103">
      <c r="A1372" s="78">
        <f>MID(H1372,3,2)</f>
        <v/>
      </c>
      <c r="B1372" s="84" t="inlineStr">
        <is>
          <t>B331</t>
        </is>
      </c>
      <c r="C1372" s="84" t="inlineStr">
        <is>
          <t>上海区域</t>
        </is>
      </c>
      <c r="D1372" s="84" t="inlineStr">
        <is>
          <t>CN0Q</t>
        </is>
      </c>
      <c r="E1372" s="80" t="inlineStr">
        <is>
          <t>EE 苏州比斯特</t>
        </is>
      </c>
      <c r="F1372" s="84" t="n">
        <v>4</v>
      </c>
      <c r="G1372" s="84" t="inlineStr">
        <is>
          <t>奥特莱斯</t>
        </is>
      </c>
      <c r="H1372" s="84" t="inlineStr">
        <is>
          <t>EETJG23B03</t>
        </is>
      </c>
      <c r="I1372" s="84" t="n">
        <v>799</v>
      </c>
      <c r="J1372" s="84" t="n">
        <v>799</v>
      </c>
      <c r="K1372" s="85" t="n"/>
      <c r="L1372" s="85" t="n"/>
    </row>
    <row r="1373" ht="12.75" customHeight="1" s="103">
      <c r="A1373" s="78">
        <f>MID(H1373,3,2)</f>
        <v/>
      </c>
      <c r="B1373" s="84" t="inlineStr">
        <is>
          <t>B331</t>
        </is>
      </c>
      <c r="C1373" s="84" t="inlineStr">
        <is>
          <t>上海区域</t>
        </is>
      </c>
      <c r="D1373" s="84" t="inlineStr">
        <is>
          <t>CN0Q</t>
        </is>
      </c>
      <c r="E1373" s="80" t="inlineStr">
        <is>
          <t>EE 苏州比斯特</t>
        </is>
      </c>
      <c r="F1373" s="84" t="n">
        <v>4</v>
      </c>
      <c r="G1373" s="84" t="inlineStr">
        <is>
          <t>奥特莱斯</t>
        </is>
      </c>
      <c r="H1373" s="84" t="inlineStr">
        <is>
          <t>EETJG23B03</t>
        </is>
      </c>
      <c r="I1373" s="84" t="n">
        <v>799</v>
      </c>
      <c r="J1373" s="84" t="n">
        <v>799</v>
      </c>
      <c r="K1373" s="85" t="n"/>
      <c r="L1373" s="85" t="n"/>
    </row>
    <row r="1374" ht="12.75" customHeight="1" s="103">
      <c r="A1374" s="78">
        <f>MID(H1374,3,2)</f>
        <v/>
      </c>
      <c r="B1374" s="84" t="inlineStr">
        <is>
          <t>B331</t>
        </is>
      </c>
      <c r="C1374" s="84" t="inlineStr">
        <is>
          <t>上海区域</t>
        </is>
      </c>
      <c r="D1374" s="84" t="inlineStr">
        <is>
          <t>CN0Q</t>
        </is>
      </c>
      <c r="E1374" s="80" t="inlineStr">
        <is>
          <t>EE 苏州比斯特</t>
        </is>
      </c>
      <c r="F1374" s="84" t="n">
        <v>4</v>
      </c>
      <c r="G1374" s="84" t="inlineStr">
        <is>
          <t>奥特莱斯</t>
        </is>
      </c>
      <c r="H1374" s="84" t="inlineStr">
        <is>
          <t>EETJG23B03</t>
        </is>
      </c>
      <c r="I1374" s="84" t="n">
        <v>799</v>
      </c>
      <c r="J1374" s="84" t="n">
        <v>799</v>
      </c>
      <c r="K1374" s="85" t="n"/>
      <c r="L1374" s="85" t="n"/>
    </row>
    <row r="1375" ht="12.75" customHeight="1" s="103">
      <c r="A1375" s="78">
        <f>MID(H1375,3,2)</f>
        <v/>
      </c>
      <c r="B1375" s="84" t="inlineStr">
        <is>
          <t>B331</t>
        </is>
      </c>
      <c r="C1375" s="84" t="inlineStr">
        <is>
          <t>上海区域</t>
        </is>
      </c>
      <c r="D1375" s="84" t="inlineStr">
        <is>
          <t>CN0Q</t>
        </is>
      </c>
      <c r="E1375" s="80" t="inlineStr">
        <is>
          <t>EE 苏州比斯特</t>
        </is>
      </c>
      <c r="F1375" s="84" t="n">
        <v>4</v>
      </c>
      <c r="G1375" s="84" t="inlineStr">
        <is>
          <t>奥特莱斯</t>
        </is>
      </c>
      <c r="H1375" s="84" t="inlineStr">
        <is>
          <t>EETJG23B03</t>
        </is>
      </c>
      <c r="I1375" s="84" t="n">
        <v>799</v>
      </c>
      <c r="J1375" s="84" t="n">
        <v>799</v>
      </c>
      <c r="K1375" s="85" t="n"/>
      <c r="L1375" s="85" t="n"/>
    </row>
    <row r="1376" ht="12.75" customHeight="1" s="103">
      <c r="A1376" s="78">
        <f>MID(H1376,3,2)</f>
        <v/>
      </c>
      <c r="B1376" s="84" t="inlineStr">
        <is>
          <t>B331</t>
        </is>
      </c>
      <c r="C1376" s="84" t="inlineStr">
        <is>
          <t>上海区域</t>
        </is>
      </c>
      <c r="D1376" s="84" t="inlineStr">
        <is>
          <t>CN0Q</t>
        </is>
      </c>
      <c r="E1376" s="80" t="inlineStr">
        <is>
          <t>EE 苏州比斯特</t>
        </is>
      </c>
      <c r="F1376" s="84" t="n">
        <v>4</v>
      </c>
      <c r="G1376" s="84" t="inlineStr">
        <is>
          <t>奥特莱斯</t>
        </is>
      </c>
      <c r="H1376" s="84" t="inlineStr">
        <is>
          <t>EETJG23B05</t>
        </is>
      </c>
      <c r="I1376" s="84" t="n">
        <v>899</v>
      </c>
      <c r="J1376" s="84" t="n">
        <v>899</v>
      </c>
      <c r="K1376" s="85" t="n">
        <v>1</v>
      </c>
      <c r="L1376" s="85" t="n"/>
    </row>
    <row r="1377" ht="12.75" customHeight="1" s="103">
      <c r="A1377" s="78">
        <f>MID(H1377,3,2)</f>
        <v/>
      </c>
      <c r="B1377" s="84" t="inlineStr">
        <is>
          <t>B331</t>
        </is>
      </c>
      <c r="C1377" s="84" t="inlineStr">
        <is>
          <t>上海区域</t>
        </is>
      </c>
      <c r="D1377" s="84" t="inlineStr">
        <is>
          <t>CN0Q</t>
        </is>
      </c>
      <c r="E1377" s="80" t="inlineStr">
        <is>
          <t>EE 苏州比斯特</t>
        </is>
      </c>
      <c r="F1377" s="84" t="n">
        <v>4</v>
      </c>
      <c r="G1377" s="84" t="inlineStr">
        <is>
          <t>奥特莱斯</t>
        </is>
      </c>
      <c r="H1377" s="84" t="inlineStr">
        <is>
          <t>EETJG23B05</t>
        </is>
      </c>
      <c r="I1377" s="84" t="n">
        <v>899</v>
      </c>
      <c r="J1377" s="84" t="n">
        <v>899</v>
      </c>
      <c r="K1377" s="85" t="n">
        <v>1</v>
      </c>
      <c r="L1377" s="85" t="n"/>
    </row>
    <row r="1378" ht="12.75" customHeight="1" s="103">
      <c r="A1378" s="78">
        <f>MID(H1378,3,2)</f>
        <v/>
      </c>
      <c r="B1378" s="84" t="inlineStr">
        <is>
          <t>B331</t>
        </is>
      </c>
      <c r="C1378" s="84" t="inlineStr">
        <is>
          <t>上海区域</t>
        </is>
      </c>
      <c r="D1378" s="84" t="inlineStr">
        <is>
          <t>CN0Q</t>
        </is>
      </c>
      <c r="E1378" s="80" t="inlineStr">
        <is>
          <t>EE 苏州比斯特</t>
        </is>
      </c>
      <c r="F1378" s="84" t="n">
        <v>4</v>
      </c>
      <c r="G1378" s="84" t="inlineStr">
        <is>
          <t>奥特莱斯</t>
        </is>
      </c>
      <c r="H1378" s="84" t="inlineStr">
        <is>
          <t>EETJG23B05</t>
        </is>
      </c>
      <c r="I1378" s="84" t="n">
        <v>899</v>
      </c>
      <c r="J1378" s="84" t="n">
        <v>899</v>
      </c>
      <c r="K1378" s="85" t="n"/>
      <c r="L1378" s="85" t="n"/>
    </row>
    <row r="1379" ht="12.75" customHeight="1" s="103">
      <c r="A1379" s="78">
        <f>MID(H1379,3,2)</f>
        <v/>
      </c>
      <c r="B1379" s="84" t="inlineStr">
        <is>
          <t>B331</t>
        </is>
      </c>
      <c r="C1379" s="84" t="inlineStr">
        <is>
          <t>上海区域</t>
        </is>
      </c>
      <c r="D1379" s="84" t="inlineStr">
        <is>
          <t>CN0Q</t>
        </is>
      </c>
      <c r="E1379" s="80" t="inlineStr">
        <is>
          <t>EE 苏州比斯特</t>
        </is>
      </c>
      <c r="F1379" s="84" t="n">
        <v>4</v>
      </c>
      <c r="G1379" s="84" t="inlineStr">
        <is>
          <t>奥特莱斯</t>
        </is>
      </c>
      <c r="H1379" s="84" t="inlineStr">
        <is>
          <t>EETJG23B05</t>
        </is>
      </c>
      <c r="I1379" s="84" t="n">
        <v>899</v>
      </c>
      <c r="J1379" s="84" t="n">
        <v>899</v>
      </c>
      <c r="K1379" s="85" t="n">
        <v>1</v>
      </c>
      <c r="L1379" s="85" t="n"/>
    </row>
    <row r="1380" ht="12.75" customHeight="1" s="103">
      <c r="A1380" s="78">
        <f>MID(H1380,3,2)</f>
        <v/>
      </c>
      <c r="B1380" s="84" t="inlineStr">
        <is>
          <t>B331</t>
        </is>
      </c>
      <c r="C1380" s="84" t="inlineStr">
        <is>
          <t>上海区域</t>
        </is>
      </c>
      <c r="D1380" s="84" t="inlineStr">
        <is>
          <t>CN0Q</t>
        </is>
      </c>
      <c r="E1380" s="80" t="inlineStr">
        <is>
          <t>EE 苏州比斯特</t>
        </is>
      </c>
      <c r="F1380" s="84" t="n">
        <v>4</v>
      </c>
      <c r="G1380" s="84" t="inlineStr">
        <is>
          <t>奥特莱斯</t>
        </is>
      </c>
      <c r="H1380" s="84" t="inlineStr">
        <is>
          <t>EETJG23B08</t>
        </is>
      </c>
      <c r="I1380" s="84" t="n">
        <v>799</v>
      </c>
      <c r="J1380" s="84" t="n">
        <v>699</v>
      </c>
      <c r="K1380" s="85" t="n">
        <v>4</v>
      </c>
      <c r="L1380" s="85" t="n">
        <v>818</v>
      </c>
    </row>
    <row r="1381" ht="12.75" customHeight="1" s="103">
      <c r="A1381" s="78">
        <f>MID(H1381,3,2)</f>
        <v/>
      </c>
      <c r="B1381" s="84" t="inlineStr">
        <is>
          <t>B331</t>
        </is>
      </c>
      <c r="C1381" s="84" t="inlineStr">
        <is>
          <t>上海区域</t>
        </is>
      </c>
      <c r="D1381" s="84" t="inlineStr">
        <is>
          <t>CN0Q</t>
        </is>
      </c>
      <c r="E1381" s="80" t="inlineStr">
        <is>
          <t>EE 苏州比斯特</t>
        </is>
      </c>
      <c r="F1381" s="84" t="n">
        <v>4</v>
      </c>
      <c r="G1381" s="84" t="inlineStr">
        <is>
          <t>奥特莱斯</t>
        </is>
      </c>
      <c r="H1381" s="84" t="inlineStr">
        <is>
          <t>EETJG23B08</t>
        </is>
      </c>
      <c r="I1381" s="84" t="n">
        <v>799</v>
      </c>
      <c r="J1381" s="84" t="n">
        <v>699</v>
      </c>
      <c r="K1381" s="85" t="n">
        <v>1</v>
      </c>
      <c r="L1381" s="85" t="n"/>
    </row>
    <row r="1382" ht="12.75" customHeight="1" s="103">
      <c r="A1382" s="78">
        <f>MID(H1382,3,2)</f>
        <v/>
      </c>
      <c r="B1382" s="84" t="inlineStr">
        <is>
          <t>B331</t>
        </is>
      </c>
      <c r="C1382" s="84" t="inlineStr">
        <is>
          <t>上海区域</t>
        </is>
      </c>
      <c r="D1382" s="84" t="inlineStr">
        <is>
          <t>CN0Q</t>
        </is>
      </c>
      <c r="E1382" s="80" t="inlineStr">
        <is>
          <t>EE 苏州比斯特</t>
        </is>
      </c>
      <c r="F1382" s="84" t="n">
        <v>4</v>
      </c>
      <c r="G1382" s="84" t="inlineStr">
        <is>
          <t>奥特莱斯</t>
        </is>
      </c>
      <c r="H1382" s="84" t="inlineStr">
        <is>
          <t>EETJG23B08</t>
        </is>
      </c>
      <c r="I1382" s="84" t="n">
        <v>799</v>
      </c>
      <c r="J1382" s="84" t="n">
        <v>699</v>
      </c>
      <c r="K1382" s="85" t="n">
        <v>2</v>
      </c>
      <c r="L1382" s="85" t="n">
        <v>932</v>
      </c>
    </row>
    <row r="1383" ht="12.75" customHeight="1" s="103">
      <c r="A1383" s="78">
        <f>MID(H1383,3,2)</f>
        <v/>
      </c>
      <c r="B1383" s="84" t="inlineStr">
        <is>
          <t>B331</t>
        </is>
      </c>
      <c r="C1383" s="84" t="inlineStr">
        <is>
          <t>上海区域</t>
        </is>
      </c>
      <c r="D1383" s="84" t="inlineStr">
        <is>
          <t>CN0Q</t>
        </is>
      </c>
      <c r="E1383" s="80" t="inlineStr">
        <is>
          <t>EE 苏州比斯特</t>
        </is>
      </c>
      <c r="F1383" s="84" t="n">
        <v>4</v>
      </c>
      <c r="G1383" s="84" t="inlineStr">
        <is>
          <t>奥特莱斯</t>
        </is>
      </c>
      <c r="H1383" s="84" t="inlineStr">
        <is>
          <t>EETJG23B08</t>
        </is>
      </c>
      <c r="I1383" s="84" t="n">
        <v>799</v>
      </c>
      <c r="J1383" s="84" t="n">
        <v>699</v>
      </c>
      <c r="K1383" s="85" t="n"/>
      <c r="L1383" s="85" t="n"/>
    </row>
    <row r="1384" ht="12.75" customHeight="1" s="103">
      <c r="A1384" s="78">
        <f>MID(H1384,3,2)</f>
        <v/>
      </c>
      <c r="B1384" s="84" t="inlineStr">
        <is>
          <t>B331</t>
        </is>
      </c>
      <c r="C1384" s="84" t="inlineStr">
        <is>
          <t>上海区域</t>
        </is>
      </c>
      <c r="D1384" s="84" t="inlineStr">
        <is>
          <t>CN0Q</t>
        </is>
      </c>
      <c r="E1384" s="80" t="inlineStr">
        <is>
          <t>EE 苏州比斯特</t>
        </is>
      </c>
      <c r="F1384" s="84" t="n">
        <v>4</v>
      </c>
      <c r="G1384" s="84" t="inlineStr">
        <is>
          <t>奥特莱斯</t>
        </is>
      </c>
      <c r="H1384" s="84" t="inlineStr">
        <is>
          <t>EETJG23B1G</t>
        </is>
      </c>
      <c r="I1384" s="84" t="n">
        <v>899</v>
      </c>
      <c r="J1384" s="84" t="n">
        <v>899</v>
      </c>
      <c r="K1384" s="85" t="n">
        <v>1</v>
      </c>
      <c r="L1384" s="85" t="n">
        <v>573</v>
      </c>
    </row>
    <row r="1385" ht="12.75" customHeight="1" s="103">
      <c r="A1385" s="78">
        <f>MID(H1385,3,2)</f>
        <v/>
      </c>
      <c r="B1385" s="84" t="inlineStr">
        <is>
          <t>B331</t>
        </is>
      </c>
      <c r="C1385" s="84" t="inlineStr">
        <is>
          <t>上海区域</t>
        </is>
      </c>
      <c r="D1385" s="84" t="inlineStr">
        <is>
          <t>CN0Q</t>
        </is>
      </c>
      <c r="E1385" s="80" t="inlineStr">
        <is>
          <t>EE 苏州比斯特</t>
        </is>
      </c>
      <c r="F1385" s="84" t="n">
        <v>4</v>
      </c>
      <c r="G1385" s="84" t="inlineStr">
        <is>
          <t>奥特莱斯</t>
        </is>
      </c>
      <c r="H1385" s="84" t="inlineStr">
        <is>
          <t>EETJG23B1G</t>
        </is>
      </c>
      <c r="I1385" s="84" t="n">
        <v>899</v>
      </c>
      <c r="J1385" s="84" t="n">
        <v>899</v>
      </c>
      <c r="K1385" s="85" t="n"/>
      <c r="L1385" s="85" t="n"/>
    </row>
    <row r="1386" ht="12.75" customHeight="1" s="103">
      <c r="A1386" s="78">
        <f>MID(H1386,3,2)</f>
        <v/>
      </c>
      <c r="B1386" s="84" t="inlineStr">
        <is>
          <t>B331</t>
        </is>
      </c>
      <c r="C1386" s="84" t="inlineStr">
        <is>
          <t>上海区域</t>
        </is>
      </c>
      <c r="D1386" s="84" t="inlineStr">
        <is>
          <t>CN0Q</t>
        </is>
      </c>
      <c r="E1386" s="80" t="inlineStr">
        <is>
          <t>EE 苏州比斯特</t>
        </is>
      </c>
      <c r="F1386" s="84" t="n">
        <v>4</v>
      </c>
      <c r="G1386" s="84" t="inlineStr">
        <is>
          <t>奥特莱斯</t>
        </is>
      </c>
      <c r="H1386" s="84" t="inlineStr">
        <is>
          <t>EETJG23B1G</t>
        </is>
      </c>
      <c r="I1386" s="84" t="n">
        <v>899</v>
      </c>
      <c r="J1386" s="84" t="n">
        <v>899</v>
      </c>
      <c r="K1386" s="85" t="n">
        <v>3</v>
      </c>
      <c r="L1386" s="86" t="n">
        <v>1146</v>
      </c>
    </row>
    <row r="1387" ht="12.75" customHeight="1" s="103">
      <c r="A1387" s="78">
        <f>MID(H1387,3,2)</f>
        <v/>
      </c>
      <c r="B1387" s="84" t="inlineStr">
        <is>
          <t>B331</t>
        </is>
      </c>
      <c r="C1387" s="84" t="inlineStr">
        <is>
          <t>上海区域</t>
        </is>
      </c>
      <c r="D1387" s="84" t="inlineStr">
        <is>
          <t>CN0Q</t>
        </is>
      </c>
      <c r="E1387" s="80" t="inlineStr">
        <is>
          <t>EE 苏州比斯特</t>
        </is>
      </c>
      <c r="F1387" s="84" t="n">
        <v>4</v>
      </c>
      <c r="G1387" s="84" t="inlineStr">
        <is>
          <t>奥特莱斯</t>
        </is>
      </c>
      <c r="H1387" s="84" t="inlineStr">
        <is>
          <t>EETJG23E01</t>
        </is>
      </c>
      <c r="I1387" s="84" t="n">
        <v>699</v>
      </c>
      <c r="J1387" s="84" t="n">
        <v>699</v>
      </c>
      <c r="K1387" s="85" t="n">
        <v>1</v>
      </c>
      <c r="L1387" s="85" t="n">
        <v>443</v>
      </c>
    </row>
    <row r="1388" ht="12.75" customHeight="1" s="103">
      <c r="A1388" s="78">
        <f>MID(H1388,3,2)</f>
        <v/>
      </c>
      <c r="B1388" s="84" t="inlineStr">
        <is>
          <t>B331</t>
        </is>
      </c>
      <c r="C1388" s="84" t="inlineStr">
        <is>
          <t>上海区域</t>
        </is>
      </c>
      <c r="D1388" s="84" t="inlineStr">
        <is>
          <t>CN0Q</t>
        </is>
      </c>
      <c r="E1388" s="80" t="inlineStr">
        <is>
          <t>EE 苏州比斯特</t>
        </is>
      </c>
      <c r="F1388" s="84" t="n">
        <v>4</v>
      </c>
      <c r="G1388" s="84" t="inlineStr">
        <is>
          <t>奥特莱斯</t>
        </is>
      </c>
      <c r="H1388" s="84" t="inlineStr">
        <is>
          <t>EETJG23E01</t>
        </is>
      </c>
      <c r="I1388" s="84" t="n">
        <v>699</v>
      </c>
      <c r="J1388" s="84" t="n">
        <v>699</v>
      </c>
      <c r="K1388" s="85" t="n">
        <v>1</v>
      </c>
      <c r="L1388" s="85" t="n">
        <v>452</v>
      </c>
    </row>
    <row r="1389" ht="12.75" customHeight="1" s="103">
      <c r="A1389" s="78">
        <f>MID(H1389,3,2)</f>
        <v/>
      </c>
      <c r="B1389" s="84" t="inlineStr">
        <is>
          <t>B331</t>
        </is>
      </c>
      <c r="C1389" s="84" t="inlineStr">
        <is>
          <t>上海区域</t>
        </is>
      </c>
      <c r="D1389" s="84" t="inlineStr">
        <is>
          <t>CN0Q</t>
        </is>
      </c>
      <c r="E1389" s="80" t="inlineStr">
        <is>
          <t>EE 苏州比斯特</t>
        </is>
      </c>
      <c r="F1389" s="84" t="n">
        <v>4</v>
      </c>
      <c r="G1389" s="84" t="inlineStr">
        <is>
          <t>奥特莱斯</t>
        </is>
      </c>
      <c r="H1389" s="84" t="inlineStr">
        <is>
          <t>EETJG23E01</t>
        </is>
      </c>
      <c r="I1389" s="84" t="n">
        <v>699</v>
      </c>
      <c r="J1389" s="84" t="n">
        <v>699</v>
      </c>
      <c r="K1389" s="85" t="n">
        <v>1</v>
      </c>
      <c r="L1389" s="85" t="n"/>
    </row>
    <row r="1390" ht="12.75" customHeight="1" s="103">
      <c r="A1390" s="78">
        <f>MID(H1390,3,2)</f>
        <v/>
      </c>
      <c r="B1390" s="84" t="inlineStr">
        <is>
          <t>B331</t>
        </is>
      </c>
      <c r="C1390" s="84" t="inlineStr">
        <is>
          <t>上海区域</t>
        </is>
      </c>
      <c r="D1390" s="84" t="inlineStr">
        <is>
          <t>CN0Q</t>
        </is>
      </c>
      <c r="E1390" s="80" t="inlineStr">
        <is>
          <t>EE 苏州比斯特</t>
        </is>
      </c>
      <c r="F1390" s="84" t="n">
        <v>4</v>
      </c>
      <c r="G1390" s="84" t="inlineStr">
        <is>
          <t>奥特莱斯</t>
        </is>
      </c>
      <c r="H1390" s="84" t="inlineStr">
        <is>
          <t>EETJG23E01</t>
        </is>
      </c>
      <c r="I1390" s="84" t="n">
        <v>699</v>
      </c>
      <c r="J1390" s="84" t="n">
        <v>699</v>
      </c>
      <c r="K1390" s="85" t="n">
        <v>1</v>
      </c>
      <c r="L1390" s="85" t="n">
        <v>448</v>
      </c>
    </row>
    <row r="1391" ht="12.75" customHeight="1" s="103">
      <c r="A1391" s="78">
        <f>MID(H1391,3,2)</f>
        <v/>
      </c>
      <c r="B1391" s="84" t="inlineStr">
        <is>
          <t>B331</t>
        </is>
      </c>
      <c r="C1391" s="84" t="inlineStr">
        <is>
          <t>上海区域</t>
        </is>
      </c>
      <c r="D1391" s="84" t="inlineStr">
        <is>
          <t>CN0Q</t>
        </is>
      </c>
      <c r="E1391" s="80" t="inlineStr">
        <is>
          <t>EE 苏州比斯特</t>
        </is>
      </c>
      <c r="F1391" s="84" t="n">
        <v>4</v>
      </c>
      <c r="G1391" s="84" t="inlineStr">
        <is>
          <t>奥特莱斯</t>
        </is>
      </c>
      <c r="H1391" s="84" t="inlineStr">
        <is>
          <t>EETJG23E01</t>
        </is>
      </c>
      <c r="I1391" s="84" t="n">
        <v>699</v>
      </c>
      <c r="J1391" s="84" t="n">
        <v>699</v>
      </c>
      <c r="K1391" s="85" t="n"/>
      <c r="L1391" s="85" t="n"/>
    </row>
    <row r="1392" ht="12.75" customHeight="1" s="103">
      <c r="A1392" s="78">
        <f>MID(H1392,3,2)</f>
        <v/>
      </c>
      <c r="B1392" s="84" t="inlineStr">
        <is>
          <t>B331</t>
        </is>
      </c>
      <c r="C1392" s="84" t="inlineStr">
        <is>
          <t>上海区域</t>
        </is>
      </c>
      <c r="D1392" s="84" t="inlineStr">
        <is>
          <t>CN0Q</t>
        </is>
      </c>
      <c r="E1392" s="80" t="inlineStr">
        <is>
          <t>EE 苏州比斯特</t>
        </is>
      </c>
      <c r="F1392" s="84" t="n">
        <v>4</v>
      </c>
      <c r="G1392" s="84" t="inlineStr">
        <is>
          <t>奥特莱斯</t>
        </is>
      </c>
      <c r="H1392" s="84" t="inlineStr">
        <is>
          <t>EETJG23E01</t>
        </is>
      </c>
      <c r="I1392" s="84" t="n">
        <v>699</v>
      </c>
      <c r="J1392" s="84" t="n">
        <v>699</v>
      </c>
      <c r="K1392" s="85" t="n"/>
      <c r="L1392" s="85" t="n"/>
    </row>
    <row r="1393" ht="12.75" customHeight="1" s="103">
      <c r="A1393" s="78">
        <f>MID(H1393,3,2)</f>
        <v/>
      </c>
      <c r="B1393" s="84" t="inlineStr">
        <is>
          <t>B331</t>
        </is>
      </c>
      <c r="C1393" s="84" t="inlineStr">
        <is>
          <t>上海区域</t>
        </is>
      </c>
      <c r="D1393" s="84" t="inlineStr">
        <is>
          <t>CN0Q</t>
        </is>
      </c>
      <c r="E1393" s="80" t="inlineStr">
        <is>
          <t>EE 苏州比斯特</t>
        </is>
      </c>
      <c r="F1393" s="84" t="n">
        <v>4</v>
      </c>
      <c r="G1393" s="84" t="inlineStr">
        <is>
          <t>奥特莱斯</t>
        </is>
      </c>
      <c r="H1393" s="84" t="inlineStr">
        <is>
          <t>EETJG23E01</t>
        </is>
      </c>
      <c r="I1393" s="84" t="n">
        <v>699</v>
      </c>
      <c r="J1393" s="84" t="n">
        <v>699</v>
      </c>
      <c r="K1393" s="85" t="n"/>
      <c r="L1393" s="85" t="n"/>
    </row>
    <row r="1394" ht="12.75" customHeight="1" s="103">
      <c r="A1394" s="78">
        <f>MID(H1394,3,2)</f>
        <v/>
      </c>
      <c r="B1394" s="84" t="inlineStr">
        <is>
          <t>B331</t>
        </is>
      </c>
      <c r="C1394" s="84" t="inlineStr">
        <is>
          <t>上海区域</t>
        </is>
      </c>
      <c r="D1394" s="84" t="inlineStr">
        <is>
          <t>CN0Q</t>
        </is>
      </c>
      <c r="E1394" s="80" t="inlineStr">
        <is>
          <t>EE 苏州比斯特</t>
        </is>
      </c>
      <c r="F1394" s="84" t="n">
        <v>4</v>
      </c>
      <c r="G1394" s="84" t="inlineStr">
        <is>
          <t>奥特莱斯</t>
        </is>
      </c>
      <c r="H1394" s="84" t="inlineStr">
        <is>
          <t>EETJG23E01</t>
        </is>
      </c>
      <c r="I1394" s="84" t="n">
        <v>699</v>
      </c>
      <c r="J1394" s="84" t="n">
        <v>699</v>
      </c>
      <c r="K1394" s="85" t="n">
        <v>1</v>
      </c>
      <c r="L1394" s="85" t="n">
        <v>444</v>
      </c>
    </row>
    <row r="1395" ht="12.75" customHeight="1" s="103">
      <c r="A1395" s="78">
        <f>MID(H1395,3,2)</f>
        <v/>
      </c>
      <c r="B1395" s="84" t="inlineStr">
        <is>
          <t>B331</t>
        </is>
      </c>
      <c r="C1395" s="84" t="inlineStr">
        <is>
          <t>上海区域</t>
        </is>
      </c>
      <c r="D1395" s="84" t="inlineStr">
        <is>
          <t>CN0Q</t>
        </is>
      </c>
      <c r="E1395" s="80" t="inlineStr">
        <is>
          <t>EE 苏州比斯特</t>
        </is>
      </c>
      <c r="F1395" s="84" t="n">
        <v>4</v>
      </c>
      <c r="G1395" s="84" t="inlineStr">
        <is>
          <t>奥特莱斯</t>
        </is>
      </c>
      <c r="H1395" s="84" t="inlineStr">
        <is>
          <t>EETJG23E01</t>
        </is>
      </c>
      <c r="I1395" s="84" t="n">
        <v>699</v>
      </c>
      <c r="J1395" s="84" t="n">
        <v>699</v>
      </c>
      <c r="K1395" s="85" t="n">
        <v>3</v>
      </c>
      <c r="L1395" s="85" t="n">
        <v>901</v>
      </c>
    </row>
    <row r="1396" ht="12.75" customHeight="1" s="103">
      <c r="A1396" s="78">
        <f>MID(H1396,3,2)</f>
        <v/>
      </c>
      <c r="B1396" s="84" t="inlineStr">
        <is>
          <t>B331</t>
        </is>
      </c>
      <c r="C1396" s="84" t="inlineStr">
        <is>
          <t>上海区域</t>
        </is>
      </c>
      <c r="D1396" s="84" t="inlineStr">
        <is>
          <t>CN0Q</t>
        </is>
      </c>
      <c r="E1396" s="80" t="inlineStr">
        <is>
          <t>EE 苏州比斯特</t>
        </is>
      </c>
      <c r="F1396" s="84" t="n">
        <v>4</v>
      </c>
      <c r="G1396" s="84" t="inlineStr">
        <is>
          <t>奥特莱斯</t>
        </is>
      </c>
      <c r="H1396" s="84" t="inlineStr">
        <is>
          <t>EETJG23E01</t>
        </is>
      </c>
      <c r="I1396" s="84" t="n">
        <v>699</v>
      </c>
      <c r="J1396" s="84" t="n">
        <v>699</v>
      </c>
      <c r="K1396" s="85" t="n">
        <v>1</v>
      </c>
      <c r="L1396" s="85" t="n">
        <v>447</v>
      </c>
    </row>
    <row r="1397" ht="12.75" customHeight="1" s="103">
      <c r="A1397" s="78">
        <f>MID(H1397,3,2)</f>
        <v/>
      </c>
      <c r="B1397" s="84" t="inlineStr">
        <is>
          <t>B331</t>
        </is>
      </c>
      <c r="C1397" s="84" t="inlineStr">
        <is>
          <t>上海区域</t>
        </is>
      </c>
      <c r="D1397" s="84" t="inlineStr">
        <is>
          <t>CN0Q</t>
        </is>
      </c>
      <c r="E1397" s="80" t="inlineStr">
        <is>
          <t>EE 苏州比斯特</t>
        </is>
      </c>
      <c r="F1397" s="84" t="n">
        <v>4</v>
      </c>
      <c r="G1397" s="84" t="inlineStr">
        <is>
          <t>奥特莱斯</t>
        </is>
      </c>
      <c r="H1397" s="84" t="inlineStr">
        <is>
          <t>EETJG23E01</t>
        </is>
      </c>
      <c r="I1397" s="84" t="n">
        <v>699</v>
      </c>
      <c r="J1397" s="84" t="n">
        <v>699</v>
      </c>
      <c r="K1397" s="85" t="n"/>
      <c r="L1397" s="85" t="n"/>
    </row>
    <row r="1398" ht="12.75" customHeight="1" s="103">
      <c r="A1398" s="78">
        <f>MID(H1398,3,2)</f>
        <v/>
      </c>
      <c r="B1398" s="84" t="inlineStr">
        <is>
          <t>B331</t>
        </is>
      </c>
      <c r="C1398" s="84" t="inlineStr">
        <is>
          <t>上海区域</t>
        </is>
      </c>
      <c r="D1398" s="84" t="inlineStr">
        <is>
          <t>CN0Q</t>
        </is>
      </c>
      <c r="E1398" s="80" t="inlineStr">
        <is>
          <t>EE 苏州比斯特</t>
        </is>
      </c>
      <c r="F1398" s="84" t="n">
        <v>4</v>
      </c>
      <c r="G1398" s="84" t="inlineStr">
        <is>
          <t>奥特莱斯</t>
        </is>
      </c>
      <c r="H1398" s="84" t="inlineStr">
        <is>
          <t>EETJG23E01</t>
        </is>
      </c>
      <c r="I1398" s="84" t="n">
        <v>699</v>
      </c>
      <c r="J1398" s="84" t="n">
        <v>699</v>
      </c>
      <c r="K1398" s="85" t="n"/>
      <c r="L1398" s="85" t="n"/>
    </row>
    <row r="1399" ht="12.75" customHeight="1" s="103">
      <c r="A1399" s="78">
        <f>MID(H1399,3,2)</f>
        <v/>
      </c>
      <c r="B1399" s="84" t="inlineStr">
        <is>
          <t>B331</t>
        </is>
      </c>
      <c r="C1399" s="84" t="inlineStr">
        <is>
          <t>上海区域</t>
        </is>
      </c>
      <c r="D1399" s="84" t="inlineStr">
        <is>
          <t>CN0Q</t>
        </is>
      </c>
      <c r="E1399" s="80" t="inlineStr">
        <is>
          <t>EE 苏州比斯特</t>
        </is>
      </c>
      <c r="F1399" s="84" t="n">
        <v>4</v>
      </c>
      <c r="G1399" s="84" t="inlineStr">
        <is>
          <t>奥特莱斯</t>
        </is>
      </c>
      <c r="H1399" s="84" t="inlineStr">
        <is>
          <t>EETJG23E01</t>
        </is>
      </c>
      <c r="I1399" s="84" t="n">
        <v>699</v>
      </c>
      <c r="J1399" s="84" t="n">
        <v>699</v>
      </c>
      <c r="K1399" s="85" t="n"/>
      <c r="L1399" s="85" t="n"/>
    </row>
    <row r="1400" ht="12.75" customHeight="1" s="103">
      <c r="A1400" s="78">
        <f>MID(H1400,3,2)</f>
        <v/>
      </c>
      <c r="B1400" s="84" t="inlineStr">
        <is>
          <t>B331</t>
        </is>
      </c>
      <c r="C1400" s="84" t="inlineStr">
        <is>
          <t>上海区域</t>
        </is>
      </c>
      <c r="D1400" s="84" t="inlineStr">
        <is>
          <t>CN0Q</t>
        </is>
      </c>
      <c r="E1400" s="80" t="inlineStr">
        <is>
          <t>EE 苏州比斯特</t>
        </is>
      </c>
      <c r="F1400" s="84" t="n">
        <v>4</v>
      </c>
      <c r="G1400" s="84" t="inlineStr">
        <is>
          <t>奥特莱斯</t>
        </is>
      </c>
      <c r="H1400" s="84" t="inlineStr">
        <is>
          <t>EETJG23E01</t>
        </is>
      </c>
      <c r="I1400" s="84" t="n">
        <v>699</v>
      </c>
      <c r="J1400" s="84" t="n">
        <v>699</v>
      </c>
      <c r="K1400" s="85" t="n">
        <v>1</v>
      </c>
      <c r="L1400" s="85" t="n">
        <v>442</v>
      </c>
    </row>
    <row r="1401" ht="12.75" customHeight="1" s="103">
      <c r="A1401" s="78">
        <f>MID(H1401,3,2)</f>
        <v/>
      </c>
      <c r="B1401" s="84" t="inlineStr">
        <is>
          <t>B331</t>
        </is>
      </c>
      <c r="C1401" s="84" t="inlineStr">
        <is>
          <t>上海区域</t>
        </is>
      </c>
      <c r="D1401" s="84" t="inlineStr">
        <is>
          <t>CN0Q</t>
        </is>
      </c>
      <c r="E1401" s="80" t="inlineStr">
        <is>
          <t>EE 苏州比斯特</t>
        </is>
      </c>
      <c r="F1401" s="84" t="n">
        <v>4</v>
      </c>
      <c r="G1401" s="84" t="inlineStr">
        <is>
          <t>奥特莱斯</t>
        </is>
      </c>
      <c r="H1401" s="84" t="inlineStr">
        <is>
          <t>EETJG23E01</t>
        </is>
      </c>
      <c r="I1401" s="84" t="n">
        <v>699</v>
      </c>
      <c r="J1401" s="84" t="n">
        <v>699</v>
      </c>
      <c r="K1401" s="85" t="n">
        <v>2</v>
      </c>
      <c r="L1401" s="85" t="n">
        <v>934</v>
      </c>
    </row>
    <row r="1402" ht="12.75" customHeight="1" s="103">
      <c r="A1402" s="78">
        <f>MID(H1402,3,2)</f>
        <v/>
      </c>
      <c r="B1402" s="84" t="inlineStr">
        <is>
          <t>B331</t>
        </is>
      </c>
      <c r="C1402" s="84" t="inlineStr">
        <is>
          <t>上海区域</t>
        </is>
      </c>
      <c r="D1402" s="84" t="inlineStr">
        <is>
          <t>CN0Q</t>
        </is>
      </c>
      <c r="E1402" s="80" t="inlineStr">
        <is>
          <t>EE 苏州比斯特</t>
        </is>
      </c>
      <c r="F1402" s="84" t="n">
        <v>4</v>
      </c>
      <c r="G1402" s="84" t="inlineStr">
        <is>
          <t>奥特莱斯</t>
        </is>
      </c>
      <c r="H1402" s="84" t="inlineStr">
        <is>
          <t>EETJG23E01</t>
        </is>
      </c>
      <c r="I1402" s="84" t="n">
        <v>699</v>
      </c>
      <c r="J1402" s="84" t="n">
        <v>699</v>
      </c>
      <c r="K1402" s="85" t="n">
        <v>1</v>
      </c>
      <c r="L1402" s="85" t="n">
        <v>447</v>
      </c>
    </row>
    <row r="1403" ht="12.75" customHeight="1" s="103">
      <c r="A1403" s="78">
        <f>MID(H1403,3,2)</f>
        <v/>
      </c>
      <c r="B1403" s="84" t="inlineStr">
        <is>
          <t>B331</t>
        </is>
      </c>
      <c r="C1403" s="84" t="inlineStr">
        <is>
          <t>上海区域</t>
        </is>
      </c>
      <c r="D1403" s="84" t="inlineStr">
        <is>
          <t>CN0Q</t>
        </is>
      </c>
      <c r="E1403" s="80" t="inlineStr">
        <is>
          <t>EE 苏州比斯特</t>
        </is>
      </c>
      <c r="F1403" s="84" t="n">
        <v>4</v>
      </c>
      <c r="G1403" s="84" t="inlineStr">
        <is>
          <t>奥特莱斯</t>
        </is>
      </c>
      <c r="H1403" s="84" t="inlineStr">
        <is>
          <t>EETJG23E01</t>
        </is>
      </c>
      <c r="I1403" s="84" t="n">
        <v>699</v>
      </c>
      <c r="J1403" s="84" t="n">
        <v>699</v>
      </c>
      <c r="K1403" s="85" t="n">
        <v>2</v>
      </c>
      <c r="L1403" s="85" t="n">
        <v>915</v>
      </c>
    </row>
    <row r="1404" ht="12.75" customHeight="1" s="103">
      <c r="A1404" s="78">
        <f>MID(H1404,3,2)</f>
        <v/>
      </c>
      <c r="B1404" s="84" t="inlineStr">
        <is>
          <t>B331</t>
        </is>
      </c>
      <c r="C1404" s="84" t="inlineStr">
        <is>
          <t>上海区域</t>
        </is>
      </c>
      <c r="D1404" s="84" t="inlineStr">
        <is>
          <t>CN0Q</t>
        </is>
      </c>
      <c r="E1404" s="80" t="inlineStr">
        <is>
          <t>EE 苏州比斯特</t>
        </is>
      </c>
      <c r="F1404" s="84" t="n">
        <v>4</v>
      </c>
      <c r="G1404" s="84" t="inlineStr">
        <is>
          <t>奥特莱斯</t>
        </is>
      </c>
      <c r="H1404" s="84" t="inlineStr">
        <is>
          <t>EETJG23E01</t>
        </is>
      </c>
      <c r="I1404" s="84" t="n">
        <v>699</v>
      </c>
      <c r="J1404" s="84" t="n">
        <v>699</v>
      </c>
      <c r="K1404" s="85" t="n"/>
      <c r="L1404" s="85" t="n"/>
    </row>
    <row r="1405" ht="12.75" customHeight="1" s="103">
      <c r="A1405" s="78">
        <f>MID(H1405,3,2)</f>
        <v/>
      </c>
      <c r="B1405" s="84" t="inlineStr">
        <is>
          <t>B331</t>
        </is>
      </c>
      <c r="C1405" s="84" t="inlineStr">
        <is>
          <t>上海区域</t>
        </is>
      </c>
      <c r="D1405" s="84" t="inlineStr">
        <is>
          <t>CN0Q</t>
        </is>
      </c>
      <c r="E1405" s="80" t="inlineStr">
        <is>
          <t>EE 苏州比斯特</t>
        </is>
      </c>
      <c r="F1405" s="84" t="n">
        <v>4</v>
      </c>
      <c r="G1405" s="84" t="inlineStr">
        <is>
          <t>奥特莱斯</t>
        </is>
      </c>
      <c r="H1405" s="84" t="inlineStr">
        <is>
          <t>EETJG23E02</t>
        </is>
      </c>
      <c r="I1405" s="84" t="n">
        <v>799</v>
      </c>
      <c r="J1405" s="84" t="n">
        <v>799</v>
      </c>
      <c r="K1405" s="85" t="n"/>
      <c r="L1405" s="85" t="n"/>
    </row>
    <row r="1406" ht="12.75" customHeight="1" s="103">
      <c r="A1406" s="78">
        <f>MID(H1406,3,2)</f>
        <v/>
      </c>
      <c r="B1406" s="84" t="inlineStr">
        <is>
          <t>B331</t>
        </is>
      </c>
      <c r="C1406" s="84" t="inlineStr">
        <is>
          <t>上海区域</t>
        </is>
      </c>
      <c r="D1406" s="84" t="inlineStr">
        <is>
          <t>CN0Q</t>
        </is>
      </c>
      <c r="E1406" s="80" t="inlineStr">
        <is>
          <t>EE 苏州比斯特</t>
        </is>
      </c>
      <c r="F1406" s="84" t="n">
        <v>4</v>
      </c>
      <c r="G1406" s="84" t="inlineStr">
        <is>
          <t>奥特莱斯</t>
        </is>
      </c>
      <c r="H1406" s="84" t="inlineStr">
        <is>
          <t>EETJG23E02</t>
        </is>
      </c>
      <c r="I1406" s="84" t="n">
        <v>799</v>
      </c>
      <c r="J1406" s="84" t="n">
        <v>799</v>
      </c>
      <c r="K1406" s="85" t="n"/>
      <c r="L1406" s="85" t="n"/>
    </row>
    <row r="1407" ht="12.75" customHeight="1" s="103">
      <c r="A1407" s="78">
        <f>MID(H1407,3,2)</f>
        <v/>
      </c>
      <c r="B1407" s="84" t="inlineStr">
        <is>
          <t>B331</t>
        </is>
      </c>
      <c r="C1407" s="84" t="inlineStr">
        <is>
          <t>上海区域</t>
        </is>
      </c>
      <c r="D1407" s="84" t="inlineStr">
        <is>
          <t>CN0Q</t>
        </is>
      </c>
      <c r="E1407" s="80" t="inlineStr">
        <is>
          <t>EE 苏州比斯特</t>
        </is>
      </c>
      <c r="F1407" s="84" t="n">
        <v>4</v>
      </c>
      <c r="G1407" s="84" t="inlineStr">
        <is>
          <t>奥特莱斯</t>
        </is>
      </c>
      <c r="H1407" s="84" t="inlineStr">
        <is>
          <t>EETJG23E02</t>
        </is>
      </c>
      <c r="I1407" s="84" t="n">
        <v>799</v>
      </c>
      <c r="J1407" s="84" t="n">
        <v>799</v>
      </c>
      <c r="K1407" s="85" t="n"/>
      <c r="L1407" s="85" t="n"/>
    </row>
    <row r="1408" ht="12.75" customHeight="1" s="103">
      <c r="A1408" s="78">
        <f>MID(H1408,3,2)</f>
        <v/>
      </c>
      <c r="B1408" s="84" t="inlineStr">
        <is>
          <t>B331</t>
        </is>
      </c>
      <c r="C1408" s="84" t="inlineStr">
        <is>
          <t>上海区域</t>
        </is>
      </c>
      <c r="D1408" s="84" t="inlineStr">
        <is>
          <t>CN0Q</t>
        </is>
      </c>
      <c r="E1408" s="80" t="inlineStr">
        <is>
          <t>EE 苏州比斯特</t>
        </is>
      </c>
      <c r="F1408" s="84" t="n">
        <v>4</v>
      </c>
      <c r="G1408" s="84" t="inlineStr">
        <is>
          <t>奥特莱斯</t>
        </is>
      </c>
      <c r="H1408" s="84" t="inlineStr">
        <is>
          <t>EETJG23E02</t>
        </is>
      </c>
      <c r="I1408" s="84" t="n">
        <v>799</v>
      </c>
      <c r="J1408" s="84" t="n">
        <v>799</v>
      </c>
      <c r="K1408" s="85" t="n"/>
      <c r="L1408" s="85" t="n"/>
    </row>
    <row r="1409" ht="12.75" customHeight="1" s="103">
      <c r="A1409" s="78">
        <f>MID(H1409,3,2)</f>
        <v/>
      </c>
      <c r="B1409" s="84" t="inlineStr">
        <is>
          <t>B331</t>
        </is>
      </c>
      <c r="C1409" s="84" t="inlineStr">
        <is>
          <t>上海区域</t>
        </is>
      </c>
      <c r="D1409" s="84" t="inlineStr">
        <is>
          <t>CN0Q</t>
        </is>
      </c>
      <c r="E1409" s="80" t="inlineStr">
        <is>
          <t>EE 苏州比斯特</t>
        </is>
      </c>
      <c r="F1409" s="84" t="n">
        <v>4</v>
      </c>
      <c r="G1409" s="84" t="inlineStr">
        <is>
          <t>奥特莱斯</t>
        </is>
      </c>
      <c r="H1409" s="84" t="inlineStr">
        <is>
          <t>EETJG23E02</t>
        </is>
      </c>
      <c r="I1409" s="84" t="n">
        <v>799</v>
      </c>
      <c r="J1409" s="84" t="n">
        <v>799</v>
      </c>
      <c r="K1409" s="85" t="n"/>
      <c r="L1409" s="85" t="n"/>
    </row>
    <row r="1410" ht="12.75" customHeight="1" s="103">
      <c r="A1410" s="78">
        <f>MID(H1410,3,2)</f>
        <v/>
      </c>
      <c r="B1410" s="84" t="inlineStr">
        <is>
          <t>B331</t>
        </is>
      </c>
      <c r="C1410" s="84" t="inlineStr">
        <is>
          <t>上海区域</t>
        </is>
      </c>
      <c r="D1410" s="84" t="inlineStr">
        <is>
          <t>CN0Q</t>
        </is>
      </c>
      <c r="E1410" s="80" t="inlineStr">
        <is>
          <t>EE 苏州比斯特</t>
        </is>
      </c>
      <c r="F1410" s="84" t="n">
        <v>4</v>
      </c>
      <c r="G1410" s="84" t="inlineStr">
        <is>
          <t>奥特莱斯</t>
        </is>
      </c>
      <c r="H1410" s="84" t="inlineStr">
        <is>
          <t>EETJG23E02</t>
        </is>
      </c>
      <c r="I1410" s="84" t="n">
        <v>799</v>
      </c>
      <c r="J1410" s="84" t="n">
        <v>799</v>
      </c>
      <c r="K1410" s="85" t="n"/>
      <c r="L1410" s="85" t="n"/>
    </row>
    <row r="1411" ht="12.75" customHeight="1" s="103">
      <c r="A1411" s="78">
        <f>MID(H1411,3,2)</f>
        <v/>
      </c>
      <c r="B1411" s="84" t="inlineStr">
        <is>
          <t>B331</t>
        </is>
      </c>
      <c r="C1411" s="84" t="inlineStr">
        <is>
          <t>上海区域</t>
        </is>
      </c>
      <c r="D1411" s="84" t="inlineStr">
        <is>
          <t>CN0Q</t>
        </is>
      </c>
      <c r="E1411" s="80" t="inlineStr">
        <is>
          <t>EE 苏州比斯特</t>
        </is>
      </c>
      <c r="F1411" s="84" t="n">
        <v>4</v>
      </c>
      <c r="G1411" s="84" t="inlineStr">
        <is>
          <t>奥特莱斯</t>
        </is>
      </c>
      <c r="H1411" s="84" t="inlineStr">
        <is>
          <t>EETJG23E02</t>
        </is>
      </c>
      <c r="I1411" s="84" t="n">
        <v>799</v>
      </c>
      <c r="J1411" s="84" t="n">
        <v>799</v>
      </c>
      <c r="K1411" s="85" t="n">
        <v>4</v>
      </c>
      <c r="L1411" s="86" t="n">
        <v>1541</v>
      </c>
    </row>
    <row r="1412" ht="12.75" customHeight="1" s="103">
      <c r="A1412" s="78">
        <f>MID(H1412,3,2)</f>
        <v/>
      </c>
      <c r="B1412" s="84" t="inlineStr">
        <is>
          <t>B331</t>
        </is>
      </c>
      <c r="C1412" s="84" t="inlineStr">
        <is>
          <t>上海区域</t>
        </is>
      </c>
      <c r="D1412" s="84" t="inlineStr">
        <is>
          <t>CN0Q</t>
        </is>
      </c>
      <c r="E1412" s="80" t="inlineStr">
        <is>
          <t>EE 苏州比斯特</t>
        </is>
      </c>
      <c r="F1412" s="84" t="n">
        <v>4</v>
      </c>
      <c r="G1412" s="84" t="inlineStr">
        <is>
          <t>奥特莱斯</t>
        </is>
      </c>
      <c r="H1412" s="84" t="inlineStr">
        <is>
          <t>EETJG23E02</t>
        </is>
      </c>
      <c r="I1412" s="84" t="n">
        <v>799</v>
      </c>
      <c r="J1412" s="84" t="n">
        <v>799</v>
      </c>
      <c r="K1412" s="85" t="n">
        <v>4</v>
      </c>
      <c r="L1412" s="86" t="n">
        <v>1014</v>
      </c>
    </row>
    <row r="1413" ht="12.75" customHeight="1" s="103">
      <c r="A1413" s="78">
        <f>MID(H1413,3,2)</f>
        <v/>
      </c>
      <c r="B1413" s="84" t="inlineStr">
        <is>
          <t>B331</t>
        </is>
      </c>
      <c r="C1413" s="84" t="inlineStr">
        <is>
          <t>上海区域</t>
        </is>
      </c>
      <c r="D1413" s="84" t="inlineStr">
        <is>
          <t>CN0Q</t>
        </is>
      </c>
      <c r="E1413" s="80" t="inlineStr">
        <is>
          <t>EE 苏州比斯特</t>
        </is>
      </c>
      <c r="F1413" s="84" t="n">
        <v>4</v>
      </c>
      <c r="G1413" s="84" t="inlineStr">
        <is>
          <t>奥特莱斯</t>
        </is>
      </c>
      <c r="H1413" s="84" t="inlineStr">
        <is>
          <t>EETJG23E02</t>
        </is>
      </c>
      <c r="I1413" s="84" t="n">
        <v>799</v>
      </c>
      <c r="J1413" s="84" t="n">
        <v>799</v>
      </c>
      <c r="K1413" s="85" t="n">
        <v>3</v>
      </c>
      <c r="L1413" s="86" t="n">
        <v>1027</v>
      </c>
    </row>
    <row r="1414" ht="12.75" customHeight="1" s="103">
      <c r="A1414" s="78">
        <f>MID(H1414,3,2)</f>
        <v/>
      </c>
      <c r="B1414" s="84" t="inlineStr">
        <is>
          <t>B331</t>
        </is>
      </c>
      <c r="C1414" s="84" t="inlineStr">
        <is>
          <t>上海区域</t>
        </is>
      </c>
      <c r="D1414" s="84" t="inlineStr">
        <is>
          <t>CN0Q</t>
        </is>
      </c>
      <c r="E1414" s="80" t="inlineStr">
        <is>
          <t>EE 苏州比斯特</t>
        </is>
      </c>
      <c r="F1414" s="84" t="n">
        <v>4</v>
      </c>
      <c r="G1414" s="84" t="inlineStr">
        <is>
          <t>奥特莱斯</t>
        </is>
      </c>
      <c r="H1414" s="84" t="inlineStr">
        <is>
          <t>EETJG23E02</t>
        </is>
      </c>
      <c r="I1414" s="84" t="n">
        <v>799</v>
      </c>
      <c r="J1414" s="84" t="n">
        <v>799</v>
      </c>
      <c r="K1414" s="85" t="n">
        <v>1</v>
      </c>
      <c r="L1414" s="85" t="n">
        <v>507</v>
      </c>
    </row>
    <row r="1415" ht="12.75" customHeight="1" s="103">
      <c r="A1415" s="78">
        <f>MID(H1415,3,2)</f>
        <v/>
      </c>
      <c r="B1415" s="84" t="inlineStr">
        <is>
          <t>B331</t>
        </is>
      </c>
      <c r="C1415" s="84" t="inlineStr">
        <is>
          <t>上海区域</t>
        </is>
      </c>
      <c r="D1415" s="84" t="inlineStr">
        <is>
          <t>CN0Q</t>
        </is>
      </c>
      <c r="E1415" s="80" t="inlineStr">
        <is>
          <t>EE 苏州比斯特</t>
        </is>
      </c>
      <c r="F1415" s="84" t="n">
        <v>4</v>
      </c>
      <c r="G1415" s="84" t="inlineStr">
        <is>
          <t>奥特莱斯</t>
        </is>
      </c>
      <c r="H1415" s="84" t="inlineStr">
        <is>
          <t>EETJG23E02</t>
        </is>
      </c>
      <c r="I1415" s="84" t="n">
        <v>799</v>
      </c>
      <c r="J1415" s="84" t="n">
        <v>799</v>
      </c>
      <c r="K1415" s="85" t="n"/>
      <c r="L1415" s="85" t="n"/>
    </row>
    <row r="1416" ht="12.75" customHeight="1" s="103">
      <c r="A1416" s="78">
        <f>MID(H1416,3,2)</f>
        <v/>
      </c>
      <c r="B1416" s="84" t="inlineStr">
        <is>
          <t>B331</t>
        </is>
      </c>
      <c r="C1416" s="84" t="inlineStr">
        <is>
          <t>上海区域</t>
        </is>
      </c>
      <c r="D1416" s="84" t="inlineStr">
        <is>
          <t>CN0Q</t>
        </is>
      </c>
      <c r="E1416" s="80" t="inlineStr">
        <is>
          <t>EE 苏州比斯特</t>
        </is>
      </c>
      <c r="F1416" s="84" t="n">
        <v>4</v>
      </c>
      <c r="G1416" s="84" t="inlineStr">
        <is>
          <t>奥特莱斯</t>
        </is>
      </c>
      <c r="H1416" s="84" t="inlineStr">
        <is>
          <t>EETJG23E04</t>
        </is>
      </c>
      <c r="I1416" s="84" t="n">
        <v>899</v>
      </c>
      <c r="J1416" s="84" t="n">
        <v>899</v>
      </c>
      <c r="K1416" s="85" t="n">
        <v>5</v>
      </c>
      <c r="L1416" s="86" t="n">
        <v>1687</v>
      </c>
    </row>
    <row r="1417" ht="12.75" customHeight="1" s="103">
      <c r="A1417" s="78">
        <f>MID(H1417,3,2)</f>
        <v/>
      </c>
      <c r="B1417" s="84" t="inlineStr">
        <is>
          <t>B331</t>
        </is>
      </c>
      <c r="C1417" s="84" t="inlineStr">
        <is>
          <t>上海区域</t>
        </is>
      </c>
      <c r="D1417" s="84" t="inlineStr">
        <is>
          <t>CN0Q</t>
        </is>
      </c>
      <c r="E1417" s="80" t="inlineStr">
        <is>
          <t>EE 苏州比斯特</t>
        </is>
      </c>
      <c r="F1417" s="84" t="n">
        <v>4</v>
      </c>
      <c r="G1417" s="84" t="inlineStr">
        <is>
          <t>奥特莱斯</t>
        </is>
      </c>
      <c r="H1417" s="84" t="inlineStr">
        <is>
          <t>EETJG23E04</t>
        </is>
      </c>
      <c r="I1417" s="84" t="n">
        <v>899</v>
      </c>
      <c r="J1417" s="84" t="n">
        <v>899</v>
      </c>
      <c r="K1417" s="85" t="n">
        <v>8</v>
      </c>
      <c r="L1417" s="86" t="n">
        <v>3132</v>
      </c>
    </row>
    <row r="1418" ht="12.75" customHeight="1" s="103">
      <c r="A1418" s="78">
        <f>MID(H1418,3,2)</f>
        <v/>
      </c>
      <c r="B1418" s="84" t="inlineStr">
        <is>
          <t>B331</t>
        </is>
      </c>
      <c r="C1418" s="84" t="inlineStr">
        <is>
          <t>上海区域</t>
        </is>
      </c>
      <c r="D1418" s="84" t="inlineStr">
        <is>
          <t>CN0Q</t>
        </is>
      </c>
      <c r="E1418" s="80" t="inlineStr">
        <is>
          <t>EE 苏州比斯特</t>
        </is>
      </c>
      <c r="F1418" s="84" t="n">
        <v>4</v>
      </c>
      <c r="G1418" s="84" t="inlineStr">
        <is>
          <t>奥特莱斯</t>
        </is>
      </c>
      <c r="H1418" s="84" t="inlineStr">
        <is>
          <t>EETJG23E04</t>
        </is>
      </c>
      <c r="I1418" s="84" t="n">
        <v>899</v>
      </c>
      <c r="J1418" s="84" t="n">
        <v>899</v>
      </c>
      <c r="K1418" s="85" t="n">
        <v>6</v>
      </c>
      <c r="L1418" s="86" t="n">
        <v>1993</v>
      </c>
    </row>
    <row r="1419" ht="12.75" customHeight="1" s="103">
      <c r="A1419" s="78">
        <f>MID(H1419,3,2)</f>
        <v/>
      </c>
      <c r="B1419" s="84" t="inlineStr">
        <is>
          <t>B331</t>
        </is>
      </c>
      <c r="C1419" s="84" t="inlineStr">
        <is>
          <t>上海区域</t>
        </is>
      </c>
      <c r="D1419" s="84" t="inlineStr">
        <is>
          <t>CN0Q</t>
        </is>
      </c>
      <c r="E1419" s="80" t="inlineStr">
        <is>
          <t>EE 苏州比斯特</t>
        </is>
      </c>
      <c r="F1419" s="84" t="n">
        <v>4</v>
      </c>
      <c r="G1419" s="84" t="inlineStr">
        <is>
          <t>奥特莱斯</t>
        </is>
      </c>
      <c r="H1419" s="84" t="inlineStr">
        <is>
          <t>EETJG23E04</t>
        </is>
      </c>
      <c r="I1419" s="84" t="n">
        <v>899</v>
      </c>
      <c r="J1419" s="84" t="n">
        <v>899</v>
      </c>
      <c r="K1419" s="85" t="n">
        <v>5</v>
      </c>
      <c r="L1419" s="86" t="n">
        <v>2299</v>
      </c>
    </row>
    <row r="1420" ht="12.75" customHeight="1" s="103">
      <c r="A1420" s="78">
        <f>MID(H1420,3,2)</f>
        <v/>
      </c>
      <c r="B1420" s="84" t="inlineStr">
        <is>
          <t>B331</t>
        </is>
      </c>
      <c r="C1420" s="84" t="inlineStr">
        <is>
          <t>上海区域</t>
        </is>
      </c>
      <c r="D1420" s="84" t="inlineStr">
        <is>
          <t>CN0Q</t>
        </is>
      </c>
      <c r="E1420" s="80" t="inlineStr">
        <is>
          <t>EE 苏州比斯特</t>
        </is>
      </c>
      <c r="F1420" s="84" t="n">
        <v>4</v>
      </c>
      <c r="G1420" s="84" t="inlineStr">
        <is>
          <t>奥特莱斯</t>
        </is>
      </c>
      <c r="H1420" s="84" t="inlineStr">
        <is>
          <t>EETJG23E04</t>
        </is>
      </c>
      <c r="I1420" s="84" t="n">
        <v>899</v>
      </c>
      <c r="J1420" s="84" t="n">
        <v>899</v>
      </c>
      <c r="K1420" s="85" t="n"/>
      <c r="L1420" s="85" t="n"/>
    </row>
    <row r="1421" ht="12.75" customHeight="1" s="103">
      <c r="A1421" s="78">
        <f>MID(H1421,3,2)</f>
        <v/>
      </c>
      <c r="B1421" s="84" t="inlineStr">
        <is>
          <t>B331</t>
        </is>
      </c>
      <c r="C1421" s="84" t="inlineStr">
        <is>
          <t>上海区域</t>
        </is>
      </c>
      <c r="D1421" s="84" t="inlineStr">
        <is>
          <t>CN0Q</t>
        </is>
      </c>
      <c r="E1421" s="80" t="inlineStr">
        <is>
          <t>EE 苏州比斯特</t>
        </is>
      </c>
      <c r="F1421" s="84" t="n">
        <v>4</v>
      </c>
      <c r="G1421" s="84" t="inlineStr">
        <is>
          <t>奥特莱斯</t>
        </is>
      </c>
      <c r="H1421" s="84" t="inlineStr">
        <is>
          <t>EETJG23E04</t>
        </is>
      </c>
      <c r="I1421" s="84" t="n">
        <v>899</v>
      </c>
      <c r="J1421" s="84" t="n">
        <v>899</v>
      </c>
      <c r="K1421" s="85" t="n"/>
      <c r="L1421" s="85" t="n"/>
    </row>
    <row r="1422" ht="12.75" customHeight="1" s="103">
      <c r="A1422" s="78">
        <f>MID(H1422,3,2)</f>
        <v/>
      </c>
      <c r="B1422" s="84" t="inlineStr">
        <is>
          <t>B331</t>
        </is>
      </c>
      <c r="C1422" s="84" t="inlineStr">
        <is>
          <t>上海区域</t>
        </is>
      </c>
      <c r="D1422" s="84" t="inlineStr">
        <is>
          <t>CN0Q</t>
        </is>
      </c>
      <c r="E1422" s="80" t="inlineStr">
        <is>
          <t>EE 苏州比斯特</t>
        </is>
      </c>
      <c r="F1422" s="84" t="n">
        <v>4</v>
      </c>
      <c r="G1422" s="84" t="inlineStr">
        <is>
          <t>奥特莱斯</t>
        </is>
      </c>
      <c r="H1422" s="84" t="inlineStr">
        <is>
          <t>EETJG23E04</t>
        </is>
      </c>
      <c r="I1422" s="84" t="n">
        <v>899</v>
      </c>
      <c r="J1422" s="84" t="n">
        <v>899</v>
      </c>
      <c r="K1422" s="85" t="n"/>
      <c r="L1422" s="85" t="n"/>
    </row>
    <row r="1423" ht="12.75" customHeight="1" s="103">
      <c r="A1423" s="78">
        <f>MID(H1423,3,2)</f>
        <v/>
      </c>
      <c r="B1423" s="84" t="inlineStr">
        <is>
          <t>B331</t>
        </is>
      </c>
      <c r="C1423" s="84" t="inlineStr">
        <is>
          <t>上海区域</t>
        </is>
      </c>
      <c r="D1423" s="84" t="inlineStr">
        <is>
          <t>CN0Q</t>
        </is>
      </c>
      <c r="E1423" s="80" t="inlineStr">
        <is>
          <t>EE 苏州比斯特</t>
        </is>
      </c>
      <c r="F1423" s="84" t="n">
        <v>4</v>
      </c>
      <c r="G1423" s="84" t="inlineStr">
        <is>
          <t>奥特莱斯</t>
        </is>
      </c>
      <c r="H1423" s="84" t="inlineStr">
        <is>
          <t>EETJG23E04</t>
        </is>
      </c>
      <c r="I1423" s="84" t="n">
        <v>899</v>
      </c>
      <c r="J1423" s="84" t="n">
        <v>899</v>
      </c>
      <c r="K1423" s="85" t="n">
        <v>2</v>
      </c>
      <c r="L1423" s="86" t="n">
        <v>1199</v>
      </c>
    </row>
    <row r="1424" ht="12.75" customHeight="1" s="103">
      <c r="A1424" s="78">
        <f>MID(H1424,3,2)</f>
        <v/>
      </c>
      <c r="B1424" s="84" t="inlineStr">
        <is>
          <t>B331</t>
        </is>
      </c>
      <c r="C1424" s="84" t="inlineStr">
        <is>
          <t>上海区域</t>
        </is>
      </c>
      <c r="D1424" s="84" t="inlineStr">
        <is>
          <t>CN0Q</t>
        </is>
      </c>
      <c r="E1424" s="80" t="inlineStr">
        <is>
          <t>EE 苏州比斯特</t>
        </is>
      </c>
      <c r="F1424" s="84" t="n">
        <v>4</v>
      </c>
      <c r="G1424" s="84" t="inlineStr">
        <is>
          <t>奥特莱斯</t>
        </is>
      </c>
      <c r="H1424" s="84" t="inlineStr">
        <is>
          <t>EETJG23E04</t>
        </is>
      </c>
      <c r="I1424" s="84" t="n">
        <v>899</v>
      </c>
      <c r="J1424" s="84" t="n">
        <v>899</v>
      </c>
      <c r="K1424" s="85" t="n">
        <v>1</v>
      </c>
      <c r="L1424" s="85" t="n"/>
    </row>
    <row r="1425" ht="12.75" customHeight="1" s="103">
      <c r="A1425" s="78">
        <f>MID(H1425,3,2)</f>
        <v/>
      </c>
      <c r="B1425" s="84" t="inlineStr">
        <is>
          <t>B331</t>
        </is>
      </c>
      <c r="C1425" s="84" t="inlineStr">
        <is>
          <t>上海区域</t>
        </is>
      </c>
      <c r="D1425" s="84" t="inlineStr">
        <is>
          <t>CN0Q</t>
        </is>
      </c>
      <c r="E1425" s="80" t="inlineStr">
        <is>
          <t>EE 苏州比斯特</t>
        </is>
      </c>
      <c r="F1425" s="84" t="n">
        <v>4</v>
      </c>
      <c r="G1425" s="84" t="inlineStr">
        <is>
          <t>奥特莱斯</t>
        </is>
      </c>
      <c r="H1425" s="84" t="inlineStr">
        <is>
          <t>EETJG23E04</t>
        </is>
      </c>
      <c r="I1425" s="84" t="n">
        <v>899</v>
      </c>
      <c r="J1425" s="84" t="n">
        <v>899</v>
      </c>
      <c r="K1425" s="85" t="n"/>
      <c r="L1425" s="85" t="n"/>
    </row>
    <row r="1426" ht="12.75" customHeight="1" s="103">
      <c r="A1426" s="78">
        <f>MID(H1426,3,2)</f>
        <v/>
      </c>
      <c r="B1426" s="84" t="inlineStr">
        <is>
          <t>B331</t>
        </is>
      </c>
      <c r="C1426" s="84" t="inlineStr">
        <is>
          <t>上海区域</t>
        </is>
      </c>
      <c r="D1426" s="84" t="inlineStr">
        <is>
          <t>CN0Q</t>
        </is>
      </c>
      <c r="E1426" s="80" t="inlineStr">
        <is>
          <t>EE 苏州比斯特</t>
        </is>
      </c>
      <c r="F1426" s="84" t="n">
        <v>4</v>
      </c>
      <c r="G1426" s="84" t="inlineStr">
        <is>
          <t>奥特莱斯</t>
        </is>
      </c>
      <c r="H1426" s="84" t="inlineStr">
        <is>
          <t>EETJG23E04</t>
        </is>
      </c>
      <c r="I1426" s="84" t="n">
        <v>899</v>
      </c>
      <c r="J1426" s="84" t="n">
        <v>899</v>
      </c>
      <c r="K1426" s="85" t="n"/>
      <c r="L1426" s="85" t="n"/>
    </row>
    <row r="1427" ht="12.75" customHeight="1" s="103">
      <c r="A1427" s="78">
        <f>MID(H1427,3,2)</f>
        <v/>
      </c>
      <c r="B1427" s="84" t="inlineStr">
        <is>
          <t>B331</t>
        </is>
      </c>
      <c r="C1427" s="84" t="inlineStr">
        <is>
          <t>上海区域</t>
        </is>
      </c>
      <c r="D1427" s="84" t="inlineStr">
        <is>
          <t>CN0Q</t>
        </is>
      </c>
      <c r="E1427" s="80" t="inlineStr">
        <is>
          <t>EE 苏州比斯特</t>
        </is>
      </c>
      <c r="F1427" s="84" t="n">
        <v>4</v>
      </c>
      <c r="G1427" s="84" t="inlineStr">
        <is>
          <t>奥特莱斯</t>
        </is>
      </c>
      <c r="H1427" s="84" t="inlineStr">
        <is>
          <t>EETJG23E04</t>
        </is>
      </c>
      <c r="I1427" s="84" t="n">
        <v>899</v>
      </c>
      <c r="J1427" s="84" t="n">
        <v>899</v>
      </c>
      <c r="K1427" s="85" t="n">
        <v>1</v>
      </c>
      <c r="L1427" s="85" t="n"/>
    </row>
    <row r="1428" ht="12.75" customHeight="1" s="103">
      <c r="A1428" s="78">
        <f>MID(H1428,3,2)</f>
        <v/>
      </c>
      <c r="B1428" s="84" t="inlineStr">
        <is>
          <t>B331</t>
        </is>
      </c>
      <c r="C1428" s="84" t="inlineStr">
        <is>
          <t>上海区域</t>
        </is>
      </c>
      <c r="D1428" s="84" t="inlineStr">
        <is>
          <t>CN0Q</t>
        </is>
      </c>
      <c r="E1428" s="80" t="inlineStr">
        <is>
          <t>EE 苏州比斯特</t>
        </is>
      </c>
      <c r="F1428" s="84" t="n">
        <v>4</v>
      </c>
      <c r="G1428" s="84" t="inlineStr">
        <is>
          <t>奥特莱斯</t>
        </is>
      </c>
      <c r="H1428" s="84" t="inlineStr">
        <is>
          <t>EETJG23E06</t>
        </is>
      </c>
      <c r="I1428" s="84" t="n">
        <v>799</v>
      </c>
      <c r="J1428" s="84" t="n">
        <v>799</v>
      </c>
      <c r="K1428" s="85" t="n"/>
      <c r="L1428" s="85" t="n"/>
    </row>
    <row r="1429" ht="12.75" customHeight="1" s="103">
      <c r="A1429" s="78">
        <f>MID(H1429,3,2)</f>
        <v/>
      </c>
      <c r="B1429" s="84" t="inlineStr">
        <is>
          <t>B331</t>
        </is>
      </c>
      <c r="C1429" s="84" t="inlineStr">
        <is>
          <t>上海区域</t>
        </is>
      </c>
      <c r="D1429" s="84" t="inlineStr">
        <is>
          <t>CN0Q</t>
        </is>
      </c>
      <c r="E1429" s="80" t="inlineStr">
        <is>
          <t>EE 苏州比斯特</t>
        </is>
      </c>
      <c r="F1429" s="84" t="n">
        <v>4</v>
      </c>
      <c r="G1429" s="84" t="inlineStr">
        <is>
          <t>奥特莱斯</t>
        </is>
      </c>
      <c r="H1429" s="84" t="inlineStr">
        <is>
          <t>EETJG23E06</t>
        </is>
      </c>
      <c r="I1429" s="84" t="n">
        <v>799</v>
      </c>
      <c r="J1429" s="84" t="n">
        <v>799</v>
      </c>
      <c r="K1429" s="85" t="n">
        <v>2</v>
      </c>
      <c r="L1429" s="86" t="n">
        <v>1028</v>
      </c>
    </row>
    <row r="1430" ht="12.75" customHeight="1" s="103">
      <c r="A1430" s="78">
        <f>MID(H1430,3,2)</f>
        <v/>
      </c>
      <c r="B1430" s="84" t="inlineStr">
        <is>
          <t>B331</t>
        </is>
      </c>
      <c r="C1430" s="84" t="inlineStr">
        <is>
          <t>上海区域</t>
        </is>
      </c>
      <c r="D1430" s="84" t="inlineStr">
        <is>
          <t>CN0Q</t>
        </is>
      </c>
      <c r="E1430" s="80" t="inlineStr">
        <is>
          <t>EE 苏州比斯特</t>
        </is>
      </c>
      <c r="F1430" s="84" t="n">
        <v>4</v>
      </c>
      <c r="G1430" s="84" t="inlineStr">
        <is>
          <t>奥特莱斯</t>
        </is>
      </c>
      <c r="H1430" s="84" t="inlineStr">
        <is>
          <t>EETJG23E06</t>
        </is>
      </c>
      <c r="I1430" s="84" t="n">
        <v>799</v>
      </c>
      <c r="J1430" s="84" t="n">
        <v>799</v>
      </c>
      <c r="K1430" s="85" t="n"/>
      <c r="L1430" s="85" t="n"/>
    </row>
    <row r="1431" ht="12.75" customHeight="1" s="103">
      <c r="A1431" s="78">
        <f>MID(H1431,3,2)</f>
        <v/>
      </c>
      <c r="B1431" s="84" t="inlineStr">
        <is>
          <t>B331</t>
        </is>
      </c>
      <c r="C1431" s="84" t="inlineStr">
        <is>
          <t>上海区域</t>
        </is>
      </c>
      <c r="D1431" s="84" t="inlineStr">
        <is>
          <t>CN0Q</t>
        </is>
      </c>
      <c r="E1431" s="80" t="inlineStr">
        <is>
          <t>EE 苏州比斯特</t>
        </is>
      </c>
      <c r="F1431" s="84" t="n">
        <v>4</v>
      </c>
      <c r="G1431" s="84" t="inlineStr">
        <is>
          <t>奥特莱斯</t>
        </is>
      </c>
      <c r="H1431" s="84" t="inlineStr">
        <is>
          <t>EETJG23E06</t>
        </is>
      </c>
      <c r="I1431" s="84" t="n">
        <v>799</v>
      </c>
      <c r="J1431" s="84" t="n">
        <v>799</v>
      </c>
      <c r="K1431" s="85" t="n"/>
      <c r="L1431" s="85" t="n"/>
    </row>
    <row r="1432" ht="12.75" customHeight="1" s="103">
      <c r="A1432" s="78">
        <f>MID(H1432,3,2)</f>
        <v/>
      </c>
      <c r="B1432" s="84" t="inlineStr">
        <is>
          <t>B331</t>
        </is>
      </c>
      <c r="C1432" s="84" t="inlineStr">
        <is>
          <t>上海区域</t>
        </is>
      </c>
      <c r="D1432" s="84" t="inlineStr">
        <is>
          <t>CN0Q</t>
        </is>
      </c>
      <c r="E1432" s="80" t="inlineStr">
        <is>
          <t>EE 苏州比斯特</t>
        </is>
      </c>
      <c r="F1432" s="84" t="n">
        <v>4</v>
      </c>
      <c r="G1432" s="84" t="inlineStr">
        <is>
          <t>奥特莱斯</t>
        </is>
      </c>
      <c r="H1432" s="84" t="inlineStr">
        <is>
          <t>EETJG23E06</t>
        </is>
      </c>
      <c r="I1432" s="84" t="n">
        <v>799</v>
      </c>
      <c r="J1432" s="84" t="n">
        <v>799</v>
      </c>
      <c r="K1432" s="85" t="n">
        <v>1</v>
      </c>
      <c r="L1432" s="85" t="n">
        <v>509</v>
      </c>
    </row>
    <row r="1433" ht="12.75" customHeight="1" s="103">
      <c r="A1433" s="78">
        <f>MID(H1433,3,2)</f>
        <v/>
      </c>
      <c r="B1433" s="84" t="inlineStr">
        <is>
          <t>B331</t>
        </is>
      </c>
      <c r="C1433" s="84" t="inlineStr">
        <is>
          <t>上海区域</t>
        </is>
      </c>
      <c r="D1433" s="84" t="inlineStr">
        <is>
          <t>CN0Q</t>
        </is>
      </c>
      <c r="E1433" s="80" t="inlineStr">
        <is>
          <t>EE 苏州比斯特</t>
        </is>
      </c>
      <c r="F1433" s="84" t="n">
        <v>4</v>
      </c>
      <c r="G1433" s="84" t="inlineStr">
        <is>
          <t>奥特莱斯</t>
        </is>
      </c>
      <c r="H1433" s="84" t="inlineStr">
        <is>
          <t>EETJG23E06</t>
        </is>
      </c>
      <c r="I1433" s="84" t="n">
        <v>799</v>
      </c>
      <c r="J1433" s="84" t="n">
        <v>799</v>
      </c>
      <c r="K1433" s="85" t="n"/>
      <c r="L1433" s="85" t="n"/>
    </row>
    <row r="1434" ht="12.75" customHeight="1" s="103">
      <c r="A1434" s="78">
        <f>MID(H1434,3,2)</f>
        <v/>
      </c>
      <c r="B1434" s="84" t="inlineStr">
        <is>
          <t>B331</t>
        </is>
      </c>
      <c r="C1434" s="84" t="inlineStr">
        <is>
          <t>上海区域</t>
        </is>
      </c>
      <c r="D1434" s="84" t="inlineStr">
        <is>
          <t>CN0Q</t>
        </is>
      </c>
      <c r="E1434" s="80" t="inlineStr">
        <is>
          <t>EE 苏州比斯特</t>
        </is>
      </c>
      <c r="F1434" s="84" t="n">
        <v>4</v>
      </c>
      <c r="G1434" s="84" t="inlineStr">
        <is>
          <t>奥特莱斯</t>
        </is>
      </c>
      <c r="H1434" s="84" t="inlineStr">
        <is>
          <t>EETJG23E06</t>
        </is>
      </c>
      <c r="I1434" s="84" t="n">
        <v>799</v>
      </c>
      <c r="J1434" s="84" t="n">
        <v>799</v>
      </c>
      <c r="K1434" s="85" t="n"/>
      <c r="L1434" s="85" t="n"/>
    </row>
    <row r="1435" ht="12.75" customHeight="1" s="103">
      <c r="A1435" s="78">
        <f>MID(H1435,3,2)</f>
        <v/>
      </c>
      <c r="B1435" s="84" t="inlineStr">
        <is>
          <t>B331</t>
        </is>
      </c>
      <c r="C1435" s="84" t="inlineStr">
        <is>
          <t>上海区域</t>
        </is>
      </c>
      <c r="D1435" s="84" t="inlineStr">
        <is>
          <t>CN0Q</t>
        </is>
      </c>
      <c r="E1435" s="80" t="inlineStr">
        <is>
          <t>EE 苏州比斯特</t>
        </is>
      </c>
      <c r="F1435" s="84" t="n">
        <v>4</v>
      </c>
      <c r="G1435" s="84" t="inlineStr">
        <is>
          <t>奥特莱斯</t>
        </is>
      </c>
      <c r="H1435" s="84" t="inlineStr">
        <is>
          <t>EETJG23E06</t>
        </is>
      </c>
      <c r="I1435" s="84" t="n">
        <v>799</v>
      </c>
      <c r="J1435" s="84" t="n">
        <v>799</v>
      </c>
      <c r="K1435" s="85" t="n"/>
      <c r="L1435" s="85" t="n"/>
    </row>
    <row r="1436" ht="12.75" customHeight="1" s="103">
      <c r="A1436" s="78">
        <f>MID(H1436,3,2)</f>
        <v/>
      </c>
      <c r="B1436" s="84" t="inlineStr">
        <is>
          <t>B331</t>
        </is>
      </c>
      <c r="C1436" s="84" t="inlineStr">
        <is>
          <t>上海区域</t>
        </is>
      </c>
      <c r="D1436" s="84" t="inlineStr">
        <is>
          <t>CN0Q</t>
        </is>
      </c>
      <c r="E1436" s="80" t="inlineStr">
        <is>
          <t>EE 苏州比斯特</t>
        </is>
      </c>
      <c r="F1436" s="84" t="n">
        <v>4</v>
      </c>
      <c r="G1436" s="84" t="inlineStr">
        <is>
          <t>奥特莱斯</t>
        </is>
      </c>
      <c r="H1436" s="84" t="inlineStr">
        <is>
          <t>EETJG23E06</t>
        </is>
      </c>
      <c r="I1436" s="84" t="n">
        <v>799</v>
      </c>
      <c r="J1436" s="84" t="n">
        <v>799</v>
      </c>
      <c r="K1436" s="85" t="n"/>
      <c r="L1436" s="85" t="n"/>
    </row>
    <row r="1437" ht="12.75" customHeight="1" s="103">
      <c r="A1437" s="78">
        <f>MID(H1437,3,2)</f>
        <v/>
      </c>
      <c r="B1437" s="84" t="inlineStr">
        <is>
          <t>B331</t>
        </is>
      </c>
      <c r="C1437" s="84" t="inlineStr">
        <is>
          <t>上海区域</t>
        </is>
      </c>
      <c r="D1437" s="84" t="inlineStr">
        <is>
          <t>CN0Q</t>
        </is>
      </c>
      <c r="E1437" s="80" t="inlineStr">
        <is>
          <t>EE 苏州比斯特</t>
        </is>
      </c>
      <c r="F1437" s="84" t="n">
        <v>4</v>
      </c>
      <c r="G1437" s="84" t="inlineStr">
        <is>
          <t>奥特莱斯</t>
        </is>
      </c>
      <c r="H1437" s="84" t="inlineStr">
        <is>
          <t>EETJG23E06</t>
        </is>
      </c>
      <c r="I1437" s="84" t="n">
        <v>799</v>
      </c>
      <c r="J1437" s="84" t="n">
        <v>799</v>
      </c>
      <c r="K1437" s="85" t="n"/>
      <c r="L1437" s="85" t="n"/>
    </row>
    <row r="1438" ht="12.75" customHeight="1" s="103">
      <c r="A1438" s="78">
        <f>MID(H1438,3,2)</f>
        <v/>
      </c>
      <c r="B1438" s="84" t="inlineStr">
        <is>
          <t>B331</t>
        </is>
      </c>
      <c r="C1438" s="84" t="inlineStr">
        <is>
          <t>上海区域</t>
        </is>
      </c>
      <c r="D1438" s="84" t="inlineStr">
        <is>
          <t>CN0Q</t>
        </is>
      </c>
      <c r="E1438" s="80" t="inlineStr">
        <is>
          <t>EE 苏州比斯特</t>
        </is>
      </c>
      <c r="F1438" s="84" t="n">
        <v>4</v>
      </c>
      <c r="G1438" s="84" t="inlineStr">
        <is>
          <t>奥特莱斯</t>
        </is>
      </c>
      <c r="H1438" s="84" t="inlineStr">
        <is>
          <t>EETJG23E06</t>
        </is>
      </c>
      <c r="I1438" s="84" t="n">
        <v>799</v>
      </c>
      <c r="J1438" s="84" t="n">
        <v>799</v>
      </c>
      <c r="K1438" s="85" t="n"/>
      <c r="L1438" s="85" t="n"/>
    </row>
    <row r="1439" ht="12.75" customHeight="1" s="103">
      <c r="A1439" s="78">
        <f>MID(H1439,3,2)</f>
        <v/>
      </c>
      <c r="B1439" s="84" t="inlineStr">
        <is>
          <t>B331</t>
        </is>
      </c>
      <c r="C1439" s="84" t="inlineStr">
        <is>
          <t>上海区域</t>
        </is>
      </c>
      <c r="D1439" s="84" t="inlineStr">
        <is>
          <t>CN0Q</t>
        </is>
      </c>
      <c r="E1439" s="80" t="inlineStr">
        <is>
          <t>EE 苏州比斯特</t>
        </is>
      </c>
      <c r="F1439" s="84" t="n">
        <v>4</v>
      </c>
      <c r="G1439" s="84" t="inlineStr">
        <is>
          <t>奥特莱斯</t>
        </is>
      </c>
      <c r="H1439" s="84" t="inlineStr">
        <is>
          <t>EETJG23E06</t>
        </is>
      </c>
      <c r="I1439" s="84" t="n">
        <v>799</v>
      </c>
      <c r="J1439" s="84" t="n">
        <v>799</v>
      </c>
      <c r="K1439" s="85" t="n"/>
      <c r="L1439" s="85" t="n"/>
    </row>
    <row r="1440" ht="12.75" customHeight="1" s="103">
      <c r="A1440" s="78">
        <f>MID(H1440,3,2)</f>
        <v/>
      </c>
      <c r="B1440" s="84" t="inlineStr">
        <is>
          <t>B331</t>
        </is>
      </c>
      <c r="C1440" s="84" t="inlineStr">
        <is>
          <t>上海区域</t>
        </is>
      </c>
      <c r="D1440" s="84" t="inlineStr">
        <is>
          <t>CN0Q</t>
        </is>
      </c>
      <c r="E1440" s="80" t="inlineStr">
        <is>
          <t>EE 苏州比斯特</t>
        </is>
      </c>
      <c r="F1440" s="84" t="n">
        <v>4</v>
      </c>
      <c r="G1440" s="84" t="inlineStr">
        <is>
          <t>奥特莱斯</t>
        </is>
      </c>
      <c r="H1440" s="84" t="inlineStr">
        <is>
          <t>EETJG23E07</t>
        </is>
      </c>
      <c r="I1440" s="84" t="n">
        <v>899</v>
      </c>
      <c r="J1440" s="84" t="n">
        <v>899</v>
      </c>
      <c r="K1440" s="85" t="n">
        <v>1</v>
      </c>
      <c r="L1440" s="85" t="n">
        <v>270</v>
      </c>
    </row>
    <row r="1441" ht="12.75" customHeight="1" s="103">
      <c r="A1441" s="78">
        <f>MID(H1441,3,2)</f>
        <v/>
      </c>
      <c r="B1441" s="84" t="inlineStr">
        <is>
          <t>B331</t>
        </is>
      </c>
      <c r="C1441" s="84" t="inlineStr">
        <is>
          <t>上海区域</t>
        </is>
      </c>
      <c r="D1441" s="84" t="inlineStr">
        <is>
          <t>CN0Q</t>
        </is>
      </c>
      <c r="E1441" s="80" t="inlineStr">
        <is>
          <t>EE 苏州比斯特</t>
        </is>
      </c>
      <c r="F1441" s="84" t="n">
        <v>4</v>
      </c>
      <c r="G1441" s="84" t="inlineStr">
        <is>
          <t>奥特莱斯</t>
        </is>
      </c>
      <c r="H1441" s="84" t="inlineStr">
        <is>
          <t>EETJG23E07</t>
        </is>
      </c>
      <c r="I1441" s="84" t="n">
        <v>899</v>
      </c>
      <c r="J1441" s="84" t="n">
        <v>899</v>
      </c>
      <c r="K1441" s="85" t="n">
        <v>4</v>
      </c>
      <c r="L1441" s="86" t="n">
        <v>2301</v>
      </c>
    </row>
    <row r="1442" ht="12.75" customHeight="1" s="103">
      <c r="A1442" s="78">
        <f>MID(H1442,3,2)</f>
        <v/>
      </c>
      <c r="B1442" s="84" t="inlineStr">
        <is>
          <t>B331</t>
        </is>
      </c>
      <c r="C1442" s="84" t="inlineStr">
        <is>
          <t>上海区域</t>
        </is>
      </c>
      <c r="D1442" s="84" t="inlineStr">
        <is>
          <t>CN0Q</t>
        </is>
      </c>
      <c r="E1442" s="80" t="inlineStr">
        <is>
          <t>EE 苏州比斯特</t>
        </is>
      </c>
      <c r="F1442" s="84" t="n">
        <v>4</v>
      </c>
      <c r="G1442" s="84" t="inlineStr">
        <is>
          <t>奥特莱斯</t>
        </is>
      </c>
      <c r="H1442" s="84" t="inlineStr">
        <is>
          <t>EETJG23E07</t>
        </is>
      </c>
      <c r="I1442" s="84" t="n">
        <v>899</v>
      </c>
      <c r="J1442" s="84" t="n">
        <v>899</v>
      </c>
      <c r="K1442" s="85" t="n">
        <v>2</v>
      </c>
      <c r="L1442" s="86" t="n">
        <v>1156</v>
      </c>
    </row>
    <row r="1443" ht="12.75" customHeight="1" s="103">
      <c r="A1443" s="78">
        <f>MID(H1443,3,2)</f>
        <v/>
      </c>
      <c r="B1443" s="84" t="inlineStr">
        <is>
          <t>B331</t>
        </is>
      </c>
      <c r="C1443" s="84" t="inlineStr">
        <is>
          <t>上海区域</t>
        </is>
      </c>
      <c r="D1443" s="84" t="inlineStr">
        <is>
          <t>CN0Q</t>
        </is>
      </c>
      <c r="E1443" s="80" t="inlineStr">
        <is>
          <t>EE 苏州比斯特</t>
        </is>
      </c>
      <c r="F1443" s="84" t="n">
        <v>4</v>
      </c>
      <c r="G1443" s="84" t="inlineStr">
        <is>
          <t>奥特莱斯</t>
        </is>
      </c>
      <c r="H1443" s="84" t="inlineStr">
        <is>
          <t>EETJG23E07</t>
        </is>
      </c>
      <c r="I1443" s="84" t="n">
        <v>899</v>
      </c>
      <c r="J1443" s="84" t="n">
        <v>899</v>
      </c>
      <c r="K1443" s="85" t="n">
        <v>2</v>
      </c>
      <c r="L1443" s="85" t="n">
        <v>843</v>
      </c>
    </row>
    <row r="1444" ht="12.75" customHeight="1" s="103">
      <c r="A1444" s="78">
        <f>MID(H1444,3,2)</f>
        <v/>
      </c>
      <c r="B1444" s="84" t="inlineStr">
        <is>
          <t>B331</t>
        </is>
      </c>
      <c r="C1444" s="84" t="inlineStr">
        <is>
          <t>上海区域</t>
        </is>
      </c>
      <c r="D1444" s="84" t="inlineStr">
        <is>
          <t>CN0Q</t>
        </is>
      </c>
      <c r="E1444" s="80" t="inlineStr">
        <is>
          <t>EE 苏州比斯特</t>
        </is>
      </c>
      <c r="F1444" s="84" t="n">
        <v>4</v>
      </c>
      <c r="G1444" s="84" t="inlineStr">
        <is>
          <t>奥特莱斯</t>
        </is>
      </c>
      <c r="H1444" s="84" t="inlineStr">
        <is>
          <t>EETJG23E07</t>
        </is>
      </c>
      <c r="I1444" s="84" t="n">
        <v>899</v>
      </c>
      <c r="J1444" s="84" t="n">
        <v>899</v>
      </c>
      <c r="K1444" s="85" t="n">
        <v>2</v>
      </c>
      <c r="L1444" s="85" t="n">
        <v>842</v>
      </c>
    </row>
    <row r="1445" ht="12.75" customHeight="1" s="103">
      <c r="A1445" s="78">
        <f>MID(H1445,3,2)</f>
        <v/>
      </c>
      <c r="B1445" s="84" t="inlineStr">
        <is>
          <t>B331</t>
        </is>
      </c>
      <c r="C1445" s="84" t="inlineStr">
        <is>
          <t>上海区域</t>
        </is>
      </c>
      <c r="D1445" s="84" t="inlineStr">
        <is>
          <t>CN0Q</t>
        </is>
      </c>
      <c r="E1445" s="80" t="inlineStr">
        <is>
          <t>EE 苏州比斯特</t>
        </is>
      </c>
      <c r="F1445" s="84" t="n">
        <v>4</v>
      </c>
      <c r="G1445" s="84" t="inlineStr">
        <is>
          <t>奥特莱斯</t>
        </is>
      </c>
      <c r="H1445" s="84" t="inlineStr">
        <is>
          <t>EETJG23E07</t>
        </is>
      </c>
      <c r="I1445" s="84" t="n">
        <v>899</v>
      </c>
      <c r="J1445" s="84" t="n">
        <v>899</v>
      </c>
      <c r="K1445" s="85" t="n"/>
      <c r="L1445" s="85" t="n"/>
    </row>
    <row r="1446" ht="12.75" customHeight="1" s="103">
      <c r="A1446" s="78">
        <f>MID(H1446,3,2)</f>
        <v/>
      </c>
      <c r="B1446" s="84" t="inlineStr">
        <is>
          <t>B331</t>
        </is>
      </c>
      <c r="C1446" s="84" t="inlineStr">
        <is>
          <t>上海区域</t>
        </is>
      </c>
      <c r="D1446" s="84" t="inlineStr">
        <is>
          <t>CN0Q</t>
        </is>
      </c>
      <c r="E1446" s="80" t="inlineStr">
        <is>
          <t>EE 苏州比斯特</t>
        </is>
      </c>
      <c r="F1446" s="84" t="n">
        <v>4</v>
      </c>
      <c r="G1446" s="84" t="inlineStr">
        <is>
          <t>奥特莱斯</t>
        </is>
      </c>
      <c r="H1446" s="84" t="inlineStr">
        <is>
          <t>EETJG23E07</t>
        </is>
      </c>
      <c r="I1446" s="84" t="n">
        <v>899</v>
      </c>
      <c r="J1446" s="84" t="n">
        <v>899</v>
      </c>
      <c r="K1446" s="85" t="n">
        <v>3</v>
      </c>
      <c r="L1446" s="86" t="n">
        <v>1736</v>
      </c>
    </row>
    <row r="1447" ht="12.75" customHeight="1" s="103">
      <c r="A1447" s="78">
        <f>MID(H1447,3,2)</f>
        <v/>
      </c>
      <c r="B1447" s="84" t="inlineStr">
        <is>
          <t>B331</t>
        </is>
      </c>
      <c r="C1447" s="84" t="inlineStr">
        <is>
          <t>上海区域</t>
        </is>
      </c>
      <c r="D1447" s="84" t="inlineStr">
        <is>
          <t>CN0Q</t>
        </is>
      </c>
      <c r="E1447" s="80" t="inlineStr">
        <is>
          <t>EE 苏州比斯特</t>
        </is>
      </c>
      <c r="F1447" s="84" t="n">
        <v>4</v>
      </c>
      <c r="G1447" s="84" t="inlineStr">
        <is>
          <t>奥特莱斯</t>
        </is>
      </c>
      <c r="H1447" s="84" t="inlineStr">
        <is>
          <t>EETJG23E07</t>
        </is>
      </c>
      <c r="I1447" s="84" t="n">
        <v>899</v>
      </c>
      <c r="J1447" s="84" t="n">
        <v>899</v>
      </c>
      <c r="K1447" s="85" t="n">
        <v>3</v>
      </c>
      <c r="L1447" s="86" t="n">
        <v>1149</v>
      </c>
    </row>
    <row r="1448" ht="12.75" customHeight="1" s="103">
      <c r="A1448" s="78">
        <f>MID(H1448,3,2)</f>
        <v/>
      </c>
      <c r="B1448" s="84" t="inlineStr">
        <is>
          <t>B331</t>
        </is>
      </c>
      <c r="C1448" s="84" t="inlineStr">
        <is>
          <t>上海区域</t>
        </is>
      </c>
      <c r="D1448" s="84" t="inlineStr">
        <is>
          <t>CN0Q</t>
        </is>
      </c>
      <c r="E1448" s="80" t="inlineStr">
        <is>
          <t>EE 苏州比斯特</t>
        </is>
      </c>
      <c r="F1448" s="84" t="n">
        <v>4</v>
      </c>
      <c r="G1448" s="84" t="inlineStr">
        <is>
          <t>奥特莱斯</t>
        </is>
      </c>
      <c r="H1448" s="84" t="inlineStr">
        <is>
          <t>EETJG23E07</t>
        </is>
      </c>
      <c r="I1448" s="84" t="n">
        <v>899</v>
      </c>
      <c r="J1448" s="84" t="n">
        <v>899</v>
      </c>
      <c r="K1448" s="85" t="n">
        <v>2</v>
      </c>
      <c r="L1448" s="85" t="n">
        <v>579</v>
      </c>
    </row>
    <row r="1449" ht="12.75" customHeight="1" s="103">
      <c r="A1449" s="78">
        <f>MID(H1449,3,2)</f>
        <v/>
      </c>
      <c r="B1449" s="84" t="inlineStr">
        <is>
          <t>B331</t>
        </is>
      </c>
      <c r="C1449" s="84" t="inlineStr">
        <is>
          <t>上海区域</t>
        </is>
      </c>
      <c r="D1449" s="84" t="inlineStr">
        <is>
          <t>CN0Q</t>
        </is>
      </c>
      <c r="E1449" s="80" t="inlineStr">
        <is>
          <t>EE 苏州比斯特</t>
        </is>
      </c>
      <c r="F1449" s="84" t="n">
        <v>4</v>
      </c>
      <c r="G1449" s="84" t="inlineStr">
        <is>
          <t>奥特莱斯</t>
        </is>
      </c>
      <c r="H1449" s="84" t="inlineStr">
        <is>
          <t>EETJG23E07</t>
        </is>
      </c>
      <c r="I1449" s="84" t="n">
        <v>899</v>
      </c>
      <c r="J1449" s="84" t="n">
        <v>899</v>
      </c>
      <c r="K1449" s="85" t="n">
        <v>1</v>
      </c>
      <c r="L1449" s="85" t="n">
        <v>592</v>
      </c>
    </row>
    <row r="1450" ht="12.75" customHeight="1" s="103">
      <c r="A1450" s="78">
        <f>MID(H1450,3,2)</f>
        <v/>
      </c>
      <c r="B1450" s="84" t="inlineStr">
        <is>
          <t>B331</t>
        </is>
      </c>
      <c r="C1450" s="84" t="inlineStr">
        <is>
          <t>上海区域</t>
        </is>
      </c>
      <c r="D1450" s="84" t="inlineStr">
        <is>
          <t>CN0Q</t>
        </is>
      </c>
      <c r="E1450" s="80" t="inlineStr">
        <is>
          <t>EE 苏州比斯特</t>
        </is>
      </c>
      <c r="F1450" s="84" t="n">
        <v>4</v>
      </c>
      <c r="G1450" s="84" t="inlineStr">
        <is>
          <t>奥特莱斯</t>
        </is>
      </c>
      <c r="H1450" s="84" t="inlineStr">
        <is>
          <t>EETJG23E07</t>
        </is>
      </c>
      <c r="I1450" s="84" t="n">
        <v>899</v>
      </c>
      <c r="J1450" s="84" t="n">
        <v>899</v>
      </c>
      <c r="K1450" s="85" t="n"/>
      <c r="L1450" s="85" t="n"/>
    </row>
    <row r="1451" ht="12.75" customHeight="1" s="103">
      <c r="A1451" s="78">
        <f>MID(H1451,3,2)</f>
        <v/>
      </c>
      <c r="B1451" s="84" t="inlineStr">
        <is>
          <t>B331</t>
        </is>
      </c>
      <c r="C1451" s="84" t="inlineStr">
        <is>
          <t>上海区域</t>
        </is>
      </c>
      <c r="D1451" s="84" t="inlineStr">
        <is>
          <t>CN0Q</t>
        </is>
      </c>
      <c r="E1451" s="80" t="inlineStr">
        <is>
          <t>EE 苏州比斯特</t>
        </is>
      </c>
      <c r="F1451" s="84" t="n">
        <v>4</v>
      </c>
      <c r="G1451" s="84" t="inlineStr">
        <is>
          <t>奥特莱斯</t>
        </is>
      </c>
      <c r="H1451" s="84" t="inlineStr">
        <is>
          <t>EETJG23E07</t>
        </is>
      </c>
      <c r="I1451" s="84" t="n">
        <v>899</v>
      </c>
      <c r="J1451" s="84" t="n">
        <v>899</v>
      </c>
      <c r="K1451" s="85" t="n">
        <v>1</v>
      </c>
      <c r="L1451" s="85" t="n"/>
    </row>
    <row r="1452" ht="12.75" customHeight="1" s="103">
      <c r="A1452" s="78">
        <f>MID(H1452,3,2)</f>
        <v/>
      </c>
      <c r="B1452" s="84" t="inlineStr">
        <is>
          <t>B331</t>
        </is>
      </c>
      <c r="C1452" s="84" t="inlineStr">
        <is>
          <t>上海区域</t>
        </is>
      </c>
      <c r="D1452" s="84" t="inlineStr">
        <is>
          <t>CN0Q</t>
        </is>
      </c>
      <c r="E1452" s="80" t="inlineStr">
        <is>
          <t>EE 苏州比斯特</t>
        </is>
      </c>
      <c r="F1452" s="84" t="n">
        <v>4</v>
      </c>
      <c r="G1452" s="84" t="inlineStr">
        <is>
          <t>奥特莱斯</t>
        </is>
      </c>
      <c r="H1452" s="84" t="inlineStr">
        <is>
          <t>EETJG23E1G</t>
        </is>
      </c>
      <c r="I1452" s="84" t="n">
        <v>899</v>
      </c>
      <c r="J1452" s="84" t="n">
        <v>899</v>
      </c>
      <c r="K1452" s="85" t="n"/>
      <c r="L1452" s="85" t="n"/>
    </row>
    <row r="1453" ht="12.75" customHeight="1" s="103">
      <c r="A1453" s="78">
        <f>MID(H1453,3,2)</f>
        <v/>
      </c>
      <c r="B1453" s="84" t="inlineStr">
        <is>
          <t>B331</t>
        </is>
      </c>
      <c r="C1453" s="84" t="inlineStr">
        <is>
          <t>上海区域</t>
        </is>
      </c>
      <c r="D1453" s="84" t="inlineStr">
        <is>
          <t>CN0Q</t>
        </is>
      </c>
      <c r="E1453" s="80" t="inlineStr">
        <is>
          <t>EE 苏州比斯特</t>
        </is>
      </c>
      <c r="F1453" s="84" t="n">
        <v>4</v>
      </c>
      <c r="G1453" s="84" t="inlineStr">
        <is>
          <t>奥特莱斯</t>
        </is>
      </c>
      <c r="H1453" s="84" t="inlineStr">
        <is>
          <t>EETJG23E1G</t>
        </is>
      </c>
      <c r="I1453" s="84" t="n">
        <v>899</v>
      </c>
      <c r="J1453" s="84" t="n">
        <v>899</v>
      </c>
      <c r="K1453" s="85" t="n">
        <v>1</v>
      </c>
      <c r="L1453" s="85" t="n">
        <v>629</v>
      </c>
    </row>
    <row r="1454" ht="12.75" customHeight="1" s="103">
      <c r="A1454" s="78">
        <f>MID(H1454,3,2)</f>
        <v/>
      </c>
      <c r="B1454" s="84" t="inlineStr">
        <is>
          <t>B331</t>
        </is>
      </c>
      <c r="C1454" s="84" t="inlineStr">
        <is>
          <t>上海区域</t>
        </is>
      </c>
      <c r="D1454" s="84" t="inlineStr">
        <is>
          <t>CN0Q</t>
        </is>
      </c>
      <c r="E1454" s="80" t="inlineStr">
        <is>
          <t>EE 苏州比斯特</t>
        </is>
      </c>
      <c r="F1454" s="84" t="n">
        <v>4</v>
      </c>
      <c r="G1454" s="84" t="inlineStr">
        <is>
          <t>奥特莱斯</t>
        </is>
      </c>
      <c r="H1454" s="84" t="inlineStr">
        <is>
          <t>EETJG23E1G</t>
        </is>
      </c>
      <c r="I1454" s="84" t="n">
        <v>899</v>
      </c>
      <c r="J1454" s="84" t="n">
        <v>899</v>
      </c>
      <c r="K1454" s="85" t="n">
        <v>2</v>
      </c>
      <c r="L1454" s="85" t="n">
        <v>270</v>
      </c>
    </row>
    <row r="1455" ht="12.75" customHeight="1" s="103">
      <c r="A1455" s="78">
        <f>MID(H1455,3,2)</f>
        <v/>
      </c>
      <c r="B1455" s="84" t="inlineStr">
        <is>
          <t>B331</t>
        </is>
      </c>
      <c r="C1455" s="84" t="inlineStr">
        <is>
          <t>上海区域</t>
        </is>
      </c>
      <c r="D1455" s="84" t="inlineStr">
        <is>
          <t>CN0Q</t>
        </is>
      </c>
      <c r="E1455" s="80" t="inlineStr">
        <is>
          <t>EE 苏州比斯特</t>
        </is>
      </c>
      <c r="F1455" s="84" t="n">
        <v>4</v>
      </c>
      <c r="G1455" s="84" t="inlineStr">
        <is>
          <t>奥特莱斯</t>
        </is>
      </c>
      <c r="H1455" s="84" t="inlineStr">
        <is>
          <t>EETJG23E1G</t>
        </is>
      </c>
      <c r="I1455" s="84" t="n">
        <v>899</v>
      </c>
      <c r="J1455" s="84" t="n">
        <v>899</v>
      </c>
      <c r="K1455" s="85" t="n"/>
      <c r="L1455" s="85" t="n"/>
    </row>
    <row r="1456" ht="12.75" customHeight="1" s="103">
      <c r="A1456" s="78">
        <f>MID(H1456,3,2)</f>
        <v/>
      </c>
      <c r="B1456" s="84" t="inlineStr">
        <is>
          <t>B331</t>
        </is>
      </c>
      <c r="C1456" s="84" t="inlineStr">
        <is>
          <t>上海区域</t>
        </is>
      </c>
      <c r="D1456" s="84" t="inlineStr">
        <is>
          <t>CN0Q</t>
        </is>
      </c>
      <c r="E1456" s="80" t="inlineStr">
        <is>
          <t>EE 苏州比斯特</t>
        </is>
      </c>
      <c r="F1456" s="84" t="n">
        <v>4</v>
      </c>
      <c r="G1456" s="84" t="inlineStr">
        <is>
          <t>奥特莱斯</t>
        </is>
      </c>
      <c r="H1456" s="84" t="inlineStr">
        <is>
          <t>EETJG23E1G</t>
        </is>
      </c>
      <c r="I1456" s="84" t="n">
        <v>899</v>
      </c>
      <c r="J1456" s="84" t="n">
        <v>899</v>
      </c>
      <c r="K1456" s="85" t="n"/>
      <c r="L1456" s="85" t="n"/>
    </row>
    <row r="1457" ht="12.75" customHeight="1" s="103">
      <c r="A1457" s="78">
        <f>MID(H1457,3,2)</f>
        <v/>
      </c>
      <c r="B1457" s="84" t="inlineStr">
        <is>
          <t>B331</t>
        </is>
      </c>
      <c r="C1457" s="84" t="inlineStr">
        <is>
          <t>上海区域</t>
        </is>
      </c>
      <c r="D1457" s="84" t="inlineStr">
        <is>
          <t>CN0Q</t>
        </is>
      </c>
      <c r="E1457" s="80" t="inlineStr">
        <is>
          <t>EE 苏州比斯特</t>
        </is>
      </c>
      <c r="F1457" s="84" t="n">
        <v>4</v>
      </c>
      <c r="G1457" s="84" t="inlineStr">
        <is>
          <t>奥特莱斯</t>
        </is>
      </c>
      <c r="H1457" s="84" t="inlineStr">
        <is>
          <t>EETJG23E1G</t>
        </is>
      </c>
      <c r="I1457" s="84" t="n">
        <v>899</v>
      </c>
      <c r="J1457" s="84" t="n">
        <v>899</v>
      </c>
      <c r="K1457" s="85" t="n"/>
      <c r="L1457" s="85" t="n"/>
    </row>
    <row r="1458" ht="12.75" customHeight="1" s="103">
      <c r="A1458" s="78">
        <f>MID(H1458,3,2)</f>
        <v/>
      </c>
      <c r="B1458" s="84" t="inlineStr">
        <is>
          <t>B331</t>
        </is>
      </c>
      <c r="C1458" s="84" t="inlineStr">
        <is>
          <t>上海区域</t>
        </is>
      </c>
      <c r="D1458" s="84" t="inlineStr">
        <is>
          <t>CN0Q</t>
        </is>
      </c>
      <c r="E1458" s="80" t="inlineStr">
        <is>
          <t>EE 苏州比斯特</t>
        </is>
      </c>
      <c r="F1458" s="84" t="n">
        <v>4</v>
      </c>
      <c r="G1458" s="84" t="inlineStr">
        <is>
          <t>奥特莱斯</t>
        </is>
      </c>
      <c r="H1458" s="84" t="inlineStr">
        <is>
          <t>EETJG23E1G</t>
        </is>
      </c>
      <c r="I1458" s="84" t="n">
        <v>899</v>
      </c>
      <c r="J1458" s="84" t="n">
        <v>899</v>
      </c>
      <c r="K1458" s="85" t="n">
        <v>1</v>
      </c>
      <c r="L1458" s="85" t="n"/>
    </row>
    <row r="1459" ht="12.75" customHeight="1" s="103">
      <c r="A1459" s="78">
        <f>MID(H1459,3,2)</f>
        <v/>
      </c>
      <c r="B1459" s="84" t="inlineStr">
        <is>
          <t>B331</t>
        </is>
      </c>
      <c r="C1459" s="84" t="inlineStr">
        <is>
          <t>上海区域</t>
        </is>
      </c>
      <c r="D1459" s="84" t="inlineStr">
        <is>
          <t>CN0Q</t>
        </is>
      </c>
      <c r="E1459" s="80" t="inlineStr">
        <is>
          <t>EE 苏州比斯特</t>
        </is>
      </c>
      <c r="F1459" s="84" t="n">
        <v>4</v>
      </c>
      <c r="G1459" s="84" t="inlineStr">
        <is>
          <t>奥特莱斯</t>
        </is>
      </c>
      <c r="H1459" s="84" t="inlineStr">
        <is>
          <t>EETJG23E1G</t>
        </is>
      </c>
      <c r="I1459" s="84" t="n">
        <v>899</v>
      </c>
      <c r="J1459" s="84" t="n">
        <v>899</v>
      </c>
      <c r="K1459" s="85" t="n"/>
      <c r="L1459" s="85" t="n"/>
    </row>
    <row r="1460" ht="12.75" customHeight="1" s="103">
      <c r="A1460" s="78">
        <f>MID(H1460,3,2)</f>
        <v/>
      </c>
      <c r="B1460" s="84" t="inlineStr">
        <is>
          <t>B331</t>
        </is>
      </c>
      <c r="C1460" s="84" t="inlineStr">
        <is>
          <t>上海区域</t>
        </is>
      </c>
      <c r="D1460" s="84" t="inlineStr">
        <is>
          <t>CN0Q</t>
        </is>
      </c>
      <c r="E1460" s="80" t="inlineStr">
        <is>
          <t>EE 苏州比斯特</t>
        </is>
      </c>
      <c r="F1460" s="84" t="n">
        <v>4</v>
      </c>
      <c r="G1460" s="84" t="inlineStr">
        <is>
          <t>奥特莱斯</t>
        </is>
      </c>
      <c r="H1460" s="84" t="inlineStr">
        <is>
          <t>EETJG23Q1G</t>
        </is>
      </c>
      <c r="I1460" s="84" t="n">
        <v>899</v>
      </c>
      <c r="J1460" s="84" t="n">
        <v>899</v>
      </c>
      <c r="K1460" s="85" t="n"/>
      <c r="L1460" s="85" t="n"/>
    </row>
    <row r="1461" ht="12.75" customHeight="1" s="103">
      <c r="A1461" s="78">
        <f>MID(H1461,3,2)</f>
        <v/>
      </c>
      <c r="B1461" s="84" t="inlineStr">
        <is>
          <t>B331</t>
        </is>
      </c>
      <c r="C1461" s="84" t="inlineStr">
        <is>
          <t>上海区域</t>
        </is>
      </c>
      <c r="D1461" s="84" t="inlineStr">
        <is>
          <t>CN0Q</t>
        </is>
      </c>
      <c r="E1461" s="80" t="inlineStr">
        <is>
          <t>EE 苏州比斯特</t>
        </is>
      </c>
      <c r="F1461" s="84" t="n">
        <v>4</v>
      </c>
      <c r="G1461" s="84" t="inlineStr">
        <is>
          <t>奥特莱斯</t>
        </is>
      </c>
      <c r="H1461" s="84" t="inlineStr">
        <is>
          <t>EETJG23Q1G</t>
        </is>
      </c>
      <c r="I1461" s="84" t="n">
        <v>899</v>
      </c>
      <c r="J1461" s="84" t="n">
        <v>899</v>
      </c>
      <c r="K1461" s="85" t="n"/>
      <c r="L1461" s="85" t="n"/>
    </row>
    <row r="1462" ht="12.75" customHeight="1" s="103">
      <c r="A1462" s="78">
        <f>MID(H1462,3,2)</f>
        <v/>
      </c>
      <c r="B1462" s="84" t="inlineStr">
        <is>
          <t>B331</t>
        </is>
      </c>
      <c r="C1462" s="84" t="inlineStr">
        <is>
          <t>上海区域</t>
        </is>
      </c>
      <c r="D1462" s="84" t="inlineStr">
        <is>
          <t>CN0Q</t>
        </is>
      </c>
      <c r="E1462" s="80" t="inlineStr">
        <is>
          <t>EE 苏州比斯特</t>
        </is>
      </c>
      <c r="F1462" s="84" t="n">
        <v>4</v>
      </c>
      <c r="G1462" s="84" t="inlineStr">
        <is>
          <t>奥特莱斯</t>
        </is>
      </c>
      <c r="H1462" s="84" t="inlineStr">
        <is>
          <t>EETJG23Q1G</t>
        </is>
      </c>
      <c r="I1462" s="84" t="n">
        <v>899</v>
      </c>
      <c r="J1462" s="84" t="n">
        <v>899</v>
      </c>
      <c r="K1462" s="85" t="n"/>
      <c r="L1462" s="85" t="n"/>
    </row>
    <row r="1463" ht="12.75" customHeight="1" s="103">
      <c r="A1463" s="78">
        <f>MID(H1463,3,2)</f>
        <v/>
      </c>
      <c r="B1463" s="84" t="inlineStr">
        <is>
          <t>B331</t>
        </is>
      </c>
      <c r="C1463" s="84" t="inlineStr">
        <is>
          <t>上海区域</t>
        </is>
      </c>
      <c r="D1463" s="84" t="inlineStr">
        <is>
          <t>CN0Q</t>
        </is>
      </c>
      <c r="E1463" s="80" t="inlineStr">
        <is>
          <t>EE 苏州比斯特</t>
        </is>
      </c>
      <c r="F1463" s="84" t="n">
        <v>4</v>
      </c>
      <c r="G1463" s="84" t="inlineStr">
        <is>
          <t>奥特莱斯</t>
        </is>
      </c>
      <c r="H1463" s="84" t="inlineStr">
        <is>
          <t>EETJG23Q1G</t>
        </is>
      </c>
      <c r="I1463" s="84" t="n">
        <v>899</v>
      </c>
      <c r="J1463" s="84" t="n">
        <v>899</v>
      </c>
      <c r="K1463" s="85" t="n"/>
      <c r="L1463" s="85" t="n"/>
    </row>
    <row r="1464" ht="12.75" customHeight="1" s="103">
      <c r="A1464" s="78">
        <f>MID(H1464,3,2)</f>
        <v/>
      </c>
      <c r="B1464" s="84" t="inlineStr">
        <is>
          <t>B331</t>
        </is>
      </c>
      <c r="C1464" s="84" t="inlineStr">
        <is>
          <t>上海区域</t>
        </is>
      </c>
      <c r="D1464" s="84" t="inlineStr">
        <is>
          <t>CN0Q</t>
        </is>
      </c>
      <c r="E1464" s="80" t="inlineStr">
        <is>
          <t>EE 苏州比斯特</t>
        </is>
      </c>
      <c r="F1464" s="84" t="n">
        <v>4</v>
      </c>
      <c r="G1464" s="84" t="inlineStr">
        <is>
          <t>奥特莱斯</t>
        </is>
      </c>
      <c r="H1464" s="84" t="inlineStr">
        <is>
          <t>EETJG23Q1G</t>
        </is>
      </c>
      <c r="I1464" s="84" t="n">
        <v>899</v>
      </c>
      <c r="J1464" s="84" t="n">
        <v>899</v>
      </c>
      <c r="K1464" s="85" t="n"/>
      <c r="L1464" s="85" t="n"/>
    </row>
    <row r="1465" ht="12.75" customHeight="1" s="103">
      <c r="A1465" s="78">
        <f>MID(H1465,3,2)</f>
        <v/>
      </c>
      <c r="B1465" s="84" t="inlineStr">
        <is>
          <t>B331</t>
        </is>
      </c>
      <c r="C1465" s="84" t="inlineStr">
        <is>
          <t>上海区域</t>
        </is>
      </c>
      <c r="D1465" s="84" t="inlineStr">
        <is>
          <t>CN0Q</t>
        </is>
      </c>
      <c r="E1465" s="80" t="inlineStr">
        <is>
          <t>EE 苏州比斯特</t>
        </is>
      </c>
      <c r="F1465" s="84" t="n">
        <v>4</v>
      </c>
      <c r="G1465" s="84" t="inlineStr">
        <is>
          <t>奥特莱斯</t>
        </is>
      </c>
      <c r="H1465" s="84" t="inlineStr">
        <is>
          <t>EETJG23Q1G</t>
        </is>
      </c>
      <c r="I1465" s="84" t="n">
        <v>899</v>
      </c>
      <c r="J1465" s="84" t="n">
        <v>899</v>
      </c>
      <c r="K1465" s="85" t="n"/>
      <c r="L1465" s="85" t="n"/>
    </row>
    <row r="1466" ht="12.75" customHeight="1" s="103">
      <c r="A1466" s="78">
        <f>MID(H1466,3,2)</f>
        <v/>
      </c>
      <c r="B1466" s="84" t="inlineStr">
        <is>
          <t>B331</t>
        </is>
      </c>
      <c r="C1466" s="84" t="inlineStr">
        <is>
          <t>上海区域</t>
        </is>
      </c>
      <c r="D1466" s="84" t="inlineStr">
        <is>
          <t>CN0Q</t>
        </is>
      </c>
      <c r="E1466" s="80" t="inlineStr">
        <is>
          <t>EE 苏州比斯特</t>
        </is>
      </c>
      <c r="F1466" s="84" t="n">
        <v>4</v>
      </c>
      <c r="G1466" s="84" t="inlineStr">
        <is>
          <t>奥特莱斯</t>
        </is>
      </c>
      <c r="H1466" s="84" t="inlineStr">
        <is>
          <t>EETJG24B57</t>
        </is>
      </c>
      <c r="I1466" s="84" t="n">
        <v>799</v>
      </c>
      <c r="J1466" s="84" t="n">
        <v>899</v>
      </c>
      <c r="K1466" s="85" t="n"/>
      <c r="L1466" s="85" t="n"/>
    </row>
    <row r="1467" ht="12.75" customHeight="1" s="103">
      <c r="A1467" s="78">
        <f>MID(H1467,3,2)</f>
        <v/>
      </c>
      <c r="B1467" s="84" t="inlineStr">
        <is>
          <t>B331</t>
        </is>
      </c>
      <c r="C1467" s="84" t="inlineStr">
        <is>
          <t>上海区域</t>
        </is>
      </c>
      <c r="D1467" s="84" t="inlineStr">
        <is>
          <t>CN0Q</t>
        </is>
      </c>
      <c r="E1467" s="80" t="inlineStr">
        <is>
          <t>EE 苏州比斯特</t>
        </is>
      </c>
      <c r="F1467" s="84" t="n">
        <v>4</v>
      </c>
      <c r="G1467" s="84" t="inlineStr">
        <is>
          <t>奥特莱斯</t>
        </is>
      </c>
      <c r="H1467" s="84" t="inlineStr">
        <is>
          <t>EETJG24B57</t>
        </is>
      </c>
      <c r="I1467" s="84" t="n">
        <v>799</v>
      </c>
      <c r="J1467" s="84" t="n">
        <v>899</v>
      </c>
      <c r="K1467" s="85" t="n">
        <v>1</v>
      </c>
      <c r="L1467" s="85" t="n">
        <v>590</v>
      </c>
    </row>
    <row r="1468" ht="12.75" customHeight="1" s="103">
      <c r="A1468" s="78">
        <f>MID(H1468,3,2)</f>
        <v/>
      </c>
      <c r="B1468" s="84" t="inlineStr">
        <is>
          <t>B331</t>
        </is>
      </c>
      <c r="C1468" s="84" t="inlineStr">
        <is>
          <t>上海区域</t>
        </is>
      </c>
      <c r="D1468" s="84" t="inlineStr">
        <is>
          <t>CN0Q</t>
        </is>
      </c>
      <c r="E1468" s="80" t="inlineStr">
        <is>
          <t>EE 苏州比斯特</t>
        </is>
      </c>
      <c r="F1468" s="84" t="n">
        <v>4</v>
      </c>
      <c r="G1468" s="84" t="inlineStr">
        <is>
          <t>奥特莱斯</t>
        </is>
      </c>
      <c r="H1468" s="84" t="inlineStr">
        <is>
          <t>EETJG24B57</t>
        </is>
      </c>
      <c r="I1468" s="84" t="n">
        <v>799</v>
      </c>
      <c r="J1468" s="84" t="n">
        <v>899</v>
      </c>
      <c r="K1468" s="85" t="n">
        <v>1</v>
      </c>
      <c r="L1468" s="85" t="n">
        <v>573</v>
      </c>
    </row>
    <row r="1469" ht="12.75" customHeight="1" s="103">
      <c r="A1469" s="78">
        <f>MID(H1469,3,2)</f>
        <v/>
      </c>
      <c r="B1469" s="84" t="inlineStr">
        <is>
          <t>B331</t>
        </is>
      </c>
      <c r="C1469" s="84" t="inlineStr">
        <is>
          <t>上海区域</t>
        </is>
      </c>
      <c r="D1469" s="84" t="inlineStr">
        <is>
          <t>CN0Q</t>
        </is>
      </c>
      <c r="E1469" s="80" t="inlineStr">
        <is>
          <t>EE 苏州比斯特</t>
        </is>
      </c>
      <c r="F1469" s="84" t="n">
        <v>4</v>
      </c>
      <c r="G1469" s="84" t="inlineStr">
        <is>
          <t>奥特莱斯</t>
        </is>
      </c>
      <c r="H1469" s="84" t="inlineStr">
        <is>
          <t>EETJG24B57</t>
        </is>
      </c>
      <c r="I1469" s="84" t="n">
        <v>799</v>
      </c>
      <c r="J1469" s="84" t="n">
        <v>899</v>
      </c>
      <c r="K1469" s="85" t="n"/>
      <c r="L1469" s="85" t="n"/>
    </row>
    <row r="1470" ht="12.75" customHeight="1" s="103">
      <c r="A1470" s="78">
        <f>MID(H1470,3,2)</f>
        <v/>
      </c>
      <c r="B1470" s="84" t="inlineStr">
        <is>
          <t>B331</t>
        </is>
      </c>
      <c r="C1470" s="84" t="inlineStr">
        <is>
          <t>上海区域</t>
        </is>
      </c>
      <c r="D1470" s="84" t="inlineStr">
        <is>
          <t>CN0Q</t>
        </is>
      </c>
      <c r="E1470" s="80" t="inlineStr">
        <is>
          <t>EE 苏州比斯特</t>
        </is>
      </c>
      <c r="F1470" s="84" t="n">
        <v>4</v>
      </c>
      <c r="G1470" s="84" t="inlineStr">
        <is>
          <t>奥特莱斯</t>
        </is>
      </c>
      <c r="H1470" s="84" t="inlineStr">
        <is>
          <t>EETJG24B57</t>
        </is>
      </c>
      <c r="I1470" s="84" t="n">
        <v>799</v>
      </c>
      <c r="J1470" s="84" t="n">
        <v>899</v>
      </c>
      <c r="K1470" s="85" t="n">
        <v>1</v>
      </c>
      <c r="L1470" s="85" t="n">
        <v>576</v>
      </c>
    </row>
    <row r="1471" ht="12.75" customHeight="1" s="103">
      <c r="A1471" s="78">
        <f>MID(H1471,3,2)</f>
        <v/>
      </c>
      <c r="B1471" s="84" t="inlineStr">
        <is>
          <t>B331</t>
        </is>
      </c>
      <c r="C1471" s="84" t="inlineStr">
        <is>
          <t>上海区域</t>
        </is>
      </c>
      <c r="D1471" s="84" t="inlineStr">
        <is>
          <t>CN0Q</t>
        </is>
      </c>
      <c r="E1471" s="80" t="inlineStr">
        <is>
          <t>EE 苏州比斯特</t>
        </is>
      </c>
      <c r="F1471" s="84" t="n">
        <v>4</v>
      </c>
      <c r="G1471" s="84" t="inlineStr">
        <is>
          <t>奥特莱斯</t>
        </is>
      </c>
      <c r="H1471" s="84" t="inlineStr">
        <is>
          <t>EETJG24B57</t>
        </is>
      </c>
      <c r="I1471" s="84" t="n">
        <v>799</v>
      </c>
      <c r="J1471" s="84" t="n">
        <v>899</v>
      </c>
      <c r="K1471" s="85" t="n">
        <v>1</v>
      </c>
      <c r="L1471" s="85" t="n">
        <v>576</v>
      </c>
    </row>
    <row r="1472" ht="12.75" customHeight="1" s="103">
      <c r="A1472" s="78">
        <f>MID(H1472,3,2)</f>
        <v/>
      </c>
      <c r="B1472" s="84" t="inlineStr">
        <is>
          <t>B331</t>
        </is>
      </c>
      <c r="C1472" s="84" t="inlineStr">
        <is>
          <t>上海区域</t>
        </is>
      </c>
      <c r="D1472" s="84" t="inlineStr">
        <is>
          <t>CN0Q</t>
        </is>
      </c>
      <c r="E1472" s="80" t="inlineStr">
        <is>
          <t>EE 苏州比斯特</t>
        </is>
      </c>
      <c r="F1472" s="84" t="n">
        <v>4</v>
      </c>
      <c r="G1472" s="84" t="inlineStr">
        <is>
          <t>奥特莱斯</t>
        </is>
      </c>
      <c r="H1472" s="84" t="inlineStr">
        <is>
          <t>EETJG24B57</t>
        </is>
      </c>
      <c r="I1472" s="84" t="n">
        <v>799</v>
      </c>
      <c r="J1472" s="84" t="n">
        <v>899</v>
      </c>
      <c r="K1472" s="85" t="n"/>
      <c r="L1472" s="85" t="n"/>
    </row>
    <row r="1473" ht="12.75" customHeight="1" s="103">
      <c r="A1473" s="78">
        <f>MID(H1473,3,2)</f>
        <v/>
      </c>
      <c r="B1473" s="84" t="inlineStr">
        <is>
          <t>B331</t>
        </is>
      </c>
      <c r="C1473" s="84" t="inlineStr">
        <is>
          <t>上海区域</t>
        </is>
      </c>
      <c r="D1473" s="84" t="inlineStr">
        <is>
          <t>CN0Q</t>
        </is>
      </c>
      <c r="E1473" s="80" t="inlineStr">
        <is>
          <t>EE 苏州比斯特</t>
        </is>
      </c>
      <c r="F1473" s="84" t="n">
        <v>4</v>
      </c>
      <c r="G1473" s="84" t="inlineStr">
        <is>
          <t>奥特莱斯</t>
        </is>
      </c>
      <c r="H1473" s="84" t="inlineStr">
        <is>
          <t>EETJG24B57</t>
        </is>
      </c>
      <c r="I1473" s="84" t="n">
        <v>799</v>
      </c>
      <c r="J1473" s="84" t="n">
        <v>899</v>
      </c>
      <c r="K1473" s="85" t="n">
        <v>1</v>
      </c>
      <c r="L1473" s="85" t="n">
        <v>579</v>
      </c>
    </row>
    <row r="1474" ht="12.75" customHeight="1" s="103">
      <c r="A1474" s="78">
        <f>MID(H1474,3,2)</f>
        <v/>
      </c>
      <c r="B1474" s="84" t="inlineStr">
        <is>
          <t>B331</t>
        </is>
      </c>
      <c r="C1474" s="84" t="inlineStr">
        <is>
          <t>上海区域</t>
        </is>
      </c>
      <c r="D1474" s="84" t="inlineStr">
        <is>
          <t>CN0Q</t>
        </is>
      </c>
      <c r="E1474" s="80" t="inlineStr">
        <is>
          <t>EE 苏州比斯特</t>
        </is>
      </c>
      <c r="F1474" s="84" t="n">
        <v>4</v>
      </c>
      <c r="G1474" s="84" t="inlineStr">
        <is>
          <t>奥特莱斯</t>
        </is>
      </c>
      <c r="H1474" s="84" t="inlineStr">
        <is>
          <t>EETJG24B58</t>
        </is>
      </c>
      <c r="I1474" s="84" t="n">
        <v>799</v>
      </c>
      <c r="J1474" s="84" t="n">
        <v>899</v>
      </c>
      <c r="K1474" s="85" t="n">
        <v>1</v>
      </c>
      <c r="L1474" s="85" t="n">
        <v>590</v>
      </c>
    </row>
    <row r="1475" ht="12.75" customHeight="1" s="103">
      <c r="A1475" s="78">
        <f>MID(H1475,3,2)</f>
        <v/>
      </c>
      <c r="B1475" s="84" t="inlineStr">
        <is>
          <t>B331</t>
        </is>
      </c>
      <c r="C1475" s="84" t="inlineStr">
        <is>
          <t>上海区域</t>
        </is>
      </c>
      <c r="D1475" s="84" t="inlineStr">
        <is>
          <t>CN0Q</t>
        </is>
      </c>
      <c r="E1475" s="80" t="inlineStr">
        <is>
          <t>EE 苏州比斯特</t>
        </is>
      </c>
      <c r="F1475" s="84" t="n">
        <v>4</v>
      </c>
      <c r="G1475" s="84" t="inlineStr">
        <is>
          <t>奥特莱斯</t>
        </is>
      </c>
      <c r="H1475" s="84" t="inlineStr">
        <is>
          <t>EETJG24B58</t>
        </is>
      </c>
      <c r="I1475" s="84" t="n">
        <v>799</v>
      </c>
      <c r="J1475" s="84" t="n">
        <v>899</v>
      </c>
      <c r="K1475" s="85" t="n">
        <v>1</v>
      </c>
      <c r="L1475" s="85" t="n">
        <v>629</v>
      </c>
    </row>
    <row r="1476" ht="12.75" customHeight="1" s="103">
      <c r="A1476" s="78">
        <f>MID(H1476,3,2)</f>
        <v/>
      </c>
      <c r="B1476" s="84" t="inlineStr">
        <is>
          <t>B331</t>
        </is>
      </c>
      <c r="C1476" s="84" t="inlineStr">
        <is>
          <t>上海区域</t>
        </is>
      </c>
      <c r="D1476" s="84" t="inlineStr">
        <is>
          <t>CN0Q</t>
        </is>
      </c>
      <c r="E1476" s="80" t="inlineStr">
        <is>
          <t>EE 苏州比斯特</t>
        </is>
      </c>
      <c r="F1476" s="84" t="n">
        <v>4</v>
      </c>
      <c r="G1476" s="84" t="inlineStr">
        <is>
          <t>奥特莱斯</t>
        </is>
      </c>
      <c r="H1476" s="84" t="inlineStr">
        <is>
          <t>EETJG24B58</t>
        </is>
      </c>
      <c r="I1476" s="84" t="n">
        <v>799</v>
      </c>
      <c r="J1476" s="84" t="n">
        <v>899</v>
      </c>
      <c r="K1476" s="85" t="n">
        <v>1</v>
      </c>
      <c r="L1476" s="85" t="n">
        <v>629</v>
      </c>
    </row>
    <row r="1477" ht="12.75" customHeight="1" s="103">
      <c r="A1477" s="78">
        <f>MID(H1477,3,2)</f>
        <v/>
      </c>
      <c r="B1477" s="84" t="inlineStr">
        <is>
          <t>B331</t>
        </is>
      </c>
      <c r="C1477" s="84" t="inlineStr">
        <is>
          <t>上海区域</t>
        </is>
      </c>
      <c r="D1477" s="84" t="inlineStr">
        <is>
          <t>CN0Q</t>
        </is>
      </c>
      <c r="E1477" s="80" t="inlineStr">
        <is>
          <t>EE 苏州比斯特</t>
        </is>
      </c>
      <c r="F1477" s="84" t="n">
        <v>4</v>
      </c>
      <c r="G1477" s="84" t="inlineStr">
        <is>
          <t>奥特莱斯</t>
        </is>
      </c>
      <c r="H1477" s="84" t="inlineStr">
        <is>
          <t>EETJG24B58</t>
        </is>
      </c>
      <c r="I1477" s="84" t="n">
        <v>799</v>
      </c>
      <c r="J1477" s="84" t="n">
        <v>899</v>
      </c>
      <c r="K1477" s="85" t="n"/>
      <c r="L1477" s="85" t="n"/>
    </row>
    <row r="1478" ht="12.75" customHeight="1" s="103">
      <c r="A1478" s="78">
        <f>MID(H1478,3,2)</f>
        <v/>
      </c>
      <c r="B1478" s="84" t="inlineStr">
        <is>
          <t>B331</t>
        </is>
      </c>
      <c r="C1478" s="84" t="inlineStr">
        <is>
          <t>上海区域</t>
        </is>
      </c>
      <c r="D1478" s="84" t="inlineStr">
        <is>
          <t>CN0Q</t>
        </is>
      </c>
      <c r="E1478" s="80" t="inlineStr">
        <is>
          <t>EE 苏州比斯特</t>
        </is>
      </c>
      <c r="F1478" s="84" t="n">
        <v>4</v>
      </c>
      <c r="G1478" s="84" t="inlineStr">
        <is>
          <t>奥特莱斯</t>
        </is>
      </c>
      <c r="H1478" s="84" t="inlineStr">
        <is>
          <t>EETJG24E01</t>
        </is>
      </c>
      <c r="I1478" s="84" t="n">
        <v>799</v>
      </c>
      <c r="J1478" s="84" t="n">
        <v>799</v>
      </c>
      <c r="K1478" s="85" t="n">
        <v>11</v>
      </c>
      <c r="L1478" s="86" t="n">
        <v>3926</v>
      </c>
    </row>
    <row r="1479" ht="12.75" customHeight="1" s="103">
      <c r="A1479" s="78">
        <f>MID(H1479,3,2)</f>
        <v/>
      </c>
      <c r="B1479" s="84" t="inlineStr">
        <is>
          <t>B331</t>
        </is>
      </c>
      <c r="C1479" s="84" t="inlineStr">
        <is>
          <t>上海区域</t>
        </is>
      </c>
      <c r="D1479" s="84" t="inlineStr">
        <is>
          <t>CN0Q</t>
        </is>
      </c>
      <c r="E1479" s="80" t="inlineStr">
        <is>
          <t>EE 苏州比斯特</t>
        </is>
      </c>
      <c r="F1479" s="84" t="n">
        <v>4</v>
      </c>
      <c r="G1479" s="84" t="inlineStr">
        <is>
          <t>奥特莱斯</t>
        </is>
      </c>
      <c r="H1479" s="84" t="inlineStr">
        <is>
          <t>EETJG24E01</t>
        </is>
      </c>
      <c r="I1479" s="84" t="n">
        <v>799</v>
      </c>
      <c r="J1479" s="84" t="n">
        <v>799</v>
      </c>
      <c r="K1479" s="85" t="n">
        <v>16</v>
      </c>
      <c r="L1479" s="86" t="n">
        <v>4937</v>
      </c>
    </row>
    <row r="1480" ht="12.75" customHeight="1" s="103">
      <c r="A1480" s="78">
        <f>MID(H1480,3,2)</f>
        <v/>
      </c>
      <c r="B1480" s="84" t="inlineStr">
        <is>
          <t>B331</t>
        </is>
      </c>
      <c r="C1480" s="84" t="inlineStr">
        <is>
          <t>上海区域</t>
        </is>
      </c>
      <c r="D1480" s="84" t="inlineStr">
        <is>
          <t>CN0Q</t>
        </is>
      </c>
      <c r="E1480" s="80" t="inlineStr">
        <is>
          <t>EE 苏州比斯特</t>
        </is>
      </c>
      <c r="F1480" s="84" t="n">
        <v>4</v>
      </c>
      <c r="G1480" s="84" t="inlineStr">
        <is>
          <t>奥特莱斯</t>
        </is>
      </c>
      <c r="H1480" s="84" t="inlineStr">
        <is>
          <t>EETJG24E01</t>
        </is>
      </c>
      <c r="I1480" s="84" t="n">
        <v>799</v>
      </c>
      <c r="J1480" s="84" t="n">
        <v>799</v>
      </c>
      <c r="K1480" s="85" t="n">
        <v>21</v>
      </c>
      <c r="L1480" s="86" t="n">
        <v>5191</v>
      </c>
    </row>
    <row r="1481" ht="12.75" customHeight="1" s="103">
      <c r="A1481" s="78">
        <f>MID(H1481,3,2)</f>
        <v/>
      </c>
      <c r="B1481" s="84" t="inlineStr">
        <is>
          <t>B331</t>
        </is>
      </c>
      <c r="C1481" s="84" t="inlineStr">
        <is>
          <t>上海区域</t>
        </is>
      </c>
      <c r="D1481" s="84" t="inlineStr">
        <is>
          <t>CN0Q</t>
        </is>
      </c>
      <c r="E1481" s="80" t="inlineStr">
        <is>
          <t>EE 苏州比斯特</t>
        </is>
      </c>
      <c r="F1481" s="84" t="n">
        <v>4</v>
      </c>
      <c r="G1481" s="84" t="inlineStr">
        <is>
          <t>奥特莱斯</t>
        </is>
      </c>
      <c r="H1481" s="84" t="inlineStr">
        <is>
          <t>EETJG24E01</t>
        </is>
      </c>
      <c r="I1481" s="84" t="n">
        <v>799</v>
      </c>
      <c r="J1481" s="84" t="n">
        <v>799</v>
      </c>
      <c r="K1481" s="85" t="n">
        <v>9</v>
      </c>
      <c r="L1481" s="86" t="n">
        <v>2035</v>
      </c>
    </row>
    <row r="1482" ht="12.75" customHeight="1" s="103">
      <c r="A1482" s="78">
        <f>MID(H1482,3,2)</f>
        <v/>
      </c>
      <c r="B1482" s="84" t="inlineStr">
        <is>
          <t>B331</t>
        </is>
      </c>
      <c r="C1482" s="84" t="inlineStr">
        <is>
          <t>上海区域</t>
        </is>
      </c>
      <c r="D1482" s="84" t="inlineStr">
        <is>
          <t>CN0Q</t>
        </is>
      </c>
      <c r="E1482" s="80" t="inlineStr">
        <is>
          <t>EE 苏州比斯特</t>
        </is>
      </c>
      <c r="F1482" s="84" t="n">
        <v>4</v>
      </c>
      <c r="G1482" s="84" t="inlineStr">
        <is>
          <t>奥特莱斯</t>
        </is>
      </c>
      <c r="H1482" s="84" t="inlineStr">
        <is>
          <t>EETJG24E01</t>
        </is>
      </c>
      <c r="I1482" s="84" t="n">
        <v>799</v>
      </c>
      <c r="J1482" s="84" t="n">
        <v>799</v>
      </c>
      <c r="K1482" s="85" t="n">
        <v>6</v>
      </c>
      <c r="L1482" s="86" t="n">
        <v>1815</v>
      </c>
    </row>
    <row r="1483" ht="12.75" customHeight="1" s="103">
      <c r="A1483" s="78">
        <f>MID(H1483,3,2)</f>
        <v/>
      </c>
      <c r="B1483" s="84" t="inlineStr">
        <is>
          <t>B331</t>
        </is>
      </c>
      <c r="C1483" s="84" t="inlineStr">
        <is>
          <t>上海区域</t>
        </is>
      </c>
      <c r="D1483" s="84" t="inlineStr">
        <is>
          <t>CN0Q</t>
        </is>
      </c>
      <c r="E1483" s="80" t="inlineStr">
        <is>
          <t>EE 苏州比斯特</t>
        </is>
      </c>
      <c r="F1483" s="84" t="n">
        <v>4</v>
      </c>
      <c r="G1483" s="84" t="inlineStr">
        <is>
          <t>奥特莱斯</t>
        </is>
      </c>
      <c r="H1483" s="84" t="inlineStr">
        <is>
          <t>EETJG24E01</t>
        </is>
      </c>
      <c r="I1483" s="84" t="n">
        <v>799</v>
      </c>
      <c r="J1483" s="84" t="n">
        <v>799</v>
      </c>
      <c r="K1483" s="85" t="n">
        <v>2</v>
      </c>
      <c r="L1483" s="86" t="n">
        <v>1013</v>
      </c>
    </row>
    <row r="1484" ht="12.75" customHeight="1" s="103">
      <c r="A1484" s="78">
        <f>MID(H1484,3,2)</f>
        <v/>
      </c>
      <c r="B1484" s="84" t="inlineStr">
        <is>
          <t>B331</t>
        </is>
      </c>
      <c r="C1484" s="84" t="inlineStr">
        <is>
          <t>上海区域</t>
        </is>
      </c>
      <c r="D1484" s="84" t="inlineStr">
        <is>
          <t>CN0Q</t>
        </is>
      </c>
      <c r="E1484" s="80" t="inlineStr">
        <is>
          <t>EE 苏州比斯特</t>
        </is>
      </c>
      <c r="F1484" s="84" t="n">
        <v>4</v>
      </c>
      <c r="G1484" s="84" t="inlineStr">
        <is>
          <t>奥特莱斯</t>
        </is>
      </c>
      <c r="H1484" s="84" t="inlineStr">
        <is>
          <t>EETJG24E01</t>
        </is>
      </c>
      <c r="I1484" s="84" t="n">
        <v>799</v>
      </c>
      <c r="J1484" s="84" t="n">
        <v>799</v>
      </c>
      <c r="K1484" s="85" t="n"/>
      <c r="L1484" s="85" t="n"/>
    </row>
    <row r="1485" ht="12.75" customHeight="1" s="103">
      <c r="A1485" s="78">
        <f>MID(H1485,3,2)</f>
        <v/>
      </c>
      <c r="B1485" s="84" t="inlineStr">
        <is>
          <t>B331</t>
        </is>
      </c>
      <c r="C1485" s="84" t="inlineStr">
        <is>
          <t>上海区域</t>
        </is>
      </c>
      <c r="D1485" s="84" t="inlineStr">
        <is>
          <t>CN0Q</t>
        </is>
      </c>
      <c r="E1485" s="80" t="inlineStr">
        <is>
          <t>EE 苏州比斯特</t>
        </is>
      </c>
      <c r="F1485" s="84" t="n">
        <v>4</v>
      </c>
      <c r="G1485" s="84" t="inlineStr">
        <is>
          <t>奥特莱斯</t>
        </is>
      </c>
      <c r="H1485" s="84" t="inlineStr">
        <is>
          <t>EETJG24E01</t>
        </is>
      </c>
      <c r="I1485" s="84" t="n">
        <v>799</v>
      </c>
      <c r="J1485" s="84" t="n">
        <v>799</v>
      </c>
      <c r="K1485" s="85" t="n">
        <v>1</v>
      </c>
      <c r="L1485" s="85" t="n">
        <v>234</v>
      </c>
    </row>
    <row r="1486" ht="12.75" customHeight="1" s="103">
      <c r="A1486" s="78">
        <f>MID(H1486,3,2)</f>
        <v/>
      </c>
      <c r="B1486" s="84" t="inlineStr">
        <is>
          <t>B331</t>
        </is>
      </c>
      <c r="C1486" s="84" t="inlineStr">
        <is>
          <t>上海区域</t>
        </is>
      </c>
      <c r="D1486" s="84" t="inlineStr">
        <is>
          <t>CN0Q</t>
        </is>
      </c>
      <c r="E1486" s="80" t="inlineStr">
        <is>
          <t>EE 苏州比斯特</t>
        </is>
      </c>
      <c r="F1486" s="84" t="n">
        <v>4</v>
      </c>
      <c r="G1486" s="84" t="inlineStr">
        <is>
          <t>奥特莱斯</t>
        </is>
      </c>
      <c r="H1486" s="84" t="inlineStr">
        <is>
          <t>EETJG24E01</t>
        </is>
      </c>
      <c r="I1486" s="84" t="n">
        <v>799</v>
      </c>
      <c r="J1486" s="84" t="n">
        <v>799</v>
      </c>
      <c r="K1486" s="85" t="n">
        <v>1</v>
      </c>
      <c r="L1486" s="85" t="n">
        <v>-240</v>
      </c>
    </row>
    <row r="1487" ht="12.75" customHeight="1" s="103">
      <c r="A1487" s="78">
        <f>MID(H1487,3,2)</f>
        <v/>
      </c>
      <c r="B1487" s="84" t="inlineStr">
        <is>
          <t>B331</t>
        </is>
      </c>
      <c r="C1487" s="84" t="inlineStr">
        <is>
          <t>上海区域</t>
        </is>
      </c>
      <c r="D1487" s="84" t="inlineStr">
        <is>
          <t>CN0Q</t>
        </is>
      </c>
      <c r="E1487" s="80" t="inlineStr">
        <is>
          <t>EE 苏州比斯特</t>
        </is>
      </c>
      <c r="F1487" s="84" t="n">
        <v>4</v>
      </c>
      <c r="G1487" s="84" t="inlineStr">
        <is>
          <t>奥特莱斯</t>
        </is>
      </c>
      <c r="H1487" s="84" t="inlineStr">
        <is>
          <t>EETJG24E01</t>
        </is>
      </c>
      <c r="I1487" s="84" t="n">
        <v>799</v>
      </c>
      <c r="J1487" s="84" t="n">
        <v>799</v>
      </c>
      <c r="K1487" s="85" t="n"/>
      <c r="L1487" s="85" t="n"/>
    </row>
    <row r="1488" ht="12.75" customHeight="1" s="103">
      <c r="A1488" s="78">
        <f>MID(H1488,3,2)</f>
        <v/>
      </c>
      <c r="B1488" s="84" t="inlineStr">
        <is>
          <t>B331</t>
        </is>
      </c>
      <c r="C1488" s="84" t="inlineStr">
        <is>
          <t>上海区域</t>
        </is>
      </c>
      <c r="D1488" s="84" t="inlineStr">
        <is>
          <t>CN0Q</t>
        </is>
      </c>
      <c r="E1488" s="80" t="inlineStr">
        <is>
          <t>EE 苏州比斯特</t>
        </is>
      </c>
      <c r="F1488" s="84" t="n">
        <v>4</v>
      </c>
      <c r="G1488" s="84" t="inlineStr">
        <is>
          <t>奥特莱斯</t>
        </is>
      </c>
      <c r="H1488" s="84" t="inlineStr">
        <is>
          <t>EETJG24E01</t>
        </is>
      </c>
      <c r="I1488" s="84" t="n">
        <v>799</v>
      </c>
      <c r="J1488" s="84" t="n">
        <v>799</v>
      </c>
      <c r="K1488" s="85" t="n">
        <v>2</v>
      </c>
      <c r="L1488" s="85" t="n">
        <v>526</v>
      </c>
    </row>
    <row r="1489" ht="12.75" customHeight="1" s="103">
      <c r="A1489" s="78">
        <f>MID(H1489,3,2)</f>
        <v/>
      </c>
      <c r="B1489" s="84" t="inlineStr">
        <is>
          <t>B331</t>
        </is>
      </c>
      <c r="C1489" s="84" t="inlineStr">
        <is>
          <t>上海区域</t>
        </is>
      </c>
      <c r="D1489" s="84" t="inlineStr">
        <is>
          <t>CN0Q</t>
        </is>
      </c>
      <c r="E1489" s="80" t="inlineStr">
        <is>
          <t>EE 苏州比斯特</t>
        </is>
      </c>
      <c r="F1489" s="84" t="n">
        <v>4</v>
      </c>
      <c r="G1489" s="84" t="inlineStr">
        <is>
          <t>奥特莱斯</t>
        </is>
      </c>
      <c r="H1489" s="84" t="inlineStr">
        <is>
          <t>EETJG24E01</t>
        </is>
      </c>
      <c r="I1489" s="84" t="n">
        <v>799</v>
      </c>
      <c r="J1489" s="84" t="n">
        <v>799</v>
      </c>
      <c r="K1489" s="85" t="n"/>
      <c r="L1489" s="85" t="n"/>
    </row>
    <row r="1490" ht="12.75" customHeight="1" s="103">
      <c r="A1490" s="78">
        <f>MID(H1490,3,2)</f>
        <v/>
      </c>
      <c r="B1490" s="84" t="inlineStr">
        <is>
          <t>B331</t>
        </is>
      </c>
      <c r="C1490" s="84" t="inlineStr">
        <is>
          <t>上海区域</t>
        </is>
      </c>
      <c r="D1490" s="84" t="inlineStr">
        <is>
          <t>CN0Q</t>
        </is>
      </c>
      <c r="E1490" s="80" t="inlineStr">
        <is>
          <t>EE 苏州比斯特</t>
        </is>
      </c>
      <c r="F1490" s="84" t="n">
        <v>4</v>
      </c>
      <c r="G1490" s="84" t="inlineStr">
        <is>
          <t>奥特莱斯</t>
        </is>
      </c>
      <c r="H1490" s="84" t="inlineStr">
        <is>
          <t>EETJG24E01</t>
        </is>
      </c>
      <c r="I1490" s="84" t="n">
        <v>799</v>
      </c>
      <c r="J1490" s="84" t="n">
        <v>799</v>
      </c>
      <c r="K1490" s="85" t="n">
        <v>1</v>
      </c>
      <c r="L1490" s="85" t="n">
        <v>509</v>
      </c>
    </row>
    <row r="1491" ht="12.75" customHeight="1" s="103">
      <c r="A1491" s="78">
        <f>MID(H1491,3,2)</f>
        <v/>
      </c>
      <c r="B1491" s="84" t="inlineStr">
        <is>
          <t>B331</t>
        </is>
      </c>
      <c r="C1491" s="84" t="inlineStr">
        <is>
          <t>上海区域</t>
        </is>
      </c>
      <c r="D1491" s="84" t="inlineStr">
        <is>
          <t>CN0Q</t>
        </is>
      </c>
      <c r="E1491" s="80" t="inlineStr">
        <is>
          <t>EE 苏州比斯特</t>
        </is>
      </c>
      <c r="F1491" s="84" t="n">
        <v>4</v>
      </c>
      <c r="G1491" s="84" t="inlineStr">
        <is>
          <t>奥特莱斯</t>
        </is>
      </c>
      <c r="H1491" s="84" t="inlineStr">
        <is>
          <t>EETJG24E01</t>
        </is>
      </c>
      <c r="I1491" s="84" t="n">
        <v>799</v>
      </c>
      <c r="J1491" s="84" t="n">
        <v>799</v>
      </c>
      <c r="K1491" s="85" t="n">
        <v>3</v>
      </c>
      <c r="L1491" s="85" t="n">
        <v>302</v>
      </c>
    </row>
    <row r="1492" ht="12.75" customHeight="1" s="103">
      <c r="A1492" s="78">
        <f>MID(H1492,3,2)</f>
        <v/>
      </c>
      <c r="B1492" s="84" t="inlineStr">
        <is>
          <t>B331</t>
        </is>
      </c>
      <c r="C1492" s="84" t="inlineStr">
        <is>
          <t>上海区域</t>
        </is>
      </c>
      <c r="D1492" s="84" t="inlineStr">
        <is>
          <t>CN0Q</t>
        </is>
      </c>
      <c r="E1492" s="80" t="inlineStr">
        <is>
          <t>EE 苏州比斯特</t>
        </is>
      </c>
      <c r="F1492" s="84" t="n">
        <v>4</v>
      </c>
      <c r="G1492" s="84" t="inlineStr">
        <is>
          <t>奥特莱斯</t>
        </is>
      </c>
      <c r="H1492" s="84" t="inlineStr">
        <is>
          <t>EETJG24E01</t>
        </is>
      </c>
      <c r="I1492" s="84" t="n">
        <v>799</v>
      </c>
      <c r="J1492" s="84" t="n">
        <v>799</v>
      </c>
      <c r="K1492" s="85" t="n">
        <v>2</v>
      </c>
      <c r="L1492" s="86" t="n">
        <v>1012</v>
      </c>
    </row>
    <row r="1493" ht="12.75" customHeight="1" s="103">
      <c r="A1493" s="78">
        <f>MID(H1493,3,2)</f>
        <v/>
      </c>
      <c r="B1493" s="84" t="inlineStr">
        <is>
          <t>B331</t>
        </is>
      </c>
      <c r="C1493" s="84" t="inlineStr">
        <is>
          <t>上海区域</t>
        </is>
      </c>
      <c r="D1493" s="84" t="inlineStr">
        <is>
          <t>CN0Q</t>
        </is>
      </c>
      <c r="E1493" s="80" t="inlineStr">
        <is>
          <t>EE 苏州比斯特</t>
        </is>
      </c>
      <c r="F1493" s="84" t="n">
        <v>4</v>
      </c>
      <c r="G1493" s="84" t="inlineStr">
        <is>
          <t>奥特莱斯</t>
        </is>
      </c>
      <c r="H1493" s="84" t="inlineStr">
        <is>
          <t>EETJG24E01</t>
        </is>
      </c>
      <c r="I1493" s="84" t="n">
        <v>799</v>
      </c>
      <c r="J1493" s="84" t="n">
        <v>799</v>
      </c>
      <c r="K1493" s="85" t="n">
        <v>2</v>
      </c>
      <c r="L1493" s="86" t="n">
        <v>1012</v>
      </c>
    </row>
    <row r="1494" ht="12.75" customHeight="1" s="103">
      <c r="A1494" s="78">
        <f>MID(H1494,3,2)</f>
        <v/>
      </c>
      <c r="B1494" s="84" t="inlineStr">
        <is>
          <t>B331</t>
        </is>
      </c>
      <c r="C1494" s="84" t="inlineStr">
        <is>
          <t>上海区域</t>
        </is>
      </c>
      <c r="D1494" s="84" t="inlineStr">
        <is>
          <t>CN0Q</t>
        </is>
      </c>
      <c r="E1494" s="80" t="inlineStr">
        <is>
          <t>EE 苏州比斯特</t>
        </is>
      </c>
      <c r="F1494" s="84" t="n">
        <v>4</v>
      </c>
      <c r="G1494" s="84" t="inlineStr">
        <is>
          <t>奥特莱斯</t>
        </is>
      </c>
      <c r="H1494" s="84" t="inlineStr">
        <is>
          <t>EETJG24E01</t>
        </is>
      </c>
      <c r="I1494" s="84" t="n">
        <v>799</v>
      </c>
      <c r="J1494" s="84" t="n">
        <v>799</v>
      </c>
      <c r="K1494" s="85" t="n"/>
      <c r="L1494" s="85" t="n"/>
    </row>
    <row r="1495" ht="12.75" customHeight="1" s="103">
      <c r="A1495" s="78">
        <f>MID(H1495,3,2)</f>
        <v/>
      </c>
      <c r="B1495" s="84" t="inlineStr">
        <is>
          <t>B331</t>
        </is>
      </c>
      <c r="C1495" s="84" t="inlineStr">
        <is>
          <t>上海区域</t>
        </is>
      </c>
      <c r="D1495" s="84" t="inlineStr">
        <is>
          <t>CN0Q</t>
        </is>
      </c>
      <c r="E1495" s="80" t="inlineStr">
        <is>
          <t>EE 苏州比斯特</t>
        </is>
      </c>
      <c r="F1495" s="84" t="n">
        <v>4</v>
      </c>
      <c r="G1495" s="84" t="inlineStr">
        <is>
          <t>奥特莱斯</t>
        </is>
      </c>
      <c r="H1495" s="84" t="inlineStr">
        <is>
          <t>EETJG24E01</t>
        </is>
      </c>
      <c r="I1495" s="84" t="n">
        <v>799</v>
      </c>
      <c r="J1495" s="84" t="n">
        <v>799</v>
      </c>
      <c r="K1495" s="85" t="n"/>
      <c r="L1495" s="85" t="n"/>
    </row>
    <row r="1496" ht="12.75" customHeight="1" s="103">
      <c r="A1496" s="78">
        <f>MID(H1496,3,2)</f>
        <v/>
      </c>
      <c r="B1496" s="84" t="inlineStr">
        <is>
          <t>B331</t>
        </is>
      </c>
      <c r="C1496" s="84" t="inlineStr">
        <is>
          <t>上海区域</t>
        </is>
      </c>
      <c r="D1496" s="84" t="inlineStr">
        <is>
          <t>CN0Q</t>
        </is>
      </c>
      <c r="E1496" s="80" t="inlineStr">
        <is>
          <t>EE 苏州比斯特</t>
        </is>
      </c>
      <c r="F1496" s="84" t="n">
        <v>4</v>
      </c>
      <c r="G1496" s="84" t="inlineStr">
        <is>
          <t>奥特莱斯</t>
        </is>
      </c>
      <c r="H1496" s="84" t="inlineStr">
        <is>
          <t>EETJG24E02</t>
        </is>
      </c>
      <c r="I1496" s="84" t="n">
        <v>699</v>
      </c>
      <c r="J1496" s="84" t="n">
        <v>699</v>
      </c>
      <c r="K1496" s="85" t="n"/>
      <c r="L1496" s="85" t="n"/>
    </row>
    <row r="1497" ht="12.75" customHeight="1" s="103">
      <c r="A1497" s="78">
        <f>MID(H1497,3,2)</f>
        <v/>
      </c>
      <c r="B1497" s="84" t="inlineStr">
        <is>
          <t>B331</t>
        </is>
      </c>
      <c r="C1497" s="84" t="inlineStr">
        <is>
          <t>上海区域</t>
        </is>
      </c>
      <c r="D1497" s="84" t="inlineStr">
        <is>
          <t>CN0Q</t>
        </is>
      </c>
      <c r="E1497" s="80" t="inlineStr">
        <is>
          <t>EE 苏州比斯特</t>
        </is>
      </c>
      <c r="F1497" s="84" t="n">
        <v>4</v>
      </c>
      <c r="G1497" s="84" t="inlineStr">
        <is>
          <t>奥特莱斯</t>
        </is>
      </c>
      <c r="H1497" s="84" t="inlineStr">
        <is>
          <t>EETJG24E02</t>
        </is>
      </c>
      <c r="I1497" s="84" t="n">
        <v>699</v>
      </c>
      <c r="J1497" s="84" t="n">
        <v>699</v>
      </c>
      <c r="K1497" s="85" t="n">
        <v>4</v>
      </c>
      <c r="L1497" s="85" t="n">
        <v>882</v>
      </c>
    </row>
    <row r="1498" ht="12.75" customHeight="1" s="103">
      <c r="A1498" s="78">
        <f>MID(H1498,3,2)</f>
        <v/>
      </c>
      <c r="B1498" s="84" t="inlineStr">
        <is>
          <t>B331</t>
        </is>
      </c>
      <c r="C1498" s="84" t="inlineStr">
        <is>
          <t>上海区域</t>
        </is>
      </c>
      <c r="D1498" s="84" t="inlineStr">
        <is>
          <t>CN0Q</t>
        </is>
      </c>
      <c r="E1498" s="80" t="inlineStr">
        <is>
          <t>EE 苏州比斯特</t>
        </is>
      </c>
      <c r="F1498" s="84" t="n">
        <v>4</v>
      </c>
      <c r="G1498" s="84" t="inlineStr">
        <is>
          <t>奥特莱斯</t>
        </is>
      </c>
      <c r="H1498" s="84" t="inlineStr">
        <is>
          <t>EETJG24E02</t>
        </is>
      </c>
      <c r="I1498" s="84" t="n">
        <v>699</v>
      </c>
      <c r="J1498" s="84" t="n">
        <v>699</v>
      </c>
      <c r="K1498" s="85" t="n">
        <v>5</v>
      </c>
      <c r="L1498" s="86" t="n">
        <v>1374</v>
      </c>
    </row>
    <row r="1499" ht="12.75" customHeight="1" s="103">
      <c r="A1499" s="78">
        <f>MID(H1499,3,2)</f>
        <v/>
      </c>
      <c r="B1499" s="84" t="inlineStr">
        <is>
          <t>B331</t>
        </is>
      </c>
      <c r="C1499" s="84" t="inlineStr">
        <is>
          <t>上海区域</t>
        </is>
      </c>
      <c r="D1499" s="84" t="inlineStr">
        <is>
          <t>CN0Q</t>
        </is>
      </c>
      <c r="E1499" s="80" t="inlineStr">
        <is>
          <t>EE 苏州比斯特</t>
        </is>
      </c>
      <c r="F1499" s="84" t="n">
        <v>4</v>
      </c>
      <c r="G1499" s="84" t="inlineStr">
        <is>
          <t>奥特莱斯</t>
        </is>
      </c>
      <c r="H1499" s="84" t="inlineStr">
        <is>
          <t>EETJG24E02</t>
        </is>
      </c>
      <c r="I1499" s="84" t="n">
        <v>699</v>
      </c>
      <c r="J1499" s="84" t="n">
        <v>699</v>
      </c>
      <c r="K1499" s="85" t="n">
        <v>1</v>
      </c>
      <c r="L1499" s="85" t="n">
        <v>451</v>
      </c>
    </row>
    <row r="1500" ht="12.75" customHeight="1" s="103">
      <c r="A1500" s="78">
        <f>MID(H1500,3,2)</f>
        <v/>
      </c>
      <c r="B1500" s="84" t="inlineStr">
        <is>
          <t>B331</t>
        </is>
      </c>
      <c r="C1500" s="84" t="inlineStr">
        <is>
          <t>上海区域</t>
        </is>
      </c>
      <c r="D1500" s="84" t="inlineStr">
        <is>
          <t>CN0Q</t>
        </is>
      </c>
      <c r="E1500" s="80" t="inlineStr">
        <is>
          <t>EE 苏州比斯特</t>
        </is>
      </c>
      <c r="F1500" s="84" t="n">
        <v>4</v>
      </c>
      <c r="G1500" s="84" t="inlineStr">
        <is>
          <t>奥特莱斯</t>
        </is>
      </c>
      <c r="H1500" s="84" t="inlineStr">
        <is>
          <t>EETJG24E02</t>
        </is>
      </c>
      <c r="I1500" s="84" t="n">
        <v>699</v>
      </c>
      <c r="J1500" s="84" t="n">
        <v>699</v>
      </c>
      <c r="K1500" s="85" t="n">
        <v>1</v>
      </c>
      <c r="L1500" s="85" t="n">
        <v>444</v>
      </c>
    </row>
    <row r="1501" ht="12.75" customHeight="1" s="103">
      <c r="A1501" s="78">
        <f>MID(H1501,3,2)</f>
        <v/>
      </c>
      <c r="B1501" s="84" t="inlineStr">
        <is>
          <t>B331</t>
        </is>
      </c>
      <c r="C1501" s="84" t="inlineStr">
        <is>
          <t>上海区域</t>
        </is>
      </c>
      <c r="D1501" s="84" t="inlineStr">
        <is>
          <t>CN0Q</t>
        </is>
      </c>
      <c r="E1501" s="80" t="inlineStr">
        <is>
          <t>EE 苏州比斯特</t>
        </is>
      </c>
      <c r="F1501" s="84" t="n">
        <v>4</v>
      </c>
      <c r="G1501" s="84" t="inlineStr">
        <is>
          <t>奥特莱斯</t>
        </is>
      </c>
      <c r="H1501" s="84" t="inlineStr">
        <is>
          <t>EETJG24E02</t>
        </is>
      </c>
      <c r="I1501" s="84" t="n">
        <v>699</v>
      </c>
      <c r="J1501" s="84" t="n">
        <v>699</v>
      </c>
      <c r="K1501" s="85" t="n"/>
      <c r="L1501" s="85" t="n"/>
    </row>
    <row r="1502" ht="12.75" customHeight="1" s="103">
      <c r="A1502" s="78">
        <f>MID(H1502,3,2)</f>
        <v/>
      </c>
      <c r="B1502" s="84" t="inlineStr">
        <is>
          <t>B331</t>
        </is>
      </c>
      <c r="C1502" s="84" t="inlineStr">
        <is>
          <t>上海区域</t>
        </is>
      </c>
      <c r="D1502" s="84" t="inlineStr">
        <is>
          <t>CN0Q</t>
        </is>
      </c>
      <c r="E1502" s="80" t="inlineStr">
        <is>
          <t>EE 苏州比斯特</t>
        </is>
      </c>
      <c r="F1502" s="84" t="n">
        <v>4</v>
      </c>
      <c r="G1502" s="84" t="inlineStr">
        <is>
          <t>奥特莱斯</t>
        </is>
      </c>
      <c r="H1502" s="84" t="inlineStr">
        <is>
          <t>EETJG24E02</t>
        </is>
      </c>
      <c r="I1502" s="84" t="n">
        <v>699</v>
      </c>
      <c r="J1502" s="84" t="n">
        <v>699</v>
      </c>
      <c r="K1502" s="85" t="n"/>
      <c r="L1502" s="85" t="n"/>
    </row>
    <row r="1503" ht="12.75" customHeight="1" s="103">
      <c r="A1503" s="78">
        <f>MID(H1503,3,2)</f>
        <v/>
      </c>
      <c r="B1503" s="84" t="inlineStr">
        <is>
          <t>B331</t>
        </is>
      </c>
      <c r="C1503" s="84" t="inlineStr">
        <is>
          <t>上海区域</t>
        </is>
      </c>
      <c r="D1503" s="84" t="inlineStr">
        <is>
          <t>CN0Q</t>
        </is>
      </c>
      <c r="E1503" s="80" t="inlineStr">
        <is>
          <t>EE 苏州比斯特</t>
        </is>
      </c>
      <c r="F1503" s="84" t="n">
        <v>4</v>
      </c>
      <c r="G1503" s="84" t="inlineStr">
        <is>
          <t>奥特莱斯</t>
        </is>
      </c>
      <c r="H1503" s="84" t="inlineStr">
        <is>
          <t>EETJG24E02</t>
        </is>
      </c>
      <c r="I1503" s="84" t="n">
        <v>699</v>
      </c>
      <c r="J1503" s="84" t="n">
        <v>699</v>
      </c>
      <c r="K1503" s="85" t="n"/>
      <c r="L1503" s="85" t="n"/>
    </row>
    <row r="1504" ht="12.75" customHeight="1" s="103">
      <c r="A1504" s="78">
        <f>MID(H1504,3,2)</f>
        <v/>
      </c>
      <c r="B1504" s="84" t="inlineStr">
        <is>
          <t>B331</t>
        </is>
      </c>
      <c r="C1504" s="84" t="inlineStr">
        <is>
          <t>上海区域</t>
        </is>
      </c>
      <c r="D1504" s="84" t="inlineStr">
        <is>
          <t>CN0Q</t>
        </is>
      </c>
      <c r="E1504" s="80" t="inlineStr">
        <is>
          <t>EE 苏州比斯特</t>
        </is>
      </c>
      <c r="F1504" s="84" t="n">
        <v>4</v>
      </c>
      <c r="G1504" s="84" t="inlineStr">
        <is>
          <t>奥特莱斯</t>
        </is>
      </c>
      <c r="H1504" s="84" t="inlineStr">
        <is>
          <t>EETJG24E02</t>
        </is>
      </c>
      <c r="I1504" s="84" t="n">
        <v>699</v>
      </c>
      <c r="J1504" s="84" t="n">
        <v>699</v>
      </c>
      <c r="K1504" s="85" t="n"/>
      <c r="L1504" s="85" t="n"/>
    </row>
    <row r="1505" ht="12.75" customHeight="1" s="103">
      <c r="A1505" s="78">
        <f>MID(H1505,3,2)</f>
        <v/>
      </c>
      <c r="B1505" s="84" t="inlineStr">
        <is>
          <t>B331</t>
        </is>
      </c>
      <c r="C1505" s="84" t="inlineStr">
        <is>
          <t>上海区域</t>
        </is>
      </c>
      <c r="D1505" s="84" t="inlineStr">
        <is>
          <t>CN0Q</t>
        </is>
      </c>
      <c r="E1505" s="80" t="inlineStr">
        <is>
          <t>EE 苏州比斯特</t>
        </is>
      </c>
      <c r="F1505" s="84" t="n">
        <v>4</v>
      </c>
      <c r="G1505" s="84" t="inlineStr">
        <is>
          <t>奥特莱斯</t>
        </is>
      </c>
      <c r="H1505" s="84" t="inlineStr">
        <is>
          <t>EETJG24E02</t>
        </is>
      </c>
      <c r="I1505" s="84" t="n">
        <v>699</v>
      </c>
      <c r="J1505" s="84" t="n">
        <v>699</v>
      </c>
      <c r="K1505" s="85" t="n"/>
      <c r="L1505" s="85" t="n"/>
    </row>
    <row r="1506" ht="12.75" customHeight="1" s="103">
      <c r="A1506" s="78">
        <f>MID(H1506,3,2)</f>
        <v/>
      </c>
      <c r="B1506" s="84" t="inlineStr">
        <is>
          <t>B331</t>
        </is>
      </c>
      <c r="C1506" s="84" t="inlineStr">
        <is>
          <t>上海区域</t>
        </is>
      </c>
      <c r="D1506" s="84" t="inlineStr">
        <is>
          <t>CN0Q</t>
        </is>
      </c>
      <c r="E1506" s="80" t="inlineStr">
        <is>
          <t>EE 苏州比斯特</t>
        </is>
      </c>
      <c r="F1506" s="84" t="n">
        <v>4</v>
      </c>
      <c r="G1506" s="84" t="inlineStr">
        <is>
          <t>奥特莱斯</t>
        </is>
      </c>
      <c r="H1506" s="84" t="inlineStr">
        <is>
          <t>EETJG24E02</t>
        </is>
      </c>
      <c r="I1506" s="84" t="n">
        <v>699</v>
      </c>
      <c r="J1506" s="84" t="n">
        <v>699</v>
      </c>
      <c r="K1506" s="85" t="n"/>
      <c r="L1506" s="85" t="n"/>
    </row>
    <row r="1507" ht="12.75" customHeight="1" s="103">
      <c r="A1507" s="78">
        <f>MID(H1507,3,2)</f>
        <v/>
      </c>
      <c r="B1507" s="84" t="inlineStr">
        <is>
          <t>B331</t>
        </is>
      </c>
      <c r="C1507" s="84" t="inlineStr">
        <is>
          <t>上海区域</t>
        </is>
      </c>
      <c r="D1507" s="84" t="inlineStr">
        <is>
          <t>CN0Q</t>
        </is>
      </c>
      <c r="E1507" s="80" t="inlineStr">
        <is>
          <t>EE 苏州比斯特</t>
        </is>
      </c>
      <c r="F1507" s="84" t="n">
        <v>4</v>
      </c>
      <c r="G1507" s="84" t="inlineStr">
        <is>
          <t>奥特莱斯</t>
        </is>
      </c>
      <c r="H1507" s="84" t="inlineStr">
        <is>
          <t>EETJG24E04</t>
        </is>
      </c>
      <c r="I1507" s="84" t="n">
        <v>699</v>
      </c>
      <c r="J1507" s="84" t="n">
        <v>699</v>
      </c>
      <c r="K1507" s="85" t="n"/>
      <c r="L1507" s="85" t="n"/>
    </row>
    <row r="1508" ht="12.75" customHeight="1" s="103">
      <c r="A1508" s="78">
        <f>MID(H1508,3,2)</f>
        <v/>
      </c>
      <c r="B1508" s="84" t="inlineStr">
        <is>
          <t>B331</t>
        </is>
      </c>
      <c r="C1508" s="84" t="inlineStr">
        <is>
          <t>上海区域</t>
        </is>
      </c>
      <c r="D1508" s="84" t="inlineStr">
        <is>
          <t>CN0Q</t>
        </is>
      </c>
      <c r="E1508" s="80" t="inlineStr">
        <is>
          <t>EE 苏州比斯特</t>
        </is>
      </c>
      <c r="F1508" s="84" t="n">
        <v>4</v>
      </c>
      <c r="G1508" s="84" t="inlineStr">
        <is>
          <t>奥特莱斯</t>
        </is>
      </c>
      <c r="H1508" s="84" t="inlineStr">
        <is>
          <t>EETJG24E04</t>
        </is>
      </c>
      <c r="I1508" s="84" t="n">
        <v>699</v>
      </c>
      <c r="J1508" s="84" t="n">
        <v>699</v>
      </c>
      <c r="K1508" s="85" t="n"/>
      <c r="L1508" s="85" t="n"/>
    </row>
    <row r="1509" ht="12.75" customHeight="1" s="103">
      <c r="A1509" s="78">
        <f>MID(H1509,3,2)</f>
        <v/>
      </c>
      <c r="B1509" s="84" t="inlineStr">
        <is>
          <t>B331</t>
        </is>
      </c>
      <c r="C1509" s="84" t="inlineStr">
        <is>
          <t>上海区域</t>
        </is>
      </c>
      <c r="D1509" s="84" t="inlineStr">
        <is>
          <t>CN0Q</t>
        </is>
      </c>
      <c r="E1509" s="80" t="inlineStr">
        <is>
          <t>EE 苏州比斯特</t>
        </is>
      </c>
      <c r="F1509" s="84" t="n">
        <v>4</v>
      </c>
      <c r="G1509" s="84" t="inlineStr">
        <is>
          <t>奥特莱斯</t>
        </is>
      </c>
      <c r="H1509" s="84" t="inlineStr">
        <is>
          <t>EETJG24E04</t>
        </is>
      </c>
      <c r="I1509" s="84" t="n">
        <v>699</v>
      </c>
      <c r="J1509" s="84" t="n">
        <v>699</v>
      </c>
      <c r="K1509" s="85" t="n"/>
      <c r="L1509" s="85" t="n"/>
    </row>
    <row r="1510" ht="12.75" customHeight="1" s="103">
      <c r="A1510" s="78">
        <f>MID(H1510,3,2)</f>
        <v/>
      </c>
      <c r="B1510" s="84" t="inlineStr">
        <is>
          <t>B331</t>
        </is>
      </c>
      <c r="C1510" s="84" t="inlineStr">
        <is>
          <t>上海区域</t>
        </is>
      </c>
      <c r="D1510" s="84" t="inlineStr">
        <is>
          <t>CN0Q</t>
        </is>
      </c>
      <c r="E1510" s="80" t="inlineStr">
        <is>
          <t>EE 苏州比斯特</t>
        </is>
      </c>
      <c r="F1510" s="84" t="n">
        <v>4</v>
      </c>
      <c r="G1510" s="84" t="inlineStr">
        <is>
          <t>奥特莱斯</t>
        </is>
      </c>
      <c r="H1510" s="84" t="inlineStr">
        <is>
          <t>EETJG24E04</t>
        </is>
      </c>
      <c r="I1510" s="84" t="n">
        <v>699</v>
      </c>
      <c r="J1510" s="84" t="n">
        <v>699</v>
      </c>
      <c r="K1510" s="85" t="n"/>
      <c r="L1510" s="85" t="n"/>
    </row>
    <row r="1511" ht="12.75" customHeight="1" s="103">
      <c r="A1511" s="78">
        <f>MID(H1511,3,2)</f>
        <v/>
      </c>
      <c r="B1511" s="84" t="inlineStr">
        <is>
          <t>B331</t>
        </is>
      </c>
      <c r="C1511" s="84" t="inlineStr">
        <is>
          <t>上海区域</t>
        </is>
      </c>
      <c r="D1511" s="84" t="inlineStr">
        <is>
          <t>CN0Q</t>
        </is>
      </c>
      <c r="E1511" s="80" t="inlineStr">
        <is>
          <t>EE 苏州比斯特</t>
        </is>
      </c>
      <c r="F1511" s="84" t="n">
        <v>4</v>
      </c>
      <c r="G1511" s="84" t="inlineStr">
        <is>
          <t>奥特莱斯</t>
        </is>
      </c>
      <c r="H1511" s="84" t="inlineStr">
        <is>
          <t>EETJG24E04</t>
        </is>
      </c>
      <c r="I1511" s="84" t="n">
        <v>699</v>
      </c>
      <c r="J1511" s="84" t="n">
        <v>699</v>
      </c>
      <c r="K1511" s="85" t="n"/>
      <c r="L1511" s="85" t="n"/>
    </row>
    <row r="1512" ht="12.75" customHeight="1" s="103">
      <c r="A1512" s="78">
        <f>MID(H1512,3,2)</f>
        <v/>
      </c>
      <c r="B1512" s="84" t="inlineStr">
        <is>
          <t>B331</t>
        </is>
      </c>
      <c r="C1512" s="84" t="inlineStr">
        <is>
          <t>上海区域</t>
        </is>
      </c>
      <c r="D1512" s="84" t="inlineStr">
        <is>
          <t>CN0Q</t>
        </is>
      </c>
      <c r="E1512" s="80" t="inlineStr">
        <is>
          <t>EE 苏州比斯特</t>
        </is>
      </c>
      <c r="F1512" s="84" t="n">
        <v>4</v>
      </c>
      <c r="G1512" s="84" t="inlineStr">
        <is>
          <t>奥特莱斯</t>
        </is>
      </c>
      <c r="H1512" s="84" t="inlineStr">
        <is>
          <t>EETJG24E04</t>
        </is>
      </c>
      <c r="I1512" s="84" t="n">
        <v>699</v>
      </c>
      <c r="J1512" s="84" t="n">
        <v>699</v>
      </c>
      <c r="K1512" s="85" t="n"/>
      <c r="L1512" s="85" t="n"/>
    </row>
    <row r="1513" ht="12.75" customHeight="1" s="103">
      <c r="A1513" s="78">
        <f>MID(H1513,3,2)</f>
        <v/>
      </c>
      <c r="B1513" s="84" t="inlineStr">
        <is>
          <t>B331</t>
        </is>
      </c>
      <c r="C1513" s="84" t="inlineStr">
        <is>
          <t>上海区域</t>
        </is>
      </c>
      <c r="D1513" s="84" t="inlineStr">
        <is>
          <t>CN0Q</t>
        </is>
      </c>
      <c r="E1513" s="80" t="inlineStr">
        <is>
          <t>EE 苏州比斯特</t>
        </is>
      </c>
      <c r="F1513" s="84" t="n">
        <v>4</v>
      </c>
      <c r="G1513" s="84" t="inlineStr">
        <is>
          <t>奥特莱斯</t>
        </is>
      </c>
      <c r="H1513" s="84" t="inlineStr">
        <is>
          <t>EETJG24E04</t>
        </is>
      </c>
      <c r="I1513" s="84" t="n">
        <v>699</v>
      </c>
      <c r="J1513" s="84" t="n">
        <v>699</v>
      </c>
      <c r="K1513" s="85" t="n"/>
      <c r="L1513" s="85" t="n"/>
    </row>
    <row r="1514" ht="12.75" customHeight="1" s="103">
      <c r="A1514" s="78">
        <f>MID(H1514,3,2)</f>
        <v/>
      </c>
      <c r="B1514" s="84" t="inlineStr">
        <is>
          <t>B331</t>
        </is>
      </c>
      <c r="C1514" s="84" t="inlineStr">
        <is>
          <t>上海区域</t>
        </is>
      </c>
      <c r="D1514" s="84" t="inlineStr">
        <is>
          <t>CN0Q</t>
        </is>
      </c>
      <c r="E1514" s="80" t="inlineStr">
        <is>
          <t>EE 苏州比斯特</t>
        </is>
      </c>
      <c r="F1514" s="84" t="n">
        <v>4</v>
      </c>
      <c r="G1514" s="84" t="inlineStr">
        <is>
          <t>奥特莱斯</t>
        </is>
      </c>
      <c r="H1514" s="84" t="inlineStr">
        <is>
          <t>EETJG24E04</t>
        </is>
      </c>
      <c r="I1514" s="84" t="n">
        <v>699</v>
      </c>
      <c r="J1514" s="84" t="n">
        <v>699</v>
      </c>
      <c r="K1514" s="85" t="n"/>
      <c r="L1514" s="85" t="n"/>
    </row>
    <row r="1515" ht="12.75" customHeight="1" s="103">
      <c r="A1515" s="78">
        <f>MID(H1515,3,2)</f>
        <v/>
      </c>
      <c r="B1515" s="84" t="inlineStr">
        <is>
          <t>B331</t>
        </is>
      </c>
      <c r="C1515" s="84" t="inlineStr">
        <is>
          <t>上海区域</t>
        </is>
      </c>
      <c r="D1515" s="84" t="inlineStr">
        <is>
          <t>CN0Q</t>
        </is>
      </c>
      <c r="E1515" s="80" t="inlineStr">
        <is>
          <t>EE 苏州比斯特</t>
        </is>
      </c>
      <c r="F1515" s="84" t="n">
        <v>4</v>
      </c>
      <c r="G1515" s="84" t="inlineStr">
        <is>
          <t>奥特莱斯</t>
        </is>
      </c>
      <c r="H1515" s="84" t="inlineStr">
        <is>
          <t>EETJG24E04</t>
        </is>
      </c>
      <c r="I1515" s="84" t="n">
        <v>699</v>
      </c>
      <c r="J1515" s="84" t="n">
        <v>699</v>
      </c>
      <c r="K1515" s="85" t="n"/>
      <c r="L1515" s="85" t="n"/>
    </row>
    <row r="1516" ht="12.75" customHeight="1" s="103">
      <c r="A1516" s="78">
        <f>MID(H1516,3,2)</f>
        <v/>
      </c>
      <c r="B1516" s="84" t="inlineStr">
        <is>
          <t>B331</t>
        </is>
      </c>
      <c r="C1516" s="84" t="inlineStr">
        <is>
          <t>上海区域</t>
        </is>
      </c>
      <c r="D1516" s="84" t="inlineStr">
        <is>
          <t>CN0Q</t>
        </is>
      </c>
      <c r="E1516" s="80" t="inlineStr">
        <is>
          <t>EE 苏州比斯特</t>
        </is>
      </c>
      <c r="F1516" s="84" t="n">
        <v>4</v>
      </c>
      <c r="G1516" s="84" t="inlineStr">
        <is>
          <t>奥特莱斯</t>
        </is>
      </c>
      <c r="H1516" s="84" t="inlineStr">
        <is>
          <t>EETJG24E05</t>
        </is>
      </c>
      <c r="I1516" s="84" t="n">
        <v>699</v>
      </c>
      <c r="J1516" s="84" t="n">
        <v>599</v>
      </c>
      <c r="K1516" s="85" t="n"/>
      <c r="L1516" s="85" t="n"/>
    </row>
    <row r="1517" ht="12.75" customHeight="1" s="103">
      <c r="A1517" s="78">
        <f>MID(H1517,3,2)</f>
        <v/>
      </c>
      <c r="B1517" s="84" t="inlineStr">
        <is>
          <t>B331</t>
        </is>
      </c>
      <c r="C1517" s="84" t="inlineStr">
        <is>
          <t>上海区域</t>
        </is>
      </c>
      <c r="D1517" s="84" t="inlineStr">
        <is>
          <t>CN0Q</t>
        </is>
      </c>
      <c r="E1517" s="80" t="inlineStr">
        <is>
          <t>EE 苏州比斯特</t>
        </is>
      </c>
      <c r="F1517" s="84" t="n">
        <v>4</v>
      </c>
      <c r="G1517" s="84" t="inlineStr">
        <is>
          <t>奥特莱斯</t>
        </is>
      </c>
      <c r="H1517" s="84" t="inlineStr">
        <is>
          <t>EETJG24E05</t>
        </is>
      </c>
      <c r="I1517" s="84" t="n">
        <v>699</v>
      </c>
      <c r="J1517" s="84" t="n">
        <v>599</v>
      </c>
      <c r="K1517" s="85" t="n">
        <v>1</v>
      </c>
      <c r="L1517" s="85" t="n">
        <v>392</v>
      </c>
    </row>
    <row r="1518" ht="12.75" customHeight="1" s="103">
      <c r="A1518" s="78">
        <f>MID(H1518,3,2)</f>
        <v/>
      </c>
      <c r="B1518" s="84" t="inlineStr">
        <is>
          <t>B331</t>
        </is>
      </c>
      <c r="C1518" s="84" t="inlineStr">
        <is>
          <t>上海区域</t>
        </is>
      </c>
      <c r="D1518" s="84" t="inlineStr">
        <is>
          <t>CN0Q</t>
        </is>
      </c>
      <c r="E1518" s="80" t="inlineStr">
        <is>
          <t>EE 苏州比斯特</t>
        </is>
      </c>
      <c r="F1518" s="84" t="n">
        <v>4</v>
      </c>
      <c r="G1518" s="84" t="inlineStr">
        <is>
          <t>奥特莱斯</t>
        </is>
      </c>
      <c r="H1518" s="84" t="inlineStr">
        <is>
          <t>EETJG24E05</t>
        </is>
      </c>
      <c r="I1518" s="84" t="n">
        <v>699</v>
      </c>
      <c r="J1518" s="84" t="n">
        <v>599</v>
      </c>
      <c r="K1518" s="85" t="n">
        <v>1</v>
      </c>
      <c r="L1518" s="85" t="n">
        <v>382</v>
      </c>
    </row>
    <row r="1519" ht="12.75" customHeight="1" s="103">
      <c r="A1519" s="78">
        <f>MID(H1519,3,2)</f>
        <v/>
      </c>
      <c r="B1519" s="84" t="inlineStr">
        <is>
          <t>B331</t>
        </is>
      </c>
      <c r="C1519" s="84" t="inlineStr">
        <is>
          <t>上海区域</t>
        </is>
      </c>
      <c r="D1519" s="84" t="inlineStr">
        <is>
          <t>CN0Q</t>
        </is>
      </c>
      <c r="E1519" s="80" t="inlineStr">
        <is>
          <t>EE 苏州比斯特</t>
        </is>
      </c>
      <c r="F1519" s="84" t="n">
        <v>4</v>
      </c>
      <c r="G1519" s="84" t="inlineStr">
        <is>
          <t>奥特莱斯</t>
        </is>
      </c>
      <c r="H1519" s="84" t="inlineStr">
        <is>
          <t>EETJG24E05</t>
        </is>
      </c>
      <c r="I1519" s="84" t="n">
        <v>699</v>
      </c>
      <c r="J1519" s="84" t="n">
        <v>599</v>
      </c>
      <c r="K1519" s="85" t="n"/>
      <c r="L1519" s="85" t="n"/>
    </row>
    <row r="1520" ht="12.75" customHeight="1" s="103">
      <c r="A1520" s="78">
        <f>MID(H1520,3,2)</f>
        <v/>
      </c>
      <c r="B1520" s="84" t="inlineStr">
        <is>
          <t>B331</t>
        </is>
      </c>
      <c r="C1520" s="84" t="inlineStr">
        <is>
          <t>上海区域</t>
        </is>
      </c>
      <c r="D1520" s="84" t="inlineStr">
        <is>
          <t>CN0Q</t>
        </is>
      </c>
      <c r="E1520" s="80" t="inlineStr">
        <is>
          <t>EE 苏州比斯特</t>
        </is>
      </c>
      <c r="F1520" s="84" t="n">
        <v>4</v>
      </c>
      <c r="G1520" s="84" t="inlineStr">
        <is>
          <t>奥特莱斯</t>
        </is>
      </c>
      <c r="H1520" s="84" t="inlineStr">
        <is>
          <t>EETJG24E05</t>
        </is>
      </c>
      <c r="I1520" s="84" t="n">
        <v>699</v>
      </c>
      <c r="J1520" s="84" t="n">
        <v>599</v>
      </c>
      <c r="K1520" s="85" t="n">
        <v>3</v>
      </c>
      <c r="L1520" s="85" t="n">
        <v>801</v>
      </c>
    </row>
    <row r="1521" ht="12.75" customHeight="1" s="103">
      <c r="A1521" s="78">
        <f>MID(H1521,3,2)</f>
        <v/>
      </c>
      <c r="B1521" s="84" t="inlineStr">
        <is>
          <t>B331</t>
        </is>
      </c>
      <c r="C1521" s="84" t="inlineStr">
        <is>
          <t>上海区域</t>
        </is>
      </c>
      <c r="D1521" s="84" t="inlineStr">
        <is>
          <t>CN0Q</t>
        </is>
      </c>
      <c r="E1521" s="80" t="inlineStr">
        <is>
          <t>EE 苏州比斯特</t>
        </is>
      </c>
      <c r="F1521" s="84" t="n">
        <v>4</v>
      </c>
      <c r="G1521" s="84" t="inlineStr">
        <is>
          <t>奥特莱斯</t>
        </is>
      </c>
      <c r="H1521" s="84" t="inlineStr">
        <is>
          <t>EETJG24E05</t>
        </is>
      </c>
      <c r="I1521" s="84" t="n">
        <v>699</v>
      </c>
      <c r="J1521" s="84" t="n">
        <v>599</v>
      </c>
      <c r="K1521" s="85" t="n">
        <v>6</v>
      </c>
      <c r="L1521" s="86" t="n">
        <v>1587</v>
      </c>
    </row>
    <row r="1522" ht="12.75" customHeight="1" s="103">
      <c r="A1522" s="78">
        <f>MID(H1522,3,2)</f>
        <v/>
      </c>
      <c r="B1522" s="84" t="inlineStr">
        <is>
          <t>B331</t>
        </is>
      </c>
      <c r="C1522" s="84" t="inlineStr">
        <is>
          <t>上海区域</t>
        </is>
      </c>
      <c r="D1522" s="84" t="inlineStr">
        <is>
          <t>CN0Q</t>
        </is>
      </c>
      <c r="E1522" s="80" t="inlineStr">
        <is>
          <t>EE 苏州比斯特</t>
        </is>
      </c>
      <c r="F1522" s="84" t="n">
        <v>4</v>
      </c>
      <c r="G1522" s="84" t="inlineStr">
        <is>
          <t>奥特莱斯</t>
        </is>
      </c>
      <c r="H1522" s="84" t="inlineStr">
        <is>
          <t>EETJG24E05</t>
        </is>
      </c>
      <c r="I1522" s="84" t="n">
        <v>699</v>
      </c>
      <c r="J1522" s="84" t="n">
        <v>599</v>
      </c>
      <c r="K1522" s="85" t="n">
        <v>2</v>
      </c>
      <c r="L1522" s="85" t="n">
        <v>770</v>
      </c>
    </row>
    <row r="1523" ht="12.75" customHeight="1" s="103">
      <c r="A1523" s="78">
        <f>MID(H1523,3,2)</f>
        <v/>
      </c>
      <c r="B1523" s="84" t="inlineStr">
        <is>
          <t>B331</t>
        </is>
      </c>
      <c r="C1523" s="84" t="inlineStr">
        <is>
          <t>上海区域</t>
        </is>
      </c>
      <c r="D1523" s="84" t="inlineStr">
        <is>
          <t>CN0Q</t>
        </is>
      </c>
      <c r="E1523" s="80" t="inlineStr">
        <is>
          <t>EE 苏州比斯特</t>
        </is>
      </c>
      <c r="F1523" s="84" t="n">
        <v>4</v>
      </c>
      <c r="G1523" s="84" t="inlineStr">
        <is>
          <t>奥特莱斯</t>
        </is>
      </c>
      <c r="H1523" s="84" t="inlineStr">
        <is>
          <t>EETJG24E05</t>
        </is>
      </c>
      <c r="I1523" s="84" t="n">
        <v>699</v>
      </c>
      <c r="J1523" s="84" t="n">
        <v>599</v>
      </c>
      <c r="K1523" s="85" t="n">
        <v>4</v>
      </c>
      <c r="L1523" s="86" t="n">
        <v>1188</v>
      </c>
    </row>
    <row r="1524" ht="12.75" customHeight="1" s="103">
      <c r="A1524" s="78">
        <f>MID(H1524,3,2)</f>
        <v/>
      </c>
      <c r="B1524" s="84" t="inlineStr">
        <is>
          <t>B331</t>
        </is>
      </c>
      <c r="C1524" s="84" t="inlineStr">
        <is>
          <t>上海区域</t>
        </is>
      </c>
      <c r="D1524" s="84" t="inlineStr">
        <is>
          <t>CN0Q</t>
        </is>
      </c>
      <c r="E1524" s="80" t="inlineStr">
        <is>
          <t>EE 苏州比斯特</t>
        </is>
      </c>
      <c r="F1524" s="84" t="n">
        <v>4</v>
      </c>
      <c r="G1524" s="84" t="inlineStr">
        <is>
          <t>奥特莱斯</t>
        </is>
      </c>
      <c r="H1524" s="84" t="inlineStr">
        <is>
          <t>EETJG24E05</t>
        </is>
      </c>
      <c r="I1524" s="84" t="n">
        <v>699</v>
      </c>
      <c r="J1524" s="84" t="n">
        <v>599</v>
      </c>
      <c r="K1524" s="85" t="n">
        <v>1</v>
      </c>
      <c r="L1524" s="85" t="n">
        <v>378</v>
      </c>
    </row>
    <row r="1525" ht="12.75" customHeight="1" s="103">
      <c r="A1525" s="78">
        <f>MID(H1525,3,2)</f>
        <v/>
      </c>
      <c r="B1525" s="84" t="inlineStr">
        <is>
          <t>B331</t>
        </is>
      </c>
      <c r="C1525" s="84" t="inlineStr">
        <is>
          <t>上海区域</t>
        </is>
      </c>
      <c r="D1525" s="84" t="inlineStr">
        <is>
          <t>CN0Q</t>
        </is>
      </c>
      <c r="E1525" s="80" t="inlineStr">
        <is>
          <t>EE 苏州比斯特</t>
        </is>
      </c>
      <c r="F1525" s="84" t="n">
        <v>4</v>
      </c>
      <c r="G1525" s="84" t="inlineStr">
        <is>
          <t>奥特莱斯</t>
        </is>
      </c>
      <c r="H1525" s="84" t="inlineStr">
        <is>
          <t>EETJG24E05</t>
        </is>
      </c>
      <c r="I1525" s="84" t="n">
        <v>699</v>
      </c>
      <c r="J1525" s="84" t="n">
        <v>599</v>
      </c>
      <c r="K1525" s="85" t="n">
        <v>1</v>
      </c>
      <c r="L1525" s="85" t="n">
        <v>393</v>
      </c>
    </row>
    <row r="1526" ht="12.75" customHeight="1" s="103">
      <c r="A1526" s="78">
        <f>MID(H1526,3,2)</f>
        <v/>
      </c>
      <c r="B1526" s="84" t="inlineStr">
        <is>
          <t>B331</t>
        </is>
      </c>
      <c r="C1526" s="84" t="inlineStr">
        <is>
          <t>上海区域</t>
        </is>
      </c>
      <c r="D1526" s="84" t="inlineStr">
        <is>
          <t>CN0Q</t>
        </is>
      </c>
      <c r="E1526" s="80" t="inlineStr">
        <is>
          <t>EE 苏州比斯特</t>
        </is>
      </c>
      <c r="F1526" s="84" t="n">
        <v>4</v>
      </c>
      <c r="G1526" s="84" t="inlineStr">
        <is>
          <t>奥特莱斯</t>
        </is>
      </c>
      <c r="H1526" s="84" t="inlineStr">
        <is>
          <t>EETJG24E05</t>
        </is>
      </c>
      <c r="I1526" s="84" t="n">
        <v>699</v>
      </c>
      <c r="J1526" s="84" t="n">
        <v>599</v>
      </c>
      <c r="K1526" s="85" t="n">
        <v>1</v>
      </c>
      <c r="L1526" s="85" t="n">
        <v>391</v>
      </c>
    </row>
    <row r="1527" ht="12.75" customHeight="1" s="103">
      <c r="A1527" s="78">
        <f>MID(H1527,3,2)</f>
        <v/>
      </c>
      <c r="B1527" s="84" t="inlineStr">
        <is>
          <t>B331</t>
        </is>
      </c>
      <c r="C1527" s="84" t="inlineStr">
        <is>
          <t>上海区域</t>
        </is>
      </c>
      <c r="D1527" s="84" t="inlineStr">
        <is>
          <t>CN0Q</t>
        </is>
      </c>
      <c r="E1527" s="80" t="inlineStr">
        <is>
          <t>EE 苏州比斯特</t>
        </is>
      </c>
      <c r="F1527" s="84" t="n">
        <v>4</v>
      </c>
      <c r="G1527" s="84" t="inlineStr">
        <is>
          <t>奥特莱斯</t>
        </is>
      </c>
      <c r="H1527" s="84" t="inlineStr">
        <is>
          <t>EETJG24E05</t>
        </is>
      </c>
      <c r="I1527" s="84" t="n">
        <v>699</v>
      </c>
      <c r="J1527" s="84" t="n">
        <v>599</v>
      </c>
      <c r="K1527" s="85" t="n">
        <v>2</v>
      </c>
      <c r="L1527" s="85" t="n">
        <v>799</v>
      </c>
    </row>
    <row r="1528" ht="12.75" customHeight="1" s="103">
      <c r="A1528" s="78">
        <f>MID(H1528,3,2)</f>
        <v/>
      </c>
      <c r="B1528" s="84" t="inlineStr">
        <is>
          <t>B331</t>
        </is>
      </c>
      <c r="C1528" s="84" t="inlineStr">
        <is>
          <t>上海区域</t>
        </is>
      </c>
      <c r="D1528" s="84" t="inlineStr">
        <is>
          <t>CN0Q</t>
        </is>
      </c>
      <c r="E1528" s="80" t="inlineStr">
        <is>
          <t>EE 苏州比斯特</t>
        </is>
      </c>
      <c r="F1528" s="84" t="n">
        <v>4</v>
      </c>
      <c r="G1528" s="84" t="inlineStr">
        <is>
          <t>奥特莱斯</t>
        </is>
      </c>
      <c r="H1528" s="84" t="inlineStr">
        <is>
          <t>EETJG24E05</t>
        </is>
      </c>
      <c r="I1528" s="84" t="n">
        <v>699</v>
      </c>
      <c r="J1528" s="84" t="n">
        <v>599</v>
      </c>
      <c r="K1528" s="85" t="n"/>
      <c r="L1528" s="85" t="n"/>
    </row>
    <row r="1529" ht="12.75" customHeight="1" s="103">
      <c r="A1529" s="78">
        <f>MID(H1529,3,2)</f>
        <v/>
      </c>
      <c r="B1529" s="84" t="inlineStr">
        <is>
          <t>B331</t>
        </is>
      </c>
      <c r="C1529" s="84" t="inlineStr">
        <is>
          <t>上海区域</t>
        </is>
      </c>
      <c r="D1529" s="84" t="inlineStr">
        <is>
          <t>CN0Q</t>
        </is>
      </c>
      <c r="E1529" s="80" t="inlineStr">
        <is>
          <t>EE 苏州比斯特</t>
        </is>
      </c>
      <c r="F1529" s="84" t="n">
        <v>4</v>
      </c>
      <c r="G1529" s="84" t="inlineStr">
        <is>
          <t>奥特莱斯</t>
        </is>
      </c>
      <c r="H1529" s="84" t="inlineStr">
        <is>
          <t>EETJG24E06</t>
        </is>
      </c>
      <c r="I1529" s="84" t="n">
        <v>599</v>
      </c>
      <c r="J1529" s="84" t="n">
        <v>599</v>
      </c>
      <c r="K1529" s="85" t="n">
        <v>2</v>
      </c>
      <c r="L1529" s="85" t="n">
        <v>388</v>
      </c>
    </row>
    <row r="1530" ht="12.75" customHeight="1" s="103">
      <c r="A1530" s="78">
        <f>MID(H1530,3,2)</f>
        <v/>
      </c>
      <c r="B1530" s="84" t="inlineStr">
        <is>
          <t>B331</t>
        </is>
      </c>
      <c r="C1530" s="84" t="inlineStr">
        <is>
          <t>上海区域</t>
        </is>
      </c>
      <c r="D1530" s="84" t="inlineStr">
        <is>
          <t>CN0Q</t>
        </is>
      </c>
      <c r="E1530" s="80" t="inlineStr">
        <is>
          <t>EE 苏州比斯特</t>
        </is>
      </c>
      <c r="F1530" s="84" t="n">
        <v>4</v>
      </c>
      <c r="G1530" s="84" t="inlineStr">
        <is>
          <t>奥特莱斯</t>
        </is>
      </c>
      <c r="H1530" s="84" t="inlineStr">
        <is>
          <t>EETJG24E06</t>
        </is>
      </c>
      <c r="I1530" s="84" t="n">
        <v>599</v>
      </c>
      <c r="J1530" s="84" t="n">
        <v>599</v>
      </c>
      <c r="K1530" s="85" t="n">
        <v>1</v>
      </c>
      <c r="L1530" s="85" t="n">
        <v>382</v>
      </c>
    </row>
    <row r="1531" ht="12.75" customHeight="1" s="103">
      <c r="A1531" s="78">
        <f>MID(H1531,3,2)</f>
        <v/>
      </c>
      <c r="B1531" s="84" t="inlineStr">
        <is>
          <t>B331</t>
        </is>
      </c>
      <c r="C1531" s="84" t="inlineStr">
        <is>
          <t>上海区域</t>
        </is>
      </c>
      <c r="D1531" s="84" t="inlineStr">
        <is>
          <t>CN0Q</t>
        </is>
      </c>
      <c r="E1531" s="80" t="inlineStr">
        <is>
          <t>EE 苏州比斯特</t>
        </is>
      </c>
      <c r="F1531" s="84" t="n">
        <v>4</v>
      </c>
      <c r="G1531" s="84" t="inlineStr">
        <is>
          <t>奥特莱斯</t>
        </is>
      </c>
      <c r="H1531" s="84" t="inlineStr">
        <is>
          <t>EETJG24E06</t>
        </is>
      </c>
      <c r="I1531" s="84" t="n">
        <v>599</v>
      </c>
      <c r="J1531" s="84" t="n">
        <v>599</v>
      </c>
      <c r="K1531" s="85" t="n">
        <v>1</v>
      </c>
      <c r="L1531" s="85" t="n">
        <v>387</v>
      </c>
    </row>
    <row r="1532" ht="12.75" customHeight="1" s="103">
      <c r="A1532" s="78">
        <f>MID(H1532,3,2)</f>
        <v/>
      </c>
      <c r="B1532" s="84" t="inlineStr">
        <is>
          <t>B331</t>
        </is>
      </c>
      <c r="C1532" s="84" t="inlineStr">
        <is>
          <t>上海区域</t>
        </is>
      </c>
      <c r="D1532" s="84" t="inlineStr">
        <is>
          <t>CN0Q</t>
        </is>
      </c>
      <c r="E1532" s="80" t="inlineStr">
        <is>
          <t>EE 苏州比斯特</t>
        </is>
      </c>
      <c r="F1532" s="84" t="n">
        <v>4</v>
      </c>
      <c r="G1532" s="84" t="inlineStr">
        <is>
          <t>奥特莱斯</t>
        </is>
      </c>
      <c r="H1532" s="84" t="inlineStr">
        <is>
          <t>EETJG24E06</t>
        </is>
      </c>
      <c r="I1532" s="84" t="n">
        <v>599</v>
      </c>
      <c r="J1532" s="84" t="n">
        <v>599</v>
      </c>
      <c r="K1532" s="85" t="n"/>
      <c r="L1532" s="85" t="n"/>
    </row>
    <row r="1533" ht="12.75" customHeight="1" s="103">
      <c r="A1533" s="78">
        <f>MID(H1533,3,2)</f>
        <v/>
      </c>
      <c r="B1533" s="84" t="inlineStr">
        <is>
          <t>B331</t>
        </is>
      </c>
      <c r="C1533" s="84" t="inlineStr">
        <is>
          <t>上海区域</t>
        </is>
      </c>
      <c r="D1533" s="84" t="inlineStr">
        <is>
          <t>CN0Q</t>
        </is>
      </c>
      <c r="E1533" s="80" t="inlineStr">
        <is>
          <t>EE 苏州比斯特</t>
        </is>
      </c>
      <c r="F1533" s="84" t="n">
        <v>4</v>
      </c>
      <c r="G1533" s="84" t="inlineStr">
        <is>
          <t>奥特莱斯</t>
        </is>
      </c>
      <c r="H1533" s="84" t="inlineStr">
        <is>
          <t>EETJG24E06</t>
        </is>
      </c>
      <c r="I1533" s="84" t="n">
        <v>599</v>
      </c>
      <c r="J1533" s="84" t="n">
        <v>599</v>
      </c>
      <c r="K1533" s="85" t="n"/>
      <c r="L1533" s="85" t="n"/>
    </row>
    <row r="1534" ht="12.75" customHeight="1" s="103">
      <c r="A1534" s="78">
        <f>MID(H1534,3,2)</f>
        <v/>
      </c>
      <c r="B1534" s="84" t="inlineStr">
        <is>
          <t>B331</t>
        </is>
      </c>
      <c r="C1534" s="84" t="inlineStr">
        <is>
          <t>上海区域</t>
        </is>
      </c>
      <c r="D1534" s="84" t="inlineStr">
        <is>
          <t>CN0Q</t>
        </is>
      </c>
      <c r="E1534" s="80" t="inlineStr">
        <is>
          <t>EE 苏州比斯特</t>
        </is>
      </c>
      <c r="F1534" s="84" t="n">
        <v>4</v>
      </c>
      <c r="G1534" s="84" t="inlineStr">
        <is>
          <t>奥特莱斯</t>
        </is>
      </c>
      <c r="H1534" s="84" t="inlineStr">
        <is>
          <t>EETJG24E06</t>
        </is>
      </c>
      <c r="I1534" s="84" t="n">
        <v>599</v>
      </c>
      <c r="J1534" s="84" t="n">
        <v>599</v>
      </c>
      <c r="K1534" s="85" t="n">
        <v>1</v>
      </c>
      <c r="L1534" s="85" t="n">
        <v>381</v>
      </c>
    </row>
    <row r="1535" ht="12.75" customHeight="1" s="103">
      <c r="A1535" s="78">
        <f>MID(H1535,3,2)</f>
        <v/>
      </c>
      <c r="B1535" s="84" t="inlineStr">
        <is>
          <t>B331</t>
        </is>
      </c>
      <c r="C1535" s="84" t="inlineStr">
        <is>
          <t>上海区域</t>
        </is>
      </c>
      <c r="D1535" s="84" t="inlineStr">
        <is>
          <t>CN0Q</t>
        </is>
      </c>
      <c r="E1535" s="80" t="inlineStr">
        <is>
          <t>EE 苏州比斯特</t>
        </is>
      </c>
      <c r="F1535" s="84" t="n">
        <v>4</v>
      </c>
      <c r="G1535" s="84" t="inlineStr">
        <is>
          <t>奥特莱斯</t>
        </is>
      </c>
      <c r="H1535" s="84" t="inlineStr">
        <is>
          <t>EETJG24E06</t>
        </is>
      </c>
      <c r="I1535" s="84" t="n">
        <v>599</v>
      </c>
      <c r="J1535" s="84" t="n">
        <v>599</v>
      </c>
      <c r="K1535" s="85" t="n">
        <v>1</v>
      </c>
      <c r="L1535" s="85" t="n">
        <v>180</v>
      </c>
    </row>
    <row r="1536" ht="12.75" customHeight="1" s="103">
      <c r="A1536" s="78">
        <f>MID(H1536,3,2)</f>
        <v/>
      </c>
      <c r="B1536" s="84" t="inlineStr">
        <is>
          <t>B331</t>
        </is>
      </c>
      <c r="C1536" s="84" t="inlineStr">
        <is>
          <t>上海区域</t>
        </is>
      </c>
      <c r="D1536" s="84" t="inlineStr">
        <is>
          <t>CN0Q</t>
        </is>
      </c>
      <c r="E1536" s="80" t="inlineStr">
        <is>
          <t>EE 苏州比斯特</t>
        </is>
      </c>
      <c r="F1536" s="84" t="n">
        <v>4</v>
      </c>
      <c r="G1536" s="84" t="inlineStr">
        <is>
          <t>奥特莱斯</t>
        </is>
      </c>
      <c r="H1536" s="84" t="inlineStr">
        <is>
          <t>EETJG24E06</t>
        </is>
      </c>
      <c r="I1536" s="84" t="n">
        <v>599</v>
      </c>
      <c r="J1536" s="84" t="n">
        <v>599</v>
      </c>
      <c r="K1536" s="85" t="n"/>
      <c r="L1536" s="85" t="n"/>
    </row>
    <row r="1537" ht="12.75" customHeight="1" s="103">
      <c r="A1537" s="78">
        <f>MID(H1537,3,2)</f>
        <v/>
      </c>
      <c r="B1537" s="84" t="inlineStr">
        <is>
          <t>B331</t>
        </is>
      </c>
      <c r="C1537" s="84" t="inlineStr">
        <is>
          <t>上海区域</t>
        </is>
      </c>
      <c r="D1537" s="84" t="inlineStr">
        <is>
          <t>CN0Q</t>
        </is>
      </c>
      <c r="E1537" s="80" t="inlineStr">
        <is>
          <t>EE 苏州比斯特</t>
        </is>
      </c>
      <c r="F1537" s="84" t="n">
        <v>4</v>
      </c>
      <c r="G1537" s="84" t="inlineStr">
        <is>
          <t>奥特莱斯</t>
        </is>
      </c>
      <c r="H1537" s="84" t="inlineStr">
        <is>
          <t>EETJG25B03</t>
        </is>
      </c>
      <c r="I1537" s="84" t="n">
        <v>999</v>
      </c>
      <c r="J1537" s="84" t="n">
        <v>999</v>
      </c>
      <c r="K1537" s="85" t="n">
        <v>1</v>
      </c>
      <c r="L1537" s="85" t="n">
        <v>699</v>
      </c>
    </row>
    <row r="1538" ht="12.75" customHeight="1" s="103">
      <c r="A1538" s="78">
        <f>MID(H1538,3,2)</f>
        <v/>
      </c>
      <c r="B1538" s="84" t="inlineStr">
        <is>
          <t>B331</t>
        </is>
      </c>
      <c r="C1538" s="84" t="inlineStr">
        <is>
          <t>上海区域</t>
        </is>
      </c>
      <c r="D1538" s="84" t="inlineStr">
        <is>
          <t>CN0Q</t>
        </is>
      </c>
      <c r="E1538" s="80" t="inlineStr">
        <is>
          <t>EE 苏州比斯特</t>
        </is>
      </c>
      <c r="F1538" s="84" t="n">
        <v>4</v>
      </c>
      <c r="G1538" s="84" t="inlineStr">
        <is>
          <t>奥特莱斯</t>
        </is>
      </c>
      <c r="H1538" s="84" t="inlineStr">
        <is>
          <t>EETJG25B03</t>
        </is>
      </c>
      <c r="I1538" s="84" t="n">
        <v>999</v>
      </c>
      <c r="J1538" s="84" t="n">
        <v>999</v>
      </c>
      <c r="K1538" s="85" t="n"/>
      <c r="L1538" s="85" t="n"/>
    </row>
    <row r="1539" ht="12.75" customHeight="1" s="103">
      <c r="A1539" s="78">
        <f>MID(H1539,3,2)</f>
        <v/>
      </c>
      <c r="B1539" s="84" t="inlineStr">
        <is>
          <t>B331</t>
        </is>
      </c>
      <c r="C1539" s="84" t="inlineStr">
        <is>
          <t>上海区域</t>
        </is>
      </c>
      <c r="D1539" s="84" t="inlineStr">
        <is>
          <t>CN0Q</t>
        </is>
      </c>
      <c r="E1539" s="80" t="inlineStr">
        <is>
          <t>EE 苏州比斯特</t>
        </is>
      </c>
      <c r="F1539" s="84" t="n">
        <v>4</v>
      </c>
      <c r="G1539" s="84" t="inlineStr">
        <is>
          <t>奥特莱斯</t>
        </is>
      </c>
      <c r="H1539" s="84" t="inlineStr">
        <is>
          <t>EETJG25B03</t>
        </is>
      </c>
      <c r="I1539" s="84" t="n">
        <v>999</v>
      </c>
      <c r="J1539" s="84" t="n">
        <v>999</v>
      </c>
      <c r="K1539" s="85" t="n">
        <v>1</v>
      </c>
      <c r="L1539" s="85" t="n">
        <v>699</v>
      </c>
    </row>
    <row r="1540" ht="12.75" customHeight="1" s="103">
      <c r="A1540" s="78">
        <f>MID(H1540,3,2)</f>
        <v/>
      </c>
      <c r="B1540" s="84" t="inlineStr">
        <is>
          <t>B331</t>
        </is>
      </c>
      <c r="C1540" s="84" t="inlineStr">
        <is>
          <t>上海区域</t>
        </is>
      </c>
      <c r="D1540" s="84" t="inlineStr">
        <is>
          <t>CN0Q</t>
        </is>
      </c>
      <c r="E1540" s="80" t="inlineStr">
        <is>
          <t>EE 苏州比斯特</t>
        </is>
      </c>
      <c r="F1540" s="84" t="n">
        <v>4</v>
      </c>
      <c r="G1540" s="84" t="inlineStr">
        <is>
          <t>奥特莱斯</t>
        </is>
      </c>
      <c r="H1540" s="84" t="inlineStr">
        <is>
          <t>EETJG25B03</t>
        </is>
      </c>
      <c r="I1540" s="84" t="n">
        <v>999</v>
      </c>
      <c r="J1540" s="84" t="n">
        <v>999</v>
      </c>
      <c r="K1540" s="85" t="n"/>
      <c r="L1540" s="85" t="n"/>
    </row>
    <row r="1541" ht="12.75" customHeight="1" s="103">
      <c r="A1541" s="78">
        <f>MID(H1541,3,2)</f>
        <v/>
      </c>
      <c r="B1541" s="84" t="inlineStr">
        <is>
          <t>B331</t>
        </is>
      </c>
      <c r="C1541" s="84" t="inlineStr">
        <is>
          <t>上海区域</t>
        </is>
      </c>
      <c r="D1541" s="84" t="inlineStr">
        <is>
          <t>CN0Q</t>
        </is>
      </c>
      <c r="E1541" s="80" t="inlineStr">
        <is>
          <t>EE 苏州比斯特</t>
        </is>
      </c>
      <c r="F1541" s="84" t="n">
        <v>4</v>
      </c>
      <c r="G1541" s="84" t="inlineStr">
        <is>
          <t>奥特莱斯</t>
        </is>
      </c>
      <c r="H1541" s="84" t="inlineStr">
        <is>
          <t>EETJG25E1G</t>
        </is>
      </c>
      <c r="I1541" s="84" t="n">
        <v>699</v>
      </c>
      <c r="J1541" s="84" t="n">
        <v>699</v>
      </c>
      <c r="K1541" s="85" t="n">
        <v>1</v>
      </c>
      <c r="L1541" s="85" t="n"/>
    </row>
    <row r="1542" ht="12.75" customHeight="1" s="103">
      <c r="A1542" s="78">
        <f>MID(H1542,3,2)</f>
        <v/>
      </c>
      <c r="B1542" s="84" t="inlineStr">
        <is>
          <t>B331</t>
        </is>
      </c>
      <c r="C1542" s="84" t="inlineStr">
        <is>
          <t>上海区域</t>
        </is>
      </c>
      <c r="D1542" s="84" t="inlineStr">
        <is>
          <t>CN0Q</t>
        </is>
      </c>
      <c r="E1542" s="80" t="inlineStr">
        <is>
          <t>EE 苏州比斯特</t>
        </is>
      </c>
      <c r="F1542" s="84" t="n">
        <v>4</v>
      </c>
      <c r="G1542" s="84" t="inlineStr">
        <is>
          <t>奥特莱斯</t>
        </is>
      </c>
      <c r="H1542" s="84" t="inlineStr">
        <is>
          <t>EETJG25E1G</t>
        </is>
      </c>
      <c r="I1542" s="84" t="n">
        <v>699</v>
      </c>
      <c r="J1542" s="84" t="n">
        <v>699</v>
      </c>
      <c r="K1542" s="85" t="n"/>
      <c r="L1542" s="85" t="n"/>
    </row>
    <row r="1543" ht="12.75" customHeight="1" s="103">
      <c r="A1543" s="78">
        <f>MID(H1543,3,2)</f>
        <v/>
      </c>
      <c r="B1543" s="84" t="inlineStr">
        <is>
          <t>B331</t>
        </is>
      </c>
      <c r="C1543" s="84" t="inlineStr">
        <is>
          <t>上海区域</t>
        </is>
      </c>
      <c r="D1543" s="84" t="inlineStr">
        <is>
          <t>CN0Q</t>
        </is>
      </c>
      <c r="E1543" s="80" t="inlineStr">
        <is>
          <t>EE 苏州比斯特</t>
        </is>
      </c>
      <c r="F1543" s="84" t="n">
        <v>4</v>
      </c>
      <c r="G1543" s="84" t="inlineStr">
        <is>
          <t>奥特莱斯</t>
        </is>
      </c>
      <c r="H1543" s="84" t="inlineStr">
        <is>
          <t>EETJG25E1G</t>
        </is>
      </c>
      <c r="I1543" s="84" t="n">
        <v>699</v>
      </c>
      <c r="J1543" s="84" t="n">
        <v>699</v>
      </c>
      <c r="K1543" s="85" t="n"/>
      <c r="L1543" s="85" t="n"/>
    </row>
    <row r="1544" ht="12.75" customHeight="1" s="103">
      <c r="A1544" s="78">
        <f>MID(H1544,3,2)</f>
        <v/>
      </c>
      <c r="B1544" s="84" t="inlineStr">
        <is>
          <t>B331</t>
        </is>
      </c>
      <c r="C1544" s="84" t="inlineStr">
        <is>
          <t>上海区域</t>
        </is>
      </c>
      <c r="D1544" s="84" t="inlineStr">
        <is>
          <t>CN0Q</t>
        </is>
      </c>
      <c r="E1544" s="80" t="inlineStr">
        <is>
          <t>EE 苏州比斯特</t>
        </is>
      </c>
      <c r="F1544" s="84" t="n">
        <v>4</v>
      </c>
      <c r="G1544" s="84" t="inlineStr">
        <is>
          <t>奥特莱斯</t>
        </is>
      </c>
      <c r="H1544" s="84" t="inlineStr">
        <is>
          <t>EETJG25E1G</t>
        </is>
      </c>
      <c r="I1544" s="84" t="n">
        <v>699</v>
      </c>
      <c r="J1544" s="84" t="n">
        <v>699</v>
      </c>
      <c r="K1544" s="85" t="n"/>
      <c r="L1544" s="85" t="n"/>
    </row>
    <row r="1545" ht="12.75" customHeight="1" s="103">
      <c r="A1545" s="78">
        <f>MID(H1545,3,2)</f>
        <v/>
      </c>
      <c r="B1545" s="84" t="inlineStr">
        <is>
          <t>B331</t>
        </is>
      </c>
      <c r="C1545" s="84" t="inlineStr">
        <is>
          <t>上海区域</t>
        </is>
      </c>
      <c r="D1545" s="84" t="inlineStr">
        <is>
          <t>CN0Q</t>
        </is>
      </c>
      <c r="E1545" s="80" t="inlineStr">
        <is>
          <t>EE 苏州比斯特</t>
        </is>
      </c>
      <c r="F1545" s="84" t="n">
        <v>4</v>
      </c>
      <c r="G1545" s="84" t="inlineStr">
        <is>
          <t>奥特莱斯</t>
        </is>
      </c>
      <c r="H1545" s="84" t="inlineStr">
        <is>
          <t>EETJG65L37</t>
        </is>
      </c>
      <c r="I1545" s="84" t="n">
        <v>799</v>
      </c>
      <c r="J1545" s="84" t="n">
        <v>799</v>
      </c>
      <c r="K1545" s="85" t="n">
        <v>3</v>
      </c>
      <c r="L1545" s="86" t="n">
        <v>1094</v>
      </c>
    </row>
    <row r="1546" ht="12.75" customHeight="1" s="103">
      <c r="A1546" s="78">
        <f>MID(H1546,3,2)</f>
        <v/>
      </c>
      <c r="B1546" s="84" t="inlineStr">
        <is>
          <t>B331</t>
        </is>
      </c>
      <c r="C1546" s="84" t="inlineStr">
        <is>
          <t>上海区域</t>
        </is>
      </c>
      <c r="D1546" s="84" t="inlineStr">
        <is>
          <t>CN0Q</t>
        </is>
      </c>
      <c r="E1546" s="80" t="inlineStr">
        <is>
          <t>EE 苏州比斯特</t>
        </is>
      </c>
      <c r="F1546" s="84" t="n">
        <v>4</v>
      </c>
      <c r="G1546" s="84" t="inlineStr">
        <is>
          <t>奥特莱斯</t>
        </is>
      </c>
      <c r="H1546" s="84" t="inlineStr">
        <is>
          <t>EETJG65L37</t>
        </is>
      </c>
      <c r="I1546" s="84" t="n">
        <v>799</v>
      </c>
      <c r="J1546" s="84" t="n">
        <v>799</v>
      </c>
      <c r="K1546" s="85" t="n">
        <v>3</v>
      </c>
      <c r="L1546" s="86" t="n">
        <v>1132</v>
      </c>
    </row>
    <row r="1547" ht="12.75" customHeight="1" s="103">
      <c r="A1547" s="78">
        <f>MID(H1547,3,2)</f>
        <v/>
      </c>
      <c r="B1547" s="84" t="inlineStr">
        <is>
          <t>B331</t>
        </is>
      </c>
      <c r="C1547" s="84" t="inlineStr">
        <is>
          <t>上海区域</t>
        </is>
      </c>
      <c r="D1547" s="84" t="inlineStr">
        <is>
          <t>CN0Q</t>
        </is>
      </c>
      <c r="E1547" s="80" t="inlineStr">
        <is>
          <t>EE 苏州比斯特</t>
        </is>
      </c>
      <c r="F1547" s="84" t="n">
        <v>4</v>
      </c>
      <c r="G1547" s="84" t="inlineStr">
        <is>
          <t>奥特莱斯</t>
        </is>
      </c>
      <c r="H1547" s="84" t="inlineStr">
        <is>
          <t>EETJG65L37</t>
        </is>
      </c>
      <c r="I1547" s="84" t="n">
        <v>799</v>
      </c>
      <c r="J1547" s="84" t="n">
        <v>799</v>
      </c>
      <c r="K1547" s="85" t="n"/>
      <c r="L1547" s="85" t="n"/>
    </row>
    <row r="1548" ht="12.75" customHeight="1" s="103">
      <c r="A1548" s="78">
        <f>MID(H1548,3,2)</f>
        <v/>
      </c>
      <c r="B1548" s="84" t="inlineStr">
        <is>
          <t>B331</t>
        </is>
      </c>
      <c r="C1548" s="84" t="inlineStr">
        <is>
          <t>上海区域</t>
        </is>
      </c>
      <c r="D1548" s="84" t="inlineStr">
        <is>
          <t>CN0Q</t>
        </is>
      </c>
      <c r="E1548" s="80" t="inlineStr">
        <is>
          <t>EE 苏州比斯特</t>
        </is>
      </c>
      <c r="F1548" s="84" t="n">
        <v>4</v>
      </c>
      <c r="G1548" s="84" t="inlineStr">
        <is>
          <t>奥特莱斯</t>
        </is>
      </c>
      <c r="H1548" s="84" t="inlineStr">
        <is>
          <t>EETKG25D01</t>
        </is>
      </c>
      <c r="I1548" s="84" t="n">
        <v>799</v>
      </c>
      <c r="J1548" s="84" t="n">
        <v>799</v>
      </c>
      <c r="K1548" s="85" t="n"/>
      <c r="L1548" s="85" t="n"/>
    </row>
    <row r="1549" ht="12.75" customHeight="1" s="103">
      <c r="A1549" s="78">
        <f>MID(H1549,3,2)</f>
        <v/>
      </c>
      <c r="B1549" s="84" t="inlineStr">
        <is>
          <t>B331</t>
        </is>
      </c>
      <c r="C1549" s="84" t="inlineStr">
        <is>
          <t>上海区域</t>
        </is>
      </c>
      <c r="D1549" s="84" t="inlineStr">
        <is>
          <t>CN0Q</t>
        </is>
      </c>
      <c r="E1549" s="80" t="inlineStr">
        <is>
          <t>EE 苏州比斯特</t>
        </is>
      </c>
      <c r="F1549" s="84" t="n">
        <v>4</v>
      </c>
      <c r="G1549" s="84" t="inlineStr">
        <is>
          <t>奥特莱斯</t>
        </is>
      </c>
      <c r="H1549" s="84" t="inlineStr">
        <is>
          <t>EETKG25D01</t>
        </is>
      </c>
      <c r="I1549" s="84" t="n">
        <v>799</v>
      </c>
      <c r="J1549" s="84" t="n">
        <v>799</v>
      </c>
      <c r="K1549" s="85" t="n">
        <v>2</v>
      </c>
      <c r="L1549" s="85" t="n">
        <v>559</v>
      </c>
    </row>
    <row r="1550" ht="12.75" customHeight="1" s="103">
      <c r="A1550" s="78">
        <f>MID(H1550,3,2)</f>
        <v/>
      </c>
      <c r="B1550" s="84" t="inlineStr">
        <is>
          <t>B331</t>
        </is>
      </c>
      <c r="C1550" s="84" t="inlineStr">
        <is>
          <t>上海区域</t>
        </is>
      </c>
      <c r="D1550" s="84" t="inlineStr">
        <is>
          <t>CN0Q</t>
        </is>
      </c>
      <c r="E1550" s="80" t="inlineStr">
        <is>
          <t>EE 苏州比斯特</t>
        </is>
      </c>
      <c r="F1550" s="84" t="n">
        <v>4</v>
      </c>
      <c r="G1550" s="84" t="inlineStr">
        <is>
          <t>奥特莱斯</t>
        </is>
      </c>
      <c r="H1550" s="84" t="inlineStr">
        <is>
          <t>EETKG25D01</t>
        </is>
      </c>
      <c r="I1550" s="84" t="n">
        <v>799</v>
      </c>
      <c r="J1550" s="84" t="n">
        <v>799</v>
      </c>
      <c r="K1550" s="85" t="n">
        <v>1</v>
      </c>
      <c r="L1550" s="85" t="n"/>
    </row>
    <row r="1551" ht="12.75" customHeight="1" s="103">
      <c r="A1551" s="78">
        <f>MID(H1551,3,2)</f>
        <v/>
      </c>
      <c r="B1551" s="84" t="inlineStr">
        <is>
          <t>B331</t>
        </is>
      </c>
      <c r="C1551" s="84" t="inlineStr">
        <is>
          <t>上海区域</t>
        </is>
      </c>
      <c r="D1551" s="84" t="inlineStr">
        <is>
          <t>CN0Q</t>
        </is>
      </c>
      <c r="E1551" s="80" t="inlineStr">
        <is>
          <t>EE 苏州比斯特</t>
        </is>
      </c>
      <c r="F1551" s="84" t="n">
        <v>4</v>
      </c>
      <c r="G1551" s="84" t="inlineStr">
        <is>
          <t>奥特莱斯</t>
        </is>
      </c>
      <c r="H1551" s="84" t="inlineStr">
        <is>
          <t>EETMG11E01</t>
        </is>
      </c>
      <c r="I1551" s="84" t="n">
        <v>699</v>
      </c>
      <c r="J1551" s="84" t="n">
        <v>799</v>
      </c>
      <c r="K1551" s="85" t="n"/>
      <c r="L1551" s="85" t="n"/>
    </row>
    <row r="1552" ht="12.75" customHeight="1" s="103">
      <c r="A1552" s="78">
        <f>MID(H1552,3,2)</f>
        <v/>
      </c>
      <c r="B1552" s="84" t="inlineStr">
        <is>
          <t>B331</t>
        </is>
      </c>
      <c r="C1552" s="84" t="inlineStr">
        <is>
          <t>上海区域</t>
        </is>
      </c>
      <c r="D1552" s="84" t="inlineStr">
        <is>
          <t>CN0Q</t>
        </is>
      </c>
      <c r="E1552" s="80" t="inlineStr">
        <is>
          <t>EE 苏州比斯特</t>
        </is>
      </c>
      <c r="F1552" s="84" t="n">
        <v>4</v>
      </c>
      <c r="G1552" s="84" t="inlineStr">
        <is>
          <t>奥特莱斯</t>
        </is>
      </c>
      <c r="H1552" s="84" t="inlineStr">
        <is>
          <t>EETMG11E01</t>
        </is>
      </c>
      <c r="I1552" s="84" t="n">
        <v>699</v>
      </c>
      <c r="J1552" s="84" t="n">
        <v>799</v>
      </c>
      <c r="K1552" s="85" t="n"/>
      <c r="L1552" s="85" t="n"/>
    </row>
    <row r="1553" ht="12.75" customHeight="1" s="103">
      <c r="A1553" s="78">
        <f>MID(H1553,3,2)</f>
        <v/>
      </c>
      <c r="B1553" s="84" t="inlineStr">
        <is>
          <t>B331</t>
        </is>
      </c>
      <c r="C1553" s="84" t="inlineStr">
        <is>
          <t>上海区域</t>
        </is>
      </c>
      <c r="D1553" s="84" t="inlineStr">
        <is>
          <t>CN0Q</t>
        </is>
      </c>
      <c r="E1553" s="80" t="inlineStr">
        <is>
          <t>EE 苏州比斯特</t>
        </is>
      </c>
      <c r="F1553" s="84" t="n">
        <v>4</v>
      </c>
      <c r="G1553" s="84" t="inlineStr">
        <is>
          <t>奥特莱斯</t>
        </is>
      </c>
      <c r="H1553" s="84" t="inlineStr">
        <is>
          <t>EETMG11E01</t>
        </is>
      </c>
      <c r="I1553" s="84" t="n">
        <v>699</v>
      </c>
      <c r="J1553" s="84" t="n">
        <v>799</v>
      </c>
      <c r="K1553" s="85" t="n"/>
      <c r="L1553" s="85" t="n"/>
    </row>
    <row r="1554" ht="12.75" customHeight="1" s="103">
      <c r="A1554" s="78">
        <f>MID(H1554,3,2)</f>
        <v/>
      </c>
      <c r="B1554" s="84" t="inlineStr">
        <is>
          <t>B331</t>
        </is>
      </c>
      <c r="C1554" s="84" t="inlineStr">
        <is>
          <t>上海区域</t>
        </is>
      </c>
      <c r="D1554" s="84" t="inlineStr">
        <is>
          <t>CN0Q</t>
        </is>
      </c>
      <c r="E1554" s="80" t="inlineStr">
        <is>
          <t>EE 苏州比斯特</t>
        </is>
      </c>
      <c r="F1554" s="84" t="n">
        <v>4</v>
      </c>
      <c r="G1554" s="84" t="inlineStr">
        <is>
          <t>奥特莱斯</t>
        </is>
      </c>
      <c r="H1554" s="84" t="inlineStr">
        <is>
          <t>EETMG11E01</t>
        </is>
      </c>
      <c r="I1554" s="84" t="n">
        <v>699</v>
      </c>
      <c r="J1554" s="84" t="n">
        <v>799</v>
      </c>
      <c r="K1554" s="85" t="n"/>
      <c r="L1554" s="85" t="n"/>
    </row>
    <row r="1555" ht="12.75" customHeight="1" s="103">
      <c r="A1555" s="78">
        <f>MID(H1555,3,2)</f>
        <v/>
      </c>
      <c r="B1555" s="84" t="inlineStr">
        <is>
          <t>B331</t>
        </is>
      </c>
      <c r="C1555" s="84" t="inlineStr">
        <is>
          <t>上海区域</t>
        </is>
      </c>
      <c r="D1555" s="84" t="inlineStr">
        <is>
          <t>CN0Q</t>
        </is>
      </c>
      <c r="E1555" s="80" t="inlineStr">
        <is>
          <t>EE 苏州比斯特</t>
        </is>
      </c>
      <c r="F1555" s="84" t="n">
        <v>4</v>
      </c>
      <c r="G1555" s="84" t="inlineStr">
        <is>
          <t>奥特莱斯</t>
        </is>
      </c>
      <c r="H1555" s="84" t="inlineStr">
        <is>
          <t>EETMG25B51</t>
        </is>
      </c>
      <c r="I1555" s="84" t="n">
        <v>699</v>
      </c>
      <c r="J1555" s="84" t="n">
        <v>699</v>
      </c>
      <c r="K1555" s="85" t="n">
        <v>1</v>
      </c>
      <c r="L1555" s="85" t="n">
        <v>446</v>
      </c>
    </row>
    <row r="1556" ht="12.75" customHeight="1" s="103">
      <c r="A1556" s="78">
        <f>MID(H1556,3,2)</f>
        <v/>
      </c>
      <c r="B1556" s="84" t="inlineStr">
        <is>
          <t>B331</t>
        </is>
      </c>
      <c r="C1556" s="84" t="inlineStr">
        <is>
          <t>上海区域</t>
        </is>
      </c>
      <c r="D1556" s="84" t="inlineStr">
        <is>
          <t>CN0Q</t>
        </is>
      </c>
      <c r="E1556" s="80" t="inlineStr">
        <is>
          <t>EE 苏州比斯特</t>
        </is>
      </c>
      <c r="F1556" s="84" t="n">
        <v>4</v>
      </c>
      <c r="G1556" s="84" t="inlineStr">
        <is>
          <t>奥特莱斯</t>
        </is>
      </c>
      <c r="H1556" s="84" t="inlineStr">
        <is>
          <t>EETMG25B51</t>
        </is>
      </c>
      <c r="I1556" s="84" t="n">
        <v>699</v>
      </c>
      <c r="J1556" s="84" t="n">
        <v>699</v>
      </c>
      <c r="K1556" s="85" t="n"/>
      <c r="L1556" s="85" t="n"/>
    </row>
    <row r="1557" ht="12.75" customHeight="1" s="103">
      <c r="A1557" s="78">
        <f>MID(H1557,3,2)</f>
        <v/>
      </c>
      <c r="B1557" s="84" t="inlineStr">
        <is>
          <t>B331</t>
        </is>
      </c>
      <c r="C1557" s="84" t="inlineStr">
        <is>
          <t>上海区域</t>
        </is>
      </c>
      <c r="D1557" s="84" t="inlineStr">
        <is>
          <t>CN0Q</t>
        </is>
      </c>
      <c r="E1557" s="80" t="inlineStr">
        <is>
          <t>EE 苏州比斯特</t>
        </is>
      </c>
      <c r="F1557" s="84" t="n">
        <v>4</v>
      </c>
      <c r="G1557" s="84" t="inlineStr">
        <is>
          <t>奥特莱斯</t>
        </is>
      </c>
      <c r="H1557" s="84" t="inlineStr">
        <is>
          <t>EETMG25B51</t>
        </is>
      </c>
      <c r="I1557" s="84" t="n">
        <v>699</v>
      </c>
      <c r="J1557" s="84" t="n">
        <v>699</v>
      </c>
      <c r="K1557" s="85" t="n"/>
      <c r="L1557" s="85" t="n"/>
    </row>
    <row r="1558" ht="12.75" customHeight="1" s="103">
      <c r="A1558" s="78">
        <f>MID(H1558,3,2)</f>
        <v/>
      </c>
      <c r="B1558" s="84" t="inlineStr">
        <is>
          <t>B331</t>
        </is>
      </c>
      <c r="C1558" s="84" t="inlineStr">
        <is>
          <t>上海区域</t>
        </is>
      </c>
      <c r="D1558" s="84" t="inlineStr">
        <is>
          <t>CN0Q</t>
        </is>
      </c>
      <c r="E1558" s="80" t="inlineStr">
        <is>
          <t>EE 苏州比斯特</t>
        </is>
      </c>
      <c r="F1558" s="84" t="n">
        <v>4</v>
      </c>
      <c r="G1558" s="84" t="inlineStr">
        <is>
          <t>奥特莱斯</t>
        </is>
      </c>
      <c r="H1558" s="84" t="inlineStr">
        <is>
          <t>EETMG25B51</t>
        </is>
      </c>
      <c r="I1558" s="84" t="n">
        <v>699</v>
      </c>
      <c r="J1558" s="84" t="n">
        <v>699</v>
      </c>
      <c r="K1558" s="85" t="n"/>
      <c r="L1558" s="85" t="n"/>
    </row>
    <row r="1559" ht="12.75" customHeight="1" s="103">
      <c r="A1559" s="78">
        <f>MID(H1559,3,2)</f>
        <v/>
      </c>
      <c r="B1559" s="84" t="inlineStr">
        <is>
          <t>B331</t>
        </is>
      </c>
      <c r="C1559" s="84" t="inlineStr">
        <is>
          <t>上海区域</t>
        </is>
      </c>
      <c r="D1559" s="84" t="inlineStr">
        <is>
          <t>CN0Q</t>
        </is>
      </c>
      <c r="E1559" s="80" t="inlineStr">
        <is>
          <t>EE 苏州比斯特</t>
        </is>
      </c>
      <c r="F1559" s="84" t="n">
        <v>4</v>
      </c>
      <c r="G1559" s="84" t="inlineStr">
        <is>
          <t>奥特莱斯</t>
        </is>
      </c>
      <c r="H1559" s="84" t="inlineStr">
        <is>
          <t>EETMG25B51</t>
        </is>
      </c>
      <c r="I1559" s="84" t="n">
        <v>699</v>
      </c>
      <c r="J1559" s="84" t="n">
        <v>699</v>
      </c>
      <c r="K1559" s="85" t="n"/>
      <c r="L1559" s="85" t="n"/>
    </row>
    <row r="1560" ht="12.75" customHeight="1" s="103">
      <c r="A1560" s="78">
        <f>MID(H1560,3,2)</f>
        <v/>
      </c>
      <c r="B1560" s="84" t="inlineStr">
        <is>
          <t>B331</t>
        </is>
      </c>
      <c r="C1560" s="84" t="inlineStr">
        <is>
          <t>上海区域</t>
        </is>
      </c>
      <c r="D1560" s="84" t="inlineStr">
        <is>
          <t>CN0Q</t>
        </is>
      </c>
      <c r="E1560" s="80" t="inlineStr">
        <is>
          <t>EE 苏州比斯特</t>
        </is>
      </c>
      <c r="F1560" s="84" t="n">
        <v>4</v>
      </c>
      <c r="G1560" s="84" t="inlineStr">
        <is>
          <t>奥特莱斯</t>
        </is>
      </c>
      <c r="H1560" s="84" t="inlineStr">
        <is>
          <t>EETMG25B51</t>
        </is>
      </c>
      <c r="I1560" s="84" t="n">
        <v>699</v>
      </c>
      <c r="J1560" s="84" t="n">
        <v>699</v>
      </c>
      <c r="K1560" s="85" t="n"/>
      <c r="L1560" s="85" t="n"/>
    </row>
    <row r="1561" ht="12.75" customHeight="1" s="103">
      <c r="A1561" s="78">
        <f>MID(H1561,3,2)</f>
        <v/>
      </c>
      <c r="B1561" s="84" t="inlineStr">
        <is>
          <t>B331</t>
        </is>
      </c>
      <c r="C1561" s="84" t="inlineStr">
        <is>
          <t>上海区域</t>
        </is>
      </c>
      <c r="D1561" s="84" t="inlineStr">
        <is>
          <t>CN0Q</t>
        </is>
      </c>
      <c r="E1561" s="80" t="inlineStr">
        <is>
          <t>EE 苏州比斯特</t>
        </is>
      </c>
      <c r="F1561" s="84" t="n">
        <v>4</v>
      </c>
      <c r="G1561" s="84" t="inlineStr">
        <is>
          <t>奥特莱斯</t>
        </is>
      </c>
      <c r="H1561" s="84" t="inlineStr">
        <is>
          <t>EEVJG23D01</t>
        </is>
      </c>
      <c r="I1561" s="84" t="n">
        <v>799</v>
      </c>
      <c r="J1561" s="84" t="n">
        <v>799</v>
      </c>
      <c r="K1561" s="85" t="n">
        <v>1</v>
      </c>
      <c r="L1561" s="85" t="n"/>
    </row>
    <row r="1562" ht="12.75" customHeight="1" s="103">
      <c r="A1562" s="78">
        <f>MID(H1562,3,2)</f>
        <v/>
      </c>
      <c r="B1562" s="84" t="inlineStr">
        <is>
          <t>B331</t>
        </is>
      </c>
      <c r="C1562" s="84" t="inlineStr">
        <is>
          <t>上海区域</t>
        </is>
      </c>
      <c r="D1562" s="84" t="inlineStr">
        <is>
          <t>CN0Q</t>
        </is>
      </c>
      <c r="E1562" s="80" t="inlineStr">
        <is>
          <t>EE 苏州比斯特</t>
        </is>
      </c>
      <c r="F1562" s="84" t="n">
        <v>4</v>
      </c>
      <c r="G1562" s="84" t="inlineStr">
        <is>
          <t>奥特莱斯</t>
        </is>
      </c>
      <c r="H1562" s="84" t="inlineStr">
        <is>
          <t>EEVJG23D01</t>
        </is>
      </c>
      <c r="I1562" s="84" t="n">
        <v>799</v>
      </c>
      <c r="J1562" s="84" t="n">
        <v>799</v>
      </c>
      <c r="K1562" s="85" t="n"/>
      <c r="L1562" s="85" t="n"/>
    </row>
    <row r="1563" ht="12.75" customHeight="1" s="103">
      <c r="A1563" s="78">
        <f>MID(H1563,3,2)</f>
        <v/>
      </c>
      <c r="B1563" s="84" t="inlineStr">
        <is>
          <t>B331</t>
        </is>
      </c>
      <c r="C1563" s="84" t="inlineStr">
        <is>
          <t>上海区域</t>
        </is>
      </c>
      <c r="D1563" s="84" t="inlineStr">
        <is>
          <t>CN0Q</t>
        </is>
      </c>
      <c r="E1563" s="80" t="inlineStr">
        <is>
          <t>EE 苏州比斯特</t>
        </is>
      </c>
      <c r="F1563" s="84" t="n">
        <v>4</v>
      </c>
      <c r="G1563" s="84" t="inlineStr">
        <is>
          <t>奥特莱斯</t>
        </is>
      </c>
      <c r="H1563" s="84" t="inlineStr">
        <is>
          <t>EEVJG23D01</t>
        </is>
      </c>
      <c r="I1563" s="84" t="n">
        <v>799</v>
      </c>
      <c r="J1563" s="84" t="n">
        <v>799</v>
      </c>
      <c r="K1563" s="85" t="n"/>
      <c r="L1563" s="85" t="n"/>
    </row>
    <row r="1564" ht="12.75" customHeight="1" s="103">
      <c r="A1564" s="78">
        <f>MID(H1564,3,2)</f>
        <v/>
      </c>
      <c r="B1564" s="84" t="inlineStr">
        <is>
          <t>B331</t>
        </is>
      </c>
      <c r="C1564" s="84" t="inlineStr">
        <is>
          <t>上海区域</t>
        </is>
      </c>
      <c r="D1564" s="84" t="inlineStr">
        <is>
          <t>CN0Q</t>
        </is>
      </c>
      <c r="E1564" s="80" t="inlineStr">
        <is>
          <t>EE 苏州比斯特</t>
        </is>
      </c>
      <c r="F1564" s="84" t="n">
        <v>4</v>
      </c>
      <c r="G1564" s="84" t="inlineStr">
        <is>
          <t>奥特莱斯</t>
        </is>
      </c>
      <c r="H1564" s="84" t="inlineStr">
        <is>
          <t>EEVKF37R31</t>
        </is>
      </c>
      <c r="I1564" s="84" t="n">
        <v>499</v>
      </c>
      <c r="J1564" s="84" t="n">
        <v>499</v>
      </c>
      <c r="K1564" s="85" t="n">
        <v>1</v>
      </c>
      <c r="L1564" s="85" t="n">
        <v>225</v>
      </c>
    </row>
    <row r="1565" ht="12.75" customHeight="1" s="103">
      <c r="A1565" s="78">
        <f>MID(H1565,3,2)</f>
        <v/>
      </c>
      <c r="B1565" s="84" t="inlineStr">
        <is>
          <t>B331</t>
        </is>
      </c>
      <c r="C1565" s="84" t="inlineStr">
        <is>
          <t>上海区域</t>
        </is>
      </c>
      <c r="D1565" s="84" t="inlineStr">
        <is>
          <t>CN0Q</t>
        </is>
      </c>
      <c r="E1565" s="80" t="inlineStr">
        <is>
          <t>EE 苏州比斯特</t>
        </is>
      </c>
      <c r="F1565" s="84" t="n">
        <v>4</v>
      </c>
      <c r="G1565" s="84" t="inlineStr">
        <is>
          <t>奥特莱斯</t>
        </is>
      </c>
      <c r="H1565" s="84" t="inlineStr">
        <is>
          <t>EEVKF37R31</t>
        </is>
      </c>
      <c r="I1565" s="84" t="n">
        <v>499</v>
      </c>
      <c r="J1565" s="84" t="n">
        <v>499</v>
      </c>
      <c r="K1565" s="85" t="n">
        <v>1</v>
      </c>
      <c r="L1565" s="85" t="n">
        <v>228</v>
      </c>
    </row>
    <row r="1566" ht="12.75" customHeight="1" s="103">
      <c r="A1566" s="78">
        <f>MID(H1566,3,2)</f>
        <v/>
      </c>
      <c r="B1566" s="84" t="inlineStr">
        <is>
          <t>B331</t>
        </is>
      </c>
      <c r="C1566" s="84" t="inlineStr">
        <is>
          <t>上海区域</t>
        </is>
      </c>
      <c r="D1566" s="84" t="inlineStr">
        <is>
          <t>CN0Q</t>
        </is>
      </c>
      <c r="E1566" s="80" t="inlineStr">
        <is>
          <t>EE 苏州比斯特</t>
        </is>
      </c>
      <c r="F1566" s="84" t="n">
        <v>4</v>
      </c>
      <c r="G1566" s="84" t="inlineStr">
        <is>
          <t>奥特莱斯</t>
        </is>
      </c>
      <c r="H1566" s="84" t="inlineStr">
        <is>
          <t>EEVKF37R31</t>
        </is>
      </c>
      <c r="I1566" s="84" t="n">
        <v>499</v>
      </c>
      <c r="J1566" s="84" t="n">
        <v>499</v>
      </c>
      <c r="K1566" s="85" t="n"/>
      <c r="L1566" s="85" t="n"/>
    </row>
    <row r="1567" ht="12.75" customHeight="1" s="103">
      <c r="A1567" s="78">
        <f>MID(H1567,3,2)</f>
        <v/>
      </c>
      <c r="B1567" s="84" t="inlineStr">
        <is>
          <t>B331</t>
        </is>
      </c>
      <c r="C1567" s="84" t="inlineStr">
        <is>
          <t>上海区域</t>
        </is>
      </c>
      <c r="D1567" s="84" t="inlineStr">
        <is>
          <t>CN0Q</t>
        </is>
      </c>
      <c r="E1567" s="80" t="inlineStr">
        <is>
          <t>EE 苏州比斯特</t>
        </is>
      </c>
      <c r="F1567" s="84" t="n">
        <v>4</v>
      </c>
      <c r="G1567" s="84" t="inlineStr">
        <is>
          <t>奥特莱斯</t>
        </is>
      </c>
      <c r="H1567" s="84" t="inlineStr">
        <is>
          <t>EEVKF37R31</t>
        </is>
      </c>
      <c r="I1567" s="84" t="n">
        <v>499</v>
      </c>
      <c r="J1567" s="84" t="n">
        <v>499</v>
      </c>
      <c r="K1567" s="85" t="n"/>
      <c r="L1567" s="85" t="n"/>
    </row>
    <row r="1568" ht="12.75" customHeight="1" s="103">
      <c r="A1568" s="78">
        <f>MID(H1568,3,2)</f>
        <v/>
      </c>
      <c r="B1568" s="84" t="inlineStr">
        <is>
          <t>B331</t>
        </is>
      </c>
      <c r="C1568" s="84" t="inlineStr">
        <is>
          <t>上海区域</t>
        </is>
      </c>
      <c r="D1568" s="84" t="inlineStr">
        <is>
          <t>CN0Q</t>
        </is>
      </c>
      <c r="E1568" s="80" t="inlineStr">
        <is>
          <t>EE 苏州比斯特</t>
        </is>
      </c>
      <c r="F1568" s="84" t="n">
        <v>4</v>
      </c>
      <c r="G1568" s="84" t="inlineStr">
        <is>
          <t>奥特莱斯</t>
        </is>
      </c>
      <c r="H1568" s="84" t="inlineStr">
        <is>
          <t>EEVKF37R31</t>
        </is>
      </c>
      <c r="I1568" s="84" t="n">
        <v>499</v>
      </c>
      <c r="J1568" s="84" t="n">
        <v>499</v>
      </c>
      <c r="K1568" s="85" t="n"/>
      <c r="L1568" s="85" t="n"/>
    </row>
    <row r="1569" ht="12.75" customHeight="1" s="103">
      <c r="A1569" s="78">
        <f>MID(H1569,3,2)</f>
        <v/>
      </c>
      <c r="B1569" s="84" t="inlineStr">
        <is>
          <t>B331</t>
        </is>
      </c>
      <c r="C1569" s="84" t="inlineStr">
        <is>
          <t>上海区域</t>
        </is>
      </c>
      <c r="D1569" s="84" t="inlineStr">
        <is>
          <t>CN0Q</t>
        </is>
      </c>
      <c r="E1569" s="80" t="inlineStr">
        <is>
          <t>EE 苏州比斯特</t>
        </is>
      </c>
      <c r="F1569" s="84" t="n">
        <v>4</v>
      </c>
      <c r="G1569" s="84" t="inlineStr">
        <is>
          <t>奥特莱斯</t>
        </is>
      </c>
      <c r="H1569" s="84" t="inlineStr">
        <is>
          <t>EEVKF37R31</t>
        </is>
      </c>
      <c r="I1569" s="84" t="n">
        <v>499</v>
      </c>
      <c r="J1569" s="84" t="n">
        <v>499</v>
      </c>
      <c r="K1569" s="85" t="n"/>
      <c r="L1569" s="85" t="n"/>
    </row>
    <row r="1570" ht="12.75" customHeight="1" s="103">
      <c r="A1570" s="78">
        <f>MID(H1570,3,2)</f>
        <v/>
      </c>
      <c r="B1570" s="84" t="inlineStr">
        <is>
          <t>B331</t>
        </is>
      </c>
      <c r="C1570" s="84" t="inlineStr">
        <is>
          <t>上海区域</t>
        </is>
      </c>
      <c r="D1570" s="84" t="inlineStr">
        <is>
          <t>CN0Q</t>
        </is>
      </c>
      <c r="E1570" s="80" t="inlineStr">
        <is>
          <t>EE 苏州比斯特</t>
        </is>
      </c>
      <c r="F1570" s="84" t="n">
        <v>4</v>
      </c>
      <c r="G1570" s="84" t="inlineStr">
        <is>
          <t>奥特莱斯</t>
        </is>
      </c>
      <c r="H1570" s="84" t="inlineStr">
        <is>
          <t>EEVKG23B02</t>
        </is>
      </c>
      <c r="I1570" s="84" t="n">
        <v>599</v>
      </c>
      <c r="J1570" s="84" t="n">
        <v>699</v>
      </c>
      <c r="K1570" s="85" t="n"/>
      <c r="L1570" s="85" t="n"/>
    </row>
    <row r="1571" ht="12.75" customHeight="1" s="103">
      <c r="A1571" s="78">
        <f>MID(H1571,3,2)</f>
        <v/>
      </c>
      <c r="B1571" s="84" t="inlineStr">
        <is>
          <t>B331</t>
        </is>
      </c>
      <c r="C1571" s="84" t="inlineStr">
        <is>
          <t>上海区域</t>
        </is>
      </c>
      <c r="D1571" s="84" t="inlineStr">
        <is>
          <t>CN0Q</t>
        </is>
      </c>
      <c r="E1571" s="80" t="inlineStr">
        <is>
          <t>EE 苏州比斯特</t>
        </is>
      </c>
      <c r="F1571" s="84" t="n">
        <v>4</v>
      </c>
      <c r="G1571" s="84" t="inlineStr">
        <is>
          <t>奥特莱斯</t>
        </is>
      </c>
      <c r="H1571" s="84" t="inlineStr">
        <is>
          <t>EEVKG23B02</t>
        </is>
      </c>
      <c r="I1571" s="84" t="n">
        <v>599</v>
      </c>
      <c r="J1571" s="84" t="n">
        <v>699</v>
      </c>
      <c r="K1571" s="85" t="n"/>
      <c r="L1571" s="85" t="n"/>
    </row>
    <row r="1572" ht="12.75" customHeight="1" s="103">
      <c r="A1572" s="78">
        <f>MID(H1572,3,2)</f>
        <v/>
      </c>
      <c r="B1572" s="84" t="inlineStr">
        <is>
          <t>B331</t>
        </is>
      </c>
      <c r="C1572" s="84" t="inlineStr">
        <is>
          <t>上海区域</t>
        </is>
      </c>
      <c r="D1572" s="84" t="inlineStr">
        <is>
          <t>CN0Q</t>
        </is>
      </c>
      <c r="E1572" s="80" t="inlineStr">
        <is>
          <t>EE 苏州比斯特</t>
        </is>
      </c>
      <c r="F1572" s="84" t="n">
        <v>4</v>
      </c>
      <c r="G1572" s="84" t="inlineStr">
        <is>
          <t>奥特莱斯</t>
        </is>
      </c>
      <c r="H1572" s="84" t="inlineStr">
        <is>
          <t>EEVKG23B02</t>
        </is>
      </c>
      <c r="I1572" s="84" t="n">
        <v>599</v>
      </c>
      <c r="J1572" s="84" t="n">
        <v>699</v>
      </c>
      <c r="K1572" s="85" t="n"/>
      <c r="L1572" s="85" t="n"/>
    </row>
    <row r="1573" ht="12.75" customHeight="1" s="103">
      <c r="A1573" s="78">
        <f>MID(H1573,3,2)</f>
        <v/>
      </c>
      <c r="B1573" s="84" t="inlineStr">
        <is>
          <t>B331</t>
        </is>
      </c>
      <c r="C1573" s="84" t="inlineStr">
        <is>
          <t>上海区域</t>
        </is>
      </c>
      <c r="D1573" s="84" t="inlineStr">
        <is>
          <t>CN0Q</t>
        </is>
      </c>
      <c r="E1573" s="80" t="inlineStr">
        <is>
          <t>EE 苏州比斯特</t>
        </is>
      </c>
      <c r="F1573" s="84" t="n">
        <v>4</v>
      </c>
      <c r="G1573" s="84" t="inlineStr">
        <is>
          <t>奥特莱斯</t>
        </is>
      </c>
      <c r="H1573" s="84" t="inlineStr">
        <is>
          <t>EEVKG23B03</t>
        </is>
      </c>
      <c r="I1573" s="84" t="n">
        <v>499</v>
      </c>
      <c r="J1573" s="84" t="n">
        <v>499</v>
      </c>
      <c r="K1573" s="85" t="n">
        <v>2</v>
      </c>
      <c r="L1573" s="85" t="n">
        <v>683</v>
      </c>
    </row>
    <row r="1574" ht="12.75" customHeight="1" s="103">
      <c r="A1574" s="78">
        <f>MID(H1574,3,2)</f>
        <v/>
      </c>
      <c r="B1574" s="84" t="inlineStr">
        <is>
          <t>B331</t>
        </is>
      </c>
      <c r="C1574" s="84" t="inlineStr">
        <is>
          <t>上海区域</t>
        </is>
      </c>
      <c r="D1574" s="84" t="inlineStr">
        <is>
          <t>CN0Q</t>
        </is>
      </c>
      <c r="E1574" s="80" t="inlineStr">
        <is>
          <t>EE 苏州比斯特</t>
        </is>
      </c>
      <c r="F1574" s="84" t="n">
        <v>4</v>
      </c>
      <c r="G1574" s="84" t="inlineStr">
        <is>
          <t>奥特莱斯</t>
        </is>
      </c>
      <c r="H1574" s="84" t="inlineStr">
        <is>
          <t>EEVKG23B03</t>
        </is>
      </c>
      <c r="I1574" s="84" t="n">
        <v>499</v>
      </c>
      <c r="J1574" s="84" t="n">
        <v>499</v>
      </c>
      <c r="K1574" s="85" t="n">
        <v>2</v>
      </c>
      <c r="L1574" s="85" t="n">
        <v>655</v>
      </c>
    </row>
    <row r="1575" ht="12.75" customHeight="1" s="103">
      <c r="A1575" s="78">
        <f>MID(H1575,3,2)</f>
        <v/>
      </c>
      <c r="B1575" s="84" t="inlineStr">
        <is>
          <t>B331</t>
        </is>
      </c>
      <c r="C1575" s="84" t="inlineStr">
        <is>
          <t>上海区域</t>
        </is>
      </c>
      <c r="D1575" s="84" t="inlineStr">
        <is>
          <t>CN0Q</t>
        </is>
      </c>
      <c r="E1575" s="80" t="inlineStr">
        <is>
          <t>EE 苏州比斯特</t>
        </is>
      </c>
      <c r="F1575" s="84" t="n">
        <v>4</v>
      </c>
      <c r="G1575" s="84" t="inlineStr">
        <is>
          <t>奥特莱斯</t>
        </is>
      </c>
      <c r="H1575" s="84" t="inlineStr">
        <is>
          <t>EEVKG23B03</t>
        </is>
      </c>
      <c r="I1575" s="84" t="n">
        <v>499</v>
      </c>
      <c r="J1575" s="84" t="n">
        <v>499</v>
      </c>
      <c r="K1575" s="85" t="n">
        <v>1</v>
      </c>
      <c r="L1575" s="85" t="n">
        <v>318</v>
      </c>
    </row>
    <row r="1576" ht="12.75" customHeight="1" s="103">
      <c r="A1576" s="78">
        <f>MID(H1576,3,2)</f>
        <v/>
      </c>
      <c r="B1576" s="84" t="inlineStr">
        <is>
          <t>B331</t>
        </is>
      </c>
      <c r="C1576" s="84" t="inlineStr">
        <is>
          <t>上海区域</t>
        </is>
      </c>
      <c r="D1576" s="84" t="inlineStr">
        <is>
          <t>CN0Q</t>
        </is>
      </c>
      <c r="E1576" s="80" t="inlineStr">
        <is>
          <t>EE 苏州比斯特</t>
        </is>
      </c>
      <c r="F1576" s="84" t="n">
        <v>4</v>
      </c>
      <c r="G1576" s="84" t="inlineStr">
        <is>
          <t>奥特莱斯</t>
        </is>
      </c>
      <c r="H1576" s="84" t="inlineStr">
        <is>
          <t>EEVKG24E01</t>
        </is>
      </c>
      <c r="I1576" s="84" t="n">
        <v>699</v>
      </c>
      <c r="J1576" s="84" t="n">
        <v>599</v>
      </c>
      <c r="K1576" s="85" t="n">
        <v>1</v>
      </c>
      <c r="L1576" s="85" t="n">
        <v>389</v>
      </c>
    </row>
    <row r="1577" ht="12.75" customHeight="1" s="103">
      <c r="A1577" s="78">
        <f>MID(H1577,3,2)</f>
        <v/>
      </c>
      <c r="B1577" s="84" t="inlineStr">
        <is>
          <t>B331</t>
        </is>
      </c>
      <c r="C1577" s="84" t="inlineStr">
        <is>
          <t>上海区域</t>
        </is>
      </c>
      <c r="D1577" s="84" t="inlineStr">
        <is>
          <t>CN0Q</t>
        </is>
      </c>
      <c r="E1577" s="80" t="inlineStr">
        <is>
          <t>EE 苏州比斯特</t>
        </is>
      </c>
      <c r="F1577" s="84" t="n">
        <v>4</v>
      </c>
      <c r="G1577" s="84" t="inlineStr">
        <is>
          <t>奥特莱斯</t>
        </is>
      </c>
      <c r="H1577" s="84" t="inlineStr">
        <is>
          <t>EEVKG24E01</t>
        </is>
      </c>
      <c r="I1577" s="84" t="n">
        <v>699</v>
      </c>
      <c r="J1577" s="84" t="n">
        <v>599</v>
      </c>
      <c r="K1577" s="85" t="n">
        <v>1</v>
      </c>
      <c r="L1577" s="85" t="n">
        <v>419</v>
      </c>
    </row>
    <row r="1578" ht="12.75" customHeight="1" s="103">
      <c r="A1578" s="78">
        <f>MID(H1578,3,2)</f>
        <v/>
      </c>
      <c r="B1578" s="84" t="inlineStr">
        <is>
          <t>B331</t>
        </is>
      </c>
      <c r="C1578" s="84" t="inlineStr">
        <is>
          <t>上海区域</t>
        </is>
      </c>
      <c r="D1578" s="84" t="inlineStr">
        <is>
          <t>CN0Q</t>
        </is>
      </c>
      <c r="E1578" s="80" t="inlineStr">
        <is>
          <t>EE 苏州比斯特</t>
        </is>
      </c>
      <c r="F1578" s="84" t="n">
        <v>4</v>
      </c>
      <c r="G1578" s="84" t="inlineStr">
        <is>
          <t>奥特莱斯</t>
        </is>
      </c>
      <c r="H1578" s="84" t="inlineStr">
        <is>
          <t>EEVKG24E01</t>
        </is>
      </c>
      <c r="I1578" s="84" t="n">
        <v>699</v>
      </c>
      <c r="J1578" s="84" t="n">
        <v>599</v>
      </c>
      <c r="K1578" s="85" t="n"/>
      <c r="L1578" s="85" t="n"/>
    </row>
    <row r="1579" ht="12.75" customHeight="1" s="103">
      <c r="A1579" s="78">
        <f>MID(H1579,3,2)</f>
        <v/>
      </c>
      <c r="B1579" s="84" t="inlineStr">
        <is>
          <t>B331</t>
        </is>
      </c>
      <c r="C1579" s="84" t="inlineStr">
        <is>
          <t>上海区域</t>
        </is>
      </c>
      <c r="D1579" s="84" t="inlineStr">
        <is>
          <t>CN0Q</t>
        </is>
      </c>
      <c r="E1579" s="80" t="inlineStr">
        <is>
          <t>EE 苏州比斯特</t>
        </is>
      </c>
      <c r="F1579" s="84" t="n">
        <v>4</v>
      </c>
      <c r="G1579" s="84" t="inlineStr">
        <is>
          <t>奥特莱斯</t>
        </is>
      </c>
      <c r="H1579" s="84" t="inlineStr">
        <is>
          <t>EEVKG24E01</t>
        </is>
      </c>
      <c r="I1579" s="84" t="n">
        <v>699</v>
      </c>
      <c r="J1579" s="84" t="n">
        <v>599</v>
      </c>
      <c r="K1579" s="85" t="n">
        <v>1</v>
      </c>
      <c r="L1579" s="85" t="n">
        <v>419</v>
      </c>
    </row>
    <row r="1580" ht="12.75" customHeight="1" s="103">
      <c r="A1580" s="78">
        <f>MID(H1580,3,2)</f>
        <v/>
      </c>
      <c r="B1580" s="84" t="inlineStr">
        <is>
          <t>B331</t>
        </is>
      </c>
      <c r="C1580" s="84" t="inlineStr">
        <is>
          <t>上海区域</t>
        </is>
      </c>
      <c r="D1580" s="84" t="inlineStr">
        <is>
          <t>CN0Q</t>
        </is>
      </c>
      <c r="E1580" s="80" t="inlineStr">
        <is>
          <t>EE 苏州比斯特</t>
        </is>
      </c>
      <c r="F1580" s="84" t="n">
        <v>4</v>
      </c>
      <c r="G1580" s="84" t="inlineStr">
        <is>
          <t>奥特莱斯</t>
        </is>
      </c>
      <c r="H1580" s="84" t="inlineStr">
        <is>
          <t>EEVKG24E01</t>
        </is>
      </c>
      <c r="I1580" s="84" t="n">
        <v>699</v>
      </c>
      <c r="J1580" s="84" t="n">
        <v>599</v>
      </c>
      <c r="K1580" s="85" t="n"/>
      <c r="L1580" s="85" t="n"/>
    </row>
    <row r="1581" ht="12.75" customHeight="1" s="103">
      <c r="A1581" s="78">
        <f>MID(H1581,3,2)</f>
        <v/>
      </c>
      <c r="B1581" s="84" t="inlineStr">
        <is>
          <t>B331</t>
        </is>
      </c>
      <c r="C1581" s="84" t="inlineStr">
        <is>
          <t>上海区域</t>
        </is>
      </c>
      <c r="D1581" s="84" t="inlineStr">
        <is>
          <t>CN0Q</t>
        </is>
      </c>
      <c r="E1581" s="80" t="inlineStr">
        <is>
          <t>EE 苏州比斯特</t>
        </is>
      </c>
      <c r="F1581" s="84" t="n">
        <v>4</v>
      </c>
      <c r="G1581" s="84" t="inlineStr">
        <is>
          <t>奥特莱斯</t>
        </is>
      </c>
      <c r="H1581" s="84" t="inlineStr">
        <is>
          <t>EEVKG24E01</t>
        </is>
      </c>
      <c r="I1581" s="84" t="n">
        <v>699</v>
      </c>
      <c r="J1581" s="84" t="n">
        <v>599</v>
      </c>
      <c r="K1581" s="85" t="n"/>
      <c r="L1581" s="85" t="n"/>
    </row>
    <row r="1582" ht="12.75" customHeight="1" s="103">
      <c r="A1582" s="78">
        <f>MID(H1582,3,2)</f>
        <v/>
      </c>
      <c r="B1582" s="84" t="inlineStr">
        <is>
          <t>B331</t>
        </is>
      </c>
      <c r="C1582" s="84" t="inlineStr">
        <is>
          <t>上海区域</t>
        </is>
      </c>
      <c r="D1582" s="84" t="inlineStr">
        <is>
          <t>CN0Q</t>
        </is>
      </c>
      <c r="E1582" s="80" t="inlineStr">
        <is>
          <t>EE 苏州比斯特</t>
        </is>
      </c>
      <c r="F1582" s="84" t="n">
        <v>4</v>
      </c>
      <c r="G1582" s="84" t="inlineStr">
        <is>
          <t>奥特莱斯</t>
        </is>
      </c>
      <c r="H1582" s="84" t="inlineStr">
        <is>
          <t>EEVKG25B02</t>
        </is>
      </c>
      <c r="I1582" s="84" t="n">
        <v>599</v>
      </c>
      <c r="J1582" s="84" t="n">
        <v>699</v>
      </c>
      <c r="K1582" s="85" t="n">
        <v>1</v>
      </c>
      <c r="L1582" s="85" t="n"/>
    </row>
    <row r="1583" ht="12.75" customHeight="1" s="103">
      <c r="A1583" s="78">
        <f>MID(H1583,3,2)</f>
        <v/>
      </c>
      <c r="B1583" s="84" t="inlineStr">
        <is>
          <t>B331</t>
        </is>
      </c>
      <c r="C1583" s="84" t="inlineStr">
        <is>
          <t>上海区域</t>
        </is>
      </c>
      <c r="D1583" s="84" t="inlineStr">
        <is>
          <t>CN0Q</t>
        </is>
      </c>
      <c r="E1583" s="80" t="inlineStr">
        <is>
          <t>EE 苏州比斯特</t>
        </is>
      </c>
      <c r="F1583" s="84" t="n">
        <v>4</v>
      </c>
      <c r="G1583" s="84" t="inlineStr">
        <is>
          <t>奥特莱斯</t>
        </is>
      </c>
      <c r="H1583" s="84" t="inlineStr">
        <is>
          <t>EEVKG25B02</t>
        </is>
      </c>
      <c r="I1583" s="84" t="n">
        <v>599</v>
      </c>
      <c r="J1583" s="84" t="n">
        <v>699</v>
      </c>
      <c r="K1583" s="85" t="n"/>
      <c r="L1583" s="85" t="n"/>
    </row>
    <row r="1584" ht="12.75" customHeight="1" s="103">
      <c r="A1584" s="78">
        <f>MID(H1584,3,2)</f>
        <v/>
      </c>
      <c r="B1584" s="84" t="inlineStr">
        <is>
          <t>B331</t>
        </is>
      </c>
      <c r="C1584" s="84" t="inlineStr">
        <is>
          <t>上海区域</t>
        </is>
      </c>
      <c r="D1584" s="84" t="inlineStr">
        <is>
          <t>CN0Q</t>
        </is>
      </c>
      <c r="E1584" s="80" t="inlineStr">
        <is>
          <t>EE 苏州比斯特</t>
        </is>
      </c>
      <c r="F1584" s="84" t="n">
        <v>4</v>
      </c>
      <c r="G1584" s="84" t="inlineStr">
        <is>
          <t>奥特莱斯</t>
        </is>
      </c>
      <c r="H1584" s="84" t="inlineStr">
        <is>
          <t>EEVKG25B02</t>
        </is>
      </c>
      <c r="I1584" s="84" t="n">
        <v>599</v>
      </c>
      <c r="J1584" s="84" t="n">
        <v>699</v>
      </c>
      <c r="K1584" s="85" t="n">
        <v>1</v>
      </c>
      <c r="L1584" s="85" t="n">
        <v>489</v>
      </c>
    </row>
    <row r="1585" ht="12.75" customHeight="1" s="103">
      <c r="A1585" s="78">
        <f>MID(H1585,3,2)</f>
        <v/>
      </c>
      <c r="B1585" s="84" t="inlineStr">
        <is>
          <t>B331</t>
        </is>
      </c>
      <c r="C1585" s="84" t="inlineStr">
        <is>
          <t>上海区域</t>
        </is>
      </c>
      <c r="D1585" s="84" t="inlineStr">
        <is>
          <t>CN0Q</t>
        </is>
      </c>
      <c r="E1585" s="80" t="inlineStr">
        <is>
          <t>EE 苏州比斯特</t>
        </is>
      </c>
      <c r="F1585" s="84" t="n">
        <v>4</v>
      </c>
      <c r="G1585" s="84" t="inlineStr">
        <is>
          <t>奥特莱斯</t>
        </is>
      </c>
      <c r="H1585" s="84" t="inlineStr">
        <is>
          <t>EEVKG25B03</t>
        </is>
      </c>
      <c r="I1585" s="84" t="n">
        <v>699</v>
      </c>
      <c r="J1585" s="84" t="n">
        <v>699</v>
      </c>
      <c r="K1585" s="85" t="n">
        <v>6</v>
      </c>
      <c r="L1585" s="86" t="n">
        <v>2177</v>
      </c>
    </row>
    <row r="1586" ht="12.75" customHeight="1" s="103">
      <c r="A1586" s="78">
        <f>MID(H1586,3,2)</f>
        <v/>
      </c>
      <c r="B1586" s="84" t="inlineStr">
        <is>
          <t>B331</t>
        </is>
      </c>
      <c r="C1586" s="84" t="inlineStr">
        <is>
          <t>上海区域</t>
        </is>
      </c>
      <c r="D1586" s="84" t="inlineStr">
        <is>
          <t>CN0Q</t>
        </is>
      </c>
      <c r="E1586" s="80" t="inlineStr">
        <is>
          <t>EE 苏州比斯特</t>
        </is>
      </c>
      <c r="F1586" s="84" t="n">
        <v>4</v>
      </c>
      <c r="G1586" s="84" t="inlineStr">
        <is>
          <t>奥特莱斯</t>
        </is>
      </c>
      <c r="H1586" s="84" t="inlineStr">
        <is>
          <t>EEVKG25B03</t>
        </is>
      </c>
      <c r="I1586" s="84" t="n">
        <v>699</v>
      </c>
      <c r="J1586" s="84" t="n">
        <v>699</v>
      </c>
      <c r="K1586" s="85" t="n">
        <v>1</v>
      </c>
      <c r="L1586" s="85" t="n">
        <v>489</v>
      </c>
    </row>
    <row r="1587" ht="12.75" customHeight="1" s="103">
      <c r="A1587" s="78">
        <f>MID(H1587,3,2)</f>
        <v/>
      </c>
      <c r="B1587" s="84" t="inlineStr">
        <is>
          <t>B331</t>
        </is>
      </c>
      <c r="C1587" s="84" t="inlineStr">
        <is>
          <t>上海区域</t>
        </is>
      </c>
      <c r="D1587" s="84" t="inlineStr">
        <is>
          <t>CN0Q</t>
        </is>
      </c>
      <c r="E1587" s="80" t="inlineStr">
        <is>
          <t>EE 苏州比斯特</t>
        </is>
      </c>
      <c r="F1587" s="84" t="n">
        <v>4</v>
      </c>
      <c r="G1587" s="84" t="inlineStr">
        <is>
          <t>奥特莱斯</t>
        </is>
      </c>
      <c r="H1587" s="84" t="inlineStr">
        <is>
          <t>EEVKG25B03</t>
        </is>
      </c>
      <c r="I1587" s="84" t="n">
        <v>699</v>
      </c>
      <c r="J1587" s="84" t="n">
        <v>699</v>
      </c>
      <c r="K1587" s="85" t="n">
        <v>2</v>
      </c>
      <c r="L1587" s="85" t="n"/>
    </row>
    <row r="1588" ht="12.75" customHeight="1" s="103">
      <c r="A1588" s="78">
        <f>MID(H1588,3,2)</f>
        <v/>
      </c>
      <c r="B1588" s="84" t="inlineStr">
        <is>
          <t>B331</t>
        </is>
      </c>
      <c r="C1588" s="84" t="inlineStr">
        <is>
          <t>上海区域</t>
        </is>
      </c>
      <c r="D1588" s="84" t="inlineStr">
        <is>
          <t>CN0Q</t>
        </is>
      </c>
      <c r="E1588" s="80" t="inlineStr">
        <is>
          <t>EE 苏州比斯特</t>
        </is>
      </c>
      <c r="F1588" s="84" t="n">
        <v>4</v>
      </c>
      <c r="G1588" s="84" t="inlineStr">
        <is>
          <t>奥特莱斯</t>
        </is>
      </c>
      <c r="H1588" s="84" t="inlineStr">
        <is>
          <t>EEVKG25B04</t>
        </is>
      </c>
      <c r="I1588" s="84" t="n">
        <v>699</v>
      </c>
      <c r="J1588" s="84" t="n">
        <v>699</v>
      </c>
      <c r="K1588" s="85" t="n">
        <v>1</v>
      </c>
      <c r="L1588" s="85" t="n"/>
    </row>
    <row r="1589" ht="12.75" customHeight="1" s="103">
      <c r="A1589" s="78">
        <f>MID(H1589,3,2)</f>
        <v/>
      </c>
      <c r="B1589" s="84" t="inlineStr">
        <is>
          <t>B331</t>
        </is>
      </c>
      <c r="C1589" s="84" t="inlineStr">
        <is>
          <t>上海区域</t>
        </is>
      </c>
      <c r="D1589" s="84" t="inlineStr">
        <is>
          <t>CN0Q</t>
        </is>
      </c>
      <c r="E1589" s="80" t="inlineStr">
        <is>
          <t>EE 苏州比斯特</t>
        </is>
      </c>
      <c r="F1589" s="84" t="n">
        <v>4</v>
      </c>
      <c r="G1589" s="84" t="inlineStr">
        <is>
          <t>奥特莱斯</t>
        </is>
      </c>
      <c r="H1589" s="84" t="inlineStr">
        <is>
          <t>EEVKG25B04</t>
        </is>
      </c>
      <c r="I1589" s="84" t="n">
        <v>699</v>
      </c>
      <c r="J1589" s="84" t="n">
        <v>699</v>
      </c>
      <c r="K1589" s="85" t="n">
        <v>1</v>
      </c>
      <c r="L1589" s="85" t="n"/>
    </row>
    <row r="1590" ht="12.75" customHeight="1" s="103">
      <c r="A1590" s="78">
        <f>MID(H1590,3,2)</f>
        <v/>
      </c>
      <c r="B1590" s="84" t="inlineStr">
        <is>
          <t>B331</t>
        </is>
      </c>
      <c r="C1590" s="84" t="inlineStr">
        <is>
          <t>上海区域</t>
        </is>
      </c>
      <c r="D1590" s="84" t="inlineStr">
        <is>
          <t>CN0Q</t>
        </is>
      </c>
      <c r="E1590" s="80" t="inlineStr">
        <is>
          <t>EE 苏州比斯特</t>
        </is>
      </c>
      <c r="F1590" s="84" t="n">
        <v>4</v>
      </c>
      <c r="G1590" s="84" t="inlineStr">
        <is>
          <t>奥特莱斯</t>
        </is>
      </c>
      <c r="H1590" s="84" t="inlineStr">
        <is>
          <t>EEVKG25B04</t>
        </is>
      </c>
      <c r="I1590" s="84" t="n">
        <v>699</v>
      </c>
      <c r="J1590" s="84" t="n">
        <v>699</v>
      </c>
      <c r="K1590" s="85" t="n"/>
      <c r="L1590" s="85" t="n"/>
    </row>
    <row r="1591" ht="12.75" customHeight="1" s="103">
      <c r="A1591" s="78">
        <f>MID(H1591,3,2)</f>
        <v/>
      </c>
      <c r="B1591" s="84" t="inlineStr">
        <is>
          <t>B331</t>
        </is>
      </c>
      <c r="C1591" s="84" t="inlineStr">
        <is>
          <t>上海区域</t>
        </is>
      </c>
      <c r="D1591" s="84" t="inlineStr">
        <is>
          <t>CN0Q</t>
        </is>
      </c>
      <c r="E1591" s="80" t="inlineStr">
        <is>
          <t>EE 苏州比斯特</t>
        </is>
      </c>
      <c r="F1591" s="84" t="n">
        <v>4</v>
      </c>
      <c r="G1591" s="84" t="inlineStr">
        <is>
          <t>奥特莱斯</t>
        </is>
      </c>
      <c r="H1591" s="84" t="inlineStr">
        <is>
          <t>EEVKG25D05</t>
        </is>
      </c>
      <c r="I1591" s="84" t="n">
        <v>899</v>
      </c>
      <c r="J1591" s="84" t="n">
        <v>899</v>
      </c>
      <c r="K1591" s="85" t="n">
        <v>2</v>
      </c>
      <c r="L1591" s="85" t="n">
        <v>579</v>
      </c>
    </row>
    <row r="1592" ht="12.75" customHeight="1" s="103">
      <c r="A1592" s="78">
        <f>MID(H1592,3,2)</f>
        <v/>
      </c>
      <c r="B1592" s="84" t="inlineStr">
        <is>
          <t>B331</t>
        </is>
      </c>
      <c r="C1592" s="84" t="inlineStr">
        <is>
          <t>上海区域</t>
        </is>
      </c>
      <c r="D1592" s="84" t="inlineStr">
        <is>
          <t>CN0Q</t>
        </is>
      </c>
      <c r="E1592" s="80" t="inlineStr">
        <is>
          <t>EE 苏州比斯特</t>
        </is>
      </c>
      <c r="F1592" s="84" t="n">
        <v>4</v>
      </c>
      <c r="G1592" s="84" t="inlineStr">
        <is>
          <t>奥特莱斯</t>
        </is>
      </c>
      <c r="H1592" s="84" t="inlineStr">
        <is>
          <t>EEVKG25D05</t>
        </is>
      </c>
      <c r="I1592" s="84" t="n">
        <v>899</v>
      </c>
      <c r="J1592" s="84" t="n">
        <v>899</v>
      </c>
      <c r="K1592" s="85" t="n">
        <v>2</v>
      </c>
      <c r="L1592" s="85" t="n"/>
    </row>
    <row r="1593" ht="12.75" customHeight="1" s="103">
      <c r="A1593" s="78">
        <f>MID(H1593,3,2)</f>
        <v/>
      </c>
      <c r="B1593" s="84" t="inlineStr">
        <is>
          <t>B331</t>
        </is>
      </c>
      <c r="C1593" s="84" t="inlineStr">
        <is>
          <t>上海区域</t>
        </is>
      </c>
      <c r="D1593" s="84" t="inlineStr">
        <is>
          <t>CN0Q</t>
        </is>
      </c>
      <c r="E1593" s="80" t="inlineStr">
        <is>
          <t>EE 苏州比斯特</t>
        </is>
      </c>
      <c r="F1593" s="84" t="n">
        <v>4</v>
      </c>
      <c r="G1593" s="84" t="inlineStr">
        <is>
          <t>奥特莱斯</t>
        </is>
      </c>
      <c r="H1593" s="84" t="inlineStr">
        <is>
          <t>EEVKG25D05</t>
        </is>
      </c>
      <c r="I1593" s="84" t="n">
        <v>899</v>
      </c>
      <c r="J1593" s="84" t="n">
        <v>899</v>
      </c>
      <c r="K1593" s="85" t="n">
        <v>2</v>
      </c>
      <c r="L1593" s="85" t="n">
        <v>629</v>
      </c>
    </row>
    <row r="1594" ht="12.75" customHeight="1" s="103">
      <c r="A1594" s="78">
        <f>MID(H1594,3,2)</f>
        <v/>
      </c>
      <c r="B1594" s="84" t="inlineStr">
        <is>
          <t>B331</t>
        </is>
      </c>
      <c r="C1594" s="84" t="inlineStr">
        <is>
          <t>上海区域</t>
        </is>
      </c>
      <c r="D1594" s="84" t="inlineStr">
        <is>
          <t>CN0Q</t>
        </is>
      </c>
      <c r="E1594" s="80" t="inlineStr">
        <is>
          <t>EE 苏州比斯特</t>
        </is>
      </c>
      <c r="F1594" s="84" t="n">
        <v>4</v>
      </c>
      <c r="G1594" s="84" t="inlineStr">
        <is>
          <t>奥特莱斯</t>
        </is>
      </c>
      <c r="H1594" s="84" t="inlineStr">
        <is>
          <t>EEVKG25E01</t>
        </is>
      </c>
      <c r="I1594" s="84" t="n">
        <v>599</v>
      </c>
      <c r="J1594" s="84" t="n">
        <v>499</v>
      </c>
      <c r="K1594" s="85" t="n">
        <v>3</v>
      </c>
      <c r="L1594" s="86" t="n">
        <v>1000</v>
      </c>
    </row>
    <row r="1595" ht="12.75" customHeight="1" s="103">
      <c r="A1595" s="78">
        <f>MID(H1595,3,2)</f>
        <v/>
      </c>
      <c r="B1595" s="84" t="inlineStr">
        <is>
          <t>B331</t>
        </is>
      </c>
      <c r="C1595" s="84" t="inlineStr">
        <is>
          <t>上海区域</t>
        </is>
      </c>
      <c r="D1595" s="84" t="inlineStr">
        <is>
          <t>CN0Q</t>
        </is>
      </c>
      <c r="E1595" s="80" t="inlineStr">
        <is>
          <t>EE 苏州比斯特</t>
        </is>
      </c>
      <c r="F1595" s="84" t="n">
        <v>4</v>
      </c>
      <c r="G1595" s="84" t="inlineStr">
        <is>
          <t>奥特莱斯</t>
        </is>
      </c>
      <c r="H1595" s="84" t="inlineStr">
        <is>
          <t>EEVKG25E01</t>
        </is>
      </c>
      <c r="I1595" s="84" t="n">
        <v>599</v>
      </c>
      <c r="J1595" s="84" t="n">
        <v>499</v>
      </c>
      <c r="K1595" s="85" t="n">
        <v>5</v>
      </c>
      <c r="L1595" s="85" t="n">
        <v>991</v>
      </c>
    </row>
    <row r="1596" ht="12.75" customHeight="1" s="103">
      <c r="A1596" s="78">
        <f>MID(H1596,3,2)</f>
        <v/>
      </c>
      <c r="B1596" s="84" t="inlineStr">
        <is>
          <t>B331</t>
        </is>
      </c>
      <c r="C1596" s="84" t="inlineStr">
        <is>
          <t>上海区域</t>
        </is>
      </c>
      <c r="D1596" s="84" t="inlineStr">
        <is>
          <t>CN0Q</t>
        </is>
      </c>
      <c r="E1596" s="80" t="inlineStr">
        <is>
          <t>EE 苏州比斯特</t>
        </is>
      </c>
      <c r="F1596" s="84" t="n">
        <v>4</v>
      </c>
      <c r="G1596" s="84" t="inlineStr">
        <is>
          <t>奥特莱斯</t>
        </is>
      </c>
      <c r="H1596" s="84" t="inlineStr">
        <is>
          <t>EEVKG25E01</t>
        </is>
      </c>
      <c r="I1596" s="84" t="n">
        <v>599</v>
      </c>
      <c r="J1596" s="84" t="n">
        <v>499</v>
      </c>
      <c r="K1596" s="85" t="n">
        <v>2</v>
      </c>
      <c r="L1596" s="85" t="n">
        <v>677</v>
      </c>
    </row>
    <row r="1597" ht="12.75" customHeight="1" s="103">
      <c r="A1597" s="78">
        <f>MID(H1597,3,2)</f>
        <v/>
      </c>
      <c r="B1597" s="84" t="inlineStr">
        <is>
          <t>B331</t>
        </is>
      </c>
      <c r="C1597" s="84" t="inlineStr">
        <is>
          <t>上海区域</t>
        </is>
      </c>
      <c r="D1597" s="84" t="inlineStr">
        <is>
          <t>CN0Q</t>
        </is>
      </c>
      <c r="E1597" s="80" t="inlineStr">
        <is>
          <t>EE 苏州比斯特</t>
        </is>
      </c>
      <c r="F1597" s="84" t="n">
        <v>4</v>
      </c>
      <c r="G1597" s="84" t="inlineStr">
        <is>
          <t>奥特莱斯</t>
        </is>
      </c>
      <c r="H1597" s="84" t="inlineStr">
        <is>
          <t>EEVKG25E01</t>
        </is>
      </c>
      <c r="I1597" s="84" t="n">
        <v>599</v>
      </c>
      <c r="J1597" s="84" t="n">
        <v>499</v>
      </c>
      <c r="K1597" s="85" t="n">
        <v>7</v>
      </c>
      <c r="L1597" s="86" t="n">
        <v>1868</v>
      </c>
    </row>
    <row r="1598" ht="12.75" customHeight="1" s="103">
      <c r="A1598" s="78">
        <f>MID(H1598,3,2)</f>
        <v/>
      </c>
      <c r="B1598" s="84" t="inlineStr">
        <is>
          <t>B331</t>
        </is>
      </c>
      <c r="C1598" s="84" t="inlineStr">
        <is>
          <t>上海区域</t>
        </is>
      </c>
      <c r="D1598" s="84" t="inlineStr">
        <is>
          <t>CN0Q</t>
        </is>
      </c>
      <c r="E1598" s="80" t="inlineStr">
        <is>
          <t>EE 苏州比斯特</t>
        </is>
      </c>
      <c r="F1598" s="84" t="n">
        <v>4</v>
      </c>
      <c r="G1598" s="84" t="inlineStr">
        <is>
          <t>奥特莱斯</t>
        </is>
      </c>
      <c r="H1598" s="84" t="inlineStr">
        <is>
          <t>EEVKG25E01</t>
        </is>
      </c>
      <c r="I1598" s="84" t="n">
        <v>599</v>
      </c>
      <c r="J1598" s="84" t="n">
        <v>499</v>
      </c>
      <c r="K1598" s="85" t="n">
        <v>6</v>
      </c>
      <c r="L1598" s="86" t="n">
        <v>1096</v>
      </c>
    </row>
    <row r="1599" ht="12.75" customHeight="1" s="103">
      <c r="A1599" s="78">
        <f>MID(H1599,3,2)</f>
        <v/>
      </c>
      <c r="B1599" s="84" t="inlineStr">
        <is>
          <t>B331</t>
        </is>
      </c>
      <c r="C1599" s="84" t="inlineStr">
        <is>
          <t>上海区域</t>
        </is>
      </c>
      <c r="D1599" s="84" t="inlineStr">
        <is>
          <t>CN0Q</t>
        </is>
      </c>
      <c r="E1599" s="80" t="inlineStr">
        <is>
          <t>EE 苏州比斯特</t>
        </is>
      </c>
      <c r="F1599" s="84" t="n">
        <v>4</v>
      </c>
      <c r="G1599" s="84" t="inlineStr">
        <is>
          <t>奥特莱斯</t>
        </is>
      </c>
      <c r="H1599" s="84" t="inlineStr">
        <is>
          <t>EEVKG25E01</t>
        </is>
      </c>
      <c r="I1599" s="84" t="n">
        <v>599</v>
      </c>
      <c r="J1599" s="84" t="n">
        <v>499</v>
      </c>
      <c r="K1599" s="85" t="n">
        <v>1</v>
      </c>
      <c r="L1599" s="85" t="n"/>
    </row>
    <row r="1600" ht="12.75" customHeight="1" s="103">
      <c r="A1600" s="78">
        <f>MID(H1600,3,2)</f>
        <v/>
      </c>
      <c r="B1600" s="84" t="inlineStr">
        <is>
          <t>B331</t>
        </is>
      </c>
      <c r="C1600" s="84" t="inlineStr">
        <is>
          <t>上海区域</t>
        </is>
      </c>
      <c r="D1600" s="84" t="inlineStr">
        <is>
          <t>CN0Q</t>
        </is>
      </c>
      <c r="E1600" s="80" t="inlineStr">
        <is>
          <t>EE 苏州比斯特</t>
        </is>
      </c>
      <c r="F1600" s="84" t="n">
        <v>4</v>
      </c>
      <c r="G1600" s="84" t="inlineStr">
        <is>
          <t>奥特莱斯</t>
        </is>
      </c>
      <c r="H1600" s="84" t="inlineStr">
        <is>
          <t>EEVKG25E01</t>
        </is>
      </c>
      <c r="I1600" s="84" t="n">
        <v>599</v>
      </c>
      <c r="J1600" s="84" t="n">
        <v>499</v>
      </c>
      <c r="K1600" s="85" t="n">
        <v>7</v>
      </c>
      <c r="L1600" s="86" t="n">
        <v>1967</v>
      </c>
    </row>
    <row r="1601" ht="12.75" customHeight="1" s="103">
      <c r="A1601" s="78">
        <f>MID(H1601,3,2)</f>
        <v/>
      </c>
      <c r="B1601" s="84" t="inlineStr">
        <is>
          <t>B331</t>
        </is>
      </c>
      <c r="C1601" s="84" t="inlineStr">
        <is>
          <t>上海区域</t>
        </is>
      </c>
      <c r="D1601" s="84" t="inlineStr">
        <is>
          <t>CN0Q</t>
        </is>
      </c>
      <c r="E1601" s="80" t="inlineStr">
        <is>
          <t>EE 苏州比斯特</t>
        </is>
      </c>
      <c r="F1601" s="84" t="n">
        <v>4</v>
      </c>
      <c r="G1601" s="84" t="inlineStr">
        <is>
          <t>奥特莱斯</t>
        </is>
      </c>
      <c r="H1601" s="84" t="inlineStr">
        <is>
          <t>EEVKG25E01</t>
        </is>
      </c>
      <c r="I1601" s="84" t="n">
        <v>599</v>
      </c>
      <c r="J1601" s="84" t="n">
        <v>499</v>
      </c>
      <c r="K1601" s="85" t="n">
        <v>5</v>
      </c>
      <c r="L1601" s="86" t="n">
        <v>1641</v>
      </c>
    </row>
    <row r="1602" ht="12.75" customHeight="1" s="103">
      <c r="A1602" s="78">
        <f>MID(H1602,3,2)</f>
        <v/>
      </c>
      <c r="B1602" s="84" t="inlineStr">
        <is>
          <t>B331</t>
        </is>
      </c>
      <c r="C1602" s="84" t="inlineStr">
        <is>
          <t>上海区域</t>
        </is>
      </c>
      <c r="D1602" s="84" t="inlineStr">
        <is>
          <t>CN0Q</t>
        </is>
      </c>
      <c r="E1602" s="80" t="inlineStr">
        <is>
          <t>EE 苏州比斯特</t>
        </is>
      </c>
      <c r="F1602" s="84" t="n">
        <v>4</v>
      </c>
      <c r="G1602" s="84" t="inlineStr">
        <is>
          <t>奥特莱斯</t>
        </is>
      </c>
      <c r="H1602" s="84" t="inlineStr">
        <is>
          <t>EEVKG25E01</t>
        </is>
      </c>
      <c r="I1602" s="84" t="n">
        <v>599</v>
      </c>
      <c r="J1602" s="84" t="n">
        <v>499</v>
      </c>
      <c r="K1602" s="85" t="n">
        <v>3</v>
      </c>
      <c r="L1602" s="85" t="n">
        <v>477</v>
      </c>
    </row>
    <row r="1603" ht="12.75" customHeight="1" s="103">
      <c r="A1603" s="78">
        <f>MID(H1603,3,2)</f>
        <v/>
      </c>
      <c r="B1603" s="84" t="inlineStr">
        <is>
          <t>B331</t>
        </is>
      </c>
      <c r="C1603" s="84" t="inlineStr">
        <is>
          <t>上海区域</t>
        </is>
      </c>
      <c r="D1603" s="84" t="inlineStr">
        <is>
          <t>CN0Q</t>
        </is>
      </c>
      <c r="E1603" s="80" t="inlineStr">
        <is>
          <t>EE 苏州比斯特</t>
        </is>
      </c>
      <c r="F1603" s="84" t="n">
        <v>4</v>
      </c>
      <c r="G1603" s="84" t="inlineStr">
        <is>
          <t>奥特莱斯</t>
        </is>
      </c>
      <c r="H1603" s="84" t="inlineStr">
        <is>
          <t>EEVKG64S01</t>
        </is>
      </c>
      <c r="I1603" s="84" t="n">
        <v>599</v>
      </c>
      <c r="J1603" s="84" t="n">
        <v>599</v>
      </c>
      <c r="K1603" s="85" t="n">
        <v>2</v>
      </c>
      <c r="L1603" s="85" t="n"/>
    </row>
    <row r="1604" ht="12.75" customHeight="1" s="103">
      <c r="A1604" s="78">
        <f>MID(H1604,3,2)</f>
        <v/>
      </c>
      <c r="B1604" s="84" t="inlineStr">
        <is>
          <t>B331</t>
        </is>
      </c>
      <c r="C1604" s="84" t="inlineStr">
        <is>
          <t>上海区域</t>
        </is>
      </c>
      <c r="D1604" s="84" t="inlineStr">
        <is>
          <t>CN0Q</t>
        </is>
      </c>
      <c r="E1604" s="80" t="inlineStr">
        <is>
          <t>EE 苏州比斯特</t>
        </is>
      </c>
      <c r="F1604" s="84" t="n">
        <v>4</v>
      </c>
      <c r="G1604" s="84" t="inlineStr">
        <is>
          <t>奥特莱斯</t>
        </is>
      </c>
      <c r="H1604" s="84" t="inlineStr">
        <is>
          <t>EEVKG64S01</t>
        </is>
      </c>
      <c r="I1604" s="84" t="n">
        <v>599</v>
      </c>
      <c r="J1604" s="84" t="n">
        <v>599</v>
      </c>
      <c r="K1604" s="85" t="n"/>
      <c r="L1604" s="85" t="n"/>
    </row>
    <row r="1605" ht="12.75" customHeight="1" s="103">
      <c r="A1605" s="78">
        <f>MID(H1605,3,2)</f>
        <v/>
      </c>
      <c r="B1605" s="84" t="inlineStr">
        <is>
          <t>B331</t>
        </is>
      </c>
      <c r="C1605" s="84" t="inlineStr">
        <is>
          <t>上海区域</t>
        </is>
      </c>
      <c r="D1605" s="84" t="inlineStr">
        <is>
          <t>CN0Q</t>
        </is>
      </c>
      <c r="E1605" s="80" t="inlineStr">
        <is>
          <t>EE 苏州比斯特</t>
        </is>
      </c>
      <c r="F1605" s="84" t="n">
        <v>4</v>
      </c>
      <c r="G1605" s="84" t="inlineStr">
        <is>
          <t>奥特莱斯</t>
        </is>
      </c>
      <c r="H1605" s="84" t="inlineStr">
        <is>
          <t>EEVWG24E01</t>
        </is>
      </c>
      <c r="I1605" s="84" t="n">
        <v>899</v>
      </c>
      <c r="J1605" s="84" t="n">
        <v>899</v>
      </c>
      <c r="K1605" s="85" t="n">
        <v>4</v>
      </c>
      <c r="L1605" s="86" t="n">
        <v>1166</v>
      </c>
    </row>
    <row r="1606" ht="12.75" customHeight="1" s="103">
      <c r="A1606" s="78">
        <f>MID(H1606,3,2)</f>
        <v/>
      </c>
      <c r="B1606" s="84" t="inlineStr">
        <is>
          <t>B331</t>
        </is>
      </c>
      <c r="C1606" s="84" t="inlineStr">
        <is>
          <t>上海区域</t>
        </is>
      </c>
      <c r="D1606" s="84" t="inlineStr">
        <is>
          <t>CN0Q</t>
        </is>
      </c>
      <c r="E1606" s="80" t="inlineStr">
        <is>
          <t>EE 苏州比斯特</t>
        </is>
      </c>
      <c r="F1606" s="84" t="n">
        <v>4</v>
      </c>
      <c r="G1606" s="84" t="inlineStr">
        <is>
          <t>奥特莱斯</t>
        </is>
      </c>
      <c r="H1606" s="84" t="inlineStr">
        <is>
          <t>EEVWG24E01</t>
        </is>
      </c>
      <c r="I1606" s="84" t="n">
        <v>899</v>
      </c>
      <c r="J1606" s="84" t="n">
        <v>899</v>
      </c>
      <c r="K1606" s="85" t="n">
        <v>5</v>
      </c>
      <c r="L1606" s="86" t="n">
        <v>1743</v>
      </c>
    </row>
    <row r="1607" ht="12.75" customHeight="1" s="103">
      <c r="A1607" s="78">
        <f>MID(H1607,3,2)</f>
        <v/>
      </c>
      <c r="B1607" s="84" t="inlineStr">
        <is>
          <t>B331</t>
        </is>
      </c>
      <c r="C1607" s="84" t="inlineStr">
        <is>
          <t>上海区域</t>
        </is>
      </c>
      <c r="D1607" s="84" t="inlineStr">
        <is>
          <t>CN0Q</t>
        </is>
      </c>
      <c r="E1607" s="80" t="inlineStr">
        <is>
          <t>EE 苏州比斯特</t>
        </is>
      </c>
      <c r="F1607" s="84" t="n">
        <v>4</v>
      </c>
      <c r="G1607" s="84" t="inlineStr">
        <is>
          <t>奥特莱斯</t>
        </is>
      </c>
      <c r="H1607" s="84" t="inlineStr">
        <is>
          <t>EEVWG24E01</t>
        </is>
      </c>
      <c r="I1607" s="84" t="n">
        <v>899</v>
      </c>
      <c r="J1607" s="84" t="n">
        <v>899</v>
      </c>
      <c r="K1607" s="85" t="n"/>
      <c r="L1607" s="85" t="n"/>
    </row>
    <row r="1608" ht="12.75" customHeight="1" s="103">
      <c r="A1608" s="78">
        <f>MID(H1608,3,2)</f>
        <v/>
      </c>
      <c r="B1608" s="84" t="inlineStr">
        <is>
          <t>B331</t>
        </is>
      </c>
      <c r="C1608" s="84" t="inlineStr">
        <is>
          <t>上海区域</t>
        </is>
      </c>
      <c r="D1608" s="84" t="inlineStr">
        <is>
          <t>CN0Q</t>
        </is>
      </c>
      <c r="E1608" s="80" t="inlineStr">
        <is>
          <t>EE 苏州比斯特</t>
        </is>
      </c>
      <c r="F1608" s="84" t="n">
        <v>4</v>
      </c>
      <c r="G1608" s="84" t="inlineStr">
        <is>
          <t>奥特莱斯</t>
        </is>
      </c>
      <c r="H1608" s="84" t="inlineStr">
        <is>
          <t>EEVWG24E01</t>
        </is>
      </c>
      <c r="I1608" s="84" t="n">
        <v>899</v>
      </c>
      <c r="J1608" s="84" t="n">
        <v>899</v>
      </c>
      <c r="K1608" s="85" t="n">
        <v>7</v>
      </c>
      <c r="L1608" s="86" t="n">
        <v>2903</v>
      </c>
    </row>
    <row r="1609" ht="12.75" customHeight="1" s="103">
      <c r="A1609" s="78">
        <f>MID(H1609,3,2)</f>
        <v/>
      </c>
      <c r="B1609" s="84" t="inlineStr">
        <is>
          <t>B331</t>
        </is>
      </c>
      <c r="C1609" s="84" t="inlineStr">
        <is>
          <t>上海区域</t>
        </is>
      </c>
      <c r="D1609" s="84" t="inlineStr">
        <is>
          <t>CN0Q</t>
        </is>
      </c>
      <c r="E1609" s="80" t="inlineStr">
        <is>
          <t>EE 苏州比斯特</t>
        </is>
      </c>
      <c r="F1609" s="84" t="n">
        <v>4</v>
      </c>
      <c r="G1609" s="84" t="inlineStr">
        <is>
          <t>奥特莱斯</t>
        </is>
      </c>
      <c r="H1609" s="84" t="inlineStr">
        <is>
          <t>EEVWG24E01</t>
        </is>
      </c>
      <c r="I1609" s="84" t="n">
        <v>899</v>
      </c>
      <c r="J1609" s="84" t="n">
        <v>899</v>
      </c>
      <c r="K1609" s="85" t="n">
        <v>4</v>
      </c>
      <c r="L1609" s="86" t="n">
        <v>1754</v>
      </c>
    </row>
    <row r="1610" ht="12.75" customHeight="1" s="103">
      <c r="A1610" s="78">
        <f>MID(H1610,3,2)</f>
        <v/>
      </c>
      <c r="B1610" s="84" t="inlineStr">
        <is>
          <t>B331</t>
        </is>
      </c>
      <c r="C1610" s="84" t="inlineStr">
        <is>
          <t>上海区域</t>
        </is>
      </c>
      <c r="D1610" s="84" t="inlineStr">
        <is>
          <t>CN0Q</t>
        </is>
      </c>
      <c r="E1610" s="80" t="inlineStr">
        <is>
          <t>EE 苏州比斯特</t>
        </is>
      </c>
      <c r="F1610" s="84" t="n">
        <v>4</v>
      </c>
      <c r="G1610" s="84" t="inlineStr">
        <is>
          <t>奥特莱斯</t>
        </is>
      </c>
      <c r="H1610" s="84" t="inlineStr">
        <is>
          <t>EEVWG24E01</t>
        </is>
      </c>
      <c r="I1610" s="84" t="n">
        <v>899</v>
      </c>
      <c r="J1610" s="84" t="n">
        <v>899</v>
      </c>
      <c r="K1610" s="85" t="n">
        <v>3</v>
      </c>
      <c r="L1610" s="86" t="n">
        <v>1737</v>
      </c>
    </row>
    <row r="1611" ht="12.75" customHeight="1" s="103">
      <c r="A1611" s="78">
        <f>MID(H1611,3,2)</f>
        <v/>
      </c>
      <c r="B1611" s="84" t="inlineStr">
        <is>
          <t>B331</t>
        </is>
      </c>
      <c r="C1611" s="84" t="inlineStr">
        <is>
          <t>上海区域</t>
        </is>
      </c>
      <c r="D1611" s="84" t="inlineStr">
        <is>
          <t>CN0Q</t>
        </is>
      </c>
      <c r="E1611" s="80" t="inlineStr">
        <is>
          <t>EE 苏州比斯特</t>
        </is>
      </c>
      <c r="F1611" s="84" t="n">
        <v>4</v>
      </c>
      <c r="G1611" s="84" t="inlineStr">
        <is>
          <t>奥特莱斯</t>
        </is>
      </c>
      <c r="H1611" s="84" t="inlineStr">
        <is>
          <t>EEVWG25B01</t>
        </is>
      </c>
      <c r="I1611" s="84" t="n">
        <v>999</v>
      </c>
      <c r="J1611" s="84" t="n">
        <v>999</v>
      </c>
      <c r="K1611" s="85" t="n">
        <v>1</v>
      </c>
      <c r="L1611" s="85" t="n">
        <v>644</v>
      </c>
    </row>
    <row r="1612" ht="12.75" customHeight="1" s="103">
      <c r="A1612" s="78">
        <f>MID(H1612,3,2)</f>
        <v/>
      </c>
      <c r="B1612" s="84" t="inlineStr">
        <is>
          <t>B331</t>
        </is>
      </c>
      <c r="C1612" s="84" t="inlineStr">
        <is>
          <t>上海区域</t>
        </is>
      </c>
      <c r="D1612" s="84" t="inlineStr">
        <is>
          <t>CN0Q</t>
        </is>
      </c>
      <c r="E1612" s="80" t="inlineStr">
        <is>
          <t>EE 苏州比斯特</t>
        </is>
      </c>
      <c r="F1612" s="84" t="n">
        <v>4</v>
      </c>
      <c r="G1612" s="84" t="inlineStr">
        <is>
          <t>奥特莱斯</t>
        </is>
      </c>
      <c r="H1612" s="84" t="inlineStr">
        <is>
          <t>EEVWG25B01</t>
        </is>
      </c>
      <c r="I1612" s="84" t="n">
        <v>999</v>
      </c>
      <c r="J1612" s="84" t="n">
        <v>999</v>
      </c>
      <c r="K1612" s="85" t="n">
        <v>3</v>
      </c>
      <c r="L1612" s="86" t="n">
        <v>1287</v>
      </c>
    </row>
    <row r="1613" ht="12.75" customHeight="1" s="103">
      <c r="A1613" s="78">
        <f>MID(H1613,3,2)</f>
        <v/>
      </c>
      <c r="B1613" s="84" t="inlineStr">
        <is>
          <t>B331</t>
        </is>
      </c>
      <c r="C1613" s="84" t="inlineStr">
        <is>
          <t>上海区域</t>
        </is>
      </c>
      <c r="D1613" s="84" t="inlineStr">
        <is>
          <t>CN0Q</t>
        </is>
      </c>
      <c r="E1613" s="80" t="inlineStr">
        <is>
          <t>EE 苏州比斯特</t>
        </is>
      </c>
      <c r="F1613" s="84" t="n">
        <v>4</v>
      </c>
      <c r="G1613" s="84" t="inlineStr">
        <is>
          <t>奥特莱斯</t>
        </is>
      </c>
      <c r="H1613" s="84" t="inlineStr">
        <is>
          <t>EEVWG25B01</t>
        </is>
      </c>
      <c r="I1613" s="84" t="n">
        <v>999</v>
      </c>
      <c r="J1613" s="84" t="n">
        <v>999</v>
      </c>
      <c r="K1613" s="85" t="n">
        <v>1</v>
      </c>
      <c r="L1613" s="85" t="n"/>
    </row>
    <row r="1614" ht="12.75" customHeight="1" s="103">
      <c r="A1614" s="78">
        <f>MID(H1614,3,2)</f>
        <v/>
      </c>
      <c r="B1614" s="84" t="inlineStr">
        <is>
          <t>B331</t>
        </is>
      </c>
      <c r="C1614" s="84" t="inlineStr">
        <is>
          <t>上海区域</t>
        </is>
      </c>
      <c r="D1614" s="84" t="inlineStr">
        <is>
          <t>CN0Q</t>
        </is>
      </c>
      <c r="E1614" s="80" t="inlineStr">
        <is>
          <t>EE 苏州比斯特</t>
        </is>
      </c>
      <c r="F1614" s="84" t="n">
        <v>4</v>
      </c>
      <c r="G1614" s="84" t="inlineStr">
        <is>
          <t>奥特莱斯</t>
        </is>
      </c>
      <c r="H1614" s="84" t="inlineStr">
        <is>
          <t>EEWHF23M01</t>
        </is>
      </c>
      <c r="I1614" s="84" t="n">
        <v>699</v>
      </c>
      <c r="J1614" s="84" t="n">
        <v>699</v>
      </c>
      <c r="K1614" s="85" t="n">
        <v>2</v>
      </c>
      <c r="L1614" s="85" t="n">
        <v>671</v>
      </c>
    </row>
    <row r="1615" ht="12.75" customHeight="1" s="103">
      <c r="A1615" s="78">
        <f>MID(H1615,3,2)</f>
        <v/>
      </c>
      <c r="B1615" s="84" t="inlineStr">
        <is>
          <t>B331</t>
        </is>
      </c>
      <c r="C1615" s="84" t="inlineStr">
        <is>
          <t>上海区域</t>
        </is>
      </c>
      <c r="D1615" s="84" t="inlineStr">
        <is>
          <t>CN0Q</t>
        </is>
      </c>
      <c r="E1615" s="80" t="inlineStr">
        <is>
          <t>EE 苏州比斯特</t>
        </is>
      </c>
      <c r="F1615" s="84" t="n">
        <v>4</v>
      </c>
      <c r="G1615" s="84" t="inlineStr">
        <is>
          <t>奥特莱斯</t>
        </is>
      </c>
      <c r="H1615" s="84" t="inlineStr">
        <is>
          <t>EEWHF23M01</t>
        </is>
      </c>
      <c r="I1615" s="84" t="n">
        <v>699</v>
      </c>
      <c r="J1615" s="84" t="n">
        <v>699</v>
      </c>
      <c r="K1615" s="85" t="n"/>
      <c r="L1615" s="85" t="n"/>
    </row>
    <row r="1616" ht="12.75" customHeight="1" s="103">
      <c r="A1616" s="78">
        <f>MID(H1616,3,2)</f>
        <v/>
      </c>
      <c r="B1616" s="84" t="inlineStr">
        <is>
          <t>B331</t>
        </is>
      </c>
      <c r="C1616" s="84" t="inlineStr">
        <is>
          <t>上海区域</t>
        </is>
      </c>
      <c r="D1616" s="84" t="inlineStr">
        <is>
          <t>CN0Q</t>
        </is>
      </c>
      <c r="E1616" s="80" t="inlineStr">
        <is>
          <t>EE 苏州比斯特</t>
        </is>
      </c>
      <c r="F1616" s="84" t="n">
        <v>4</v>
      </c>
      <c r="G1616" s="84" t="inlineStr">
        <is>
          <t>奥特莱斯</t>
        </is>
      </c>
      <c r="H1616" s="84" t="inlineStr">
        <is>
          <t>EEWHF23M01</t>
        </is>
      </c>
      <c r="I1616" s="84" t="n">
        <v>699</v>
      </c>
      <c r="J1616" s="84" t="n">
        <v>699</v>
      </c>
      <c r="K1616" s="85" t="n"/>
      <c r="L1616" s="85" t="n"/>
    </row>
    <row r="1617" ht="12.75" customHeight="1" s="103">
      <c r="A1617" s="78">
        <f>MID(H1617,3,2)</f>
        <v/>
      </c>
      <c r="B1617" s="84" t="inlineStr">
        <is>
          <t>B331</t>
        </is>
      </c>
      <c r="C1617" s="84" t="inlineStr">
        <is>
          <t>上海区域</t>
        </is>
      </c>
      <c r="D1617" s="84" t="inlineStr">
        <is>
          <t>CN0Q</t>
        </is>
      </c>
      <c r="E1617" s="80" t="inlineStr">
        <is>
          <t>EE 苏州比斯特</t>
        </is>
      </c>
      <c r="F1617" s="84" t="n">
        <v>4</v>
      </c>
      <c r="G1617" s="84" t="inlineStr">
        <is>
          <t>奥特莱斯</t>
        </is>
      </c>
      <c r="H1617" s="84" t="inlineStr">
        <is>
          <t>EEWHF23M01</t>
        </is>
      </c>
      <c r="I1617" s="84" t="n">
        <v>699</v>
      </c>
      <c r="J1617" s="84" t="n">
        <v>699</v>
      </c>
      <c r="K1617" s="85" t="n"/>
      <c r="L1617" s="85" t="n"/>
    </row>
    <row r="1618" ht="12.75" customHeight="1" s="103">
      <c r="A1618" s="78">
        <f>MID(H1618,3,2)</f>
        <v/>
      </c>
      <c r="B1618" s="84" t="inlineStr">
        <is>
          <t>B331</t>
        </is>
      </c>
      <c r="C1618" s="84" t="inlineStr">
        <is>
          <t>上海区域</t>
        </is>
      </c>
      <c r="D1618" s="84" t="inlineStr">
        <is>
          <t>CN0Q</t>
        </is>
      </c>
      <c r="E1618" s="80" t="inlineStr">
        <is>
          <t>EE 苏州比斯特</t>
        </is>
      </c>
      <c r="F1618" s="84" t="n">
        <v>4</v>
      </c>
      <c r="G1618" s="84" t="inlineStr">
        <is>
          <t>奥特莱斯</t>
        </is>
      </c>
      <c r="H1618" s="84" t="inlineStr">
        <is>
          <t>EEWHF23M01</t>
        </is>
      </c>
      <c r="I1618" s="84" t="n">
        <v>699</v>
      </c>
      <c r="J1618" s="84" t="n">
        <v>699</v>
      </c>
      <c r="K1618" s="85" t="n"/>
      <c r="L1618" s="85" t="n"/>
    </row>
    <row r="1619" ht="12.75" customHeight="1" s="103">
      <c r="A1619" s="78">
        <f>MID(H1619,3,2)</f>
        <v/>
      </c>
      <c r="B1619" s="84" t="inlineStr">
        <is>
          <t>B331</t>
        </is>
      </c>
      <c r="C1619" s="84" t="inlineStr">
        <is>
          <t>上海区域</t>
        </is>
      </c>
      <c r="D1619" s="84" t="inlineStr">
        <is>
          <t>CN0Q</t>
        </is>
      </c>
      <c r="E1619" s="80" t="inlineStr">
        <is>
          <t>EE 苏州比斯特</t>
        </is>
      </c>
      <c r="F1619" s="84" t="n">
        <v>4</v>
      </c>
      <c r="G1619" s="84" t="inlineStr">
        <is>
          <t>奥特莱斯</t>
        </is>
      </c>
      <c r="H1619" s="84" t="inlineStr">
        <is>
          <t>EEWHF23M01</t>
        </is>
      </c>
      <c r="I1619" s="84" t="n">
        <v>699</v>
      </c>
      <c r="J1619" s="84" t="n">
        <v>699</v>
      </c>
      <c r="K1619" s="85" t="n"/>
      <c r="L1619" s="85" t="n"/>
    </row>
    <row r="1620" ht="12.75" customHeight="1" s="103">
      <c r="A1620" s="78">
        <f>MID(H1620,3,2)</f>
        <v/>
      </c>
      <c r="B1620" s="84" t="inlineStr">
        <is>
          <t>B331</t>
        </is>
      </c>
      <c r="C1620" s="84" t="inlineStr">
        <is>
          <t>上海区域</t>
        </is>
      </c>
      <c r="D1620" s="84" t="inlineStr">
        <is>
          <t>CN0Q</t>
        </is>
      </c>
      <c r="E1620" s="80" t="inlineStr">
        <is>
          <t>EE 苏州比斯特</t>
        </is>
      </c>
      <c r="F1620" s="84" t="n">
        <v>4</v>
      </c>
      <c r="G1620" s="84" t="inlineStr">
        <is>
          <t>奥特莱斯</t>
        </is>
      </c>
      <c r="H1620" s="84" t="inlineStr">
        <is>
          <t>EEWHF24B06</t>
        </is>
      </c>
      <c r="I1620" s="84" t="n">
        <v>599</v>
      </c>
      <c r="J1620" s="84" t="n">
        <v>699</v>
      </c>
      <c r="K1620" s="85" t="n"/>
      <c r="L1620" s="85" t="n"/>
    </row>
    <row r="1621" ht="12.75" customHeight="1" s="103">
      <c r="A1621" s="78">
        <f>MID(H1621,3,2)</f>
        <v/>
      </c>
      <c r="B1621" s="84" t="inlineStr">
        <is>
          <t>B331</t>
        </is>
      </c>
      <c r="C1621" s="84" t="inlineStr">
        <is>
          <t>上海区域</t>
        </is>
      </c>
      <c r="D1621" s="84" t="inlineStr">
        <is>
          <t>CN0Q</t>
        </is>
      </c>
      <c r="E1621" s="80" t="inlineStr">
        <is>
          <t>EE 苏州比斯特</t>
        </is>
      </c>
      <c r="F1621" s="84" t="n">
        <v>4</v>
      </c>
      <c r="G1621" s="84" t="inlineStr">
        <is>
          <t>奥特莱斯</t>
        </is>
      </c>
      <c r="H1621" s="84" t="inlineStr">
        <is>
          <t>EEWHF24B06</t>
        </is>
      </c>
      <c r="I1621" s="84" t="n">
        <v>599</v>
      </c>
      <c r="J1621" s="84" t="n">
        <v>699</v>
      </c>
      <c r="K1621" s="85" t="n">
        <v>1</v>
      </c>
      <c r="L1621" s="85" t="n">
        <v>320</v>
      </c>
    </row>
    <row r="1622" ht="12.75" customHeight="1" s="103">
      <c r="A1622" s="78">
        <f>MID(H1622,3,2)</f>
        <v/>
      </c>
      <c r="B1622" s="84" t="inlineStr">
        <is>
          <t>B331</t>
        </is>
      </c>
      <c r="C1622" s="84" t="inlineStr">
        <is>
          <t>上海区域</t>
        </is>
      </c>
      <c r="D1622" s="84" t="inlineStr">
        <is>
          <t>CN0Q</t>
        </is>
      </c>
      <c r="E1622" s="80" t="inlineStr">
        <is>
          <t>EE 苏州比斯特</t>
        </is>
      </c>
      <c r="F1622" s="84" t="n">
        <v>4</v>
      </c>
      <c r="G1622" s="84" t="inlineStr">
        <is>
          <t>奥特莱斯</t>
        </is>
      </c>
      <c r="H1622" s="84" t="inlineStr">
        <is>
          <t>EEWHF24B06</t>
        </is>
      </c>
      <c r="I1622" s="84" t="n">
        <v>599</v>
      </c>
      <c r="J1622" s="84" t="n">
        <v>699</v>
      </c>
      <c r="K1622" s="85" t="n">
        <v>1</v>
      </c>
      <c r="L1622" s="85" t="n">
        <v>318</v>
      </c>
    </row>
    <row r="1623" ht="12.75" customHeight="1" s="103">
      <c r="A1623" s="78">
        <f>MID(H1623,3,2)</f>
        <v/>
      </c>
      <c r="B1623" s="84" t="inlineStr">
        <is>
          <t>B331</t>
        </is>
      </c>
      <c r="C1623" s="84" t="inlineStr">
        <is>
          <t>上海区域</t>
        </is>
      </c>
      <c r="D1623" s="84" t="inlineStr">
        <is>
          <t>CN0Q</t>
        </is>
      </c>
      <c r="E1623" s="80" t="inlineStr">
        <is>
          <t>EE 苏州比斯特</t>
        </is>
      </c>
      <c r="F1623" s="84" t="n">
        <v>4</v>
      </c>
      <c r="G1623" s="84" t="inlineStr">
        <is>
          <t>奥特莱斯</t>
        </is>
      </c>
      <c r="H1623" s="84" t="inlineStr">
        <is>
          <t>EEWHF24B06</t>
        </is>
      </c>
      <c r="I1623" s="84" t="n">
        <v>599</v>
      </c>
      <c r="J1623" s="84" t="n">
        <v>699</v>
      </c>
      <c r="K1623" s="85" t="n"/>
      <c r="L1623" s="85" t="n"/>
    </row>
    <row r="1624" ht="12.75" customHeight="1" s="103">
      <c r="A1624" s="78">
        <f>MID(H1624,3,2)</f>
        <v/>
      </c>
      <c r="B1624" s="84" t="inlineStr">
        <is>
          <t>B331</t>
        </is>
      </c>
      <c r="C1624" s="84" t="inlineStr">
        <is>
          <t>上海区域</t>
        </is>
      </c>
      <c r="D1624" s="84" t="inlineStr">
        <is>
          <t>CN0Q</t>
        </is>
      </c>
      <c r="E1624" s="80" t="inlineStr">
        <is>
          <t>EE 苏州比斯特</t>
        </is>
      </c>
      <c r="F1624" s="84" t="n">
        <v>4</v>
      </c>
      <c r="G1624" s="84" t="inlineStr">
        <is>
          <t>奥特莱斯</t>
        </is>
      </c>
      <c r="H1624" s="84" t="inlineStr">
        <is>
          <t>EEWHF24E01</t>
        </is>
      </c>
      <c r="I1624" s="84" t="n">
        <v>699</v>
      </c>
      <c r="J1624" s="84" t="n">
        <v>699</v>
      </c>
      <c r="K1624" s="85" t="n"/>
      <c r="L1624" s="85" t="n"/>
    </row>
    <row r="1625" ht="12.75" customHeight="1" s="103">
      <c r="A1625" s="78">
        <f>MID(H1625,3,2)</f>
        <v/>
      </c>
      <c r="B1625" s="84" t="inlineStr">
        <is>
          <t>B331</t>
        </is>
      </c>
      <c r="C1625" s="84" t="inlineStr">
        <is>
          <t>上海区域</t>
        </is>
      </c>
      <c r="D1625" s="84" t="inlineStr">
        <is>
          <t>CN0Q</t>
        </is>
      </c>
      <c r="E1625" s="80" t="inlineStr">
        <is>
          <t>EE 苏州比斯特</t>
        </is>
      </c>
      <c r="F1625" s="84" t="n">
        <v>4</v>
      </c>
      <c r="G1625" s="84" t="inlineStr">
        <is>
          <t>奥特莱斯</t>
        </is>
      </c>
      <c r="H1625" s="84" t="inlineStr">
        <is>
          <t>EEWHF24E01</t>
        </is>
      </c>
      <c r="I1625" s="84" t="n">
        <v>699</v>
      </c>
      <c r="J1625" s="84" t="n">
        <v>699</v>
      </c>
      <c r="K1625" s="85" t="n"/>
      <c r="L1625" s="85" t="n"/>
    </row>
    <row r="1626" ht="12.75" customHeight="1" s="103">
      <c r="A1626" s="78">
        <f>MID(H1626,3,2)</f>
        <v/>
      </c>
      <c r="B1626" s="84" t="inlineStr">
        <is>
          <t>B331</t>
        </is>
      </c>
      <c r="C1626" s="84" t="inlineStr">
        <is>
          <t>上海区域</t>
        </is>
      </c>
      <c r="D1626" s="84" t="inlineStr">
        <is>
          <t>CN0Q</t>
        </is>
      </c>
      <c r="E1626" s="80" t="inlineStr">
        <is>
          <t>EE 苏州比斯特</t>
        </is>
      </c>
      <c r="F1626" s="84" t="n">
        <v>4</v>
      </c>
      <c r="G1626" s="84" t="inlineStr">
        <is>
          <t>奥特莱斯</t>
        </is>
      </c>
      <c r="H1626" s="84" t="inlineStr">
        <is>
          <t>EEWHF24E01</t>
        </is>
      </c>
      <c r="I1626" s="84" t="n">
        <v>699</v>
      </c>
      <c r="J1626" s="84" t="n">
        <v>699</v>
      </c>
      <c r="K1626" s="85" t="n"/>
      <c r="L1626" s="85" t="n"/>
    </row>
    <row r="1627" ht="12.75" customHeight="1" s="103">
      <c r="A1627" s="78">
        <f>MID(H1627,3,2)</f>
        <v/>
      </c>
      <c r="B1627" s="84" t="inlineStr">
        <is>
          <t>B331</t>
        </is>
      </c>
      <c r="C1627" s="84" t="inlineStr">
        <is>
          <t>上海区域</t>
        </is>
      </c>
      <c r="D1627" s="84" t="inlineStr">
        <is>
          <t>CN0Q</t>
        </is>
      </c>
      <c r="E1627" s="80" t="inlineStr">
        <is>
          <t>EE 苏州比斯特</t>
        </is>
      </c>
      <c r="F1627" s="84" t="n">
        <v>4</v>
      </c>
      <c r="G1627" s="84" t="inlineStr">
        <is>
          <t>奥特莱斯</t>
        </is>
      </c>
      <c r="H1627" s="84" t="inlineStr">
        <is>
          <t>EEWHF24E01</t>
        </is>
      </c>
      <c r="I1627" s="84" t="n">
        <v>699</v>
      </c>
      <c r="J1627" s="84" t="n">
        <v>699</v>
      </c>
      <c r="K1627" s="85" t="n"/>
      <c r="L1627" s="85" t="n"/>
    </row>
    <row r="1628" ht="12.75" customHeight="1" s="103">
      <c r="A1628" s="78">
        <f>MID(H1628,3,2)</f>
        <v/>
      </c>
      <c r="B1628" s="84" t="inlineStr">
        <is>
          <t>B331</t>
        </is>
      </c>
      <c r="C1628" s="84" t="inlineStr">
        <is>
          <t>上海区域</t>
        </is>
      </c>
      <c r="D1628" s="84" t="inlineStr">
        <is>
          <t>CN0Q</t>
        </is>
      </c>
      <c r="E1628" s="80" t="inlineStr">
        <is>
          <t>EE 苏州比斯特</t>
        </is>
      </c>
      <c r="F1628" s="84" t="n">
        <v>4</v>
      </c>
      <c r="G1628" s="84" t="inlineStr">
        <is>
          <t>奥特莱斯</t>
        </is>
      </c>
      <c r="H1628" s="84" t="inlineStr">
        <is>
          <t>EEWHF24E01</t>
        </is>
      </c>
      <c r="I1628" s="84" t="n">
        <v>699</v>
      </c>
      <c r="J1628" s="84" t="n">
        <v>699</v>
      </c>
      <c r="K1628" s="85" t="n"/>
      <c r="L1628" s="85" t="n"/>
    </row>
    <row r="1629" ht="12.75" customHeight="1" s="103">
      <c r="A1629" s="78">
        <f>MID(H1629,3,2)</f>
        <v/>
      </c>
      <c r="B1629" s="84" t="inlineStr">
        <is>
          <t>B331</t>
        </is>
      </c>
      <c r="C1629" s="84" t="inlineStr">
        <is>
          <t>上海区域</t>
        </is>
      </c>
      <c r="D1629" s="84" t="inlineStr">
        <is>
          <t>CN0Q</t>
        </is>
      </c>
      <c r="E1629" s="80" t="inlineStr">
        <is>
          <t>EE 苏州比斯特</t>
        </is>
      </c>
      <c r="F1629" s="84" t="n">
        <v>4</v>
      </c>
      <c r="G1629" s="84" t="inlineStr">
        <is>
          <t>奥特莱斯</t>
        </is>
      </c>
      <c r="H1629" s="84" t="inlineStr">
        <is>
          <t>EEWHF24E01</t>
        </is>
      </c>
      <c r="I1629" s="84" t="n">
        <v>699</v>
      </c>
      <c r="J1629" s="84" t="n">
        <v>699</v>
      </c>
      <c r="K1629" s="85" t="n"/>
      <c r="L1629" s="85" t="n"/>
    </row>
    <row r="1630" ht="12.75" customHeight="1" s="103">
      <c r="A1630" s="78">
        <f>MID(H1630,3,2)</f>
        <v/>
      </c>
      <c r="B1630" s="84" t="inlineStr">
        <is>
          <t>B331</t>
        </is>
      </c>
      <c r="C1630" s="84" t="inlineStr">
        <is>
          <t>上海区域</t>
        </is>
      </c>
      <c r="D1630" s="84" t="inlineStr">
        <is>
          <t>CN0Q</t>
        </is>
      </c>
      <c r="E1630" s="80" t="inlineStr">
        <is>
          <t>EE 苏州比斯特</t>
        </is>
      </c>
      <c r="F1630" s="84" t="n">
        <v>4</v>
      </c>
      <c r="G1630" s="84" t="inlineStr">
        <is>
          <t>奥特莱斯</t>
        </is>
      </c>
      <c r="H1630" s="84" t="inlineStr">
        <is>
          <t>EEWHF24E01</t>
        </is>
      </c>
      <c r="I1630" s="84" t="n">
        <v>699</v>
      </c>
      <c r="J1630" s="84" t="n">
        <v>699</v>
      </c>
      <c r="K1630" s="85" t="n"/>
      <c r="L1630" s="85" t="n"/>
    </row>
    <row r="1631" ht="12.75" customHeight="1" s="103">
      <c r="A1631" s="78">
        <f>MID(H1631,3,2)</f>
        <v/>
      </c>
      <c r="B1631" s="84" t="inlineStr">
        <is>
          <t>B331</t>
        </is>
      </c>
      <c r="C1631" s="84" t="inlineStr">
        <is>
          <t>上海区域</t>
        </is>
      </c>
      <c r="D1631" s="84" t="inlineStr">
        <is>
          <t>CN0Q</t>
        </is>
      </c>
      <c r="E1631" s="80" t="inlineStr">
        <is>
          <t>EE 苏州比斯特</t>
        </is>
      </c>
      <c r="F1631" s="84" t="n">
        <v>4</v>
      </c>
      <c r="G1631" s="84" t="inlineStr">
        <is>
          <t>奥特莱斯</t>
        </is>
      </c>
      <c r="H1631" s="84" t="inlineStr">
        <is>
          <t>EEWHF24E01</t>
        </is>
      </c>
      <c r="I1631" s="84" t="n">
        <v>699</v>
      </c>
      <c r="J1631" s="84" t="n">
        <v>699</v>
      </c>
      <c r="K1631" s="85" t="n"/>
      <c r="L1631" s="85" t="n"/>
    </row>
    <row r="1632" ht="12.75" customHeight="1" s="103">
      <c r="A1632" s="78">
        <f>MID(H1632,3,2)</f>
        <v/>
      </c>
      <c r="B1632" s="84" t="inlineStr">
        <is>
          <t>B331</t>
        </is>
      </c>
      <c r="C1632" s="84" t="inlineStr">
        <is>
          <t>上海区域</t>
        </is>
      </c>
      <c r="D1632" s="84" t="inlineStr">
        <is>
          <t>CN0Q</t>
        </is>
      </c>
      <c r="E1632" s="80" t="inlineStr">
        <is>
          <t>EE 苏州比斯特</t>
        </is>
      </c>
      <c r="F1632" s="84" t="n">
        <v>4</v>
      </c>
      <c r="G1632" s="84" t="inlineStr">
        <is>
          <t>奥特莱斯</t>
        </is>
      </c>
      <c r="H1632" s="84" t="inlineStr">
        <is>
          <t>EEWHF24E02</t>
        </is>
      </c>
      <c r="I1632" s="84" t="n">
        <v>699</v>
      </c>
      <c r="J1632" s="84" t="n">
        <v>799</v>
      </c>
      <c r="K1632" s="85" t="n"/>
      <c r="L1632" s="85" t="n"/>
    </row>
    <row r="1633" ht="12.75" customHeight="1" s="103">
      <c r="A1633" s="78">
        <f>MID(H1633,3,2)</f>
        <v/>
      </c>
      <c r="B1633" s="84" t="inlineStr">
        <is>
          <t>B331</t>
        </is>
      </c>
      <c r="C1633" s="84" t="inlineStr">
        <is>
          <t>上海区域</t>
        </is>
      </c>
      <c r="D1633" s="84" t="inlineStr">
        <is>
          <t>CN0Q</t>
        </is>
      </c>
      <c r="E1633" s="80" t="inlineStr">
        <is>
          <t>EE 苏州比斯特</t>
        </is>
      </c>
      <c r="F1633" s="84" t="n">
        <v>4</v>
      </c>
      <c r="G1633" s="84" t="inlineStr">
        <is>
          <t>奥特莱斯</t>
        </is>
      </c>
      <c r="H1633" s="84" t="inlineStr">
        <is>
          <t>EEWHF24E02</t>
        </is>
      </c>
      <c r="I1633" s="84" t="n">
        <v>699</v>
      </c>
      <c r="J1633" s="84" t="n">
        <v>799</v>
      </c>
      <c r="K1633" s="85" t="n"/>
      <c r="L1633" s="85" t="n"/>
    </row>
    <row r="1634" ht="12.75" customHeight="1" s="103">
      <c r="A1634" s="78">
        <f>MID(H1634,3,2)</f>
        <v/>
      </c>
      <c r="B1634" s="84" t="inlineStr">
        <is>
          <t>B331</t>
        </is>
      </c>
      <c r="C1634" s="84" t="inlineStr">
        <is>
          <t>上海区域</t>
        </is>
      </c>
      <c r="D1634" s="84" t="inlineStr">
        <is>
          <t>CN0Q</t>
        </is>
      </c>
      <c r="E1634" s="80" t="inlineStr">
        <is>
          <t>EE 苏州比斯特</t>
        </is>
      </c>
      <c r="F1634" s="84" t="n">
        <v>4</v>
      </c>
      <c r="G1634" s="84" t="inlineStr">
        <is>
          <t>奥特莱斯</t>
        </is>
      </c>
      <c r="H1634" s="84" t="inlineStr">
        <is>
          <t>EEWHF24E02</t>
        </is>
      </c>
      <c r="I1634" s="84" t="n">
        <v>699</v>
      </c>
      <c r="J1634" s="84" t="n">
        <v>799</v>
      </c>
      <c r="K1634" s="85" t="n"/>
      <c r="L1634" s="85" t="n"/>
    </row>
    <row r="1635" ht="12.75" customHeight="1" s="103">
      <c r="A1635" s="78">
        <f>MID(H1635,3,2)</f>
        <v/>
      </c>
      <c r="B1635" s="84" t="inlineStr">
        <is>
          <t>B331</t>
        </is>
      </c>
      <c r="C1635" s="84" t="inlineStr">
        <is>
          <t>上海区域</t>
        </is>
      </c>
      <c r="D1635" s="84" t="inlineStr">
        <is>
          <t>CN0Q</t>
        </is>
      </c>
      <c r="E1635" s="80" t="inlineStr">
        <is>
          <t>EE 苏州比斯特</t>
        </is>
      </c>
      <c r="F1635" s="84" t="n">
        <v>4</v>
      </c>
      <c r="G1635" s="84" t="inlineStr">
        <is>
          <t>奥特莱斯</t>
        </is>
      </c>
      <c r="H1635" s="84" t="inlineStr">
        <is>
          <t>EEWHF24E02</t>
        </is>
      </c>
      <c r="I1635" s="84" t="n">
        <v>699</v>
      </c>
      <c r="J1635" s="84" t="n">
        <v>799</v>
      </c>
      <c r="K1635" s="85" t="n"/>
      <c r="L1635" s="85" t="n"/>
    </row>
    <row r="1636" ht="12.75" customHeight="1" s="103">
      <c r="A1636" s="78">
        <f>MID(H1636,3,2)</f>
        <v/>
      </c>
      <c r="B1636" s="84" t="inlineStr">
        <is>
          <t>B331</t>
        </is>
      </c>
      <c r="C1636" s="84" t="inlineStr">
        <is>
          <t>上海区域</t>
        </is>
      </c>
      <c r="D1636" s="84" t="inlineStr">
        <is>
          <t>CN0Q</t>
        </is>
      </c>
      <c r="E1636" s="80" t="inlineStr">
        <is>
          <t>EE 苏州比斯特</t>
        </is>
      </c>
      <c r="F1636" s="84" t="n">
        <v>4</v>
      </c>
      <c r="G1636" s="84" t="inlineStr">
        <is>
          <t>奥特莱斯</t>
        </is>
      </c>
      <c r="H1636" s="84" t="inlineStr">
        <is>
          <t>EEWHF24E02</t>
        </is>
      </c>
      <c r="I1636" s="84" t="n">
        <v>699</v>
      </c>
      <c r="J1636" s="84" t="n">
        <v>799</v>
      </c>
      <c r="K1636" s="85" t="n"/>
      <c r="L1636" s="85" t="n"/>
    </row>
    <row r="1637" ht="12.75" customHeight="1" s="103">
      <c r="A1637" s="78">
        <f>MID(H1637,3,2)</f>
        <v/>
      </c>
      <c r="B1637" s="84" t="inlineStr">
        <is>
          <t>B331</t>
        </is>
      </c>
      <c r="C1637" s="84" t="inlineStr">
        <is>
          <t>上海区域</t>
        </is>
      </c>
      <c r="D1637" s="84" t="inlineStr">
        <is>
          <t>CN0Q</t>
        </is>
      </c>
      <c r="E1637" s="80" t="inlineStr">
        <is>
          <t>EE 苏州比斯特</t>
        </is>
      </c>
      <c r="F1637" s="84" t="n">
        <v>4</v>
      </c>
      <c r="G1637" s="84" t="inlineStr">
        <is>
          <t>奥特莱斯</t>
        </is>
      </c>
      <c r="H1637" s="84" t="inlineStr">
        <is>
          <t>EEWHF24E02</t>
        </is>
      </c>
      <c r="I1637" s="84" t="n">
        <v>699</v>
      </c>
      <c r="J1637" s="84" t="n">
        <v>799</v>
      </c>
      <c r="K1637" s="85" t="n"/>
      <c r="L1637" s="85" t="n"/>
    </row>
    <row r="1638" ht="12.75" customHeight="1" s="103">
      <c r="A1638" s="78">
        <f>MID(H1638,3,2)</f>
        <v/>
      </c>
      <c r="B1638" s="84" t="inlineStr">
        <is>
          <t>B331</t>
        </is>
      </c>
      <c r="C1638" s="84" t="inlineStr">
        <is>
          <t>上海区域</t>
        </is>
      </c>
      <c r="D1638" s="84" t="inlineStr">
        <is>
          <t>CN0Q</t>
        </is>
      </c>
      <c r="E1638" s="80" t="inlineStr">
        <is>
          <t>EE 苏州比斯特</t>
        </is>
      </c>
      <c r="F1638" s="84" t="n">
        <v>4</v>
      </c>
      <c r="G1638" s="84" t="inlineStr">
        <is>
          <t>奥特莱斯</t>
        </is>
      </c>
      <c r="H1638" s="84" t="inlineStr">
        <is>
          <t>EEWHF24E02</t>
        </is>
      </c>
      <c r="I1638" s="84" t="n">
        <v>699</v>
      </c>
      <c r="J1638" s="84" t="n">
        <v>799</v>
      </c>
      <c r="K1638" s="85" t="n"/>
      <c r="L1638" s="85" t="n"/>
    </row>
    <row r="1639" ht="12.75" customHeight="1" s="103">
      <c r="A1639" s="78">
        <f>MID(H1639,3,2)</f>
        <v/>
      </c>
      <c r="B1639" s="84" t="inlineStr">
        <is>
          <t>B331</t>
        </is>
      </c>
      <c r="C1639" s="84" t="inlineStr">
        <is>
          <t>上海区域</t>
        </is>
      </c>
      <c r="D1639" s="84" t="inlineStr">
        <is>
          <t>CN0Q</t>
        </is>
      </c>
      <c r="E1639" s="80" t="inlineStr">
        <is>
          <t>EE 苏州比斯特</t>
        </is>
      </c>
      <c r="F1639" s="84" t="n">
        <v>4</v>
      </c>
      <c r="G1639" s="84" t="inlineStr">
        <is>
          <t>奥特莱斯</t>
        </is>
      </c>
      <c r="H1639" s="84" t="inlineStr">
        <is>
          <t>EEWHF24E02</t>
        </is>
      </c>
      <c r="I1639" s="84" t="n">
        <v>699</v>
      </c>
      <c r="J1639" s="84" t="n">
        <v>799</v>
      </c>
      <c r="K1639" s="85" t="n"/>
      <c r="L1639" s="85" t="n"/>
    </row>
    <row r="1640" ht="12.75" customHeight="1" s="103">
      <c r="A1640" s="78">
        <f>MID(H1640,3,2)</f>
        <v/>
      </c>
      <c r="B1640" s="84" t="inlineStr">
        <is>
          <t>B331</t>
        </is>
      </c>
      <c r="C1640" s="84" t="inlineStr">
        <is>
          <t>上海区域</t>
        </is>
      </c>
      <c r="D1640" s="84" t="inlineStr">
        <is>
          <t>CN0Q</t>
        </is>
      </c>
      <c r="E1640" s="80" t="inlineStr">
        <is>
          <t>EE 苏州比斯特</t>
        </is>
      </c>
      <c r="F1640" s="84" t="n">
        <v>4</v>
      </c>
      <c r="G1640" s="84" t="inlineStr">
        <is>
          <t>奥特莱斯</t>
        </is>
      </c>
      <c r="H1640" s="84" t="inlineStr">
        <is>
          <t>EEWHF24E03</t>
        </is>
      </c>
      <c r="I1640" s="84" t="n">
        <v>899</v>
      </c>
      <c r="J1640" s="84" t="n">
        <v>899</v>
      </c>
      <c r="K1640" s="85" t="n">
        <v>1</v>
      </c>
      <c r="L1640" s="85" t="n">
        <v>412</v>
      </c>
    </row>
    <row r="1641" ht="12.75" customHeight="1" s="103">
      <c r="A1641" s="78">
        <f>MID(H1641,3,2)</f>
        <v/>
      </c>
      <c r="B1641" s="84" t="inlineStr">
        <is>
          <t>B331</t>
        </is>
      </c>
      <c r="C1641" s="84" t="inlineStr">
        <is>
          <t>上海区域</t>
        </is>
      </c>
      <c r="D1641" s="84" t="inlineStr">
        <is>
          <t>CN0Q</t>
        </is>
      </c>
      <c r="E1641" s="80" t="inlineStr">
        <is>
          <t>EE 苏州比斯特</t>
        </is>
      </c>
      <c r="F1641" s="84" t="n">
        <v>4</v>
      </c>
      <c r="G1641" s="84" t="inlineStr">
        <is>
          <t>奥特莱斯</t>
        </is>
      </c>
      <c r="H1641" s="84" t="inlineStr">
        <is>
          <t>EEWHF24E03</t>
        </is>
      </c>
      <c r="I1641" s="84" t="n">
        <v>899</v>
      </c>
      <c r="J1641" s="84" t="n">
        <v>899</v>
      </c>
      <c r="K1641" s="85" t="n"/>
      <c r="L1641" s="85" t="n"/>
    </row>
    <row r="1642" ht="12.75" customHeight="1" s="103">
      <c r="A1642" s="78">
        <f>MID(H1642,3,2)</f>
        <v/>
      </c>
      <c r="B1642" s="84" t="inlineStr">
        <is>
          <t>B331</t>
        </is>
      </c>
      <c r="C1642" s="84" t="inlineStr">
        <is>
          <t>上海区域</t>
        </is>
      </c>
      <c r="D1642" s="84" t="inlineStr">
        <is>
          <t>CN0Q</t>
        </is>
      </c>
      <c r="E1642" s="80" t="inlineStr">
        <is>
          <t>EE 苏州比斯特</t>
        </is>
      </c>
      <c r="F1642" s="84" t="n">
        <v>4</v>
      </c>
      <c r="G1642" s="84" t="inlineStr">
        <is>
          <t>奥特莱斯</t>
        </is>
      </c>
      <c r="H1642" s="84" t="inlineStr">
        <is>
          <t>EEWHF24E03</t>
        </is>
      </c>
      <c r="I1642" s="84" t="n">
        <v>899</v>
      </c>
      <c r="J1642" s="84" t="n">
        <v>899</v>
      </c>
      <c r="K1642" s="85" t="n">
        <v>1</v>
      </c>
      <c r="L1642" s="85" t="n">
        <v>405</v>
      </c>
    </row>
    <row r="1643" ht="12.75" customHeight="1" s="103">
      <c r="A1643" s="78">
        <f>MID(H1643,3,2)</f>
        <v/>
      </c>
      <c r="B1643" s="84" t="inlineStr">
        <is>
          <t>B331</t>
        </is>
      </c>
      <c r="C1643" s="84" t="inlineStr">
        <is>
          <t>上海区域</t>
        </is>
      </c>
      <c r="D1643" s="84" t="inlineStr">
        <is>
          <t>CN0Q</t>
        </is>
      </c>
      <c r="E1643" s="80" t="inlineStr">
        <is>
          <t>EE 苏州比斯特</t>
        </is>
      </c>
      <c r="F1643" s="84" t="n">
        <v>4</v>
      </c>
      <c r="G1643" s="84" t="inlineStr">
        <is>
          <t>奥特莱斯</t>
        </is>
      </c>
      <c r="H1643" s="84" t="inlineStr">
        <is>
          <t>EEWHF24E03</t>
        </is>
      </c>
      <c r="I1643" s="84" t="n">
        <v>899</v>
      </c>
      <c r="J1643" s="84" t="n">
        <v>899</v>
      </c>
      <c r="K1643" s="85" t="n"/>
      <c r="L1643" s="85" t="n"/>
    </row>
    <row r="1644" ht="12.75" customHeight="1" s="103">
      <c r="A1644" s="78">
        <f>MID(H1644,3,2)</f>
        <v/>
      </c>
      <c r="B1644" s="84" t="inlineStr">
        <is>
          <t>B331</t>
        </is>
      </c>
      <c r="C1644" s="84" t="inlineStr">
        <is>
          <t>上海区域</t>
        </is>
      </c>
      <c r="D1644" s="84" t="inlineStr">
        <is>
          <t>CN0Q</t>
        </is>
      </c>
      <c r="E1644" s="80" t="inlineStr">
        <is>
          <t>EE 苏州比斯特</t>
        </is>
      </c>
      <c r="F1644" s="84" t="n">
        <v>4</v>
      </c>
      <c r="G1644" s="84" t="inlineStr">
        <is>
          <t>奥特莱斯</t>
        </is>
      </c>
      <c r="H1644" s="84" t="inlineStr">
        <is>
          <t>EEWHF24E03</t>
        </is>
      </c>
      <c r="I1644" s="84" t="n">
        <v>899</v>
      </c>
      <c r="J1644" s="84" t="n">
        <v>899</v>
      </c>
      <c r="K1644" s="85" t="n">
        <v>2</v>
      </c>
      <c r="L1644" s="85" t="n">
        <v>855</v>
      </c>
    </row>
    <row r="1645" ht="12.75" customHeight="1" s="103">
      <c r="A1645" s="78">
        <f>MID(H1645,3,2)</f>
        <v/>
      </c>
      <c r="B1645" s="84" t="inlineStr">
        <is>
          <t>B331</t>
        </is>
      </c>
      <c r="C1645" s="84" t="inlineStr">
        <is>
          <t>上海区域</t>
        </is>
      </c>
      <c r="D1645" s="84" t="inlineStr">
        <is>
          <t>CN0Q</t>
        </is>
      </c>
      <c r="E1645" s="80" t="inlineStr">
        <is>
          <t>EE 苏州比斯特</t>
        </is>
      </c>
      <c r="F1645" s="84" t="n">
        <v>4</v>
      </c>
      <c r="G1645" s="84" t="inlineStr">
        <is>
          <t>奥特莱斯</t>
        </is>
      </c>
      <c r="H1645" s="84" t="inlineStr">
        <is>
          <t>EEWHF24E03</t>
        </is>
      </c>
      <c r="I1645" s="84" t="n">
        <v>899</v>
      </c>
      <c r="J1645" s="84" t="n">
        <v>899</v>
      </c>
      <c r="K1645" s="85" t="n">
        <v>2</v>
      </c>
      <c r="L1645" s="85" t="n">
        <v>794</v>
      </c>
    </row>
    <row r="1646" ht="12.75" customHeight="1" s="103">
      <c r="A1646" s="78">
        <f>MID(H1646,3,2)</f>
        <v/>
      </c>
      <c r="B1646" s="84" t="inlineStr">
        <is>
          <t>B331</t>
        </is>
      </c>
      <c r="C1646" s="84" t="inlineStr">
        <is>
          <t>上海区域</t>
        </is>
      </c>
      <c r="D1646" s="84" t="inlineStr">
        <is>
          <t>CN0Q</t>
        </is>
      </c>
      <c r="E1646" s="80" t="inlineStr">
        <is>
          <t>EE 苏州比斯特</t>
        </is>
      </c>
      <c r="F1646" s="84" t="n">
        <v>4</v>
      </c>
      <c r="G1646" s="84" t="inlineStr">
        <is>
          <t>奥特莱斯</t>
        </is>
      </c>
      <c r="H1646" s="84" t="inlineStr">
        <is>
          <t>EEWHF24E03</t>
        </is>
      </c>
      <c r="I1646" s="84" t="n">
        <v>899</v>
      </c>
      <c r="J1646" s="84" t="n">
        <v>899</v>
      </c>
      <c r="K1646" s="85" t="n"/>
      <c r="L1646" s="85" t="n"/>
    </row>
    <row r="1647" ht="12.75" customHeight="1" s="103">
      <c r="A1647" s="78">
        <f>MID(H1647,3,2)</f>
        <v/>
      </c>
      <c r="B1647" s="84" t="inlineStr">
        <is>
          <t>B331</t>
        </is>
      </c>
      <c r="C1647" s="84" t="inlineStr">
        <is>
          <t>上海区域</t>
        </is>
      </c>
      <c r="D1647" s="84" t="inlineStr">
        <is>
          <t>CN0Q</t>
        </is>
      </c>
      <c r="E1647" s="80" t="inlineStr">
        <is>
          <t>EE 苏州比斯特</t>
        </is>
      </c>
      <c r="F1647" s="84" t="n">
        <v>4</v>
      </c>
      <c r="G1647" s="84" t="inlineStr">
        <is>
          <t>奥特莱斯</t>
        </is>
      </c>
      <c r="H1647" s="84" t="inlineStr">
        <is>
          <t>EEWHF24M05</t>
        </is>
      </c>
      <c r="I1647" s="84" t="n">
        <v>599</v>
      </c>
      <c r="J1647" s="84" t="n">
        <v>599</v>
      </c>
      <c r="K1647" s="85" t="n"/>
      <c r="L1647" s="85" t="n"/>
    </row>
    <row r="1648" ht="12.75" customHeight="1" s="103">
      <c r="A1648" s="78">
        <f>MID(H1648,3,2)</f>
        <v/>
      </c>
      <c r="B1648" s="84" t="inlineStr">
        <is>
          <t>B331</t>
        </is>
      </c>
      <c r="C1648" s="84" t="inlineStr">
        <is>
          <t>上海区域</t>
        </is>
      </c>
      <c r="D1648" s="84" t="inlineStr">
        <is>
          <t>CN0Q</t>
        </is>
      </c>
      <c r="E1648" s="80" t="inlineStr">
        <is>
          <t>EE 苏州比斯特</t>
        </is>
      </c>
      <c r="F1648" s="84" t="n">
        <v>4</v>
      </c>
      <c r="G1648" s="84" t="inlineStr">
        <is>
          <t>奥特莱斯</t>
        </is>
      </c>
      <c r="H1648" s="84" t="inlineStr">
        <is>
          <t>EEWHF24M05</t>
        </is>
      </c>
      <c r="I1648" s="84" t="n">
        <v>599</v>
      </c>
      <c r="J1648" s="84" t="n">
        <v>599</v>
      </c>
      <c r="K1648" s="85" t="n">
        <v>1</v>
      </c>
      <c r="L1648" s="85" t="n">
        <v>300</v>
      </c>
    </row>
    <row r="1649" ht="12.75" customHeight="1" s="103">
      <c r="A1649" s="78">
        <f>MID(H1649,3,2)</f>
        <v/>
      </c>
      <c r="B1649" s="84" t="inlineStr">
        <is>
          <t>B331</t>
        </is>
      </c>
      <c r="C1649" s="84" t="inlineStr">
        <is>
          <t>上海区域</t>
        </is>
      </c>
      <c r="D1649" s="84" t="inlineStr">
        <is>
          <t>CN0Q</t>
        </is>
      </c>
      <c r="E1649" s="80" t="inlineStr">
        <is>
          <t>EE 苏州比斯特</t>
        </is>
      </c>
      <c r="F1649" s="84" t="n">
        <v>4</v>
      </c>
      <c r="G1649" s="84" t="inlineStr">
        <is>
          <t>奥特莱斯</t>
        </is>
      </c>
      <c r="H1649" s="84" t="inlineStr">
        <is>
          <t>EEWHF24M05</t>
        </is>
      </c>
      <c r="I1649" s="84" t="n">
        <v>599</v>
      </c>
      <c r="J1649" s="84" t="n">
        <v>599</v>
      </c>
      <c r="K1649" s="85" t="n">
        <v>1</v>
      </c>
      <c r="L1649" s="85" t="n">
        <v>300</v>
      </c>
    </row>
    <row r="1650" ht="12.75" customHeight="1" s="103">
      <c r="A1650" s="78">
        <f>MID(H1650,3,2)</f>
        <v/>
      </c>
      <c r="B1650" s="84" t="inlineStr">
        <is>
          <t>B331</t>
        </is>
      </c>
      <c r="C1650" s="84" t="inlineStr">
        <is>
          <t>上海区域</t>
        </is>
      </c>
      <c r="D1650" s="84" t="inlineStr">
        <is>
          <t>CN0Q</t>
        </is>
      </c>
      <c r="E1650" s="80" t="inlineStr">
        <is>
          <t>EE 苏州比斯特</t>
        </is>
      </c>
      <c r="F1650" s="84" t="n">
        <v>4</v>
      </c>
      <c r="G1650" s="84" t="inlineStr">
        <is>
          <t>奥特莱斯</t>
        </is>
      </c>
      <c r="H1650" s="84" t="inlineStr">
        <is>
          <t>EEWHF24M05</t>
        </is>
      </c>
      <c r="I1650" s="84" t="n">
        <v>599</v>
      </c>
      <c r="J1650" s="84" t="n">
        <v>599</v>
      </c>
      <c r="K1650" s="85" t="n"/>
      <c r="L1650" s="85" t="n"/>
    </row>
    <row r="1651" ht="12.75" customHeight="1" s="103">
      <c r="A1651" s="78">
        <f>MID(H1651,3,2)</f>
        <v/>
      </c>
      <c r="B1651" s="84" t="inlineStr">
        <is>
          <t>B331</t>
        </is>
      </c>
      <c r="C1651" s="84" t="inlineStr">
        <is>
          <t>上海区域</t>
        </is>
      </c>
      <c r="D1651" s="84" t="inlineStr">
        <is>
          <t>CN0Q</t>
        </is>
      </c>
      <c r="E1651" s="80" t="inlineStr">
        <is>
          <t>EE 苏州比斯特</t>
        </is>
      </c>
      <c r="F1651" s="84" t="n">
        <v>4</v>
      </c>
      <c r="G1651" s="84" t="inlineStr">
        <is>
          <t>奥特莱斯</t>
        </is>
      </c>
      <c r="H1651" s="84" t="inlineStr">
        <is>
          <t>EEWHF24M05</t>
        </is>
      </c>
      <c r="I1651" s="84" t="n">
        <v>599</v>
      </c>
      <c r="J1651" s="84" t="n">
        <v>599</v>
      </c>
      <c r="K1651" s="85" t="n"/>
      <c r="L1651" s="85" t="n"/>
    </row>
    <row r="1652" ht="12.75" customHeight="1" s="103">
      <c r="A1652" s="78">
        <f>MID(H1652,3,2)</f>
        <v/>
      </c>
      <c r="B1652" s="84" t="inlineStr">
        <is>
          <t>B331</t>
        </is>
      </c>
      <c r="C1652" s="84" t="inlineStr">
        <is>
          <t>上海区域</t>
        </is>
      </c>
      <c r="D1652" s="84" t="inlineStr">
        <is>
          <t>CN0Q</t>
        </is>
      </c>
      <c r="E1652" s="80" t="inlineStr">
        <is>
          <t>EE 苏州比斯特</t>
        </is>
      </c>
      <c r="F1652" s="84" t="n">
        <v>4</v>
      </c>
      <c r="G1652" s="84" t="inlineStr">
        <is>
          <t>奥特莱斯</t>
        </is>
      </c>
      <c r="H1652" s="84" t="inlineStr">
        <is>
          <t>EEWHF24M05</t>
        </is>
      </c>
      <c r="I1652" s="84" t="n">
        <v>599</v>
      </c>
      <c r="J1652" s="84" t="n">
        <v>599</v>
      </c>
      <c r="K1652" s="85" t="n"/>
      <c r="L1652" s="85" t="n"/>
    </row>
    <row r="1653" ht="12.75" customHeight="1" s="103">
      <c r="A1653" s="78">
        <f>MID(H1653,3,2)</f>
        <v/>
      </c>
      <c r="B1653" s="84" t="inlineStr">
        <is>
          <t>B331</t>
        </is>
      </c>
      <c r="C1653" s="84" t="inlineStr">
        <is>
          <t>上海区域</t>
        </is>
      </c>
      <c r="D1653" s="84" t="inlineStr">
        <is>
          <t>CN0Q</t>
        </is>
      </c>
      <c r="E1653" s="80" t="inlineStr">
        <is>
          <t>EE 苏州比斯特</t>
        </is>
      </c>
      <c r="F1653" s="84" t="n">
        <v>4</v>
      </c>
      <c r="G1653" s="84" t="inlineStr">
        <is>
          <t>奥特莱斯</t>
        </is>
      </c>
      <c r="H1653" s="84" t="inlineStr">
        <is>
          <t>EEWHF24M05</t>
        </is>
      </c>
      <c r="I1653" s="84" t="n">
        <v>599</v>
      </c>
      <c r="J1653" s="84" t="n">
        <v>599</v>
      </c>
      <c r="K1653" s="85" t="n"/>
      <c r="L1653" s="85" t="n"/>
    </row>
    <row r="1654" ht="12.75" customHeight="1" s="103">
      <c r="A1654" s="78">
        <f>MID(H1654,3,2)</f>
        <v/>
      </c>
      <c r="B1654" s="84" t="inlineStr">
        <is>
          <t>B331</t>
        </is>
      </c>
      <c r="C1654" s="84" t="inlineStr">
        <is>
          <t>上海区域</t>
        </is>
      </c>
      <c r="D1654" s="84" t="inlineStr">
        <is>
          <t>CN0Q</t>
        </is>
      </c>
      <c r="E1654" s="80" t="inlineStr">
        <is>
          <t>EE 苏州比斯特</t>
        </is>
      </c>
      <c r="F1654" s="84" t="n">
        <v>4</v>
      </c>
      <c r="G1654" s="84" t="inlineStr">
        <is>
          <t>奥特莱斯</t>
        </is>
      </c>
      <c r="H1654" s="84" t="inlineStr">
        <is>
          <t>EEWHF24M05</t>
        </is>
      </c>
      <c r="I1654" s="84" t="n">
        <v>599</v>
      </c>
      <c r="J1654" s="84" t="n">
        <v>599</v>
      </c>
      <c r="K1654" s="85" t="n">
        <v>1</v>
      </c>
      <c r="L1654" s="85" t="n">
        <v>180</v>
      </c>
    </row>
    <row r="1655" ht="12.75" customHeight="1" s="103">
      <c r="A1655" s="78">
        <f>MID(H1655,3,2)</f>
        <v/>
      </c>
      <c r="B1655" s="84" t="inlineStr">
        <is>
          <t>B331</t>
        </is>
      </c>
      <c r="C1655" s="84" t="inlineStr">
        <is>
          <t>上海区域</t>
        </is>
      </c>
      <c r="D1655" s="84" t="inlineStr">
        <is>
          <t>CN0Q</t>
        </is>
      </c>
      <c r="E1655" s="80" t="inlineStr">
        <is>
          <t>EE 苏州比斯特</t>
        </is>
      </c>
      <c r="F1655" s="84" t="n">
        <v>4</v>
      </c>
      <c r="G1655" s="84" t="inlineStr">
        <is>
          <t>奥特莱斯</t>
        </is>
      </c>
      <c r="H1655" s="84" t="inlineStr">
        <is>
          <t>EEWHF25E01</t>
        </is>
      </c>
      <c r="I1655" s="84" t="n">
        <v>799</v>
      </c>
      <c r="J1655" s="84" t="n">
        <v>799</v>
      </c>
      <c r="K1655" s="85" t="n"/>
      <c r="L1655" s="85" t="n"/>
    </row>
    <row r="1656" ht="12.75" customHeight="1" s="103">
      <c r="A1656" s="78">
        <f>MID(H1656,3,2)</f>
        <v/>
      </c>
      <c r="B1656" s="84" t="inlineStr">
        <is>
          <t>B331</t>
        </is>
      </c>
      <c r="C1656" s="84" t="inlineStr">
        <is>
          <t>上海区域</t>
        </is>
      </c>
      <c r="D1656" s="84" t="inlineStr">
        <is>
          <t>CN0Q</t>
        </is>
      </c>
      <c r="E1656" s="80" t="inlineStr">
        <is>
          <t>EE 苏州比斯特</t>
        </is>
      </c>
      <c r="F1656" s="84" t="n">
        <v>4</v>
      </c>
      <c r="G1656" s="84" t="inlineStr">
        <is>
          <t>奥特莱斯</t>
        </is>
      </c>
      <c r="H1656" s="84" t="inlineStr">
        <is>
          <t>EEWHF25E01</t>
        </is>
      </c>
      <c r="I1656" s="84" t="n">
        <v>799</v>
      </c>
      <c r="J1656" s="84" t="n">
        <v>799</v>
      </c>
      <c r="K1656" s="85" t="n"/>
      <c r="L1656" s="85" t="n"/>
    </row>
    <row r="1657" ht="12.75" customHeight="1" s="103">
      <c r="A1657" s="78">
        <f>MID(H1657,3,2)</f>
        <v/>
      </c>
      <c r="B1657" s="84" t="inlineStr">
        <is>
          <t>B331</t>
        </is>
      </c>
      <c r="C1657" s="84" t="inlineStr">
        <is>
          <t>上海区域</t>
        </is>
      </c>
      <c r="D1657" s="84" t="inlineStr">
        <is>
          <t>CN0Q</t>
        </is>
      </c>
      <c r="E1657" s="80" t="inlineStr">
        <is>
          <t>EE 苏州比斯特</t>
        </is>
      </c>
      <c r="F1657" s="84" t="n">
        <v>4</v>
      </c>
      <c r="G1657" s="84" t="inlineStr">
        <is>
          <t>奥特莱斯</t>
        </is>
      </c>
      <c r="H1657" s="84" t="inlineStr">
        <is>
          <t>EEWHF25E01</t>
        </is>
      </c>
      <c r="I1657" s="84" t="n">
        <v>799</v>
      </c>
      <c r="J1657" s="84" t="n">
        <v>799</v>
      </c>
      <c r="K1657" s="85" t="n"/>
      <c r="L1657" s="85" t="n"/>
    </row>
    <row r="1658" ht="12.75" customHeight="1" s="103">
      <c r="A1658" s="78">
        <f>MID(H1658,3,2)</f>
        <v/>
      </c>
      <c r="B1658" s="84" t="inlineStr">
        <is>
          <t>B331</t>
        </is>
      </c>
      <c r="C1658" s="84" t="inlineStr">
        <is>
          <t>上海区域</t>
        </is>
      </c>
      <c r="D1658" s="84" t="inlineStr">
        <is>
          <t>CN0Q</t>
        </is>
      </c>
      <c r="E1658" s="80" t="inlineStr">
        <is>
          <t>EE 苏州比斯特</t>
        </is>
      </c>
      <c r="F1658" s="84" t="n">
        <v>4</v>
      </c>
      <c r="G1658" s="84" t="inlineStr">
        <is>
          <t>奥特莱斯</t>
        </is>
      </c>
      <c r="H1658" s="84" t="inlineStr">
        <is>
          <t>EEWHF25E01</t>
        </is>
      </c>
      <c r="I1658" s="84" t="n">
        <v>799</v>
      </c>
      <c r="J1658" s="84" t="n">
        <v>799</v>
      </c>
      <c r="K1658" s="85" t="n"/>
      <c r="L1658" s="85" t="n"/>
    </row>
    <row r="1659" ht="12.75" customHeight="1" s="103">
      <c r="A1659" s="78">
        <f>MID(H1659,3,2)</f>
        <v/>
      </c>
      <c r="B1659" s="84" t="inlineStr">
        <is>
          <t>B331</t>
        </is>
      </c>
      <c r="C1659" s="84" t="inlineStr">
        <is>
          <t>上海区域</t>
        </is>
      </c>
      <c r="D1659" s="84" t="inlineStr">
        <is>
          <t>CN0Q</t>
        </is>
      </c>
      <c r="E1659" s="80" t="inlineStr">
        <is>
          <t>EE 苏州比斯特</t>
        </is>
      </c>
      <c r="F1659" s="84" t="n">
        <v>4</v>
      </c>
      <c r="G1659" s="84" t="inlineStr">
        <is>
          <t>奥特莱斯</t>
        </is>
      </c>
      <c r="H1659" s="84" t="inlineStr">
        <is>
          <t>EEWHF25E01</t>
        </is>
      </c>
      <c r="I1659" s="84" t="n">
        <v>799</v>
      </c>
      <c r="J1659" s="84" t="n">
        <v>799</v>
      </c>
      <c r="K1659" s="85" t="n"/>
      <c r="L1659" s="85" t="n"/>
    </row>
    <row r="1660" ht="12.75" customHeight="1" s="103">
      <c r="A1660" s="78">
        <f>MID(H1660,3,2)</f>
        <v/>
      </c>
      <c r="B1660" s="84" t="inlineStr">
        <is>
          <t>B331</t>
        </is>
      </c>
      <c r="C1660" s="84" t="inlineStr">
        <is>
          <t>上海区域</t>
        </is>
      </c>
      <c r="D1660" s="84" t="inlineStr">
        <is>
          <t>CN0Q</t>
        </is>
      </c>
      <c r="E1660" s="80" t="inlineStr">
        <is>
          <t>EE 苏州比斯特</t>
        </is>
      </c>
      <c r="F1660" s="84" t="n">
        <v>4</v>
      </c>
      <c r="G1660" s="84" t="inlineStr">
        <is>
          <t>奥特莱斯</t>
        </is>
      </c>
      <c r="H1660" s="84" t="inlineStr">
        <is>
          <t>EEWHF25E01</t>
        </is>
      </c>
      <c r="I1660" s="84" t="n">
        <v>799</v>
      </c>
      <c r="J1660" s="84" t="n">
        <v>799</v>
      </c>
      <c r="K1660" s="85" t="n"/>
      <c r="L1660" s="85" t="n"/>
    </row>
    <row r="1661" ht="12.75" customHeight="1" s="103">
      <c r="A1661" s="78">
        <f>MID(H1661,3,2)</f>
        <v/>
      </c>
      <c r="B1661" s="84" t="inlineStr">
        <is>
          <t>B331</t>
        </is>
      </c>
      <c r="C1661" s="84" t="inlineStr">
        <is>
          <t>上海区域</t>
        </is>
      </c>
      <c r="D1661" s="84" t="inlineStr">
        <is>
          <t>CN0Q</t>
        </is>
      </c>
      <c r="E1661" s="80" t="inlineStr">
        <is>
          <t>EE 苏州比斯特</t>
        </is>
      </c>
      <c r="F1661" s="84" t="n">
        <v>4</v>
      </c>
      <c r="G1661" s="84" t="inlineStr">
        <is>
          <t>奥特莱斯</t>
        </is>
      </c>
      <c r="H1661" s="84" t="inlineStr">
        <is>
          <t>EEWHF25E01</t>
        </is>
      </c>
      <c r="I1661" s="84" t="n">
        <v>799</v>
      </c>
      <c r="J1661" s="84" t="n">
        <v>799</v>
      </c>
      <c r="K1661" s="85" t="n"/>
      <c r="L1661" s="85" t="n"/>
    </row>
    <row r="1662" ht="12.75" customHeight="1" s="103">
      <c r="A1662" s="78">
        <f>MID(H1662,3,2)</f>
        <v/>
      </c>
      <c r="B1662" s="84" t="inlineStr">
        <is>
          <t>B331</t>
        </is>
      </c>
      <c r="C1662" s="84" t="inlineStr">
        <is>
          <t>上海区域</t>
        </is>
      </c>
      <c r="D1662" s="84" t="inlineStr">
        <is>
          <t>CN0Q</t>
        </is>
      </c>
      <c r="E1662" s="80" t="inlineStr">
        <is>
          <t>EE 苏州比斯特</t>
        </is>
      </c>
      <c r="F1662" s="84" t="n">
        <v>4</v>
      </c>
      <c r="G1662" s="84" t="inlineStr">
        <is>
          <t>奥特莱斯</t>
        </is>
      </c>
      <c r="H1662" s="84" t="inlineStr">
        <is>
          <t>EEWHF25E01</t>
        </is>
      </c>
      <c r="I1662" s="84" t="n">
        <v>799</v>
      </c>
      <c r="J1662" s="84" t="n">
        <v>799</v>
      </c>
      <c r="K1662" s="85" t="n"/>
      <c r="L1662" s="85" t="n"/>
    </row>
    <row r="1663" ht="12.75" customHeight="1" s="103">
      <c r="A1663" s="78">
        <f>MID(H1663,3,2)</f>
        <v/>
      </c>
      <c r="B1663" s="84" t="inlineStr">
        <is>
          <t>B331</t>
        </is>
      </c>
      <c r="C1663" s="84" t="inlineStr">
        <is>
          <t>上海区域</t>
        </is>
      </c>
      <c r="D1663" s="84" t="inlineStr">
        <is>
          <t>CN0Q</t>
        </is>
      </c>
      <c r="E1663" s="80" t="inlineStr">
        <is>
          <t>EE 苏州比斯特</t>
        </is>
      </c>
      <c r="F1663" s="84" t="n">
        <v>4</v>
      </c>
      <c r="G1663" s="84" t="inlineStr">
        <is>
          <t>奥特莱斯</t>
        </is>
      </c>
      <c r="H1663" s="84" t="inlineStr">
        <is>
          <t>EEWHF25E01</t>
        </is>
      </c>
      <c r="I1663" s="84" t="n">
        <v>799</v>
      </c>
      <c r="J1663" s="84" t="n">
        <v>799</v>
      </c>
      <c r="K1663" s="85" t="n">
        <v>1</v>
      </c>
      <c r="L1663" s="85" t="n"/>
    </row>
    <row r="1664" ht="12.75" customHeight="1" s="103">
      <c r="A1664" s="78">
        <f>MID(H1664,3,2)</f>
        <v/>
      </c>
      <c r="B1664" s="84" t="inlineStr">
        <is>
          <t>B331</t>
        </is>
      </c>
      <c r="C1664" s="84" t="inlineStr">
        <is>
          <t>上海区域</t>
        </is>
      </c>
      <c r="D1664" s="84" t="inlineStr">
        <is>
          <t>CN0Q</t>
        </is>
      </c>
      <c r="E1664" s="80" t="inlineStr">
        <is>
          <t>EE 苏州比斯特</t>
        </is>
      </c>
      <c r="F1664" s="84" t="n">
        <v>4</v>
      </c>
      <c r="G1664" s="84" t="inlineStr">
        <is>
          <t>奥特莱斯</t>
        </is>
      </c>
      <c r="H1664" s="84" t="inlineStr">
        <is>
          <t>EEWHF25E01</t>
        </is>
      </c>
      <c r="I1664" s="84" t="n">
        <v>799</v>
      </c>
      <c r="J1664" s="84" t="n">
        <v>799</v>
      </c>
      <c r="K1664" s="85" t="n"/>
      <c r="L1664" s="85" t="n"/>
    </row>
    <row r="1665" ht="12.75" customHeight="1" s="103">
      <c r="A1665" s="78">
        <f>MID(H1665,3,2)</f>
        <v/>
      </c>
      <c r="B1665" s="84" t="inlineStr">
        <is>
          <t>B331</t>
        </is>
      </c>
      <c r="C1665" s="84" t="inlineStr">
        <is>
          <t>上海区域</t>
        </is>
      </c>
      <c r="D1665" s="84" t="inlineStr">
        <is>
          <t>CN0Q</t>
        </is>
      </c>
      <c r="E1665" s="80" t="inlineStr">
        <is>
          <t>EE 苏州比斯特</t>
        </is>
      </c>
      <c r="F1665" s="84" t="n">
        <v>4</v>
      </c>
      <c r="G1665" s="84" t="inlineStr">
        <is>
          <t>奥特莱斯</t>
        </is>
      </c>
      <c r="H1665" s="84" t="inlineStr">
        <is>
          <t>EEWHF25Q91</t>
        </is>
      </c>
      <c r="I1665" s="84" t="n">
        <v>799</v>
      </c>
      <c r="J1665" s="84" t="n">
        <v>799</v>
      </c>
      <c r="K1665" s="85" t="n">
        <v>2</v>
      </c>
      <c r="L1665" s="85" t="n">
        <v>603</v>
      </c>
    </row>
    <row r="1666" ht="12.75" customHeight="1" s="103">
      <c r="A1666" s="78">
        <f>MID(H1666,3,2)</f>
        <v/>
      </c>
      <c r="B1666" s="84" t="inlineStr">
        <is>
          <t>B331</t>
        </is>
      </c>
      <c r="C1666" s="84" t="inlineStr">
        <is>
          <t>上海区域</t>
        </is>
      </c>
      <c r="D1666" s="84" t="inlineStr">
        <is>
          <t>CN0Q</t>
        </is>
      </c>
      <c r="E1666" s="80" t="inlineStr">
        <is>
          <t>EE 苏州比斯特</t>
        </is>
      </c>
      <c r="F1666" s="84" t="n">
        <v>4</v>
      </c>
      <c r="G1666" s="84" t="inlineStr">
        <is>
          <t>奥特莱斯</t>
        </is>
      </c>
      <c r="H1666" s="84" t="inlineStr">
        <is>
          <t>EEWHF25Q91</t>
        </is>
      </c>
      <c r="I1666" s="84" t="n">
        <v>799</v>
      </c>
      <c r="J1666" s="84" t="n">
        <v>799</v>
      </c>
      <c r="K1666" s="85" t="n">
        <v>1</v>
      </c>
      <c r="L1666" s="85" t="n">
        <v>367</v>
      </c>
    </row>
    <row r="1667" ht="12.75" customHeight="1" s="103">
      <c r="A1667" s="78">
        <f>MID(H1667,3,2)</f>
        <v/>
      </c>
      <c r="B1667" s="84" t="inlineStr">
        <is>
          <t>B331</t>
        </is>
      </c>
      <c r="C1667" s="84" t="inlineStr">
        <is>
          <t>上海区域</t>
        </is>
      </c>
      <c r="D1667" s="84" t="inlineStr">
        <is>
          <t>CN0Q</t>
        </is>
      </c>
      <c r="E1667" s="80" t="inlineStr">
        <is>
          <t>EE 苏州比斯特</t>
        </is>
      </c>
      <c r="F1667" s="84" t="n">
        <v>4</v>
      </c>
      <c r="G1667" s="84" t="inlineStr">
        <is>
          <t>奥特莱斯</t>
        </is>
      </c>
      <c r="H1667" s="84" t="inlineStr">
        <is>
          <t>EEWHF25Q91</t>
        </is>
      </c>
      <c r="I1667" s="84" t="n">
        <v>799</v>
      </c>
      <c r="J1667" s="84" t="n">
        <v>799</v>
      </c>
      <c r="K1667" s="85" t="n"/>
      <c r="L1667" s="85" t="n"/>
    </row>
    <row r="1668" ht="12.75" customHeight="1" s="103">
      <c r="A1668" s="78">
        <f>MID(H1668,3,2)</f>
        <v/>
      </c>
      <c r="B1668" s="84" t="inlineStr">
        <is>
          <t>B331</t>
        </is>
      </c>
      <c r="C1668" s="84" t="inlineStr">
        <is>
          <t>上海区域</t>
        </is>
      </c>
      <c r="D1668" s="84" t="inlineStr">
        <is>
          <t>CN0Q</t>
        </is>
      </c>
      <c r="E1668" s="80" t="inlineStr">
        <is>
          <t>EE 苏州比斯特</t>
        </is>
      </c>
      <c r="F1668" s="84" t="n">
        <v>4</v>
      </c>
      <c r="G1668" s="84" t="inlineStr">
        <is>
          <t>奥特莱斯</t>
        </is>
      </c>
      <c r="H1668" s="84" t="inlineStr">
        <is>
          <t>EEWHF25Q97</t>
        </is>
      </c>
      <c r="I1668" s="84" t="n">
        <v>699</v>
      </c>
      <c r="J1668" s="84" t="n">
        <v>699</v>
      </c>
      <c r="K1668" s="85" t="n">
        <v>2</v>
      </c>
      <c r="L1668" s="85" t="n">
        <v>473</v>
      </c>
    </row>
    <row r="1669" ht="12.75" customHeight="1" s="103">
      <c r="A1669" s="78">
        <f>MID(H1669,3,2)</f>
        <v/>
      </c>
      <c r="B1669" s="84" t="inlineStr">
        <is>
          <t>B331</t>
        </is>
      </c>
      <c r="C1669" s="84" t="inlineStr">
        <is>
          <t>上海区域</t>
        </is>
      </c>
      <c r="D1669" s="84" t="inlineStr">
        <is>
          <t>CN0Q</t>
        </is>
      </c>
      <c r="E1669" s="80" t="inlineStr">
        <is>
          <t>EE 苏州比斯特</t>
        </is>
      </c>
      <c r="F1669" s="84" t="n">
        <v>4</v>
      </c>
      <c r="G1669" s="84" t="inlineStr">
        <is>
          <t>奥特莱斯</t>
        </is>
      </c>
      <c r="H1669" s="84" t="inlineStr">
        <is>
          <t>EEWHF25Q97</t>
        </is>
      </c>
      <c r="I1669" s="84" t="n">
        <v>699</v>
      </c>
      <c r="J1669" s="84" t="n">
        <v>699</v>
      </c>
      <c r="K1669" s="85" t="n"/>
      <c r="L1669" s="85" t="n"/>
    </row>
    <row r="1670" ht="12.75" customHeight="1" s="103">
      <c r="A1670" s="78">
        <f>MID(H1670,3,2)</f>
        <v/>
      </c>
      <c r="B1670" s="84" t="inlineStr">
        <is>
          <t>B331</t>
        </is>
      </c>
      <c r="C1670" s="84" t="inlineStr">
        <is>
          <t>上海区域</t>
        </is>
      </c>
      <c r="D1670" s="84" t="inlineStr">
        <is>
          <t>CN0Q</t>
        </is>
      </c>
      <c r="E1670" s="80" t="inlineStr">
        <is>
          <t>EE 苏州比斯特</t>
        </is>
      </c>
      <c r="F1670" s="84" t="n">
        <v>4</v>
      </c>
      <c r="G1670" s="84" t="inlineStr">
        <is>
          <t>奥特莱斯</t>
        </is>
      </c>
      <c r="H1670" s="84" t="inlineStr">
        <is>
          <t>EEWHF25Q97</t>
        </is>
      </c>
      <c r="I1670" s="84" t="n">
        <v>699</v>
      </c>
      <c r="J1670" s="84" t="n">
        <v>699</v>
      </c>
      <c r="K1670" s="85" t="n"/>
      <c r="L1670" s="85" t="n"/>
    </row>
    <row r="1671" ht="12.75" customHeight="1" s="103">
      <c r="A1671" s="78">
        <f>MID(H1671,3,2)</f>
        <v/>
      </c>
      <c r="B1671" s="84" t="inlineStr">
        <is>
          <t>B331</t>
        </is>
      </c>
      <c r="C1671" s="84" t="inlineStr">
        <is>
          <t>上海区域</t>
        </is>
      </c>
      <c r="D1671" s="84" t="inlineStr">
        <is>
          <t>CN0Q</t>
        </is>
      </c>
      <c r="E1671" s="80" t="inlineStr">
        <is>
          <t>EE 苏州比斯特</t>
        </is>
      </c>
      <c r="F1671" s="84" t="n">
        <v>4</v>
      </c>
      <c r="G1671" s="84" t="inlineStr">
        <is>
          <t>奥特莱斯</t>
        </is>
      </c>
      <c r="H1671" s="84" t="inlineStr">
        <is>
          <t>EEWHF26N51</t>
        </is>
      </c>
      <c r="I1671" s="84" t="n">
        <v>799</v>
      </c>
      <c r="J1671" s="84" t="n">
        <v>799</v>
      </c>
      <c r="K1671" s="85" t="n"/>
      <c r="L1671" s="85" t="n"/>
    </row>
    <row r="1672" ht="12.75" customHeight="1" s="103">
      <c r="A1672" s="78">
        <f>MID(H1672,3,2)</f>
        <v/>
      </c>
      <c r="B1672" s="84" t="inlineStr">
        <is>
          <t>B331</t>
        </is>
      </c>
      <c r="C1672" s="84" t="inlineStr">
        <is>
          <t>上海区域</t>
        </is>
      </c>
      <c r="D1672" s="84" t="inlineStr">
        <is>
          <t>CN0Q</t>
        </is>
      </c>
      <c r="E1672" s="80" t="inlineStr">
        <is>
          <t>EE 苏州比斯特</t>
        </is>
      </c>
      <c r="F1672" s="84" t="n">
        <v>4</v>
      </c>
      <c r="G1672" s="84" t="inlineStr">
        <is>
          <t>奥特莱斯</t>
        </is>
      </c>
      <c r="H1672" s="84" t="inlineStr">
        <is>
          <t>EEWHF26N51</t>
        </is>
      </c>
      <c r="I1672" s="84" t="n">
        <v>799</v>
      </c>
      <c r="J1672" s="84" t="n">
        <v>799</v>
      </c>
      <c r="K1672" s="85" t="n"/>
      <c r="L1672" s="85" t="n"/>
    </row>
    <row r="1673" ht="12.75" customHeight="1" s="103">
      <c r="A1673" s="78">
        <f>MID(H1673,3,2)</f>
        <v/>
      </c>
      <c r="B1673" s="84" t="inlineStr">
        <is>
          <t>B331</t>
        </is>
      </c>
      <c r="C1673" s="84" t="inlineStr">
        <is>
          <t>上海区域</t>
        </is>
      </c>
      <c r="D1673" s="84" t="inlineStr">
        <is>
          <t>CN0Q</t>
        </is>
      </c>
      <c r="E1673" s="80" t="inlineStr">
        <is>
          <t>EE 苏州比斯特</t>
        </is>
      </c>
      <c r="F1673" s="84" t="n">
        <v>4</v>
      </c>
      <c r="G1673" s="84" t="inlineStr">
        <is>
          <t>奥特莱斯</t>
        </is>
      </c>
      <c r="H1673" s="84" t="inlineStr">
        <is>
          <t>EEWHF26N51</t>
        </is>
      </c>
      <c r="I1673" s="84" t="n">
        <v>799</v>
      </c>
      <c r="J1673" s="84" t="n">
        <v>799</v>
      </c>
      <c r="K1673" s="85" t="n"/>
      <c r="L1673" s="85" t="n"/>
    </row>
    <row r="1674" ht="12.75" customHeight="1" s="103">
      <c r="A1674" s="78">
        <f>MID(H1674,3,2)</f>
        <v/>
      </c>
      <c r="B1674" s="84" t="inlineStr">
        <is>
          <t>B331</t>
        </is>
      </c>
      <c r="C1674" s="84" t="inlineStr">
        <is>
          <t>上海区域</t>
        </is>
      </c>
      <c r="D1674" s="84" t="inlineStr">
        <is>
          <t>CN0Q</t>
        </is>
      </c>
      <c r="E1674" s="80" t="inlineStr">
        <is>
          <t>EE 苏州比斯特</t>
        </is>
      </c>
      <c r="F1674" s="84" t="n">
        <v>4</v>
      </c>
      <c r="G1674" s="84" t="inlineStr">
        <is>
          <t>奥特莱斯</t>
        </is>
      </c>
      <c r="H1674" s="84" t="inlineStr">
        <is>
          <t>EEWHF26N51</t>
        </is>
      </c>
      <c r="I1674" s="84" t="n">
        <v>799</v>
      </c>
      <c r="J1674" s="84" t="n">
        <v>799</v>
      </c>
      <c r="K1674" s="85" t="n"/>
      <c r="L1674" s="85" t="n"/>
    </row>
    <row r="1675" ht="12.75" customHeight="1" s="103">
      <c r="A1675" s="78">
        <f>MID(H1675,3,2)</f>
        <v/>
      </c>
      <c r="B1675" s="84" t="inlineStr">
        <is>
          <t>B331</t>
        </is>
      </c>
      <c r="C1675" s="84" t="inlineStr">
        <is>
          <t>上海区域</t>
        </is>
      </c>
      <c r="D1675" s="84" t="inlineStr">
        <is>
          <t>CN0Q</t>
        </is>
      </c>
      <c r="E1675" s="80" t="inlineStr">
        <is>
          <t>EE 苏州比斯特</t>
        </is>
      </c>
      <c r="F1675" s="84" t="n">
        <v>4</v>
      </c>
      <c r="G1675" s="84" t="inlineStr">
        <is>
          <t>奥特莱斯</t>
        </is>
      </c>
      <c r="H1675" s="84" t="inlineStr">
        <is>
          <t>EEWHF38M01</t>
        </is>
      </c>
      <c r="I1675" s="84" t="n">
        <v>899</v>
      </c>
      <c r="J1675" s="84" t="n">
        <v>799</v>
      </c>
      <c r="K1675" s="85" t="n"/>
      <c r="L1675" s="85" t="n"/>
    </row>
    <row r="1676" ht="12.75" customHeight="1" s="103">
      <c r="A1676" s="78">
        <f>MID(H1676,3,2)</f>
        <v/>
      </c>
      <c r="B1676" s="84" t="inlineStr">
        <is>
          <t>B331</t>
        </is>
      </c>
      <c r="C1676" s="84" t="inlineStr">
        <is>
          <t>上海区域</t>
        </is>
      </c>
      <c r="D1676" s="84" t="inlineStr">
        <is>
          <t>CN0Q</t>
        </is>
      </c>
      <c r="E1676" s="80" t="inlineStr">
        <is>
          <t>EE 苏州比斯特</t>
        </is>
      </c>
      <c r="F1676" s="84" t="n">
        <v>4</v>
      </c>
      <c r="G1676" s="84" t="inlineStr">
        <is>
          <t>奥特莱斯</t>
        </is>
      </c>
      <c r="H1676" s="84" t="inlineStr">
        <is>
          <t>EEWHF38M01</t>
        </is>
      </c>
      <c r="I1676" s="84" t="n">
        <v>899</v>
      </c>
      <c r="J1676" s="84" t="n">
        <v>799</v>
      </c>
      <c r="K1676" s="85" t="n"/>
      <c r="L1676" s="85" t="n"/>
    </row>
    <row r="1677" ht="12.75" customHeight="1" s="103">
      <c r="A1677" s="78">
        <f>MID(H1677,3,2)</f>
        <v/>
      </c>
      <c r="B1677" s="84" t="inlineStr">
        <is>
          <t>B331</t>
        </is>
      </c>
      <c r="C1677" s="84" t="inlineStr">
        <is>
          <t>上海区域</t>
        </is>
      </c>
      <c r="D1677" s="84" t="inlineStr">
        <is>
          <t>CN0Q</t>
        </is>
      </c>
      <c r="E1677" s="80" t="inlineStr">
        <is>
          <t>EE 苏州比斯特</t>
        </is>
      </c>
      <c r="F1677" s="84" t="n">
        <v>4</v>
      </c>
      <c r="G1677" s="84" t="inlineStr">
        <is>
          <t>奥特莱斯</t>
        </is>
      </c>
      <c r="H1677" s="84" t="inlineStr">
        <is>
          <t>EEWHF38M01</t>
        </is>
      </c>
      <c r="I1677" s="84" t="n">
        <v>899</v>
      </c>
      <c r="J1677" s="84" t="n">
        <v>799</v>
      </c>
      <c r="K1677" s="85" t="n"/>
      <c r="L1677" s="85" t="n"/>
    </row>
    <row r="1678" ht="12.75" customHeight="1" s="103">
      <c r="A1678" s="78">
        <f>MID(H1678,3,2)</f>
        <v/>
      </c>
      <c r="B1678" s="84" t="inlineStr">
        <is>
          <t>B331</t>
        </is>
      </c>
      <c r="C1678" s="84" t="inlineStr">
        <is>
          <t>上海区域</t>
        </is>
      </c>
      <c r="D1678" s="84" t="inlineStr">
        <is>
          <t>CN0Q</t>
        </is>
      </c>
      <c r="E1678" s="80" t="inlineStr">
        <is>
          <t>EE 苏州比斯特</t>
        </is>
      </c>
      <c r="F1678" s="84" t="n">
        <v>4</v>
      </c>
      <c r="G1678" s="84" t="inlineStr">
        <is>
          <t>奥特莱斯</t>
        </is>
      </c>
      <c r="H1678" s="84" t="inlineStr">
        <is>
          <t>EEWHF38M01</t>
        </is>
      </c>
      <c r="I1678" s="84" t="n">
        <v>899</v>
      </c>
      <c r="J1678" s="84" t="n">
        <v>799</v>
      </c>
      <c r="K1678" s="85" t="n"/>
      <c r="L1678" s="85" t="n"/>
    </row>
    <row r="1679" ht="12.75" customHeight="1" s="103">
      <c r="A1679" s="78">
        <f>MID(H1679,3,2)</f>
        <v/>
      </c>
      <c r="B1679" s="84" t="inlineStr">
        <is>
          <t>B331</t>
        </is>
      </c>
      <c r="C1679" s="84" t="inlineStr">
        <is>
          <t>上海区域</t>
        </is>
      </c>
      <c r="D1679" s="84" t="inlineStr">
        <is>
          <t>CN0Q</t>
        </is>
      </c>
      <c r="E1679" s="80" t="inlineStr">
        <is>
          <t>EE 苏州比斯特</t>
        </is>
      </c>
      <c r="F1679" s="84" t="n">
        <v>4</v>
      </c>
      <c r="G1679" s="84" t="inlineStr">
        <is>
          <t>奥特莱斯</t>
        </is>
      </c>
      <c r="H1679" s="84" t="inlineStr">
        <is>
          <t>EEWHG23B02</t>
        </is>
      </c>
      <c r="I1679" s="84" t="n">
        <v>899</v>
      </c>
      <c r="J1679" s="84" t="n">
        <v>999</v>
      </c>
      <c r="K1679" s="85" t="n"/>
      <c r="L1679" s="85" t="n"/>
    </row>
    <row r="1680" ht="12.75" customHeight="1" s="103">
      <c r="A1680" s="78">
        <f>MID(H1680,3,2)</f>
        <v/>
      </c>
      <c r="B1680" s="84" t="inlineStr">
        <is>
          <t>B331</t>
        </is>
      </c>
      <c r="C1680" s="84" t="inlineStr">
        <is>
          <t>上海区域</t>
        </is>
      </c>
      <c r="D1680" s="84" t="inlineStr">
        <is>
          <t>CN0Q</t>
        </is>
      </c>
      <c r="E1680" s="80" t="inlineStr">
        <is>
          <t>EE 苏州比斯特</t>
        </is>
      </c>
      <c r="F1680" s="84" t="n">
        <v>4</v>
      </c>
      <c r="G1680" s="84" t="inlineStr">
        <is>
          <t>奥特莱斯</t>
        </is>
      </c>
      <c r="H1680" s="84" t="inlineStr">
        <is>
          <t>EEWHG23B02</t>
        </is>
      </c>
      <c r="I1680" s="84" t="n">
        <v>899</v>
      </c>
      <c r="J1680" s="84" t="n">
        <v>999</v>
      </c>
      <c r="K1680" s="85" t="n"/>
      <c r="L1680" s="85" t="n"/>
    </row>
    <row r="1681" ht="12.75" customHeight="1" s="103">
      <c r="A1681" s="78">
        <f>MID(H1681,3,2)</f>
        <v/>
      </c>
      <c r="B1681" s="84" t="inlineStr">
        <is>
          <t>B331</t>
        </is>
      </c>
      <c r="C1681" s="84" t="inlineStr">
        <is>
          <t>上海区域</t>
        </is>
      </c>
      <c r="D1681" s="84" t="inlineStr">
        <is>
          <t>CN0Q</t>
        </is>
      </c>
      <c r="E1681" s="80" t="inlineStr">
        <is>
          <t>EE 苏州比斯特</t>
        </is>
      </c>
      <c r="F1681" s="84" t="n">
        <v>4</v>
      </c>
      <c r="G1681" s="84" t="inlineStr">
        <is>
          <t>奥特莱斯</t>
        </is>
      </c>
      <c r="H1681" s="84" t="inlineStr">
        <is>
          <t>EEWHG23B02</t>
        </is>
      </c>
      <c r="I1681" s="84" t="n">
        <v>899</v>
      </c>
      <c r="J1681" s="84" t="n">
        <v>999</v>
      </c>
      <c r="K1681" s="85" t="n"/>
      <c r="L1681" s="85" t="n"/>
    </row>
    <row r="1682" ht="12.75" customHeight="1" s="103">
      <c r="A1682" s="78">
        <f>MID(H1682,3,2)</f>
        <v/>
      </c>
      <c r="B1682" s="84" t="inlineStr">
        <is>
          <t>B331</t>
        </is>
      </c>
      <c r="C1682" s="84" t="inlineStr">
        <is>
          <t>上海区域</t>
        </is>
      </c>
      <c r="D1682" s="84" t="inlineStr">
        <is>
          <t>CN0Q</t>
        </is>
      </c>
      <c r="E1682" s="80" t="inlineStr">
        <is>
          <t>EE 苏州比斯特</t>
        </is>
      </c>
      <c r="F1682" s="84" t="n">
        <v>4</v>
      </c>
      <c r="G1682" s="84" t="inlineStr">
        <is>
          <t>奥特莱斯</t>
        </is>
      </c>
      <c r="H1682" s="84" t="inlineStr">
        <is>
          <t>EEWHG23B02</t>
        </is>
      </c>
      <c r="I1682" s="84" t="n">
        <v>899</v>
      </c>
      <c r="J1682" s="84" t="n">
        <v>999</v>
      </c>
      <c r="K1682" s="85" t="n"/>
      <c r="L1682" s="85" t="n"/>
    </row>
    <row r="1683" ht="12.75" customHeight="1" s="103">
      <c r="A1683" s="78">
        <f>MID(H1683,3,2)</f>
        <v/>
      </c>
      <c r="B1683" s="84" t="inlineStr">
        <is>
          <t>B331</t>
        </is>
      </c>
      <c r="C1683" s="84" t="inlineStr">
        <is>
          <t>上海区域</t>
        </is>
      </c>
      <c r="D1683" s="84" t="inlineStr">
        <is>
          <t>CN0Q</t>
        </is>
      </c>
      <c r="E1683" s="80" t="inlineStr">
        <is>
          <t>EE 苏州比斯特</t>
        </is>
      </c>
      <c r="F1683" s="84" t="n">
        <v>4</v>
      </c>
      <c r="G1683" s="84" t="inlineStr">
        <is>
          <t>奥特莱斯</t>
        </is>
      </c>
      <c r="H1683" s="84" t="inlineStr">
        <is>
          <t>EEWHG23E01</t>
        </is>
      </c>
      <c r="I1683" s="84" t="n">
        <v>799</v>
      </c>
      <c r="J1683" s="84" t="n">
        <v>799</v>
      </c>
      <c r="K1683" s="85" t="n"/>
      <c r="L1683" s="85" t="n"/>
    </row>
    <row r="1684" ht="12.75" customHeight="1" s="103">
      <c r="A1684" s="78">
        <f>MID(H1684,3,2)</f>
        <v/>
      </c>
      <c r="B1684" s="84" t="inlineStr">
        <is>
          <t>B331</t>
        </is>
      </c>
      <c r="C1684" s="84" t="inlineStr">
        <is>
          <t>上海区域</t>
        </is>
      </c>
      <c r="D1684" s="84" t="inlineStr">
        <is>
          <t>CN0Q</t>
        </is>
      </c>
      <c r="E1684" s="80" t="inlineStr">
        <is>
          <t>EE 苏州比斯特</t>
        </is>
      </c>
      <c r="F1684" s="84" t="n">
        <v>4</v>
      </c>
      <c r="G1684" s="84" t="inlineStr">
        <is>
          <t>奥特莱斯</t>
        </is>
      </c>
      <c r="H1684" s="84" t="inlineStr">
        <is>
          <t>EEWHG23E01</t>
        </is>
      </c>
      <c r="I1684" s="84" t="n">
        <v>799</v>
      </c>
      <c r="J1684" s="84" t="n">
        <v>799</v>
      </c>
      <c r="K1684" s="85" t="n">
        <v>1</v>
      </c>
      <c r="L1684" s="85" t="n"/>
    </row>
    <row r="1685" ht="12.75" customHeight="1" s="103">
      <c r="A1685" s="78">
        <f>MID(H1685,3,2)</f>
        <v/>
      </c>
      <c r="B1685" s="84" t="inlineStr">
        <is>
          <t>B331</t>
        </is>
      </c>
      <c r="C1685" s="84" t="inlineStr">
        <is>
          <t>上海区域</t>
        </is>
      </c>
      <c r="D1685" s="84" t="inlineStr">
        <is>
          <t>CN0Q</t>
        </is>
      </c>
      <c r="E1685" s="80" t="inlineStr">
        <is>
          <t>EE 苏州比斯特</t>
        </is>
      </c>
      <c r="F1685" s="84" t="n">
        <v>4</v>
      </c>
      <c r="G1685" s="84" t="inlineStr">
        <is>
          <t>奥特莱斯</t>
        </is>
      </c>
      <c r="H1685" s="84" t="inlineStr">
        <is>
          <t>EEWHG23E01</t>
        </is>
      </c>
      <c r="I1685" s="84" t="n">
        <v>799</v>
      </c>
      <c r="J1685" s="84" t="n">
        <v>799</v>
      </c>
      <c r="K1685" s="85" t="n">
        <v>1</v>
      </c>
      <c r="L1685" s="85" t="n">
        <v>523</v>
      </c>
    </row>
    <row r="1686" ht="12.75" customHeight="1" s="103">
      <c r="A1686" s="78">
        <f>MID(H1686,3,2)</f>
        <v/>
      </c>
      <c r="B1686" s="84" t="inlineStr">
        <is>
          <t>B331</t>
        </is>
      </c>
      <c r="C1686" s="84" t="inlineStr">
        <is>
          <t>上海区域</t>
        </is>
      </c>
      <c r="D1686" s="84" t="inlineStr">
        <is>
          <t>CN0Q</t>
        </is>
      </c>
      <c r="E1686" s="80" t="inlineStr">
        <is>
          <t>EE 苏州比斯特</t>
        </is>
      </c>
      <c r="F1686" s="84" t="n">
        <v>4</v>
      </c>
      <c r="G1686" s="84" t="inlineStr">
        <is>
          <t>奥特莱斯</t>
        </is>
      </c>
      <c r="H1686" s="84" t="inlineStr">
        <is>
          <t>EEWHG23E01</t>
        </is>
      </c>
      <c r="I1686" s="84" t="n">
        <v>799</v>
      </c>
      <c r="J1686" s="84" t="n">
        <v>799</v>
      </c>
      <c r="K1686" s="85" t="n">
        <v>1</v>
      </c>
      <c r="L1686" s="85" t="n">
        <v>507</v>
      </c>
    </row>
    <row r="1687" ht="12.75" customHeight="1" s="103">
      <c r="A1687" s="78">
        <f>MID(H1687,3,2)</f>
        <v/>
      </c>
      <c r="B1687" s="84" t="inlineStr">
        <is>
          <t>B331</t>
        </is>
      </c>
      <c r="C1687" s="84" t="inlineStr">
        <is>
          <t>上海区域</t>
        </is>
      </c>
      <c r="D1687" s="84" t="inlineStr">
        <is>
          <t>CN0Q</t>
        </is>
      </c>
      <c r="E1687" s="80" t="inlineStr">
        <is>
          <t>EE 苏州比斯特</t>
        </is>
      </c>
      <c r="F1687" s="84" t="n">
        <v>4</v>
      </c>
      <c r="G1687" s="84" t="inlineStr">
        <is>
          <t>奥特莱斯</t>
        </is>
      </c>
      <c r="H1687" s="84" t="inlineStr">
        <is>
          <t>EEWHG23E01</t>
        </is>
      </c>
      <c r="I1687" s="84" t="n">
        <v>799</v>
      </c>
      <c r="J1687" s="84" t="n">
        <v>799</v>
      </c>
      <c r="K1687" s="85" t="n"/>
      <c r="L1687" s="85" t="n"/>
    </row>
    <row r="1688" ht="12.75" customHeight="1" s="103">
      <c r="A1688" s="78">
        <f>MID(H1688,3,2)</f>
        <v/>
      </c>
      <c r="B1688" s="84" t="inlineStr">
        <is>
          <t>B331</t>
        </is>
      </c>
      <c r="C1688" s="84" t="inlineStr">
        <is>
          <t>上海区域</t>
        </is>
      </c>
      <c r="D1688" s="84" t="inlineStr">
        <is>
          <t>CN0Q</t>
        </is>
      </c>
      <c r="E1688" s="80" t="inlineStr">
        <is>
          <t>EE 苏州比斯特</t>
        </is>
      </c>
      <c r="F1688" s="84" t="n">
        <v>4</v>
      </c>
      <c r="G1688" s="84" t="inlineStr">
        <is>
          <t>奥特莱斯</t>
        </is>
      </c>
      <c r="H1688" s="84" t="inlineStr">
        <is>
          <t>EEWHG23E01</t>
        </is>
      </c>
      <c r="I1688" s="84" t="n">
        <v>799</v>
      </c>
      <c r="J1688" s="84" t="n">
        <v>799</v>
      </c>
      <c r="K1688" s="85" t="n">
        <v>1</v>
      </c>
      <c r="L1688" s="85" t="n">
        <v>521</v>
      </c>
    </row>
    <row r="1689" ht="12.75" customHeight="1" s="103">
      <c r="A1689" s="78">
        <f>MID(H1689,3,2)</f>
        <v/>
      </c>
      <c r="B1689" s="84" t="inlineStr">
        <is>
          <t>B331</t>
        </is>
      </c>
      <c r="C1689" s="84" t="inlineStr">
        <is>
          <t>上海区域</t>
        </is>
      </c>
      <c r="D1689" s="84" t="inlineStr">
        <is>
          <t>CN0Q</t>
        </is>
      </c>
      <c r="E1689" s="80" t="inlineStr">
        <is>
          <t>EE 苏州比斯特</t>
        </is>
      </c>
      <c r="F1689" s="84" t="n">
        <v>4</v>
      </c>
      <c r="G1689" s="84" t="inlineStr">
        <is>
          <t>奥特莱斯</t>
        </is>
      </c>
      <c r="H1689" s="84" t="inlineStr">
        <is>
          <t>EEWHG23E01</t>
        </is>
      </c>
      <c r="I1689" s="84" t="n">
        <v>799</v>
      </c>
      <c r="J1689" s="84" t="n">
        <v>799</v>
      </c>
      <c r="K1689" s="85" t="n">
        <v>1</v>
      </c>
      <c r="L1689" s="85" t="n">
        <v>508</v>
      </c>
    </row>
    <row r="1690" ht="12.75" customHeight="1" s="103">
      <c r="A1690" s="78">
        <f>MID(H1690,3,2)</f>
        <v/>
      </c>
      <c r="B1690" s="84" t="inlineStr">
        <is>
          <t>B331</t>
        </is>
      </c>
      <c r="C1690" s="84" t="inlineStr">
        <is>
          <t>上海区域</t>
        </is>
      </c>
      <c r="D1690" s="84" t="inlineStr">
        <is>
          <t>CN0Q</t>
        </is>
      </c>
      <c r="E1690" s="80" t="inlineStr">
        <is>
          <t>EE 苏州比斯特</t>
        </is>
      </c>
      <c r="F1690" s="84" t="n">
        <v>4</v>
      </c>
      <c r="G1690" s="84" t="inlineStr">
        <is>
          <t>奥特莱斯</t>
        </is>
      </c>
      <c r="H1690" s="84" t="inlineStr">
        <is>
          <t>EEWHG23E01</t>
        </is>
      </c>
      <c r="I1690" s="84" t="n">
        <v>799</v>
      </c>
      <c r="J1690" s="84" t="n">
        <v>799</v>
      </c>
      <c r="K1690" s="85" t="n"/>
      <c r="L1690" s="85" t="n"/>
    </row>
    <row r="1691" ht="12.75" customHeight="1" s="103">
      <c r="A1691" s="78">
        <f>MID(H1691,3,2)</f>
        <v/>
      </c>
      <c r="B1691" s="84" t="inlineStr">
        <is>
          <t>B331</t>
        </is>
      </c>
      <c r="C1691" s="84" t="inlineStr">
        <is>
          <t>上海区域</t>
        </is>
      </c>
      <c r="D1691" s="84" t="inlineStr">
        <is>
          <t>CN0Q</t>
        </is>
      </c>
      <c r="E1691" s="80" t="inlineStr">
        <is>
          <t>EE 苏州比斯特</t>
        </is>
      </c>
      <c r="F1691" s="84" t="n">
        <v>4</v>
      </c>
      <c r="G1691" s="84" t="inlineStr">
        <is>
          <t>奥特莱斯</t>
        </is>
      </c>
      <c r="H1691" s="84" t="inlineStr">
        <is>
          <t>EEWHG23E03</t>
        </is>
      </c>
      <c r="I1691" s="84" t="n">
        <v>699</v>
      </c>
      <c r="J1691" s="84" t="n">
        <v>699</v>
      </c>
      <c r="K1691" s="85" t="n">
        <v>1</v>
      </c>
      <c r="L1691" s="85" t="n"/>
    </row>
    <row r="1692" ht="12.75" customHeight="1" s="103">
      <c r="A1692" s="78">
        <f>MID(H1692,3,2)</f>
        <v/>
      </c>
      <c r="B1692" s="84" t="inlineStr">
        <is>
          <t>B331</t>
        </is>
      </c>
      <c r="C1692" s="84" t="inlineStr">
        <is>
          <t>上海区域</t>
        </is>
      </c>
      <c r="D1692" s="84" t="inlineStr">
        <is>
          <t>CN0Q</t>
        </is>
      </c>
      <c r="E1692" s="80" t="inlineStr">
        <is>
          <t>EE 苏州比斯特</t>
        </is>
      </c>
      <c r="F1692" s="84" t="n">
        <v>4</v>
      </c>
      <c r="G1692" s="84" t="inlineStr">
        <is>
          <t>奥特莱斯</t>
        </is>
      </c>
      <c r="H1692" s="84" t="inlineStr">
        <is>
          <t>EEWHG23E03</t>
        </is>
      </c>
      <c r="I1692" s="84" t="n">
        <v>699</v>
      </c>
      <c r="J1692" s="84" t="n">
        <v>699</v>
      </c>
      <c r="K1692" s="85" t="n">
        <v>1</v>
      </c>
      <c r="L1692" s="85" t="n">
        <v>376</v>
      </c>
    </row>
    <row r="1693" ht="12.75" customHeight="1" s="103">
      <c r="A1693" s="78">
        <f>MID(H1693,3,2)</f>
        <v/>
      </c>
      <c r="B1693" s="84" t="inlineStr">
        <is>
          <t>B331</t>
        </is>
      </c>
      <c r="C1693" s="84" t="inlineStr">
        <is>
          <t>上海区域</t>
        </is>
      </c>
      <c r="D1693" s="84" t="inlineStr">
        <is>
          <t>CN0Q</t>
        </is>
      </c>
      <c r="E1693" s="80" t="inlineStr">
        <is>
          <t>EE 苏州比斯特</t>
        </is>
      </c>
      <c r="F1693" s="84" t="n">
        <v>4</v>
      </c>
      <c r="G1693" s="84" t="inlineStr">
        <is>
          <t>奥特莱斯</t>
        </is>
      </c>
      <c r="H1693" s="84" t="inlineStr">
        <is>
          <t>EEWHG23E03</t>
        </is>
      </c>
      <c r="I1693" s="84" t="n">
        <v>699</v>
      </c>
      <c r="J1693" s="84" t="n">
        <v>699</v>
      </c>
      <c r="K1693" s="85" t="n">
        <v>2</v>
      </c>
      <c r="L1693" s="85" t="n">
        <v>903</v>
      </c>
    </row>
    <row r="1694" ht="12.75" customHeight="1" s="103">
      <c r="A1694" s="78">
        <f>MID(H1694,3,2)</f>
        <v/>
      </c>
      <c r="B1694" s="84" t="inlineStr">
        <is>
          <t>B331</t>
        </is>
      </c>
      <c r="C1694" s="84" t="inlineStr">
        <is>
          <t>上海区域</t>
        </is>
      </c>
      <c r="D1694" s="84" t="inlineStr">
        <is>
          <t>CN0Q</t>
        </is>
      </c>
      <c r="E1694" s="80" t="inlineStr">
        <is>
          <t>EE 苏州比斯特</t>
        </is>
      </c>
      <c r="F1694" s="84" t="n">
        <v>4</v>
      </c>
      <c r="G1694" s="84" t="inlineStr">
        <is>
          <t>奥特莱斯</t>
        </is>
      </c>
      <c r="H1694" s="84" t="inlineStr">
        <is>
          <t>EEWHG23E03</t>
        </is>
      </c>
      <c r="I1694" s="84" t="n">
        <v>699</v>
      </c>
      <c r="J1694" s="84" t="n">
        <v>699</v>
      </c>
      <c r="K1694" s="85" t="n"/>
      <c r="L1694" s="85" t="n"/>
    </row>
    <row r="1695" ht="12.75" customHeight="1" s="103">
      <c r="A1695" s="78">
        <f>MID(H1695,3,2)</f>
        <v/>
      </c>
      <c r="B1695" s="84" t="inlineStr">
        <is>
          <t>B331</t>
        </is>
      </c>
      <c r="C1695" s="84" t="inlineStr">
        <is>
          <t>上海区域</t>
        </is>
      </c>
      <c r="D1695" s="84" t="inlineStr">
        <is>
          <t>CN0Q</t>
        </is>
      </c>
      <c r="E1695" s="80" t="inlineStr">
        <is>
          <t>EE 苏州比斯特</t>
        </is>
      </c>
      <c r="F1695" s="84" t="n">
        <v>4</v>
      </c>
      <c r="G1695" s="84" t="inlineStr">
        <is>
          <t>奥特莱斯</t>
        </is>
      </c>
      <c r="H1695" s="84" t="inlineStr">
        <is>
          <t>EEWHG23E03</t>
        </is>
      </c>
      <c r="I1695" s="84" t="n">
        <v>699</v>
      </c>
      <c r="J1695" s="84" t="n">
        <v>699</v>
      </c>
      <c r="K1695" s="85" t="n"/>
      <c r="L1695" s="85" t="n"/>
    </row>
    <row r="1696" ht="12.75" customHeight="1" s="103">
      <c r="A1696" s="78">
        <f>MID(H1696,3,2)</f>
        <v/>
      </c>
      <c r="B1696" s="84" t="inlineStr">
        <is>
          <t>B331</t>
        </is>
      </c>
      <c r="C1696" s="84" t="inlineStr">
        <is>
          <t>上海区域</t>
        </is>
      </c>
      <c r="D1696" s="84" t="inlineStr">
        <is>
          <t>CN0Q</t>
        </is>
      </c>
      <c r="E1696" s="80" t="inlineStr">
        <is>
          <t>EE 苏州比斯特</t>
        </is>
      </c>
      <c r="F1696" s="84" t="n">
        <v>4</v>
      </c>
      <c r="G1696" s="84" t="inlineStr">
        <is>
          <t>奥特莱斯</t>
        </is>
      </c>
      <c r="H1696" s="84" t="inlineStr">
        <is>
          <t>EEWHG23E03</t>
        </is>
      </c>
      <c r="I1696" s="84" t="n">
        <v>699</v>
      </c>
      <c r="J1696" s="84" t="n">
        <v>699</v>
      </c>
      <c r="K1696" s="85" t="n">
        <v>5</v>
      </c>
      <c r="L1696" s="86" t="n">
        <v>1155</v>
      </c>
    </row>
    <row r="1697" ht="12.75" customHeight="1" s="103">
      <c r="A1697" s="78">
        <f>MID(H1697,3,2)</f>
        <v/>
      </c>
      <c r="B1697" s="84" t="inlineStr">
        <is>
          <t>B331</t>
        </is>
      </c>
      <c r="C1697" s="84" t="inlineStr">
        <is>
          <t>上海区域</t>
        </is>
      </c>
      <c r="D1697" s="84" t="inlineStr">
        <is>
          <t>CN0Q</t>
        </is>
      </c>
      <c r="E1697" s="80" t="inlineStr">
        <is>
          <t>EE 苏州比斯特</t>
        </is>
      </c>
      <c r="F1697" s="84" t="n">
        <v>4</v>
      </c>
      <c r="G1697" s="84" t="inlineStr">
        <is>
          <t>奥特莱斯</t>
        </is>
      </c>
      <c r="H1697" s="84" t="inlineStr">
        <is>
          <t>EEWHG23E03</t>
        </is>
      </c>
      <c r="I1697" s="84" t="n">
        <v>699</v>
      </c>
      <c r="J1697" s="84" t="n">
        <v>699</v>
      </c>
      <c r="K1697" s="85" t="n">
        <v>2</v>
      </c>
      <c r="L1697" s="85" t="n">
        <v>885</v>
      </c>
    </row>
    <row r="1698" ht="12.75" customHeight="1" s="103">
      <c r="A1698" s="78">
        <f>MID(H1698,3,2)</f>
        <v/>
      </c>
      <c r="B1698" s="84" t="inlineStr">
        <is>
          <t>B331</t>
        </is>
      </c>
      <c r="C1698" s="84" t="inlineStr">
        <is>
          <t>上海区域</t>
        </is>
      </c>
      <c r="D1698" s="84" t="inlineStr">
        <is>
          <t>CN0Q</t>
        </is>
      </c>
      <c r="E1698" s="80" t="inlineStr">
        <is>
          <t>EE 苏州比斯特</t>
        </is>
      </c>
      <c r="F1698" s="84" t="n">
        <v>4</v>
      </c>
      <c r="G1698" s="84" t="inlineStr">
        <is>
          <t>奥特莱斯</t>
        </is>
      </c>
      <c r="H1698" s="84" t="inlineStr">
        <is>
          <t>EEWHG23E03</t>
        </is>
      </c>
      <c r="I1698" s="84" t="n">
        <v>699</v>
      </c>
      <c r="J1698" s="84" t="n">
        <v>699</v>
      </c>
      <c r="K1698" s="85" t="n">
        <v>1</v>
      </c>
      <c r="L1698" s="85" t="n">
        <v>441</v>
      </c>
    </row>
    <row r="1699" ht="12.75" customHeight="1" s="103">
      <c r="A1699" s="78">
        <f>MID(H1699,3,2)</f>
        <v/>
      </c>
      <c r="B1699" s="84" t="inlineStr">
        <is>
          <t>B331</t>
        </is>
      </c>
      <c r="C1699" s="84" t="inlineStr">
        <is>
          <t>上海区域</t>
        </is>
      </c>
      <c r="D1699" s="84" t="inlineStr">
        <is>
          <t>CN0Q</t>
        </is>
      </c>
      <c r="E1699" s="80" t="inlineStr">
        <is>
          <t>EE 苏州比斯特</t>
        </is>
      </c>
      <c r="F1699" s="84" t="n">
        <v>4</v>
      </c>
      <c r="G1699" s="84" t="inlineStr">
        <is>
          <t>奥特莱斯</t>
        </is>
      </c>
      <c r="H1699" s="84" t="inlineStr">
        <is>
          <t>EEWHG23E52</t>
        </is>
      </c>
      <c r="I1699" s="84" t="n">
        <v>699</v>
      </c>
      <c r="J1699" s="84" t="n">
        <v>699</v>
      </c>
      <c r="K1699" s="85" t="n"/>
      <c r="L1699" s="85" t="n"/>
    </row>
    <row r="1700" ht="12.75" customHeight="1" s="103">
      <c r="A1700" s="78">
        <f>MID(H1700,3,2)</f>
        <v/>
      </c>
      <c r="B1700" s="84" t="inlineStr">
        <is>
          <t>B331</t>
        </is>
      </c>
      <c r="C1700" s="84" t="inlineStr">
        <is>
          <t>上海区域</t>
        </is>
      </c>
      <c r="D1700" s="84" t="inlineStr">
        <is>
          <t>CN0Q</t>
        </is>
      </c>
      <c r="E1700" s="80" t="inlineStr">
        <is>
          <t>EE 苏州比斯特</t>
        </is>
      </c>
      <c r="F1700" s="84" t="n">
        <v>4</v>
      </c>
      <c r="G1700" s="84" t="inlineStr">
        <is>
          <t>奥特莱斯</t>
        </is>
      </c>
      <c r="H1700" s="84" t="inlineStr">
        <is>
          <t>EEWHG23E52</t>
        </is>
      </c>
      <c r="I1700" s="84" t="n">
        <v>699</v>
      </c>
      <c r="J1700" s="84" t="n">
        <v>699</v>
      </c>
      <c r="K1700" s="85" t="n"/>
      <c r="L1700" s="85" t="n"/>
    </row>
    <row r="1701" ht="12.75" customHeight="1" s="103">
      <c r="A1701" s="78">
        <f>MID(H1701,3,2)</f>
        <v/>
      </c>
      <c r="B1701" s="84" t="inlineStr">
        <is>
          <t>B331</t>
        </is>
      </c>
      <c r="C1701" s="84" t="inlineStr">
        <is>
          <t>上海区域</t>
        </is>
      </c>
      <c r="D1701" s="84" t="inlineStr">
        <is>
          <t>CN0Q</t>
        </is>
      </c>
      <c r="E1701" s="80" t="inlineStr">
        <is>
          <t>EE 苏州比斯特</t>
        </is>
      </c>
      <c r="F1701" s="84" t="n">
        <v>4</v>
      </c>
      <c r="G1701" s="84" t="inlineStr">
        <is>
          <t>奥特莱斯</t>
        </is>
      </c>
      <c r="H1701" s="84" t="inlineStr">
        <is>
          <t>EEWHG23E52</t>
        </is>
      </c>
      <c r="I1701" s="84" t="n">
        <v>699</v>
      </c>
      <c r="J1701" s="84" t="n">
        <v>699</v>
      </c>
      <c r="K1701" s="85" t="n"/>
      <c r="L1701" s="85" t="n"/>
    </row>
    <row r="1702" ht="12.75" customHeight="1" s="103">
      <c r="A1702" s="78">
        <f>MID(H1702,3,2)</f>
        <v/>
      </c>
      <c r="B1702" s="84" t="inlineStr">
        <is>
          <t>B331</t>
        </is>
      </c>
      <c r="C1702" s="84" t="inlineStr">
        <is>
          <t>上海区域</t>
        </is>
      </c>
      <c r="D1702" s="84" t="inlineStr">
        <is>
          <t>CN0Q</t>
        </is>
      </c>
      <c r="E1702" s="80" t="inlineStr">
        <is>
          <t>EE 苏州比斯特</t>
        </is>
      </c>
      <c r="F1702" s="84" t="n">
        <v>4</v>
      </c>
      <c r="G1702" s="84" t="inlineStr">
        <is>
          <t>奥特莱斯</t>
        </is>
      </c>
      <c r="H1702" s="84" t="inlineStr">
        <is>
          <t>EEWHG23E52</t>
        </is>
      </c>
      <c r="I1702" s="84" t="n">
        <v>699</v>
      </c>
      <c r="J1702" s="84" t="n">
        <v>699</v>
      </c>
      <c r="K1702" s="85" t="n"/>
      <c r="L1702" s="85" t="n"/>
    </row>
    <row r="1703" ht="12.75" customHeight="1" s="103">
      <c r="A1703" s="78">
        <f>MID(H1703,3,2)</f>
        <v/>
      </c>
      <c r="B1703" s="84" t="inlineStr">
        <is>
          <t>B331</t>
        </is>
      </c>
      <c r="C1703" s="84" t="inlineStr">
        <is>
          <t>上海区域</t>
        </is>
      </c>
      <c r="D1703" s="84" t="inlineStr">
        <is>
          <t>CN0Q</t>
        </is>
      </c>
      <c r="E1703" s="80" t="inlineStr">
        <is>
          <t>EE 苏州比斯特</t>
        </is>
      </c>
      <c r="F1703" s="84" t="n">
        <v>4</v>
      </c>
      <c r="G1703" s="84" t="inlineStr">
        <is>
          <t>奥特莱斯</t>
        </is>
      </c>
      <c r="H1703" s="84" t="inlineStr">
        <is>
          <t>EEWHG23R31</t>
        </is>
      </c>
      <c r="I1703" s="84" t="n">
        <v>799</v>
      </c>
      <c r="J1703" s="84" t="n">
        <v>799</v>
      </c>
      <c r="K1703" s="85" t="n"/>
      <c r="L1703" s="85" t="n"/>
    </row>
    <row r="1704" ht="12.75" customHeight="1" s="103">
      <c r="A1704" s="78">
        <f>MID(H1704,3,2)</f>
        <v/>
      </c>
      <c r="B1704" s="84" t="inlineStr">
        <is>
          <t>B331</t>
        </is>
      </c>
      <c r="C1704" s="84" t="inlineStr">
        <is>
          <t>上海区域</t>
        </is>
      </c>
      <c r="D1704" s="84" t="inlineStr">
        <is>
          <t>CN0Q</t>
        </is>
      </c>
      <c r="E1704" s="80" t="inlineStr">
        <is>
          <t>EE 苏州比斯特</t>
        </is>
      </c>
      <c r="F1704" s="84" t="n">
        <v>4</v>
      </c>
      <c r="G1704" s="84" t="inlineStr">
        <is>
          <t>奥特莱斯</t>
        </is>
      </c>
      <c r="H1704" s="84" t="inlineStr">
        <is>
          <t>EEWHG23R31</t>
        </is>
      </c>
      <c r="I1704" s="84" t="n">
        <v>799</v>
      </c>
      <c r="J1704" s="84" t="n">
        <v>799</v>
      </c>
      <c r="K1704" s="85" t="n">
        <v>1</v>
      </c>
      <c r="L1704" s="85" t="n">
        <v>521</v>
      </c>
    </row>
    <row r="1705" ht="12.75" customHeight="1" s="103">
      <c r="A1705" s="78">
        <f>MID(H1705,3,2)</f>
        <v/>
      </c>
      <c r="B1705" s="84" t="inlineStr">
        <is>
          <t>B331</t>
        </is>
      </c>
      <c r="C1705" s="84" t="inlineStr">
        <is>
          <t>上海区域</t>
        </is>
      </c>
      <c r="D1705" s="84" t="inlineStr">
        <is>
          <t>CN0Q</t>
        </is>
      </c>
      <c r="E1705" s="80" t="inlineStr">
        <is>
          <t>EE 苏州比斯特</t>
        </is>
      </c>
      <c r="F1705" s="84" t="n">
        <v>4</v>
      </c>
      <c r="G1705" s="84" t="inlineStr">
        <is>
          <t>奥特莱斯</t>
        </is>
      </c>
      <c r="H1705" s="84" t="inlineStr">
        <is>
          <t>EEWHG23R31</t>
        </is>
      </c>
      <c r="I1705" s="84" t="n">
        <v>799</v>
      </c>
      <c r="J1705" s="84" t="n">
        <v>799</v>
      </c>
      <c r="K1705" s="85" t="n"/>
      <c r="L1705" s="85" t="n"/>
    </row>
    <row r="1706" ht="12.75" customHeight="1" s="103">
      <c r="A1706" s="78">
        <f>MID(H1706,3,2)</f>
        <v/>
      </c>
      <c r="B1706" s="84" t="inlineStr">
        <is>
          <t>B331</t>
        </is>
      </c>
      <c r="C1706" s="84" t="inlineStr">
        <is>
          <t>上海区域</t>
        </is>
      </c>
      <c r="D1706" s="84" t="inlineStr">
        <is>
          <t>CN0Q</t>
        </is>
      </c>
      <c r="E1706" s="80" t="inlineStr">
        <is>
          <t>EE 苏州比斯特</t>
        </is>
      </c>
      <c r="F1706" s="84" t="n">
        <v>4</v>
      </c>
      <c r="G1706" s="84" t="inlineStr">
        <is>
          <t>奥特莱斯</t>
        </is>
      </c>
      <c r="H1706" s="84" t="inlineStr">
        <is>
          <t>EEWHG24E01</t>
        </is>
      </c>
      <c r="I1706" s="84" t="n">
        <v>799</v>
      </c>
      <c r="J1706" s="84" t="n">
        <v>799</v>
      </c>
      <c r="K1706" s="85" t="n"/>
      <c r="L1706" s="85" t="n"/>
    </row>
    <row r="1707" ht="12.75" customHeight="1" s="103">
      <c r="A1707" s="78">
        <f>MID(H1707,3,2)</f>
        <v/>
      </c>
      <c r="B1707" s="84" t="inlineStr">
        <is>
          <t>B331</t>
        </is>
      </c>
      <c r="C1707" s="84" t="inlineStr">
        <is>
          <t>上海区域</t>
        </is>
      </c>
      <c r="D1707" s="84" t="inlineStr">
        <is>
          <t>CN0Q</t>
        </is>
      </c>
      <c r="E1707" s="80" t="inlineStr">
        <is>
          <t>EE 苏州比斯特</t>
        </is>
      </c>
      <c r="F1707" s="84" t="n">
        <v>4</v>
      </c>
      <c r="G1707" s="84" t="inlineStr">
        <is>
          <t>奥特莱斯</t>
        </is>
      </c>
      <c r="H1707" s="84" t="inlineStr">
        <is>
          <t>EEWHG24E01</t>
        </is>
      </c>
      <c r="I1707" s="84" t="n">
        <v>799</v>
      </c>
      <c r="J1707" s="84" t="n">
        <v>799</v>
      </c>
      <c r="K1707" s="85" t="n">
        <v>2</v>
      </c>
      <c r="L1707" s="86" t="n">
        <v>1020</v>
      </c>
    </row>
    <row r="1708" ht="12.75" customHeight="1" s="103">
      <c r="A1708" s="78">
        <f>MID(H1708,3,2)</f>
        <v/>
      </c>
      <c r="B1708" s="84" t="inlineStr">
        <is>
          <t>B331</t>
        </is>
      </c>
      <c r="C1708" s="84" t="inlineStr">
        <is>
          <t>上海区域</t>
        </is>
      </c>
      <c r="D1708" s="84" t="inlineStr">
        <is>
          <t>CN0Q</t>
        </is>
      </c>
      <c r="E1708" s="80" t="inlineStr">
        <is>
          <t>EE 苏州比斯特</t>
        </is>
      </c>
      <c r="F1708" s="84" t="n">
        <v>4</v>
      </c>
      <c r="G1708" s="84" t="inlineStr">
        <is>
          <t>奥特莱斯</t>
        </is>
      </c>
      <c r="H1708" s="84" t="inlineStr">
        <is>
          <t>EEWHG24E01</t>
        </is>
      </c>
      <c r="I1708" s="84" t="n">
        <v>799</v>
      </c>
      <c r="J1708" s="84" t="n">
        <v>799</v>
      </c>
      <c r="K1708" s="85" t="n">
        <v>1</v>
      </c>
      <c r="L1708" s="85" t="n">
        <v>559</v>
      </c>
    </row>
    <row r="1709" ht="12.75" customHeight="1" s="103">
      <c r="A1709" s="78">
        <f>MID(H1709,3,2)</f>
        <v/>
      </c>
      <c r="B1709" s="84" t="inlineStr">
        <is>
          <t>B331</t>
        </is>
      </c>
      <c r="C1709" s="84" t="inlineStr">
        <is>
          <t>上海区域</t>
        </is>
      </c>
      <c r="D1709" s="84" t="inlineStr">
        <is>
          <t>CN0Q</t>
        </is>
      </c>
      <c r="E1709" s="80" t="inlineStr">
        <is>
          <t>EE 苏州比斯特</t>
        </is>
      </c>
      <c r="F1709" s="84" t="n">
        <v>4</v>
      </c>
      <c r="G1709" s="84" t="inlineStr">
        <is>
          <t>奥特莱斯</t>
        </is>
      </c>
      <c r="H1709" s="84" t="inlineStr">
        <is>
          <t>EEWHG24E01</t>
        </is>
      </c>
      <c r="I1709" s="84" t="n">
        <v>799</v>
      </c>
      <c r="J1709" s="84" t="n">
        <v>799</v>
      </c>
      <c r="K1709" s="85" t="n"/>
      <c r="L1709" s="85" t="n"/>
    </row>
    <row r="1710" ht="12.75" customHeight="1" s="103">
      <c r="A1710" s="78">
        <f>MID(H1710,3,2)</f>
        <v/>
      </c>
      <c r="B1710" s="84" t="inlineStr">
        <is>
          <t>B331</t>
        </is>
      </c>
      <c r="C1710" s="84" t="inlineStr">
        <is>
          <t>上海区域</t>
        </is>
      </c>
      <c r="D1710" s="84" t="inlineStr">
        <is>
          <t>CN0Q</t>
        </is>
      </c>
      <c r="E1710" s="80" t="inlineStr">
        <is>
          <t>EE 苏州比斯特</t>
        </is>
      </c>
      <c r="F1710" s="84" t="n">
        <v>4</v>
      </c>
      <c r="G1710" s="84" t="inlineStr">
        <is>
          <t>奥特莱斯</t>
        </is>
      </c>
      <c r="H1710" s="84" t="inlineStr">
        <is>
          <t>EEWHG24E01</t>
        </is>
      </c>
      <c r="I1710" s="84" t="n">
        <v>799</v>
      </c>
      <c r="J1710" s="84" t="n">
        <v>799</v>
      </c>
      <c r="K1710" s="85" t="n">
        <v>2</v>
      </c>
      <c r="L1710" s="86" t="n">
        <v>1311</v>
      </c>
    </row>
    <row r="1711" ht="12.75" customHeight="1" s="103">
      <c r="A1711" s="78">
        <f>MID(H1711,3,2)</f>
        <v/>
      </c>
      <c r="B1711" s="84" t="inlineStr">
        <is>
          <t>B331</t>
        </is>
      </c>
      <c r="C1711" s="84" t="inlineStr">
        <is>
          <t>上海区域</t>
        </is>
      </c>
      <c r="D1711" s="84" t="inlineStr">
        <is>
          <t>CN0Q</t>
        </is>
      </c>
      <c r="E1711" s="80" t="inlineStr">
        <is>
          <t>EE 苏州比斯特</t>
        </is>
      </c>
      <c r="F1711" s="84" t="n">
        <v>4</v>
      </c>
      <c r="G1711" s="84" t="inlineStr">
        <is>
          <t>奥特莱斯</t>
        </is>
      </c>
      <c r="H1711" s="84" t="inlineStr">
        <is>
          <t>EEWHG24E01</t>
        </is>
      </c>
      <c r="I1711" s="84" t="n">
        <v>799</v>
      </c>
      <c r="J1711" s="84" t="n">
        <v>799</v>
      </c>
      <c r="K1711" s="85" t="n">
        <v>5</v>
      </c>
      <c r="L1711" s="86" t="n">
        <v>2601</v>
      </c>
    </row>
    <row r="1712" ht="12.75" customHeight="1" s="103">
      <c r="A1712" s="78">
        <f>MID(H1712,3,2)</f>
        <v/>
      </c>
      <c r="B1712" s="84" t="inlineStr">
        <is>
          <t>B331</t>
        </is>
      </c>
      <c r="C1712" s="84" t="inlineStr">
        <is>
          <t>上海区域</t>
        </is>
      </c>
      <c r="D1712" s="84" t="inlineStr">
        <is>
          <t>CN0Q</t>
        </is>
      </c>
      <c r="E1712" s="80" t="inlineStr">
        <is>
          <t>EE 苏州比斯特</t>
        </is>
      </c>
      <c r="F1712" s="84" t="n">
        <v>4</v>
      </c>
      <c r="G1712" s="84" t="inlineStr">
        <is>
          <t>奥特莱斯</t>
        </is>
      </c>
      <c r="H1712" s="84" t="inlineStr">
        <is>
          <t>EEWHG24E01</t>
        </is>
      </c>
      <c r="I1712" s="84" t="n">
        <v>799</v>
      </c>
      <c r="J1712" s="84" t="n">
        <v>799</v>
      </c>
      <c r="K1712" s="85" t="n">
        <v>3</v>
      </c>
      <c r="L1712" s="85" t="n">
        <v>520</v>
      </c>
    </row>
    <row r="1713" ht="12.75" customHeight="1" s="103">
      <c r="A1713" s="78">
        <f>MID(H1713,3,2)</f>
        <v/>
      </c>
      <c r="B1713" s="84" t="inlineStr">
        <is>
          <t>B331</t>
        </is>
      </c>
      <c r="C1713" s="84" t="inlineStr">
        <is>
          <t>上海区域</t>
        </is>
      </c>
      <c r="D1713" s="84" t="inlineStr">
        <is>
          <t>CN0Q</t>
        </is>
      </c>
      <c r="E1713" s="80" t="inlineStr">
        <is>
          <t>EE 苏州比斯特</t>
        </is>
      </c>
      <c r="F1713" s="84" t="n">
        <v>4</v>
      </c>
      <c r="G1713" s="84" t="inlineStr">
        <is>
          <t>奥特莱斯</t>
        </is>
      </c>
      <c r="H1713" s="84" t="inlineStr">
        <is>
          <t>EEWHG24E01</t>
        </is>
      </c>
      <c r="I1713" s="84" t="n">
        <v>799</v>
      </c>
      <c r="J1713" s="84" t="n">
        <v>799</v>
      </c>
      <c r="K1713" s="85" t="n">
        <v>1</v>
      </c>
      <c r="L1713" s="85" t="n">
        <v>510</v>
      </c>
    </row>
    <row r="1714" ht="12.75" customHeight="1" s="103">
      <c r="A1714" s="78">
        <f>MID(H1714,3,2)</f>
        <v/>
      </c>
      <c r="B1714" s="84" t="inlineStr">
        <is>
          <t>B331</t>
        </is>
      </c>
      <c r="C1714" s="84" t="inlineStr">
        <is>
          <t>上海区域</t>
        </is>
      </c>
      <c r="D1714" s="84" t="inlineStr">
        <is>
          <t>CN0Q</t>
        </is>
      </c>
      <c r="E1714" s="80" t="inlineStr">
        <is>
          <t>EE 苏州比斯特</t>
        </is>
      </c>
      <c r="F1714" s="84" t="n">
        <v>4</v>
      </c>
      <c r="G1714" s="84" t="inlineStr">
        <is>
          <t>奥特莱斯</t>
        </is>
      </c>
      <c r="H1714" s="84" t="inlineStr">
        <is>
          <t>EEWHG24E01</t>
        </is>
      </c>
      <c r="I1714" s="84" t="n">
        <v>799</v>
      </c>
      <c r="J1714" s="84" t="n">
        <v>799</v>
      </c>
      <c r="K1714" s="85" t="n">
        <v>3</v>
      </c>
      <c r="L1714" s="86" t="n">
        <v>1531</v>
      </c>
    </row>
    <row r="1715" ht="12.75" customHeight="1" s="103">
      <c r="A1715" s="78">
        <f>MID(H1715,3,2)</f>
        <v/>
      </c>
      <c r="B1715" s="84" t="inlineStr">
        <is>
          <t>B331</t>
        </is>
      </c>
      <c r="C1715" s="84" t="inlineStr">
        <is>
          <t>上海区域</t>
        </is>
      </c>
      <c r="D1715" s="84" t="inlineStr">
        <is>
          <t>CN0Q</t>
        </is>
      </c>
      <c r="E1715" s="80" t="inlineStr">
        <is>
          <t>EE 苏州比斯特</t>
        </is>
      </c>
      <c r="F1715" s="84" t="n">
        <v>4</v>
      </c>
      <c r="G1715" s="84" t="inlineStr">
        <is>
          <t>奥特莱斯</t>
        </is>
      </c>
      <c r="H1715" s="84" t="inlineStr">
        <is>
          <t>EEWHG24E01</t>
        </is>
      </c>
      <c r="I1715" s="84" t="n">
        <v>799</v>
      </c>
      <c r="J1715" s="84" t="n">
        <v>799</v>
      </c>
      <c r="K1715" s="85" t="n">
        <v>6</v>
      </c>
      <c r="L1715" s="86" t="n">
        <v>2848</v>
      </c>
    </row>
    <row r="1716" ht="12.75" customHeight="1" s="103">
      <c r="A1716" s="78">
        <f>MID(H1716,3,2)</f>
        <v/>
      </c>
      <c r="B1716" s="84" t="inlineStr">
        <is>
          <t>B331</t>
        </is>
      </c>
      <c r="C1716" s="84" t="inlineStr">
        <is>
          <t>上海区域</t>
        </is>
      </c>
      <c r="D1716" s="84" t="inlineStr">
        <is>
          <t>CN0Q</t>
        </is>
      </c>
      <c r="E1716" s="80" t="inlineStr">
        <is>
          <t>EE 苏州比斯特</t>
        </is>
      </c>
      <c r="F1716" s="84" t="n">
        <v>4</v>
      </c>
      <c r="G1716" s="84" t="inlineStr">
        <is>
          <t>奥特莱斯</t>
        </is>
      </c>
      <c r="H1716" s="84" t="inlineStr">
        <is>
          <t>EEWHG24E01</t>
        </is>
      </c>
      <c r="I1716" s="84" t="n">
        <v>799</v>
      </c>
      <c r="J1716" s="84" t="n">
        <v>799</v>
      </c>
      <c r="K1716" s="85" t="n">
        <v>6</v>
      </c>
      <c r="L1716" s="86" t="n">
        <v>2339</v>
      </c>
    </row>
    <row r="1717" ht="12.75" customHeight="1" s="103">
      <c r="A1717" s="78">
        <f>MID(H1717,3,2)</f>
        <v/>
      </c>
      <c r="B1717" s="84" t="inlineStr">
        <is>
          <t>B331</t>
        </is>
      </c>
      <c r="C1717" s="84" t="inlineStr">
        <is>
          <t>上海区域</t>
        </is>
      </c>
      <c r="D1717" s="84" t="inlineStr">
        <is>
          <t>CN0Q</t>
        </is>
      </c>
      <c r="E1717" s="80" t="inlineStr">
        <is>
          <t>EE 苏州比斯特</t>
        </is>
      </c>
      <c r="F1717" s="84" t="n">
        <v>4</v>
      </c>
      <c r="G1717" s="84" t="inlineStr">
        <is>
          <t>奥特莱斯</t>
        </is>
      </c>
      <c r="H1717" s="84" t="inlineStr">
        <is>
          <t>EEWHG24E01</t>
        </is>
      </c>
      <c r="I1717" s="84" t="n">
        <v>799</v>
      </c>
      <c r="J1717" s="84" t="n">
        <v>799</v>
      </c>
      <c r="K1717" s="85" t="n">
        <v>4</v>
      </c>
      <c r="L1717" s="86" t="n">
        <v>1837</v>
      </c>
    </row>
    <row r="1718" ht="12.75" customHeight="1" s="103">
      <c r="A1718" s="78">
        <f>MID(H1718,3,2)</f>
        <v/>
      </c>
      <c r="B1718" s="84" t="inlineStr">
        <is>
          <t>B331</t>
        </is>
      </c>
      <c r="C1718" s="84" t="inlineStr">
        <is>
          <t>上海区域</t>
        </is>
      </c>
      <c r="D1718" s="84" t="inlineStr">
        <is>
          <t>CN0Q</t>
        </is>
      </c>
      <c r="E1718" s="80" t="inlineStr">
        <is>
          <t>EE 苏州比斯特</t>
        </is>
      </c>
      <c r="F1718" s="84" t="n">
        <v>4</v>
      </c>
      <c r="G1718" s="84" t="inlineStr">
        <is>
          <t>奥特莱斯</t>
        </is>
      </c>
      <c r="H1718" s="84" t="inlineStr">
        <is>
          <t>EEWHG24E02</t>
        </is>
      </c>
      <c r="I1718" s="84" t="n">
        <v>899</v>
      </c>
      <c r="J1718" s="84" t="n">
        <v>899</v>
      </c>
      <c r="K1718" s="85" t="n">
        <v>3</v>
      </c>
      <c r="L1718" s="85" t="n">
        <v>589</v>
      </c>
    </row>
    <row r="1719" ht="12.75" customHeight="1" s="103">
      <c r="A1719" s="78">
        <f>MID(H1719,3,2)</f>
        <v/>
      </c>
      <c r="B1719" s="84" t="inlineStr">
        <is>
          <t>B331</t>
        </is>
      </c>
      <c r="C1719" s="84" t="inlineStr">
        <is>
          <t>上海区域</t>
        </is>
      </c>
      <c r="D1719" s="84" t="inlineStr">
        <is>
          <t>CN0Q</t>
        </is>
      </c>
      <c r="E1719" s="80" t="inlineStr">
        <is>
          <t>EE 苏州比斯特</t>
        </is>
      </c>
      <c r="F1719" s="84" t="n">
        <v>4</v>
      </c>
      <c r="G1719" s="84" t="inlineStr">
        <is>
          <t>奥特莱斯</t>
        </is>
      </c>
      <c r="H1719" s="84" t="inlineStr">
        <is>
          <t>EEWHG24E02</t>
        </is>
      </c>
      <c r="I1719" s="84" t="n">
        <v>899</v>
      </c>
      <c r="J1719" s="84" t="n">
        <v>899</v>
      </c>
      <c r="K1719" s="85" t="n">
        <v>5</v>
      </c>
      <c r="L1719" s="85" t="n">
        <v>879</v>
      </c>
    </row>
    <row r="1720" ht="12.75" customHeight="1" s="103">
      <c r="A1720" s="78">
        <f>MID(H1720,3,2)</f>
        <v/>
      </c>
      <c r="B1720" s="84" t="inlineStr">
        <is>
          <t>B331</t>
        </is>
      </c>
      <c r="C1720" s="84" t="inlineStr">
        <is>
          <t>上海区域</t>
        </is>
      </c>
      <c r="D1720" s="84" t="inlineStr">
        <is>
          <t>CN0Q</t>
        </is>
      </c>
      <c r="E1720" s="80" t="inlineStr">
        <is>
          <t>EE 苏州比斯特</t>
        </is>
      </c>
      <c r="F1720" s="84" t="n">
        <v>4</v>
      </c>
      <c r="G1720" s="84" t="inlineStr">
        <is>
          <t>奥特莱斯</t>
        </is>
      </c>
      <c r="H1720" s="84" t="inlineStr">
        <is>
          <t>EEWHG24E02</t>
        </is>
      </c>
      <c r="I1720" s="84" t="n">
        <v>899</v>
      </c>
      <c r="J1720" s="84" t="n">
        <v>899</v>
      </c>
      <c r="K1720" s="85" t="n">
        <v>3</v>
      </c>
      <c r="L1720" s="86" t="n">
        <v>1152</v>
      </c>
    </row>
    <row r="1721" ht="12.75" customHeight="1" s="103">
      <c r="A1721" s="78">
        <f>MID(H1721,3,2)</f>
        <v/>
      </c>
      <c r="B1721" s="84" t="inlineStr">
        <is>
          <t>B331</t>
        </is>
      </c>
      <c r="C1721" s="84" t="inlineStr">
        <is>
          <t>上海区域</t>
        </is>
      </c>
      <c r="D1721" s="84" t="inlineStr">
        <is>
          <t>CN0Q</t>
        </is>
      </c>
      <c r="E1721" s="80" t="inlineStr">
        <is>
          <t>EE 苏州比斯特</t>
        </is>
      </c>
      <c r="F1721" s="84" t="n">
        <v>4</v>
      </c>
      <c r="G1721" s="84" t="inlineStr">
        <is>
          <t>奥特莱斯</t>
        </is>
      </c>
      <c r="H1721" s="84" t="inlineStr">
        <is>
          <t>EEWHG24E02</t>
        </is>
      </c>
      <c r="I1721" s="84" t="n">
        <v>899</v>
      </c>
      <c r="J1721" s="84" t="n">
        <v>899</v>
      </c>
      <c r="K1721" s="85" t="n">
        <v>1</v>
      </c>
      <c r="L1721" s="85" t="n">
        <v>270</v>
      </c>
    </row>
    <row r="1722" ht="12.75" customHeight="1" s="103">
      <c r="A1722" s="78">
        <f>MID(H1722,3,2)</f>
        <v/>
      </c>
      <c r="B1722" s="84" t="inlineStr">
        <is>
          <t>B331</t>
        </is>
      </c>
      <c r="C1722" s="84" t="inlineStr">
        <is>
          <t>上海区域</t>
        </is>
      </c>
      <c r="D1722" s="84" t="inlineStr">
        <is>
          <t>CN0Q</t>
        </is>
      </c>
      <c r="E1722" s="80" t="inlineStr">
        <is>
          <t>EE 苏州比斯特</t>
        </is>
      </c>
      <c r="F1722" s="84" t="n">
        <v>4</v>
      </c>
      <c r="G1722" s="84" t="inlineStr">
        <is>
          <t>奥特莱斯</t>
        </is>
      </c>
      <c r="H1722" s="84" t="inlineStr">
        <is>
          <t>EEWHG24E02</t>
        </is>
      </c>
      <c r="I1722" s="84" t="n">
        <v>899</v>
      </c>
      <c r="J1722" s="84" t="n">
        <v>899</v>
      </c>
      <c r="K1722" s="85" t="n">
        <v>2</v>
      </c>
      <c r="L1722" s="85" t="n">
        <v>569</v>
      </c>
    </row>
    <row r="1723" ht="12.75" customHeight="1" s="103">
      <c r="A1723" s="78">
        <f>MID(H1723,3,2)</f>
        <v/>
      </c>
      <c r="B1723" s="84" t="inlineStr">
        <is>
          <t>B331</t>
        </is>
      </c>
      <c r="C1723" s="84" t="inlineStr">
        <is>
          <t>上海区域</t>
        </is>
      </c>
      <c r="D1723" s="84" t="inlineStr">
        <is>
          <t>CN0Q</t>
        </is>
      </c>
      <c r="E1723" s="80" t="inlineStr">
        <is>
          <t>EE 苏州比斯特</t>
        </is>
      </c>
      <c r="F1723" s="84" t="n">
        <v>4</v>
      </c>
      <c r="G1723" s="84" t="inlineStr">
        <is>
          <t>奥特莱斯</t>
        </is>
      </c>
      <c r="H1723" s="84" t="inlineStr">
        <is>
          <t>EEWHG24E02</t>
        </is>
      </c>
      <c r="I1723" s="84" t="n">
        <v>899</v>
      </c>
      <c r="J1723" s="84" t="n">
        <v>899</v>
      </c>
      <c r="K1723" s="85" t="n">
        <v>3</v>
      </c>
      <c r="L1723" s="85" t="n">
        <v>483</v>
      </c>
    </row>
    <row r="1724" ht="12.75" customHeight="1" s="103">
      <c r="A1724" s="78">
        <f>MID(H1724,3,2)</f>
        <v/>
      </c>
      <c r="B1724" s="84" t="inlineStr">
        <is>
          <t>B331</t>
        </is>
      </c>
      <c r="C1724" s="84" t="inlineStr">
        <is>
          <t>上海区域</t>
        </is>
      </c>
      <c r="D1724" s="84" t="inlineStr">
        <is>
          <t>CN0Q</t>
        </is>
      </c>
      <c r="E1724" s="80" t="inlineStr">
        <is>
          <t>EE 苏州比斯特</t>
        </is>
      </c>
      <c r="F1724" s="84" t="n">
        <v>4</v>
      </c>
      <c r="G1724" s="84" t="inlineStr">
        <is>
          <t>奥特莱斯</t>
        </is>
      </c>
      <c r="H1724" s="84" t="inlineStr">
        <is>
          <t>EEWHG24E02</t>
        </is>
      </c>
      <c r="I1724" s="84" t="n">
        <v>899</v>
      </c>
      <c r="J1724" s="84" t="n">
        <v>899</v>
      </c>
      <c r="K1724" s="85" t="n">
        <v>2</v>
      </c>
      <c r="L1724" s="85" t="n">
        <v>574</v>
      </c>
    </row>
    <row r="1725" ht="12.75" customHeight="1" s="103">
      <c r="A1725" s="78">
        <f>MID(H1725,3,2)</f>
        <v/>
      </c>
      <c r="B1725" s="84" t="inlineStr">
        <is>
          <t>B331</t>
        </is>
      </c>
      <c r="C1725" s="84" t="inlineStr">
        <is>
          <t>上海区域</t>
        </is>
      </c>
      <c r="D1725" s="84" t="inlineStr">
        <is>
          <t>CN0Q</t>
        </is>
      </c>
      <c r="E1725" s="80" t="inlineStr">
        <is>
          <t>EE 苏州比斯特</t>
        </is>
      </c>
      <c r="F1725" s="84" t="n">
        <v>4</v>
      </c>
      <c r="G1725" s="84" t="inlineStr">
        <is>
          <t>奥特莱斯</t>
        </is>
      </c>
      <c r="H1725" s="84" t="inlineStr">
        <is>
          <t>EEWHG24E02</t>
        </is>
      </c>
      <c r="I1725" s="84" t="n">
        <v>899</v>
      </c>
      <c r="J1725" s="84" t="n">
        <v>899</v>
      </c>
      <c r="K1725" s="85" t="n">
        <v>2</v>
      </c>
      <c r="L1725" s="85" t="n">
        <v>569</v>
      </c>
    </row>
    <row r="1726" ht="12.75" customHeight="1" s="103">
      <c r="A1726" s="78">
        <f>MID(H1726,3,2)</f>
        <v/>
      </c>
      <c r="B1726" s="84" t="inlineStr">
        <is>
          <t>B331</t>
        </is>
      </c>
      <c r="C1726" s="84" t="inlineStr">
        <is>
          <t>上海区域</t>
        </is>
      </c>
      <c r="D1726" s="84" t="inlineStr">
        <is>
          <t>CN0Q</t>
        </is>
      </c>
      <c r="E1726" s="80" t="inlineStr">
        <is>
          <t>EE 苏州比斯特</t>
        </is>
      </c>
      <c r="F1726" s="84" t="n">
        <v>4</v>
      </c>
      <c r="G1726" s="84" t="inlineStr">
        <is>
          <t>奥特莱斯</t>
        </is>
      </c>
      <c r="H1726" s="84" t="inlineStr">
        <is>
          <t>EEWHG24E03</t>
        </is>
      </c>
      <c r="I1726" s="84" t="n">
        <v>799</v>
      </c>
      <c r="J1726" s="84" t="n">
        <v>699</v>
      </c>
      <c r="K1726" s="85" t="n"/>
      <c r="L1726" s="85" t="n"/>
    </row>
    <row r="1727" ht="12.75" customHeight="1" s="103">
      <c r="A1727" s="78">
        <f>MID(H1727,3,2)</f>
        <v/>
      </c>
      <c r="B1727" s="84" t="inlineStr">
        <is>
          <t>B331</t>
        </is>
      </c>
      <c r="C1727" s="84" t="inlineStr">
        <is>
          <t>上海区域</t>
        </is>
      </c>
      <c r="D1727" s="84" t="inlineStr">
        <is>
          <t>CN0Q</t>
        </is>
      </c>
      <c r="E1727" s="80" t="inlineStr">
        <is>
          <t>EE 苏州比斯特</t>
        </is>
      </c>
      <c r="F1727" s="84" t="n">
        <v>4</v>
      </c>
      <c r="G1727" s="84" t="inlineStr">
        <is>
          <t>奥特莱斯</t>
        </is>
      </c>
      <c r="H1727" s="84" t="inlineStr">
        <is>
          <t>EEWHG24E03</t>
        </is>
      </c>
      <c r="I1727" s="84" t="n">
        <v>799</v>
      </c>
      <c r="J1727" s="84" t="n">
        <v>699</v>
      </c>
      <c r="K1727" s="85" t="n">
        <v>1</v>
      </c>
      <c r="L1727" s="85" t="n"/>
    </row>
    <row r="1728" ht="12.75" customHeight="1" s="103">
      <c r="A1728" s="78">
        <f>MID(H1728,3,2)</f>
        <v/>
      </c>
      <c r="B1728" s="84" t="inlineStr">
        <is>
          <t>B331</t>
        </is>
      </c>
      <c r="C1728" s="84" t="inlineStr">
        <is>
          <t>上海区域</t>
        </is>
      </c>
      <c r="D1728" s="84" t="inlineStr">
        <is>
          <t>CN0Q</t>
        </is>
      </c>
      <c r="E1728" s="80" t="inlineStr">
        <is>
          <t>EE 苏州比斯特</t>
        </is>
      </c>
      <c r="F1728" s="84" t="n">
        <v>4</v>
      </c>
      <c r="G1728" s="84" t="inlineStr">
        <is>
          <t>奥特莱斯</t>
        </is>
      </c>
      <c r="H1728" s="84" t="inlineStr">
        <is>
          <t>EEWHG24E03</t>
        </is>
      </c>
      <c r="I1728" s="84" t="n">
        <v>799</v>
      </c>
      <c r="J1728" s="84" t="n">
        <v>699</v>
      </c>
      <c r="K1728" s="85" t="n">
        <v>1</v>
      </c>
      <c r="L1728" s="85" t="n">
        <v>449</v>
      </c>
    </row>
    <row r="1729" ht="12.75" customHeight="1" s="103">
      <c r="A1729" s="78">
        <f>MID(H1729,3,2)</f>
        <v/>
      </c>
      <c r="B1729" s="84" t="inlineStr">
        <is>
          <t>B331</t>
        </is>
      </c>
      <c r="C1729" s="84" t="inlineStr">
        <is>
          <t>上海区域</t>
        </is>
      </c>
      <c r="D1729" s="84" t="inlineStr">
        <is>
          <t>CN0Q</t>
        </is>
      </c>
      <c r="E1729" s="80" t="inlineStr">
        <is>
          <t>EE 苏州比斯特</t>
        </is>
      </c>
      <c r="F1729" s="84" t="n">
        <v>4</v>
      </c>
      <c r="G1729" s="84" t="inlineStr">
        <is>
          <t>奥特莱斯</t>
        </is>
      </c>
      <c r="H1729" s="84" t="inlineStr">
        <is>
          <t>EEWHG24E03</t>
        </is>
      </c>
      <c r="I1729" s="84" t="n">
        <v>799</v>
      </c>
      <c r="J1729" s="84" t="n">
        <v>699</v>
      </c>
      <c r="K1729" s="85" t="n">
        <v>1</v>
      </c>
      <c r="L1729" s="85" t="n">
        <v>489</v>
      </c>
    </row>
    <row r="1730" ht="12.75" customHeight="1" s="103">
      <c r="A1730" s="78">
        <f>MID(H1730,3,2)</f>
        <v/>
      </c>
      <c r="B1730" s="84" t="inlineStr">
        <is>
          <t>B331</t>
        </is>
      </c>
      <c r="C1730" s="84" t="inlineStr">
        <is>
          <t>上海区域</t>
        </is>
      </c>
      <c r="D1730" s="84" t="inlineStr">
        <is>
          <t>CN0Q</t>
        </is>
      </c>
      <c r="E1730" s="80" t="inlineStr">
        <is>
          <t>EE 苏州比斯特</t>
        </is>
      </c>
      <c r="F1730" s="84" t="n">
        <v>4</v>
      </c>
      <c r="G1730" s="84" t="inlineStr">
        <is>
          <t>奥特莱斯</t>
        </is>
      </c>
      <c r="H1730" s="84" t="inlineStr">
        <is>
          <t>EEWHG24E03</t>
        </is>
      </c>
      <c r="I1730" s="84" t="n">
        <v>799</v>
      </c>
      <c r="J1730" s="84" t="n">
        <v>699</v>
      </c>
      <c r="K1730" s="85" t="n"/>
      <c r="L1730" s="85" t="n"/>
    </row>
    <row r="1731" ht="12.75" customHeight="1" s="103">
      <c r="A1731" s="78">
        <f>MID(H1731,3,2)</f>
        <v/>
      </c>
      <c r="B1731" s="84" t="inlineStr">
        <is>
          <t>B331</t>
        </is>
      </c>
      <c r="C1731" s="84" t="inlineStr">
        <is>
          <t>上海区域</t>
        </is>
      </c>
      <c r="D1731" s="84" t="inlineStr">
        <is>
          <t>CN0Q</t>
        </is>
      </c>
      <c r="E1731" s="80" t="inlineStr">
        <is>
          <t>EE 苏州比斯特</t>
        </is>
      </c>
      <c r="F1731" s="84" t="n">
        <v>4</v>
      </c>
      <c r="G1731" s="84" t="inlineStr">
        <is>
          <t>奥特莱斯</t>
        </is>
      </c>
      <c r="H1731" s="84" t="inlineStr">
        <is>
          <t>EEWHG24E03</t>
        </is>
      </c>
      <c r="I1731" s="84" t="n">
        <v>799</v>
      </c>
      <c r="J1731" s="84" t="n">
        <v>699</v>
      </c>
      <c r="K1731" s="85" t="n">
        <v>1</v>
      </c>
      <c r="L1731" s="85" t="n"/>
    </row>
    <row r="1732" ht="12.75" customHeight="1" s="103">
      <c r="A1732" s="78">
        <f>MID(H1732,3,2)</f>
        <v/>
      </c>
      <c r="B1732" s="84" t="inlineStr">
        <is>
          <t>B331</t>
        </is>
      </c>
      <c r="C1732" s="84" t="inlineStr">
        <is>
          <t>上海区域</t>
        </is>
      </c>
      <c r="D1732" s="84" t="inlineStr">
        <is>
          <t>CN0Q</t>
        </is>
      </c>
      <c r="E1732" s="80" t="inlineStr">
        <is>
          <t>EE 苏州比斯特</t>
        </is>
      </c>
      <c r="F1732" s="84" t="n">
        <v>4</v>
      </c>
      <c r="G1732" s="84" t="inlineStr">
        <is>
          <t>奥特莱斯</t>
        </is>
      </c>
      <c r="H1732" s="84" t="inlineStr">
        <is>
          <t>EEWHG24E03</t>
        </is>
      </c>
      <c r="I1732" s="84" t="n">
        <v>799</v>
      </c>
      <c r="J1732" s="84" t="n">
        <v>699</v>
      </c>
      <c r="K1732" s="85" t="n"/>
      <c r="L1732" s="85" t="n"/>
    </row>
    <row r="1733" ht="12.75" customHeight="1" s="103">
      <c r="A1733" s="78">
        <f>MID(H1733,3,2)</f>
        <v/>
      </c>
      <c r="B1733" s="84" t="inlineStr">
        <is>
          <t>B331</t>
        </is>
      </c>
      <c r="C1733" s="84" t="inlineStr">
        <is>
          <t>上海区域</t>
        </is>
      </c>
      <c r="D1733" s="84" t="inlineStr">
        <is>
          <t>CN0Q</t>
        </is>
      </c>
      <c r="E1733" s="80" t="inlineStr">
        <is>
          <t>EE 苏州比斯特</t>
        </is>
      </c>
      <c r="F1733" s="84" t="n">
        <v>4</v>
      </c>
      <c r="G1733" s="84" t="inlineStr">
        <is>
          <t>奥特莱斯</t>
        </is>
      </c>
      <c r="H1733" s="84" t="inlineStr">
        <is>
          <t>EEWHG24E03</t>
        </is>
      </c>
      <c r="I1733" s="84" t="n">
        <v>799</v>
      </c>
      <c r="J1733" s="84" t="n">
        <v>699</v>
      </c>
      <c r="K1733" s="85" t="n"/>
      <c r="L1733" s="85" t="n"/>
    </row>
    <row r="1734" ht="12.75" customHeight="1" s="103">
      <c r="A1734" s="78">
        <f>MID(H1734,3,2)</f>
        <v/>
      </c>
      <c r="B1734" s="84" t="inlineStr">
        <is>
          <t>B331</t>
        </is>
      </c>
      <c r="C1734" s="84" t="inlineStr">
        <is>
          <t>上海区域</t>
        </is>
      </c>
      <c r="D1734" s="84" t="inlineStr">
        <is>
          <t>CN0Q</t>
        </is>
      </c>
      <c r="E1734" s="80" t="inlineStr">
        <is>
          <t>EE 苏州比斯特</t>
        </is>
      </c>
      <c r="F1734" s="84" t="n">
        <v>4</v>
      </c>
      <c r="G1734" s="84" t="inlineStr">
        <is>
          <t>奥特莱斯</t>
        </is>
      </c>
      <c r="H1734" s="84" t="inlineStr">
        <is>
          <t>EEWHG24E04</t>
        </is>
      </c>
      <c r="I1734" s="84" t="n">
        <v>799</v>
      </c>
      <c r="J1734" s="84" t="n">
        <v>799</v>
      </c>
      <c r="K1734" s="85" t="n">
        <v>1</v>
      </c>
      <c r="L1734" s="85" t="n">
        <v>507</v>
      </c>
    </row>
    <row r="1735" ht="12.75" customHeight="1" s="103">
      <c r="A1735" s="78">
        <f>MID(H1735,3,2)</f>
        <v/>
      </c>
      <c r="B1735" s="84" t="inlineStr">
        <is>
          <t>B331</t>
        </is>
      </c>
      <c r="C1735" s="84" t="inlineStr">
        <is>
          <t>上海区域</t>
        </is>
      </c>
      <c r="D1735" s="84" t="inlineStr">
        <is>
          <t>CN0Q</t>
        </is>
      </c>
      <c r="E1735" s="80" t="inlineStr">
        <is>
          <t>EE 苏州比斯特</t>
        </is>
      </c>
      <c r="F1735" s="84" t="n">
        <v>4</v>
      </c>
      <c r="G1735" s="84" t="inlineStr">
        <is>
          <t>奥特莱斯</t>
        </is>
      </c>
      <c r="H1735" s="84" t="inlineStr">
        <is>
          <t>EEWHG24E04</t>
        </is>
      </c>
      <c r="I1735" s="84" t="n">
        <v>799</v>
      </c>
      <c r="J1735" s="84" t="n">
        <v>799</v>
      </c>
      <c r="K1735" s="85" t="n">
        <v>2</v>
      </c>
      <c r="L1735" s="86" t="n">
        <v>1015</v>
      </c>
    </row>
    <row r="1736" ht="12.75" customHeight="1" s="103">
      <c r="A1736" s="78">
        <f>MID(H1736,3,2)</f>
        <v/>
      </c>
      <c r="B1736" s="84" t="inlineStr">
        <is>
          <t>B331</t>
        </is>
      </c>
      <c r="C1736" s="84" t="inlineStr">
        <is>
          <t>上海区域</t>
        </is>
      </c>
      <c r="D1736" s="84" t="inlineStr">
        <is>
          <t>CN0Q</t>
        </is>
      </c>
      <c r="E1736" s="80" t="inlineStr">
        <is>
          <t>EE 苏州比斯特</t>
        </is>
      </c>
      <c r="F1736" s="84" t="n">
        <v>4</v>
      </c>
      <c r="G1736" s="84" t="inlineStr">
        <is>
          <t>奥特莱斯</t>
        </is>
      </c>
      <c r="H1736" s="84" t="inlineStr">
        <is>
          <t>EEWHG24E04</t>
        </is>
      </c>
      <c r="I1736" s="84" t="n">
        <v>799</v>
      </c>
      <c r="J1736" s="84" t="n">
        <v>799</v>
      </c>
      <c r="K1736" s="85" t="n"/>
      <c r="L1736" s="85" t="n"/>
    </row>
    <row r="1737" ht="12.75" customHeight="1" s="103">
      <c r="A1737" s="78">
        <f>MID(H1737,3,2)</f>
        <v/>
      </c>
      <c r="B1737" s="84" t="inlineStr">
        <is>
          <t>B331</t>
        </is>
      </c>
      <c r="C1737" s="84" t="inlineStr">
        <is>
          <t>上海区域</t>
        </is>
      </c>
      <c r="D1737" s="84" t="inlineStr">
        <is>
          <t>CN0Q</t>
        </is>
      </c>
      <c r="E1737" s="80" t="inlineStr">
        <is>
          <t>EE 苏州比斯特</t>
        </is>
      </c>
      <c r="F1737" s="84" t="n">
        <v>4</v>
      </c>
      <c r="G1737" s="84" t="inlineStr">
        <is>
          <t>奥特莱斯</t>
        </is>
      </c>
      <c r="H1737" s="84" t="inlineStr">
        <is>
          <t>EEWHG24E04</t>
        </is>
      </c>
      <c r="I1737" s="84" t="n">
        <v>799</v>
      </c>
      <c r="J1737" s="84" t="n">
        <v>799</v>
      </c>
      <c r="K1737" s="85" t="n"/>
      <c r="L1737" s="85" t="n"/>
    </row>
    <row r="1738" ht="12.75" customHeight="1" s="103">
      <c r="A1738" s="78">
        <f>MID(H1738,3,2)</f>
        <v/>
      </c>
      <c r="B1738" s="84" t="inlineStr">
        <is>
          <t>B331</t>
        </is>
      </c>
      <c r="C1738" s="84" t="inlineStr">
        <is>
          <t>上海区域</t>
        </is>
      </c>
      <c r="D1738" s="84" t="inlineStr">
        <is>
          <t>CN0Q</t>
        </is>
      </c>
      <c r="E1738" s="80" t="inlineStr">
        <is>
          <t>EE 苏州比斯特</t>
        </is>
      </c>
      <c r="F1738" s="84" t="n">
        <v>4</v>
      </c>
      <c r="G1738" s="84" t="inlineStr">
        <is>
          <t>奥特莱斯</t>
        </is>
      </c>
      <c r="H1738" s="84" t="inlineStr">
        <is>
          <t>EEWHG24E04</t>
        </is>
      </c>
      <c r="I1738" s="84" t="n">
        <v>799</v>
      </c>
      <c r="J1738" s="84" t="n">
        <v>799</v>
      </c>
      <c r="K1738" s="85" t="n"/>
      <c r="L1738" s="85" t="n"/>
    </row>
    <row r="1739" ht="12.75" customHeight="1" s="103">
      <c r="A1739" s="78">
        <f>MID(H1739,3,2)</f>
        <v/>
      </c>
      <c r="B1739" s="84" t="inlineStr">
        <is>
          <t>B331</t>
        </is>
      </c>
      <c r="C1739" s="84" t="inlineStr">
        <is>
          <t>上海区域</t>
        </is>
      </c>
      <c r="D1739" s="84" t="inlineStr">
        <is>
          <t>CN0Q</t>
        </is>
      </c>
      <c r="E1739" s="80" t="inlineStr">
        <is>
          <t>EE 苏州比斯特</t>
        </is>
      </c>
      <c r="F1739" s="84" t="n">
        <v>4</v>
      </c>
      <c r="G1739" s="84" t="inlineStr">
        <is>
          <t>奥特莱斯</t>
        </is>
      </c>
      <c r="H1739" s="84" t="inlineStr">
        <is>
          <t>EEWHG24E04</t>
        </is>
      </c>
      <c r="I1739" s="84" t="n">
        <v>799</v>
      </c>
      <c r="J1739" s="84" t="n">
        <v>799</v>
      </c>
      <c r="K1739" s="85" t="n">
        <v>1</v>
      </c>
      <c r="L1739" s="85" t="n"/>
    </row>
    <row r="1740" ht="12.75" customHeight="1" s="103">
      <c r="A1740" s="78">
        <f>MID(H1740,3,2)</f>
        <v/>
      </c>
      <c r="B1740" s="84" t="inlineStr">
        <is>
          <t>B331</t>
        </is>
      </c>
      <c r="C1740" s="84" t="inlineStr">
        <is>
          <t>上海区域</t>
        </is>
      </c>
      <c r="D1740" s="84" t="inlineStr">
        <is>
          <t>CN0Q</t>
        </is>
      </c>
      <c r="E1740" s="80" t="inlineStr">
        <is>
          <t>EE 苏州比斯特</t>
        </is>
      </c>
      <c r="F1740" s="84" t="n">
        <v>4</v>
      </c>
      <c r="G1740" s="84" t="inlineStr">
        <is>
          <t>奥特莱斯</t>
        </is>
      </c>
      <c r="H1740" s="84" t="inlineStr">
        <is>
          <t>EEWHG24E04</t>
        </is>
      </c>
      <c r="I1740" s="84" t="n">
        <v>799</v>
      </c>
      <c r="J1740" s="84" t="n">
        <v>799</v>
      </c>
      <c r="K1740" s="85" t="n"/>
      <c r="L1740" s="85" t="n"/>
    </row>
    <row r="1741" ht="12.75" customHeight="1" s="103">
      <c r="A1741" s="78">
        <f>MID(H1741,3,2)</f>
        <v/>
      </c>
      <c r="B1741" s="84" t="inlineStr">
        <is>
          <t>B331</t>
        </is>
      </c>
      <c r="C1741" s="84" t="inlineStr">
        <is>
          <t>上海区域</t>
        </is>
      </c>
      <c r="D1741" s="84" t="inlineStr">
        <is>
          <t>CN0Q</t>
        </is>
      </c>
      <c r="E1741" s="80" t="inlineStr">
        <is>
          <t>EE 苏州比斯特</t>
        </is>
      </c>
      <c r="F1741" s="84" t="n">
        <v>4</v>
      </c>
      <c r="G1741" s="84" t="inlineStr">
        <is>
          <t>奥特莱斯</t>
        </is>
      </c>
      <c r="H1741" s="84" t="inlineStr">
        <is>
          <t>EEWHG24E04</t>
        </is>
      </c>
      <c r="I1741" s="84" t="n">
        <v>799</v>
      </c>
      <c r="J1741" s="84" t="n">
        <v>799</v>
      </c>
      <c r="K1741" s="85" t="n"/>
      <c r="L1741" s="85" t="n"/>
    </row>
    <row r="1742" ht="12.75" customHeight="1" s="103">
      <c r="A1742" s="78">
        <f>MID(H1742,3,2)</f>
        <v/>
      </c>
      <c r="B1742" s="84" t="inlineStr">
        <is>
          <t>B331</t>
        </is>
      </c>
      <c r="C1742" s="84" t="inlineStr">
        <is>
          <t>上海区域</t>
        </is>
      </c>
      <c r="D1742" s="84" t="inlineStr">
        <is>
          <t>CN0Q</t>
        </is>
      </c>
      <c r="E1742" s="80" t="inlineStr">
        <is>
          <t>EE 苏州比斯特</t>
        </is>
      </c>
      <c r="F1742" s="84" t="n">
        <v>4</v>
      </c>
      <c r="G1742" s="84" t="inlineStr">
        <is>
          <t>奥特莱斯</t>
        </is>
      </c>
      <c r="H1742" s="84" t="inlineStr">
        <is>
          <t>EEWHG24E05</t>
        </is>
      </c>
      <c r="I1742" s="84" t="n">
        <v>699</v>
      </c>
      <c r="J1742" s="84" t="n">
        <v>699</v>
      </c>
      <c r="K1742" s="85" t="n">
        <v>1</v>
      </c>
      <c r="L1742" s="85" t="n"/>
    </row>
    <row r="1743" ht="12.75" customHeight="1" s="103">
      <c r="A1743" s="78">
        <f>MID(H1743,3,2)</f>
        <v/>
      </c>
      <c r="B1743" s="84" t="inlineStr">
        <is>
          <t>B331</t>
        </is>
      </c>
      <c r="C1743" s="84" t="inlineStr">
        <is>
          <t>上海区域</t>
        </is>
      </c>
      <c r="D1743" s="84" t="inlineStr">
        <is>
          <t>CN0Q</t>
        </is>
      </c>
      <c r="E1743" s="80" t="inlineStr">
        <is>
          <t>EE 苏州比斯特</t>
        </is>
      </c>
      <c r="F1743" s="84" t="n">
        <v>4</v>
      </c>
      <c r="G1743" s="84" t="inlineStr">
        <is>
          <t>奥特莱斯</t>
        </is>
      </c>
      <c r="H1743" s="84" t="inlineStr">
        <is>
          <t>EEWHG24E05</t>
        </is>
      </c>
      <c r="I1743" s="84" t="n">
        <v>699</v>
      </c>
      <c r="J1743" s="84" t="n">
        <v>699</v>
      </c>
      <c r="K1743" s="85" t="n">
        <v>1</v>
      </c>
      <c r="L1743" s="85" t="n">
        <v>456</v>
      </c>
    </row>
    <row r="1744" ht="12.75" customHeight="1" s="103">
      <c r="A1744" s="78">
        <f>MID(H1744,3,2)</f>
        <v/>
      </c>
      <c r="B1744" s="84" t="inlineStr">
        <is>
          <t>B331</t>
        </is>
      </c>
      <c r="C1744" s="84" t="inlineStr">
        <is>
          <t>上海区域</t>
        </is>
      </c>
      <c r="D1744" s="84" t="inlineStr">
        <is>
          <t>CN0Q</t>
        </is>
      </c>
      <c r="E1744" s="80" t="inlineStr">
        <is>
          <t>EE 苏州比斯特</t>
        </is>
      </c>
      <c r="F1744" s="84" t="n">
        <v>4</v>
      </c>
      <c r="G1744" s="84" t="inlineStr">
        <is>
          <t>奥特莱斯</t>
        </is>
      </c>
      <c r="H1744" s="84" t="inlineStr">
        <is>
          <t>EEWHG24E05</t>
        </is>
      </c>
      <c r="I1744" s="84" t="n">
        <v>699</v>
      </c>
      <c r="J1744" s="84" t="n">
        <v>699</v>
      </c>
      <c r="K1744" s="85" t="n">
        <v>2</v>
      </c>
      <c r="L1744" s="85" t="n">
        <v>660</v>
      </c>
    </row>
    <row r="1745" ht="12.75" customHeight="1" s="103">
      <c r="A1745" s="78">
        <f>MID(H1745,3,2)</f>
        <v/>
      </c>
      <c r="B1745" s="84" t="inlineStr">
        <is>
          <t>B331</t>
        </is>
      </c>
      <c r="C1745" s="84" t="inlineStr">
        <is>
          <t>上海区域</t>
        </is>
      </c>
      <c r="D1745" s="84" t="inlineStr">
        <is>
          <t>CN0Q</t>
        </is>
      </c>
      <c r="E1745" s="80" t="inlineStr">
        <is>
          <t>EE 苏州比斯特</t>
        </is>
      </c>
      <c r="F1745" s="84" t="n">
        <v>4</v>
      </c>
      <c r="G1745" s="84" t="inlineStr">
        <is>
          <t>奥特莱斯</t>
        </is>
      </c>
      <c r="H1745" s="84" t="inlineStr">
        <is>
          <t>EEWHG24E05</t>
        </is>
      </c>
      <c r="I1745" s="84" t="n">
        <v>699</v>
      </c>
      <c r="J1745" s="84" t="n">
        <v>699</v>
      </c>
      <c r="K1745" s="85" t="n"/>
      <c r="L1745" s="85" t="n"/>
    </row>
    <row r="1746" ht="12.75" customHeight="1" s="103">
      <c r="A1746" s="78">
        <f>MID(H1746,3,2)</f>
        <v/>
      </c>
      <c r="B1746" s="84" t="inlineStr">
        <is>
          <t>B331</t>
        </is>
      </c>
      <c r="C1746" s="84" t="inlineStr">
        <is>
          <t>上海区域</t>
        </is>
      </c>
      <c r="D1746" s="84" t="inlineStr">
        <is>
          <t>CN0Q</t>
        </is>
      </c>
      <c r="E1746" s="80" t="inlineStr">
        <is>
          <t>EE 苏州比斯特</t>
        </is>
      </c>
      <c r="F1746" s="84" t="n">
        <v>4</v>
      </c>
      <c r="G1746" s="84" t="inlineStr">
        <is>
          <t>奥特莱斯</t>
        </is>
      </c>
      <c r="H1746" s="84" t="inlineStr">
        <is>
          <t>EEWHG24E05</t>
        </is>
      </c>
      <c r="I1746" s="84" t="n">
        <v>699</v>
      </c>
      <c r="J1746" s="84" t="n">
        <v>699</v>
      </c>
      <c r="K1746" s="85" t="n"/>
      <c r="L1746" s="85" t="n"/>
    </row>
    <row r="1747" ht="12.75" customHeight="1" s="103">
      <c r="A1747" s="78">
        <f>MID(H1747,3,2)</f>
        <v/>
      </c>
      <c r="B1747" s="84" t="inlineStr">
        <is>
          <t>B331</t>
        </is>
      </c>
      <c r="C1747" s="84" t="inlineStr">
        <is>
          <t>上海区域</t>
        </is>
      </c>
      <c r="D1747" s="84" t="inlineStr">
        <is>
          <t>CN0Q</t>
        </is>
      </c>
      <c r="E1747" s="80" t="inlineStr">
        <is>
          <t>EE 苏州比斯特</t>
        </is>
      </c>
      <c r="F1747" s="84" t="n">
        <v>4</v>
      </c>
      <c r="G1747" s="84" t="inlineStr">
        <is>
          <t>奥特莱斯</t>
        </is>
      </c>
      <c r="H1747" s="84" t="inlineStr">
        <is>
          <t>EEWHG24E05</t>
        </is>
      </c>
      <c r="I1747" s="84" t="n">
        <v>699</v>
      </c>
      <c r="J1747" s="84" t="n">
        <v>699</v>
      </c>
      <c r="K1747" s="85" t="n"/>
      <c r="L1747" s="85" t="n"/>
    </row>
    <row r="1748" ht="12.75" customHeight="1" s="103">
      <c r="A1748" s="78">
        <f>MID(H1748,3,2)</f>
        <v/>
      </c>
      <c r="B1748" s="84" t="inlineStr">
        <is>
          <t>B331</t>
        </is>
      </c>
      <c r="C1748" s="84" t="inlineStr">
        <is>
          <t>上海区域</t>
        </is>
      </c>
      <c r="D1748" s="84" t="inlineStr">
        <is>
          <t>CN0Q</t>
        </is>
      </c>
      <c r="E1748" s="80" t="inlineStr">
        <is>
          <t>EE 苏州比斯特</t>
        </is>
      </c>
      <c r="F1748" s="84" t="n">
        <v>4</v>
      </c>
      <c r="G1748" s="84" t="inlineStr">
        <is>
          <t>奥特莱斯</t>
        </is>
      </c>
      <c r="H1748" s="84" t="inlineStr">
        <is>
          <t>EEWHG24E05</t>
        </is>
      </c>
      <c r="I1748" s="84" t="n">
        <v>699</v>
      </c>
      <c r="J1748" s="84" t="n">
        <v>699</v>
      </c>
      <c r="K1748" s="85" t="n"/>
      <c r="L1748" s="85" t="n"/>
    </row>
    <row r="1749" ht="12.75" customHeight="1" s="103">
      <c r="A1749" s="78">
        <f>MID(H1749,3,2)</f>
        <v/>
      </c>
      <c r="B1749" s="84" t="inlineStr">
        <is>
          <t>B331</t>
        </is>
      </c>
      <c r="C1749" s="84" t="inlineStr">
        <is>
          <t>上海区域</t>
        </is>
      </c>
      <c r="D1749" s="84" t="inlineStr">
        <is>
          <t>CN0Q</t>
        </is>
      </c>
      <c r="E1749" s="80" t="inlineStr">
        <is>
          <t>EE 苏州比斯特</t>
        </is>
      </c>
      <c r="F1749" s="84" t="n">
        <v>4</v>
      </c>
      <c r="G1749" s="84" t="inlineStr">
        <is>
          <t>奥特莱斯</t>
        </is>
      </c>
      <c r="H1749" s="84" t="inlineStr">
        <is>
          <t>EEWHG24E05</t>
        </is>
      </c>
      <c r="I1749" s="84" t="n">
        <v>699</v>
      </c>
      <c r="J1749" s="84" t="n">
        <v>699</v>
      </c>
      <c r="K1749" s="85" t="n"/>
      <c r="L1749" s="85" t="n"/>
    </row>
    <row r="1750" ht="12.75" customHeight="1" s="103">
      <c r="A1750" s="78">
        <f>MID(H1750,3,2)</f>
        <v/>
      </c>
      <c r="B1750" s="84" t="inlineStr">
        <is>
          <t>B331</t>
        </is>
      </c>
      <c r="C1750" s="84" t="inlineStr">
        <is>
          <t>上海区域</t>
        </is>
      </c>
      <c r="D1750" s="84" t="inlineStr">
        <is>
          <t>CN0Q</t>
        </is>
      </c>
      <c r="E1750" s="80" t="inlineStr">
        <is>
          <t>EE 苏州比斯特</t>
        </is>
      </c>
      <c r="F1750" s="84" t="n">
        <v>4</v>
      </c>
      <c r="G1750" s="84" t="inlineStr">
        <is>
          <t>奥特莱斯</t>
        </is>
      </c>
      <c r="H1750" s="84" t="inlineStr">
        <is>
          <t>EEWHG24E56</t>
        </is>
      </c>
      <c r="I1750" s="84" t="n">
        <v>799</v>
      </c>
      <c r="J1750" s="84" t="n">
        <v>799</v>
      </c>
      <c r="K1750" s="85" t="n">
        <v>1</v>
      </c>
      <c r="L1750" s="85" t="n">
        <v>506</v>
      </c>
    </row>
    <row r="1751" ht="12.75" customHeight="1" s="103">
      <c r="A1751" s="78">
        <f>MID(H1751,3,2)</f>
        <v/>
      </c>
      <c r="B1751" s="84" t="inlineStr">
        <is>
          <t>B331</t>
        </is>
      </c>
      <c r="C1751" s="84" t="inlineStr">
        <is>
          <t>上海区域</t>
        </is>
      </c>
      <c r="D1751" s="84" t="inlineStr">
        <is>
          <t>CN0Q</t>
        </is>
      </c>
      <c r="E1751" s="80" t="inlineStr">
        <is>
          <t>EE 苏州比斯特</t>
        </is>
      </c>
      <c r="F1751" s="84" t="n">
        <v>4</v>
      </c>
      <c r="G1751" s="84" t="inlineStr">
        <is>
          <t>奥特莱斯</t>
        </is>
      </c>
      <c r="H1751" s="84" t="inlineStr">
        <is>
          <t>EEWHG24E56</t>
        </is>
      </c>
      <c r="I1751" s="84" t="n">
        <v>799</v>
      </c>
      <c r="J1751" s="84" t="n">
        <v>799</v>
      </c>
      <c r="K1751" s="85" t="n">
        <v>1</v>
      </c>
      <c r="L1751" s="85" t="n"/>
    </row>
    <row r="1752" ht="12.75" customHeight="1" s="103">
      <c r="A1752" s="78">
        <f>MID(H1752,3,2)</f>
        <v/>
      </c>
      <c r="B1752" s="84" t="inlineStr">
        <is>
          <t>B331</t>
        </is>
      </c>
      <c r="C1752" s="84" t="inlineStr">
        <is>
          <t>上海区域</t>
        </is>
      </c>
      <c r="D1752" s="84" t="inlineStr">
        <is>
          <t>CN0Q</t>
        </is>
      </c>
      <c r="E1752" s="80" t="inlineStr">
        <is>
          <t>EE 苏州比斯特</t>
        </is>
      </c>
      <c r="F1752" s="84" t="n">
        <v>4</v>
      </c>
      <c r="G1752" s="84" t="inlineStr">
        <is>
          <t>奥特莱斯</t>
        </is>
      </c>
      <c r="H1752" s="84" t="inlineStr">
        <is>
          <t>EEWHG24E56</t>
        </is>
      </c>
      <c r="I1752" s="84" t="n">
        <v>799</v>
      </c>
      <c r="J1752" s="84" t="n">
        <v>799</v>
      </c>
      <c r="K1752" s="85" t="n">
        <v>2</v>
      </c>
      <c r="L1752" s="85" t="n">
        <v>512</v>
      </c>
    </row>
    <row r="1753" ht="12.75" customHeight="1" s="103">
      <c r="A1753" s="78">
        <f>MID(H1753,3,2)</f>
        <v/>
      </c>
      <c r="B1753" s="84" t="inlineStr">
        <is>
          <t>B331</t>
        </is>
      </c>
      <c r="C1753" s="84" t="inlineStr">
        <is>
          <t>上海区域</t>
        </is>
      </c>
      <c r="D1753" s="84" t="inlineStr">
        <is>
          <t>CN0Q</t>
        </is>
      </c>
      <c r="E1753" s="80" t="inlineStr">
        <is>
          <t>EE 苏州比斯特</t>
        </is>
      </c>
      <c r="F1753" s="84" t="n">
        <v>4</v>
      </c>
      <c r="G1753" s="84" t="inlineStr">
        <is>
          <t>奥特莱斯</t>
        </is>
      </c>
      <c r="H1753" s="84" t="inlineStr">
        <is>
          <t>EEWHG24E56</t>
        </is>
      </c>
      <c r="I1753" s="84" t="n">
        <v>799</v>
      </c>
      <c r="J1753" s="84" t="n">
        <v>799</v>
      </c>
      <c r="K1753" s="85" t="n">
        <v>2</v>
      </c>
      <c r="L1753" s="85" t="n">
        <v>509</v>
      </c>
    </row>
    <row r="1754" ht="12.75" customHeight="1" s="103">
      <c r="A1754" s="78">
        <f>MID(H1754,3,2)</f>
        <v/>
      </c>
      <c r="B1754" s="84" t="inlineStr">
        <is>
          <t>B331</t>
        </is>
      </c>
      <c r="C1754" s="84" t="inlineStr">
        <is>
          <t>上海区域</t>
        </is>
      </c>
      <c r="D1754" s="84" t="inlineStr">
        <is>
          <t>CN0Q</t>
        </is>
      </c>
      <c r="E1754" s="80" t="inlineStr">
        <is>
          <t>EE 苏州比斯特</t>
        </is>
      </c>
      <c r="F1754" s="84" t="n">
        <v>4</v>
      </c>
      <c r="G1754" s="84" t="inlineStr">
        <is>
          <t>奥特莱斯</t>
        </is>
      </c>
      <c r="H1754" s="84" t="inlineStr">
        <is>
          <t>EEWHG24E56</t>
        </is>
      </c>
      <c r="I1754" s="84" t="n">
        <v>799</v>
      </c>
      <c r="J1754" s="84" t="n">
        <v>799</v>
      </c>
      <c r="K1754" s="85" t="n"/>
      <c r="L1754" s="85" t="n"/>
    </row>
    <row r="1755" ht="12.75" customHeight="1" s="103">
      <c r="A1755" s="78">
        <f>MID(H1755,3,2)</f>
        <v/>
      </c>
      <c r="B1755" s="84" t="inlineStr">
        <is>
          <t>B331</t>
        </is>
      </c>
      <c r="C1755" s="84" t="inlineStr">
        <is>
          <t>上海区域</t>
        </is>
      </c>
      <c r="D1755" s="84" t="inlineStr">
        <is>
          <t>CN0Q</t>
        </is>
      </c>
      <c r="E1755" s="80" t="inlineStr">
        <is>
          <t>EE 苏州比斯特</t>
        </is>
      </c>
      <c r="F1755" s="84" t="n">
        <v>4</v>
      </c>
      <c r="G1755" s="84" t="inlineStr">
        <is>
          <t>奥特莱斯</t>
        </is>
      </c>
      <c r="H1755" s="84" t="inlineStr">
        <is>
          <t>EEWHG24E56</t>
        </is>
      </c>
      <c r="I1755" s="84" t="n">
        <v>799</v>
      </c>
      <c r="J1755" s="84" t="n">
        <v>799</v>
      </c>
      <c r="K1755" s="85" t="n">
        <v>4</v>
      </c>
      <c r="L1755" s="86" t="n">
        <v>2073</v>
      </c>
    </row>
    <row r="1756" ht="12.75" customHeight="1" s="103">
      <c r="A1756" s="78">
        <f>MID(H1756,3,2)</f>
        <v/>
      </c>
      <c r="B1756" s="84" t="inlineStr">
        <is>
          <t>B331</t>
        </is>
      </c>
      <c r="C1756" s="84" t="inlineStr">
        <is>
          <t>上海区域</t>
        </is>
      </c>
      <c r="D1756" s="84" t="inlineStr">
        <is>
          <t>CN0Q</t>
        </is>
      </c>
      <c r="E1756" s="80" t="inlineStr">
        <is>
          <t>EE 苏州比斯特</t>
        </is>
      </c>
      <c r="F1756" s="84" t="n">
        <v>4</v>
      </c>
      <c r="G1756" s="84" t="inlineStr">
        <is>
          <t>奥特莱斯</t>
        </is>
      </c>
      <c r="H1756" s="84" t="inlineStr">
        <is>
          <t>EEWHG24E56</t>
        </is>
      </c>
      <c r="I1756" s="84" t="n">
        <v>799</v>
      </c>
      <c r="J1756" s="84" t="n">
        <v>799</v>
      </c>
      <c r="K1756" s="85" t="n">
        <v>2</v>
      </c>
      <c r="L1756" s="86" t="n">
        <v>1016</v>
      </c>
    </row>
    <row r="1757" ht="12.75" customHeight="1" s="103">
      <c r="A1757" s="78">
        <f>MID(H1757,3,2)</f>
        <v/>
      </c>
      <c r="B1757" s="84" t="inlineStr">
        <is>
          <t>B331</t>
        </is>
      </c>
      <c r="C1757" s="84" t="inlineStr">
        <is>
          <t>上海区域</t>
        </is>
      </c>
      <c r="D1757" s="84" t="inlineStr">
        <is>
          <t>CN0Q</t>
        </is>
      </c>
      <c r="E1757" s="80" t="inlineStr">
        <is>
          <t>EE 苏州比斯特</t>
        </is>
      </c>
      <c r="F1757" s="84" t="n">
        <v>4</v>
      </c>
      <c r="G1757" s="84" t="inlineStr">
        <is>
          <t>奥特莱斯</t>
        </is>
      </c>
      <c r="H1757" s="84" t="inlineStr">
        <is>
          <t>EEWHG24E56</t>
        </is>
      </c>
      <c r="I1757" s="84" t="n">
        <v>799</v>
      </c>
      <c r="J1757" s="84" t="n">
        <v>799</v>
      </c>
      <c r="K1757" s="85" t="n">
        <v>1</v>
      </c>
      <c r="L1757" s="85" t="n">
        <v>515</v>
      </c>
    </row>
    <row r="1758" ht="12.75" customHeight="1" s="103">
      <c r="A1758" s="78">
        <f>MID(H1758,3,2)</f>
        <v/>
      </c>
      <c r="B1758" s="84" t="inlineStr">
        <is>
          <t>B331</t>
        </is>
      </c>
      <c r="C1758" s="84" t="inlineStr">
        <is>
          <t>上海区域</t>
        </is>
      </c>
      <c r="D1758" s="84" t="inlineStr">
        <is>
          <t>CN0Q</t>
        </is>
      </c>
      <c r="E1758" s="80" t="inlineStr">
        <is>
          <t>EE 苏州比斯特</t>
        </is>
      </c>
      <c r="F1758" s="84" t="n">
        <v>4</v>
      </c>
      <c r="G1758" s="84" t="inlineStr">
        <is>
          <t>奥特莱斯</t>
        </is>
      </c>
      <c r="H1758" s="84" t="inlineStr">
        <is>
          <t>EEWHG25B06</t>
        </is>
      </c>
      <c r="I1758" s="84" t="n">
        <v>999</v>
      </c>
      <c r="J1758" s="84" t="n">
        <v>899</v>
      </c>
      <c r="K1758" s="85" t="n">
        <v>1</v>
      </c>
      <c r="L1758" s="85" t="n">
        <v>569</v>
      </c>
    </row>
    <row r="1759" ht="12.75" customHeight="1" s="103">
      <c r="A1759" s="78">
        <f>MID(H1759,3,2)</f>
        <v/>
      </c>
      <c r="B1759" s="84" t="inlineStr">
        <is>
          <t>B331</t>
        </is>
      </c>
      <c r="C1759" s="84" t="inlineStr">
        <is>
          <t>上海区域</t>
        </is>
      </c>
      <c r="D1759" s="84" t="inlineStr">
        <is>
          <t>CN0Q</t>
        </is>
      </c>
      <c r="E1759" s="80" t="inlineStr">
        <is>
          <t>EE 苏州比斯特</t>
        </is>
      </c>
      <c r="F1759" s="84" t="n">
        <v>4</v>
      </c>
      <c r="G1759" s="84" t="inlineStr">
        <is>
          <t>奥特莱斯</t>
        </is>
      </c>
      <c r="H1759" s="84" t="inlineStr">
        <is>
          <t>EEWHG25B06</t>
        </is>
      </c>
      <c r="I1759" s="84" t="n">
        <v>999</v>
      </c>
      <c r="J1759" s="84" t="n">
        <v>899</v>
      </c>
      <c r="K1759" s="85" t="n">
        <v>1</v>
      </c>
      <c r="L1759" s="85" t="n"/>
    </row>
    <row r="1760" ht="12.75" customHeight="1" s="103">
      <c r="A1760" s="78">
        <f>MID(H1760,3,2)</f>
        <v/>
      </c>
      <c r="B1760" s="84" t="inlineStr">
        <is>
          <t>B331</t>
        </is>
      </c>
      <c r="C1760" s="84" t="inlineStr">
        <is>
          <t>上海区域</t>
        </is>
      </c>
      <c r="D1760" s="84" t="inlineStr">
        <is>
          <t>CN0Q</t>
        </is>
      </c>
      <c r="E1760" s="80" t="inlineStr">
        <is>
          <t>EE 苏州比斯特</t>
        </is>
      </c>
      <c r="F1760" s="84" t="n">
        <v>4</v>
      </c>
      <c r="G1760" s="84" t="inlineStr">
        <is>
          <t>奥特莱斯</t>
        </is>
      </c>
      <c r="H1760" s="84" t="inlineStr">
        <is>
          <t>EEWHG25B06</t>
        </is>
      </c>
      <c r="I1760" s="84" t="n">
        <v>999</v>
      </c>
      <c r="J1760" s="84" t="n">
        <v>899</v>
      </c>
      <c r="K1760" s="85" t="n">
        <v>2</v>
      </c>
      <c r="L1760" s="86" t="n">
        <v>1165</v>
      </c>
    </row>
    <row r="1761" ht="12.75" customHeight="1" s="103">
      <c r="A1761" s="78">
        <f>MID(H1761,3,2)</f>
        <v/>
      </c>
      <c r="B1761" s="84" t="inlineStr">
        <is>
          <t>B331</t>
        </is>
      </c>
      <c r="C1761" s="84" t="inlineStr">
        <is>
          <t>上海区域</t>
        </is>
      </c>
      <c r="D1761" s="84" t="inlineStr">
        <is>
          <t>CN0Q</t>
        </is>
      </c>
      <c r="E1761" s="80" t="inlineStr">
        <is>
          <t>EE 苏州比斯特</t>
        </is>
      </c>
      <c r="F1761" s="84" t="n">
        <v>4</v>
      </c>
      <c r="G1761" s="84" t="inlineStr">
        <is>
          <t>奥特莱斯</t>
        </is>
      </c>
      <c r="H1761" s="84" t="inlineStr">
        <is>
          <t>EEWHG25B06</t>
        </is>
      </c>
      <c r="I1761" s="84" t="n">
        <v>999</v>
      </c>
      <c r="J1761" s="84" t="n">
        <v>899</v>
      </c>
      <c r="K1761" s="85" t="n">
        <v>1</v>
      </c>
      <c r="L1761" s="85" t="n">
        <v>629</v>
      </c>
    </row>
    <row r="1762" ht="12.75" customHeight="1" s="103">
      <c r="A1762" s="78">
        <f>MID(H1762,3,2)</f>
        <v/>
      </c>
      <c r="B1762" s="84" t="inlineStr">
        <is>
          <t>B331</t>
        </is>
      </c>
      <c r="C1762" s="84" t="inlineStr">
        <is>
          <t>上海区域</t>
        </is>
      </c>
      <c r="D1762" s="84" t="inlineStr">
        <is>
          <t>CN0Q</t>
        </is>
      </c>
      <c r="E1762" s="80" t="inlineStr">
        <is>
          <t>EE 苏州比斯特</t>
        </is>
      </c>
      <c r="F1762" s="84" t="n">
        <v>4</v>
      </c>
      <c r="G1762" s="84" t="inlineStr">
        <is>
          <t>奥特莱斯</t>
        </is>
      </c>
      <c r="H1762" s="84" t="inlineStr">
        <is>
          <t>EEWHG25B08</t>
        </is>
      </c>
      <c r="I1762" s="84" t="n">
        <v>999</v>
      </c>
      <c r="J1762" s="84" t="n">
        <v>999</v>
      </c>
      <c r="K1762" s="85" t="n">
        <v>2</v>
      </c>
      <c r="L1762" s="86" t="n">
        <v>1285</v>
      </c>
    </row>
    <row r="1763" ht="12.75" customHeight="1" s="103">
      <c r="A1763" s="78">
        <f>MID(H1763,3,2)</f>
        <v/>
      </c>
      <c r="B1763" s="84" t="inlineStr">
        <is>
          <t>B331</t>
        </is>
      </c>
      <c r="C1763" s="84" t="inlineStr">
        <is>
          <t>上海区域</t>
        </is>
      </c>
      <c r="D1763" s="84" t="inlineStr">
        <is>
          <t>CN0Q</t>
        </is>
      </c>
      <c r="E1763" s="80" t="inlineStr">
        <is>
          <t>EE 苏州比斯特</t>
        </is>
      </c>
      <c r="F1763" s="84" t="n">
        <v>4</v>
      </c>
      <c r="G1763" s="84" t="inlineStr">
        <is>
          <t>奥特莱斯</t>
        </is>
      </c>
      <c r="H1763" s="84" t="inlineStr">
        <is>
          <t>EEWHG25B08</t>
        </is>
      </c>
      <c r="I1763" s="84" t="n">
        <v>999</v>
      </c>
      <c r="J1763" s="84" t="n">
        <v>999</v>
      </c>
      <c r="K1763" s="85" t="n">
        <v>2</v>
      </c>
      <c r="L1763" s="86" t="n">
        <v>1284</v>
      </c>
    </row>
    <row r="1764" ht="12.75" customHeight="1" s="103">
      <c r="A1764" s="78">
        <f>MID(H1764,3,2)</f>
        <v/>
      </c>
      <c r="B1764" s="84" t="inlineStr">
        <is>
          <t>B331</t>
        </is>
      </c>
      <c r="C1764" s="84" t="inlineStr">
        <is>
          <t>上海区域</t>
        </is>
      </c>
      <c r="D1764" s="84" t="inlineStr">
        <is>
          <t>CN0Q</t>
        </is>
      </c>
      <c r="E1764" s="80" t="inlineStr">
        <is>
          <t>EE 苏州比斯特</t>
        </is>
      </c>
      <c r="F1764" s="84" t="n">
        <v>4</v>
      </c>
      <c r="G1764" s="84" t="inlineStr">
        <is>
          <t>奥特莱斯</t>
        </is>
      </c>
      <c r="H1764" s="84" t="inlineStr">
        <is>
          <t>EEWHG25B08</t>
        </is>
      </c>
      <c r="I1764" s="84" t="n">
        <v>999</v>
      </c>
      <c r="J1764" s="84" t="n">
        <v>999</v>
      </c>
      <c r="K1764" s="85" t="n">
        <v>2</v>
      </c>
      <c r="L1764" s="85" t="n">
        <v>637</v>
      </c>
    </row>
    <row r="1765" ht="12.75" customHeight="1" s="103">
      <c r="A1765" s="78">
        <f>MID(H1765,3,2)</f>
        <v/>
      </c>
      <c r="B1765" s="84" t="inlineStr">
        <is>
          <t>B331</t>
        </is>
      </c>
      <c r="C1765" s="84" t="inlineStr">
        <is>
          <t>上海区域</t>
        </is>
      </c>
      <c r="D1765" s="84" t="inlineStr">
        <is>
          <t>CN0Q</t>
        </is>
      </c>
      <c r="E1765" s="80" t="inlineStr">
        <is>
          <t>EE 苏州比斯特</t>
        </is>
      </c>
      <c r="F1765" s="84" t="n">
        <v>4</v>
      </c>
      <c r="G1765" s="84" t="inlineStr">
        <is>
          <t>奥特莱斯</t>
        </is>
      </c>
      <c r="H1765" s="84" t="inlineStr">
        <is>
          <t>EEWHG25B08</t>
        </is>
      </c>
      <c r="I1765" s="84" t="n">
        <v>999</v>
      </c>
      <c r="J1765" s="84" t="n">
        <v>999</v>
      </c>
      <c r="K1765" s="85" t="n">
        <v>2</v>
      </c>
      <c r="L1765" s="86" t="n">
        <v>1305</v>
      </c>
    </row>
    <row r="1766" ht="12.75" customHeight="1" s="103">
      <c r="A1766" s="78">
        <f>MID(H1766,3,2)</f>
        <v/>
      </c>
      <c r="B1766" s="84" t="inlineStr">
        <is>
          <t>B331</t>
        </is>
      </c>
      <c r="C1766" s="84" t="inlineStr">
        <is>
          <t>上海区域</t>
        </is>
      </c>
      <c r="D1766" s="84" t="inlineStr">
        <is>
          <t>CN0Q</t>
        </is>
      </c>
      <c r="E1766" s="80" t="inlineStr">
        <is>
          <t>EE 苏州比斯特</t>
        </is>
      </c>
      <c r="F1766" s="84" t="n">
        <v>4</v>
      </c>
      <c r="G1766" s="84" t="inlineStr">
        <is>
          <t>奥特莱斯</t>
        </is>
      </c>
      <c r="H1766" s="84" t="inlineStr">
        <is>
          <t>EEWHG25E01</t>
        </is>
      </c>
      <c r="I1766" s="84" t="n">
        <v>999</v>
      </c>
      <c r="J1766" s="84" t="n">
        <v>899</v>
      </c>
      <c r="K1766" s="85" t="n"/>
      <c r="L1766" s="85" t="n"/>
    </row>
    <row r="1767" ht="12.75" customHeight="1" s="103">
      <c r="A1767" s="78">
        <f>MID(H1767,3,2)</f>
        <v/>
      </c>
      <c r="B1767" s="84" t="inlineStr">
        <is>
          <t>B331</t>
        </is>
      </c>
      <c r="C1767" s="84" t="inlineStr">
        <is>
          <t>上海区域</t>
        </is>
      </c>
      <c r="D1767" s="84" t="inlineStr">
        <is>
          <t>CN0Q</t>
        </is>
      </c>
      <c r="E1767" s="80" t="inlineStr">
        <is>
          <t>EE 苏州比斯特</t>
        </is>
      </c>
      <c r="F1767" s="84" t="n">
        <v>4</v>
      </c>
      <c r="G1767" s="84" t="inlineStr">
        <is>
          <t>奥特莱斯</t>
        </is>
      </c>
      <c r="H1767" s="84" t="inlineStr">
        <is>
          <t>EEWHG25E01</t>
        </is>
      </c>
      <c r="I1767" s="84" t="n">
        <v>999</v>
      </c>
      <c r="J1767" s="84" t="n">
        <v>899</v>
      </c>
      <c r="K1767" s="85" t="n">
        <v>1</v>
      </c>
      <c r="L1767" s="85" t="n">
        <v>596</v>
      </c>
    </row>
    <row r="1768" ht="12.75" customHeight="1" s="103">
      <c r="A1768" s="78">
        <f>MID(H1768,3,2)</f>
        <v/>
      </c>
      <c r="B1768" s="84" t="inlineStr">
        <is>
          <t>B331</t>
        </is>
      </c>
      <c r="C1768" s="84" t="inlineStr">
        <is>
          <t>上海区域</t>
        </is>
      </c>
      <c r="D1768" s="84" t="inlineStr">
        <is>
          <t>CN0Q</t>
        </is>
      </c>
      <c r="E1768" s="80" t="inlineStr">
        <is>
          <t>EE 苏州比斯特</t>
        </is>
      </c>
      <c r="F1768" s="84" t="n">
        <v>4</v>
      </c>
      <c r="G1768" s="84" t="inlineStr">
        <is>
          <t>奥特莱斯</t>
        </is>
      </c>
      <c r="H1768" s="84" t="inlineStr">
        <is>
          <t>EEWHG25E01</t>
        </is>
      </c>
      <c r="I1768" s="84" t="n">
        <v>999</v>
      </c>
      <c r="J1768" s="84" t="n">
        <v>899</v>
      </c>
      <c r="K1768" s="85" t="n"/>
      <c r="L1768" s="85" t="n"/>
    </row>
    <row r="1769" ht="12.75" customHeight="1" s="103">
      <c r="A1769" s="78">
        <f>MID(H1769,3,2)</f>
        <v/>
      </c>
      <c r="B1769" s="84" t="inlineStr">
        <is>
          <t>B331</t>
        </is>
      </c>
      <c r="C1769" s="84" t="inlineStr">
        <is>
          <t>上海区域</t>
        </is>
      </c>
      <c r="D1769" s="84" t="inlineStr">
        <is>
          <t>CN0Q</t>
        </is>
      </c>
      <c r="E1769" s="80" t="inlineStr">
        <is>
          <t>EE 苏州比斯特</t>
        </is>
      </c>
      <c r="F1769" s="84" t="n">
        <v>4</v>
      </c>
      <c r="G1769" s="84" t="inlineStr">
        <is>
          <t>奥特莱斯</t>
        </is>
      </c>
      <c r="H1769" s="84" t="inlineStr">
        <is>
          <t>EEWHG25E01</t>
        </is>
      </c>
      <c r="I1769" s="84" t="n">
        <v>999</v>
      </c>
      <c r="J1769" s="84" t="n">
        <v>899</v>
      </c>
      <c r="K1769" s="85" t="n"/>
      <c r="L1769" s="85" t="n"/>
    </row>
    <row r="1770" ht="12.75" customHeight="1" s="103">
      <c r="A1770" s="78">
        <f>MID(H1770,3,2)</f>
        <v/>
      </c>
      <c r="B1770" s="84" t="inlineStr">
        <is>
          <t>B331</t>
        </is>
      </c>
      <c r="C1770" s="84" t="inlineStr">
        <is>
          <t>上海区域</t>
        </is>
      </c>
      <c r="D1770" s="84" t="inlineStr">
        <is>
          <t>CN0Q</t>
        </is>
      </c>
      <c r="E1770" s="80" t="inlineStr">
        <is>
          <t>EE 苏州比斯特</t>
        </is>
      </c>
      <c r="F1770" s="84" t="n">
        <v>4</v>
      </c>
      <c r="G1770" s="84" t="inlineStr">
        <is>
          <t>奥特莱斯</t>
        </is>
      </c>
      <c r="H1770" s="84" t="inlineStr">
        <is>
          <t>EEWHG25E01</t>
        </is>
      </c>
      <c r="I1770" s="84" t="n">
        <v>999</v>
      </c>
      <c r="J1770" s="84" t="n">
        <v>899</v>
      </c>
      <c r="K1770" s="85" t="n">
        <v>1</v>
      </c>
      <c r="L1770" s="85" t="n">
        <v>588</v>
      </c>
    </row>
    <row r="1771" ht="12.75" customHeight="1" s="103">
      <c r="A1771" s="78">
        <f>MID(H1771,3,2)</f>
        <v/>
      </c>
      <c r="B1771" s="84" t="inlineStr">
        <is>
          <t>B331</t>
        </is>
      </c>
      <c r="C1771" s="84" t="inlineStr">
        <is>
          <t>上海区域</t>
        </is>
      </c>
      <c r="D1771" s="84" t="inlineStr">
        <is>
          <t>CN0Q</t>
        </is>
      </c>
      <c r="E1771" s="80" t="inlineStr">
        <is>
          <t>EE 苏州比斯特</t>
        </is>
      </c>
      <c r="F1771" s="84" t="n">
        <v>4</v>
      </c>
      <c r="G1771" s="84" t="inlineStr">
        <is>
          <t>奥特莱斯</t>
        </is>
      </c>
      <c r="H1771" s="84" t="inlineStr">
        <is>
          <t>EEWHG25E01</t>
        </is>
      </c>
      <c r="I1771" s="84" t="n">
        <v>999</v>
      </c>
      <c r="J1771" s="84" t="n">
        <v>899</v>
      </c>
      <c r="K1771" s="85" t="n">
        <v>2</v>
      </c>
      <c r="L1771" s="86" t="n">
        <v>1136</v>
      </c>
    </row>
    <row r="1772" ht="12.75" customHeight="1" s="103">
      <c r="A1772" s="78">
        <f>MID(H1772,3,2)</f>
        <v/>
      </c>
      <c r="B1772" s="84" t="inlineStr">
        <is>
          <t>B331</t>
        </is>
      </c>
      <c r="C1772" s="84" t="inlineStr">
        <is>
          <t>上海区域</t>
        </is>
      </c>
      <c r="D1772" s="84" t="inlineStr">
        <is>
          <t>CN0Q</t>
        </is>
      </c>
      <c r="E1772" s="80" t="inlineStr">
        <is>
          <t>EE 苏州比斯特</t>
        </is>
      </c>
      <c r="F1772" s="84" t="n">
        <v>4</v>
      </c>
      <c r="G1772" s="84" t="inlineStr">
        <is>
          <t>奥特莱斯</t>
        </is>
      </c>
      <c r="H1772" s="84" t="inlineStr">
        <is>
          <t>EEWHG25E01</t>
        </is>
      </c>
      <c r="I1772" s="84" t="n">
        <v>999</v>
      </c>
      <c r="J1772" s="84" t="n">
        <v>899</v>
      </c>
      <c r="K1772" s="85" t="n"/>
      <c r="L1772" s="85" t="n"/>
    </row>
    <row r="1773" ht="12.75" customHeight="1" s="103">
      <c r="A1773" s="78">
        <f>MID(H1773,3,2)</f>
        <v/>
      </c>
      <c r="B1773" s="84" t="inlineStr">
        <is>
          <t>B331</t>
        </is>
      </c>
      <c r="C1773" s="84" t="inlineStr">
        <is>
          <t>上海区域</t>
        </is>
      </c>
      <c r="D1773" s="84" t="inlineStr">
        <is>
          <t>CN0Q</t>
        </is>
      </c>
      <c r="E1773" s="80" t="inlineStr">
        <is>
          <t>EE 苏州比斯特</t>
        </is>
      </c>
      <c r="F1773" s="84" t="n">
        <v>4</v>
      </c>
      <c r="G1773" s="84" t="inlineStr">
        <is>
          <t>奥特莱斯</t>
        </is>
      </c>
      <c r="H1773" s="84" t="inlineStr">
        <is>
          <t>EEWHG25E01</t>
        </is>
      </c>
      <c r="I1773" s="84" t="n">
        <v>999</v>
      </c>
      <c r="J1773" s="84" t="n">
        <v>899</v>
      </c>
      <c r="K1773" s="85" t="n"/>
      <c r="L1773" s="85" t="n"/>
    </row>
    <row r="1774" ht="12.75" customHeight="1" s="103">
      <c r="A1774" s="78">
        <f>MID(H1774,3,2)</f>
        <v/>
      </c>
      <c r="B1774" s="84" t="inlineStr">
        <is>
          <t>B331</t>
        </is>
      </c>
      <c r="C1774" s="84" t="inlineStr">
        <is>
          <t>上海区域</t>
        </is>
      </c>
      <c r="D1774" s="84" t="inlineStr">
        <is>
          <t>CN0Q</t>
        </is>
      </c>
      <c r="E1774" s="80" t="inlineStr">
        <is>
          <t>EE 苏州比斯特</t>
        </is>
      </c>
      <c r="F1774" s="84" t="n">
        <v>4</v>
      </c>
      <c r="G1774" s="84" t="inlineStr">
        <is>
          <t>奥特莱斯</t>
        </is>
      </c>
      <c r="H1774" s="84" t="inlineStr">
        <is>
          <t>EEWHG25E01</t>
        </is>
      </c>
      <c r="I1774" s="84" t="n">
        <v>999</v>
      </c>
      <c r="J1774" s="84" t="n">
        <v>899</v>
      </c>
      <c r="K1774" s="85" t="n">
        <v>2</v>
      </c>
      <c r="L1774" s="85" t="n"/>
    </row>
    <row r="1775" ht="12.75" customHeight="1" s="103">
      <c r="A1775" s="78">
        <f>MID(H1775,3,2)</f>
        <v/>
      </c>
      <c r="B1775" s="84" t="inlineStr">
        <is>
          <t>B331</t>
        </is>
      </c>
      <c r="C1775" s="84" t="inlineStr">
        <is>
          <t>上海区域</t>
        </is>
      </c>
      <c r="D1775" s="84" t="inlineStr">
        <is>
          <t>CN0Q</t>
        </is>
      </c>
      <c r="E1775" s="80" t="inlineStr">
        <is>
          <t>EE 苏州比斯特</t>
        </is>
      </c>
      <c r="F1775" s="84" t="n">
        <v>4</v>
      </c>
      <c r="G1775" s="84" t="inlineStr">
        <is>
          <t>奥特莱斯</t>
        </is>
      </c>
      <c r="H1775" s="84" t="inlineStr">
        <is>
          <t>EEWHG25E01</t>
        </is>
      </c>
      <c r="I1775" s="84" t="n">
        <v>999</v>
      </c>
      <c r="J1775" s="84" t="n">
        <v>899</v>
      </c>
      <c r="K1775" s="85" t="n">
        <v>1</v>
      </c>
      <c r="L1775" s="85" t="n">
        <v>585</v>
      </c>
    </row>
    <row r="1776" ht="12.75" customHeight="1" s="103">
      <c r="A1776" s="78">
        <f>MID(H1776,3,2)</f>
        <v/>
      </c>
      <c r="B1776" s="84" t="inlineStr">
        <is>
          <t>B331</t>
        </is>
      </c>
      <c r="C1776" s="84" t="inlineStr">
        <is>
          <t>上海区域</t>
        </is>
      </c>
      <c r="D1776" s="84" t="inlineStr">
        <is>
          <t>CN0Q</t>
        </is>
      </c>
      <c r="E1776" s="80" t="inlineStr">
        <is>
          <t>EE 苏州比斯特</t>
        </is>
      </c>
      <c r="F1776" s="84" t="n">
        <v>4</v>
      </c>
      <c r="G1776" s="84" t="inlineStr">
        <is>
          <t>奥特莱斯</t>
        </is>
      </c>
      <c r="H1776" s="84" t="inlineStr">
        <is>
          <t>EEWHG25E01</t>
        </is>
      </c>
      <c r="I1776" s="84" t="n">
        <v>999</v>
      </c>
      <c r="J1776" s="84" t="n">
        <v>899</v>
      </c>
      <c r="K1776" s="85" t="n">
        <v>3</v>
      </c>
      <c r="L1776" s="85" t="n">
        <v>842</v>
      </c>
    </row>
    <row r="1777" ht="12.75" customHeight="1" s="103">
      <c r="A1777" s="78">
        <f>MID(H1777,3,2)</f>
        <v/>
      </c>
      <c r="B1777" s="84" t="inlineStr">
        <is>
          <t>B331</t>
        </is>
      </c>
      <c r="C1777" s="84" t="inlineStr">
        <is>
          <t>上海区域</t>
        </is>
      </c>
      <c r="D1777" s="84" t="inlineStr">
        <is>
          <t>CN0Q</t>
        </is>
      </c>
      <c r="E1777" s="80" t="inlineStr">
        <is>
          <t>EE 苏州比斯特</t>
        </is>
      </c>
      <c r="F1777" s="84" t="n">
        <v>4</v>
      </c>
      <c r="G1777" s="84" t="inlineStr">
        <is>
          <t>奥特莱斯</t>
        </is>
      </c>
      <c r="H1777" s="84" t="inlineStr">
        <is>
          <t>EEWHG25E01</t>
        </is>
      </c>
      <c r="I1777" s="84" t="n">
        <v>999</v>
      </c>
      <c r="J1777" s="84" t="n">
        <v>899</v>
      </c>
      <c r="K1777" s="85" t="n"/>
      <c r="L1777" s="85" t="n"/>
    </row>
    <row r="1778" ht="12.75" customHeight="1" s="103">
      <c r="A1778" s="78">
        <f>MID(H1778,3,2)</f>
        <v/>
      </c>
      <c r="B1778" s="84" t="inlineStr">
        <is>
          <t>B331</t>
        </is>
      </c>
      <c r="C1778" s="84" t="inlineStr">
        <is>
          <t>上海区域</t>
        </is>
      </c>
      <c r="D1778" s="84" t="inlineStr">
        <is>
          <t>CN0Q</t>
        </is>
      </c>
      <c r="E1778" s="80" t="inlineStr">
        <is>
          <t>EE 苏州比斯特</t>
        </is>
      </c>
      <c r="F1778" s="84" t="n">
        <v>4</v>
      </c>
      <c r="G1778" s="84" t="inlineStr">
        <is>
          <t>奥特莱斯</t>
        </is>
      </c>
      <c r="H1778" s="84" t="inlineStr">
        <is>
          <t>EEWHG25E03</t>
        </is>
      </c>
      <c r="I1778" s="84" t="n">
        <v>699</v>
      </c>
      <c r="J1778" s="84" t="n">
        <v>699</v>
      </c>
      <c r="K1778" s="85" t="n">
        <v>1</v>
      </c>
      <c r="L1778" s="85" t="n">
        <v>210</v>
      </c>
    </row>
    <row r="1779" ht="12.75" customHeight="1" s="103">
      <c r="A1779" s="78">
        <f>MID(H1779,3,2)</f>
        <v/>
      </c>
      <c r="B1779" s="84" t="inlineStr">
        <is>
          <t>B331</t>
        </is>
      </c>
      <c r="C1779" s="84" t="inlineStr">
        <is>
          <t>上海区域</t>
        </is>
      </c>
      <c r="D1779" s="84" t="inlineStr">
        <is>
          <t>CN0Q</t>
        </is>
      </c>
      <c r="E1779" s="80" t="inlineStr">
        <is>
          <t>EE 苏州比斯特</t>
        </is>
      </c>
      <c r="F1779" s="84" t="n">
        <v>4</v>
      </c>
      <c r="G1779" s="84" t="inlineStr">
        <is>
          <t>奥特莱斯</t>
        </is>
      </c>
      <c r="H1779" s="84" t="inlineStr">
        <is>
          <t>EEWHG25E03</t>
        </is>
      </c>
      <c r="I1779" s="84" t="n">
        <v>699</v>
      </c>
      <c r="J1779" s="84" t="n">
        <v>699</v>
      </c>
      <c r="K1779" s="85" t="n">
        <v>1</v>
      </c>
      <c r="L1779" s="85" t="n">
        <v>452</v>
      </c>
    </row>
    <row r="1780" ht="12.75" customHeight="1" s="103">
      <c r="A1780" s="78">
        <f>MID(H1780,3,2)</f>
        <v/>
      </c>
      <c r="B1780" s="84" t="inlineStr">
        <is>
          <t>B331</t>
        </is>
      </c>
      <c r="C1780" s="84" t="inlineStr">
        <is>
          <t>上海区域</t>
        </is>
      </c>
      <c r="D1780" s="84" t="inlineStr">
        <is>
          <t>CN0Q</t>
        </is>
      </c>
      <c r="E1780" s="80" t="inlineStr">
        <is>
          <t>EE 苏州比斯特</t>
        </is>
      </c>
      <c r="F1780" s="84" t="n">
        <v>4</v>
      </c>
      <c r="G1780" s="84" t="inlineStr">
        <is>
          <t>奥特莱斯</t>
        </is>
      </c>
      <c r="H1780" s="84" t="inlineStr">
        <is>
          <t>EEWHG25E03</t>
        </is>
      </c>
      <c r="I1780" s="84" t="n">
        <v>699</v>
      </c>
      <c r="J1780" s="84" t="n">
        <v>699</v>
      </c>
      <c r="K1780" s="85" t="n">
        <v>2</v>
      </c>
      <c r="L1780" s="85" t="n">
        <v>489</v>
      </c>
    </row>
    <row r="1781" ht="12.75" customHeight="1" s="103">
      <c r="A1781" s="78">
        <f>MID(H1781,3,2)</f>
        <v/>
      </c>
      <c r="B1781" s="84" t="inlineStr">
        <is>
          <t>B331</t>
        </is>
      </c>
      <c r="C1781" s="84" t="inlineStr">
        <is>
          <t>上海区域</t>
        </is>
      </c>
      <c r="D1781" s="84" t="inlineStr">
        <is>
          <t>CN0Q</t>
        </is>
      </c>
      <c r="E1781" s="80" t="inlineStr">
        <is>
          <t>EE 苏州比斯特</t>
        </is>
      </c>
      <c r="F1781" s="84" t="n">
        <v>4</v>
      </c>
      <c r="G1781" s="84" t="inlineStr">
        <is>
          <t>奥特莱斯</t>
        </is>
      </c>
      <c r="H1781" s="84" t="inlineStr">
        <is>
          <t>EEWHG25E03</t>
        </is>
      </c>
      <c r="I1781" s="84" t="n">
        <v>699</v>
      </c>
      <c r="J1781" s="84" t="n">
        <v>699</v>
      </c>
      <c r="K1781" s="85" t="n">
        <v>1</v>
      </c>
      <c r="L1781" s="85" t="n">
        <v>489</v>
      </c>
    </row>
    <row r="1782" ht="12.75" customHeight="1" s="103">
      <c r="A1782" s="78">
        <f>MID(H1782,3,2)</f>
        <v/>
      </c>
      <c r="B1782" s="84" t="inlineStr">
        <is>
          <t>B331</t>
        </is>
      </c>
      <c r="C1782" s="84" t="inlineStr">
        <is>
          <t>上海区域</t>
        </is>
      </c>
      <c r="D1782" s="84" t="inlineStr">
        <is>
          <t>CN0Q</t>
        </is>
      </c>
      <c r="E1782" s="80" t="inlineStr">
        <is>
          <t>EE 苏州比斯特</t>
        </is>
      </c>
      <c r="F1782" s="84" t="n">
        <v>4</v>
      </c>
      <c r="G1782" s="84" t="inlineStr">
        <is>
          <t>奥特莱斯</t>
        </is>
      </c>
      <c r="H1782" s="84" t="inlineStr">
        <is>
          <t>EEWHG25E03</t>
        </is>
      </c>
      <c r="I1782" s="84" t="n">
        <v>699</v>
      </c>
      <c r="J1782" s="84" t="n">
        <v>699</v>
      </c>
      <c r="K1782" s="85" t="n"/>
      <c r="L1782" s="85" t="n"/>
    </row>
    <row r="1783" ht="12.75" customHeight="1" s="103">
      <c r="A1783" s="78">
        <f>MID(H1783,3,2)</f>
        <v/>
      </c>
      <c r="B1783" s="84" t="inlineStr">
        <is>
          <t>B331</t>
        </is>
      </c>
      <c r="C1783" s="84" t="inlineStr">
        <is>
          <t>上海区域</t>
        </is>
      </c>
      <c r="D1783" s="84" t="inlineStr">
        <is>
          <t>CN0Q</t>
        </is>
      </c>
      <c r="E1783" s="80" t="inlineStr">
        <is>
          <t>EE 苏州比斯特</t>
        </is>
      </c>
      <c r="F1783" s="84" t="n">
        <v>4</v>
      </c>
      <c r="G1783" s="84" t="inlineStr">
        <is>
          <t>奥特莱斯</t>
        </is>
      </c>
      <c r="H1783" s="84" t="inlineStr">
        <is>
          <t>EEWHG25E03</t>
        </is>
      </c>
      <c r="I1783" s="84" t="n">
        <v>699</v>
      </c>
      <c r="J1783" s="84" t="n">
        <v>699</v>
      </c>
      <c r="K1783" s="85" t="n"/>
      <c r="L1783" s="85" t="n"/>
    </row>
    <row r="1784" ht="12.75" customHeight="1" s="103">
      <c r="A1784" s="78">
        <f>MID(H1784,3,2)</f>
        <v/>
      </c>
      <c r="B1784" s="84" t="inlineStr">
        <is>
          <t>B331</t>
        </is>
      </c>
      <c r="C1784" s="84" t="inlineStr">
        <is>
          <t>上海区域</t>
        </is>
      </c>
      <c r="D1784" s="84" t="inlineStr">
        <is>
          <t>CN0Q</t>
        </is>
      </c>
      <c r="E1784" s="80" t="inlineStr">
        <is>
          <t>EE 苏州比斯特</t>
        </is>
      </c>
      <c r="F1784" s="84" t="n">
        <v>4</v>
      </c>
      <c r="G1784" s="84" t="inlineStr">
        <is>
          <t>奥特莱斯</t>
        </is>
      </c>
      <c r="H1784" s="84" t="inlineStr">
        <is>
          <t>EEWHG25E03</t>
        </is>
      </c>
      <c r="I1784" s="84" t="n">
        <v>699</v>
      </c>
      <c r="J1784" s="84" t="n">
        <v>699</v>
      </c>
      <c r="K1784" s="85" t="n">
        <v>1</v>
      </c>
      <c r="L1784" s="85" t="n">
        <v>441</v>
      </c>
    </row>
    <row r="1785" ht="12.75" customHeight="1" s="103">
      <c r="A1785" s="78">
        <f>MID(H1785,3,2)</f>
        <v/>
      </c>
      <c r="B1785" s="84" t="inlineStr">
        <is>
          <t>B331</t>
        </is>
      </c>
      <c r="C1785" s="84" t="inlineStr">
        <is>
          <t>上海区域</t>
        </is>
      </c>
      <c r="D1785" s="84" t="inlineStr">
        <is>
          <t>CN0Q</t>
        </is>
      </c>
      <c r="E1785" s="80" t="inlineStr">
        <is>
          <t>EE 苏州比斯特</t>
        </is>
      </c>
      <c r="F1785" s="84" t="n">
        <v>4</v>
      </c>
      <c r="G1785" s="84" t="inlineStr">
        <is>
          <t>奥特莱斯</t>
        </is>
      </c>
      <c r="H1785" s="84" t="inlineStr">
        <is>
          <t>EEWHG25E03</t>
        </is>
      </c>
      <c r="I1785" s="84" t="n">
        <v>699</v>
      </c>
      <c r="J1785" s="84" t="n">
        <v>699</v>
      </c>
      <c r="K1785" s="85" t="n"/>
      <c r="L1785" s="85" t="n"/>
    </row>
    <row r="1786" ht="12.75" customHeight="1" s="103">
      <c r="A1786" s="78">
        <f>MID(H1786,3,2)</f>
        <v/>
      </c>
      <c r="B1786" s="84" t="inlineStr">
        <is>
          <t>B331</t>
        </is>
      </c>
      <c r="C1786" s="84" t="inlineStr">
        <is>
          <t>上海区域</t>
        </is>
      </c>
      <c r="D1786" s="84" t="inlineStr">
        <is>
          <t>CN0Q</t>
        </is>
      </c>
      <c r="E1786" s="80" t="inlineStr">
        <is>
          <t>EE 苏州比斯特</t>
        </is>
      </c>
      <c r="F1786" s="84" t="n">
        <v>4</v>
      </c>
      <c r="G1786" s="84" t="inlineStr">
        <is>
          <t>奥特莱斯</t>
        </is>
      </c>
      <c r="H1786" s="84" t="inlineStr">
        <is>
          <t>EEWHG25E52</t>
        </is>
      </c>
      <c r="I1786" s="84" t="n">
        <v>799</v>
      </c>
      <c r="J1786" s="84" t="n">
        <v>799</v>
      </c>
      <c r="K1786" s="85" t="n"/>
      <c r="L1786" s="85" t="n"/>
    </row>
    <row r="1787" ht="12.75" customHeight="1" s="103">
      <c r="A1787" s="78">
        <f>MID(H1787,3,2)</f>
        <v/>
      </c>
      <c r="B1787" s="84" t="inlineStr">
        <is>
          <t>B331</t>
        </is>
      </c>
      <c r="C1787" s="84" t="inlineStr">
        <is>
          <t>上海区域</t>
        </is>
      </c>
      <c r="D1787" s="84" t="inlineStr">
        <is>
          <t>CN0Q</t>
        </is>
      </c>
      <c r="E1787" s="80" t="inlineStr">
        <is>
          <t>EE 苏州比斯特</t>
        </is>
      </c>
      <c r="F1787" s="84" t="n">
        <v>4</v>
      </c>
      <c r="G1787" s="84" t="inlineStr">
        <is>
          <t>奥特莱斯</t>
        </is>
      </c>
      <c r="H1787" s="84" t="inlineStr">
        <is>
          <t>EEWHG25E52</t>
        </is>
      </c>
      <c r="I1787" s="84" t="n">
        <v>799</v>
      </c>
      <c r="J1787" s="84" t="n">
        <v>799</v>
      </c>
      <c r="K1787" s="85" t="n"/>
      <c r="L1787" s="85" t="n"/>
    </row>
    <row r="1788" ht="12.75" customHeight="1" s="103">
      <c r="A1788" s="78">
        <f>MID(H1788,3,2)</f>
        <v/>
      </c>
      <c r="B1788" s="84" t="inlineStr">
        <is>
          <t>B331</t>
        </is>
      </c>
      <c r="C1788" s="84" t="inlineStr">
        <is>
          <t>上海区域</t>
        </is>
      </c>
      <c r="D1788" s="84" t="inlineStr">
        <is>
          <t>CN0Q</t>
        </is>
      </c>
      <c r="E1788" s="80" t="inlineStr">
        <is>
          <t>EE 苏州比斯特</t>
        </is>
      </c>
      <c r="F1788" s="84" t="n">
        <v>4</v>
      </c>
      <c r="G1788" s="84" t="inlineStr">
        <is>
          <t>奥特莱斯</t>
        </is>
      </c>
      <c r="H1788" s="84" t="inlineStr">
        <is>
          <t>EEWHG64S02</t>
        </is>
      </c>
      <c r="I1788" s="84" t="n">
        <v>999</v>
      </c>
      <c r="J1788" s="84" t="n">
        <v>999</v>
      </c>
      <c r="K1788" s="85" t="n">
        <v>3</v>
      </c>
      <c r="L1788" s="86" t="n">
        <v>1431</v>
      </c>
    </row>
    <row r="1789" ht="12.75" customHeight="1" s="103">
      <c r="A1789" s="78">
        <f>MID(H1789,3,2)</f>
        <v/>
      </c>
      <c r="B1789" s="84" t="inlineStr">
        <is>
          <t>B331</t>
        </is>
      </c>
      <c r="C1789" s="84" t="inlineStr">
        <is>
          <t>上海区域</t>
        </is>
      </c>
      <c r="D1789" s="84" t="inlineStr">
        <is>
          <t>CN0Q</t>
        </is>
      </c>
      <c r="E1789" s="80" t="inlineStr">
        <is>
          <t>EE 苏州比斯特</t>
        </is>
      </c>
      <c r="F1789" s="84" t="n">
        <v>4</v>
      </c>
      <c r="G1789" s="84" t="inlineStr">
        <is>
          <t>奥特莱斯</t>
        </is>
      </c>
      <c r="H1789" s="84" t="inlineStr">
        <is>
          <t>EEWHG64S02</t>
        </is>
      </c>
      <c r="I1789" s="84" t="n">
        <v>999</v>
      </c>
      <c r="J1789" s="84" t="n">
        <v>999</v>
      </c>
      <c r="K1789" s="85" t="n">
        <v>1</v>
      </c>
      <c r="L1789" s="85" t="n">
        <v>455</v>
      </c>
    </row>
    <row r="1790" ht="12.75" customHeight="1" s="103">
      <c r="A1790" s="78">
        <f>MID(H1790,3,2)</f>
        <v/>
      </c>
      <c r="B1790" s="84" t="inlineStr">
        <is>
          <t>B331</t>
        </is>
      </c>
      <c r="C1790" s="84" t="inlineStr">
        <is>
          <t>上海区域</t>
        </is>
      </c>
      <c r="D1790" s="84" t="inlineStr">
        <is>
          <t>CN0Q</t>
        </is>
      </c>
      <c r="E1790" s="80" t="inlineStr">
        <is>
          <t>EE 苏州比斯特</t>
        </is>
      </c>
      <c r="F1790" s="84" t="n">
        <v>4</v>
      </c>
      <c r="G1790" s="84" t="inlineStr">
        <is>
          <t>奥特莱斯</t>
        </is>
      </c>
      <c r="H1790" s="84" t="inlineStr">
        <is>
          <t>EEWHG64S02</t>
        </is>
      </c>
      <c r="I1790" s="84" t="n">
        <v>999</v>
      </c>
      <c r="J1790" s="84" t="n">
        <v>999</v>
      </c>
      <c r="K1790" s="85" t="n"/>
      <c r="L1790" s="85" t="n"/>
    </row>
    <row r="1791" ht="12.75" customHeight="1" s="103">
      <c r="A1791" s="78">
        <f>MID(H1791,3,2)</f>
        <v/>
      </c>
      <c r="B1791" s="84" t="inlineStr">
        <is>
          <t>B331</t>
        </is>
      </c>
      <c r="C1791" s="84" t="inlineStr">
        <is>
          <t>上海区域</t>
        </is>
      </c>
      <c r="D1791" s="84" t="inlineStr">
        <is>
          <t>CN0Q</t>
        </is>
      </c>
      <c r="E1791" s="80" t="inlineStr">
        <is>
          <t>EE 苏州比斯特</t>
        </is>
      </c>
      <c r="F1791" s="84" t="n">
        <v>4</v>
      </c>
      <c r="G1791" s="84" t="inlineStr">
        <is>
          <t>奥特莱斯</t>
        </is>
      </c>
      <c r="H1791" s="84" t="inlineStr">
        <is>
          <t>EEWHG64S03</t>
        </is>
      </c>
      <c r="I1791" s="84" t="n">
        <v>799</v>
      </c>
      <c r="J1791" s="84" t="n">
        <v>799</v>
      </c>
      <c r="K1791" s="85" t="n">
        <v>3</v>
      </c>
      <c r="L1791" s="85" t="n">
        <v>771</v>
      </c>
    </row>
    <row r="1792" ht="12.75" customHeight="1" s="103">
      <c r="A1792" s="78">
        <f>MID(H1792,3,2)</f>
        <v/>
      </c>
      <c r="B1792" s="84" t="inlineStr">
        <is>
          <t>B331</t>
        </is>
      </c>
      <c r="C1792" s="84" t="inlineStr">
        <is>
          <t>上海区域</t>
        </is>
      </c>
      <c r="D1792" s="84" t="inlineStr">
        <is>
          <t>CN0Q</t>
        </is>
      </c>
      <c r="E1792" s="80" t="inlineStr">
        <is>
          <t>EE 苏州比斯特</t>
        </is>
      </c>
      <c r="F1792" s="84" t="n">
        <v>4</v>
      </c>
      <c r="G1792" s="84" t="inlineStr">
        <is>
          <t>奥特莱斯</t>
        </is>
      </c>
      <c r="H1792" s="84" t="inlineStr">
        <is>
          <t>EEWHG64S03</t>
        </is>
      </c>
      <c r="I1792" s="84" t="n">
        <v>799</v>
      </c>
      <c r="J1792" s="84" t="n">
        <v>799</v>
      </c>
      <c r="K1792" s="85" t="n">
        <v>2</v>
      </c>
      <c r="L1792" s="85" t="n">
        <v>400</v>
      </c>
    </row>
    <row r="1793" ht="12.75" customHeight="1" s="103">
      <c r="A1793" s="78">
        <f>MID(H1793,3,2)</f>
        <v/>
      </c>
      <c r="B1793" s="84" t="inlineStr">
        <is>
          <t>B331</t>
        </is>
      </c>
      <c r="C1793" s="84" t="inlineStr">
        <is>
          <t>上海区域</t>
        </is>
      </c>
      <c r="D1793" s="84" t="inlineStr">
        <is>
          <t>CN0Q</t>
        </is>
      </c>
      <c r="E1793" s="80" t="inlineStr">
        <is>
          <t>EE 苏州比斯特</t>
        </is>
      </c>
      <c r="F1793" s="84" t="n">
        <v>4</v>
      </c>
      <c r="G1793" s="84" t="inlineStr">
        <is>
          <t>奥特莱斯</t>
        </is>
      </c>
      <c r="H1793" s="84" t="inlineStr">
        <is>
          <t>EEWHG64S03</t>
        </is>
      </c>
      <c r="I1793" s="84" t="n">
        <v>799</v>
      </c>
      <c r="J1793" s="84" t="n">
        <v>799</v>
      </c>
      <c r="K1793" s="85" t="n"/>
      <c r="L1793" s="85" t="n"/>
    </row>
    <row r="1794" ht="12.75" customHeight="1" s="103">
      <c r="A1794" s="78">
        <f>MID(H1794,3,2)</f>
        <v/>
      </c>
      <c r="B1794" s="84" t="inlineStr">
        <is>
          <t>B331</t>
        </is>
      </c>
      <c r="C1794" s="84" t="inlineStr">
        <is>
          <t>上海区域</t>
        </is>
      </c>
      <c r="D1794" s="84" t="inlineStr">
        <is>
          <t>CN0Q</t>
        </is>
      </c>
      <c r="E1794" s="80" t="inlineStr">
        <is>
          <t>EE 苏州比斯特</t>
        </is>
      </c>
      <c r="F1794" s="84" t="n">
        <v>4</v>
      </c>
      <c r="G1794" s="84" t="inlineStr">
        <is>
          <t>奥特莱斯</t>
        </is>
      </c>
      <c r="H1794" s="84" t="inlineStr">
        <is>
          <t>EEWJF23E01</t>
        </is>
      </c>
      <c r="I1794" s="84" t="n">
        <v>799</v>
      </c>
      <c r="J1794" s="84" t="n">
        <v>699</v>
      </c>
      <c r="K1794" s="85" t="n"/>
      <c r="L1794" s="85" t="n"/>
    </row>
    <row r="1795" ht="12.75" customHeight="1" s="103">
      <c r="A1795" s="78">
        <f>MID(H1795,3,2)</f>
        <v/>
      </c>
      <c r="B1795" s="84" t="inlineStr">
        <is>
          <t>B331</t>
        </is>
      </c>
      <c r="C1795" s="84" t="inlineStr">
        <is>
          <t>上海区域</t>
        </is>
      </c>
      <c r="D1795" s="84" t="inlineStr">
        <is>
          <t>CN0Q</t>
        </is>
      </c>
      <c r="E1795" s="80" t="inlineStr">
        <is>
          <t>EE 苏州比斯特</t>
        </is>
      </c>
      <c r="F1795" s="84" t="n">
        <v>4</v>
      </c>
      <c r="G1795" s="84" t="inlineStr">
        <is>
          <t>奥特莱斯</t>
        </is>
      </c>
      <c r="H1795" s="84" t="inlineStr">
        <is>
          <t>EEWJF23E01</t>
        </is>
      </c>
      <c r="I1795" s="84" t="n">
        <v>799</v>
      </c>
      <c r="J1795" s="84" t="n">
        <v>699</v>
      </c>
      <c r="K1795" s="85" t="n"/>
      <c r="L1795" s="85" t="n"/>
    </row>
    <row r="1796" ht="12.75" customHeight="1" s="103">
      <c r="A1796" s="78">
        <f>MID(H1796,3,2)</f>
        <v/>
      </c>
      <c r="B1796" s="84" t="inlineStr">
        <is>
          <t>B331</t>
        </is>
      </c>
      <c r="C1796" s="84" t="inlineStr">
        <is>
          <t>上海区域</t>
        </is>
      </c>
      <c r="D1796" s="84" t="inlineStr">
        <is>
          <t>CN0Q</t>
        </is>
      </c>
      <c r="E1796" s="80" t="inlineStr">
        <is>
          <t>EE 苏州比斯特</t>
        </is>
      </c>
      <c r="F1796" s="84" t="n">
        <v>4</v>
      </c>
      <c r="G1796" s="84" t="inlineStr">
        <is>
          <t>奥特莱斯</t>
        </is>
      </c>
      <c r="H1796" s="84" t="inlineStr">
        <is>
          <t>EEWJF23E01</t>
        </is>
      </c>
      <c r="I1796" s="84" t="n">
        <v>799</v>
      </c>
      <c r="J1796" s="84" t="n">
        <v>699</v>
      </c>
      <c r="K1796" s="85" t="n"/>
      <c r="L1796" s="85" t="n"/>
    </row>
    <row r="1797" ht="12.75" customHeight="1" s="103">
      <c r="A1797" s="78">
        <f>MID(H1797,3,2)</f>
        <v/>
      </c>
      <c r="B1797" s="84" t="inlineStr">
        <is>
          <t>B331</t>
        </is>
      </c>
      <c r="C1797" s="84" t="inlineStr">
        <is>
          <t>上海区域</t>
        </is>
      </c>
      <c r="D1797" s="84" t="inlineStr">
        <is>
          <t>CN0Q</t>
        </is>
      </c>
      <c r="E1797" s="80" t="inlineStr">
        <is>
          <t>EE 苏州比斯特</t>
        </is>
      </c>
      <c r="F1797" s="84" t="n">
        <v>4</v>
      </c>
      <c r="G1797" s="84" t="inlineStr">
        <is>
          <t>奥特莱斯</t>
        </is>
      </c>
      <c r="H1797" s="84" t="inlineStr">
        <is>
          <t>EEWJF23E01</t>
        </is>
      </c>
      <c r="I1797" s="84" t="n">
        <v>799</v>
      </c>
      <c r="J1797" s="84" t="n">
        <v>699</v>
      </c>
      <c r="K1797" s="85" t="n"/>
      <c r="L1797" s="85" t="n"/>
    </row>
    <row r="1798" ht="12.75" customHeight="1" s="103">
      <c r="A1798" s="78">
        <f>MID(H1798,3,2)</f>
        <v/>
      </c>
      <c r="B1798" s="84" t="inlineStr">
        <is>
          <t>B331</t>
        </is>
      </c>
      <c r="C1798" s="84" t="inlineStr">
        <is>
          <t>上海区域</t>
        </is>
      </c>
      <c r="D1798" s="84" t="inlineStr">
        <is>
          <t>CN0Q</t>
        </is>
      </c>
      <c r="E1798" s="80" t="inlineStr">
        <is>
          <t>EE 苏州比斯特</t>
        </is>
      </c>
      <c r="F1798" s="84" t="n">
        <v>4</v>
      </c>
      <c r="G1798" s="84" t="inlineStr">
        <is>
          <t>奥特莱斯</t>
        </is>
      </c>
      <c r="H1798" s="84" t="inlineStr">
        <is>
          <t>EEWJF23E01</t>
        </is>
      </c>
      <c r="I1798" s="84" t="n">
        <v>799</v>
      </c>
      <c r="J1798" s="84" t="n">
        <v>699</v>
      </c>
      <c r="K1798" s="85" t="n"/>
      <c r="L1798" s="85" t="n"/>
    </row>
    <row r="1799" ht="12.75" customHeight="1" s="103">
      <c r="A1799" s="78">
        <f>MID(H1799,3,2)</f>
        <v/>
      </c>
      <c r="B1799" s="84" t="inlineStr">
        <is>
          <t>B331</t>
        </is>
      </c>
      <c r="C1799" s="84" t="inlineStr">
        <is>
          <t>上海区域</t>
        </is>
      </c>
      <c r="D1799" s="84" t="inlineStr">
        <is>
          <t>CN0Q</t>
        </is>
      </c>
      <c r="E1799" s="80" t="inlineStr">
        <is>
          <t>EE 苏州比斯特</t>
        </is>
      </c>
      <c r="F1799" s="84" t="n">
        <v>4</v>
      </c>
      <c r="G1799" s="84" t="inlineStr">
        <is>
          <t>奥特莱斯</t>
        </is>
      </c>
      <c r="H1799" s="84" t="inlineStr">
        <is>
          <t>EEWJF23E01</t>
        </is>
      </c>
      <c r="I1799" s="84" t="n">
        <v>799</v>
      </c>
      <c r="J1799" s="84" t="n">
        <v>699</v>
      </c>
      <c r="K1799" s="85" t="n"/>
      <c r="L1799" s="85" t="n"/>
    </row>
    <row r="1800" ht="12.75" customHeight="1" s="103">
      <c r="A1800" s="78">
        <f>MID(H1800,3,2)</f>
        <v/>
      </c>
      <c r="B1800" s="84" t="inlineStr">
        <is>
          <t>B331</t>
        </is>
      </c>
      <c r="C1800" s="84" t="inlineStr">
        <is>
          <t>上海区域</t>
        </is>
      </c>
      <c r="D1800" s="84" t="inlineStr">
        <is>
          <t>CN0Q</t>
        </is>
      </c>
      <c r="E1800" s="80" t="inlineStr">
        <is>
          <t>EE 苏州比斯特</t>
        </is>
      </c>
      <c r="F1800" s="84" t="n">
        <v>4</v>
      </c>
      <c r="G1800" s="84" t="inlineStr">
        <is>
          <t>奥特莱斯</t>
        </is>
      </c>
      <c r="H1800" s="84" t="inlineStr">
        <is>
          <t>EEWJF23E01</t>
        </is>
      </c>
      <c r="I1800" s="84" t="n">
        <v>799</v>
      </c>
      <c r="J1800" s="84" t="n">
        <v>699</v>
      </c>
      <c r="K1800" s="85" t="n"/>
      <c r="L1800" s="85" t="n"/>
    </row>
    <row r="1801" ht="12.75" customHeight="1" s="103">
      <c r="A1801" s="78">
        <f>MID(H1801,3,2)</f>
        <v/>
      </c>
      <c r="B1801" s="84" t="inlineStr">
        <is>
          <t>B331</t>
        </is>
      </c>
      <c r="C1801" s="84" t="inlineStr">
        <is>
          <t>上海区域</t>
        </is>
      </c>
      <c r="D1801" s="84" t="inlineStr">
        <is>
          <t>CN0Q</t>
        </is>
      </c>
      <c r="E1801" s="80" t="inlineStr">
        <is>
          <t>EE 苏州比斯特</t>
        </is>
      </c>
      <c r="F1801" s="84" t="n">
        <v>4</v>
      </c>
      <c r="G1801" s="84" t="inlineStr">
        <is>
          <t>奥特莱斯</t>
        </is>
      </c>
      <c r="H1801" s="84" t="inlineStr">
        <is>
          <t>EEWJF23M02</t>
        </is>
      </c>
      <c r="I1801" s="84" t="n">
        <v>899</v>
      </c>
      <c r="J1801" s="84" t="n">
        <v>799</v>
      </c>
      <c r="K1801" s="85" t="n"/>
      <c r="L1801" s="85" t="n"/>
    </row>
    <row r="1802" ht="12.75" customHeight="1" s="103">
      <c r="A1802" s="78">
        <f>MID(H1802,3,2)</f>
        <v/>
      </c>
      <c r="B1802" s="84" t="inlineStr">
        <is>
          <t>B331</t>
        </is>
      </c>
      <c r="C1802" s="84" t="inlineStr">
        <is>
          <t>上海区域</t>
        </is>
      </c>
      <c r="D1802" s="84" t="inlineStr">
        <is>
          <t>CN0Q</t>
        </is>
      </c>
      <c r="E1802" s="80" t="inlineStr">
        <is>
          <t>EE 苏州比斯特</t>
        </is>
      </c>
      <c r="F1802" s="84" t="n">
        <v>4</v>
      </c>
      <c r="G1802" s="84" t="inlineStr">
        <is>
          <t>奥特莱斯</t>
        </is>
      </c>
      <c r="H1802" s="84" t="inlineStr">
        <is>
          <t>EEWJF23M02</t>
        </is>
      </c>
      <c r="I1802" s="84" t="n">
        <v>899</v>
      </c>
      <c r="J1802" s="84" t="n">
        <v>799</v>
      </c>
      <c r="K1802" s="85" t="n"/>
      <c r="L1802" s="85" t="n"/>
    </row>
    <row r="1803" ht="12.75" customHeight="1" s="103">
      <c r="A1803" s="78">
        <f>MID(H1803,3,2)</f>
        <v/>
      </c>
      <c r="B1803" s="84" t="inlineStr">
        <is>
          <t>B331</t>
        </is>
      </c>
      <c r="C1803" s="84" t="inlineStr">
        <is>
          <t>上海区域</t>
        </is>
      </c>
      <c r="D1803" s="84" t="inlineStr">
        <is>
          <t>CN0Q</t>
        </is>
      </c>
      <c r="E1803" s="80" t="inlineStr">
        <is>
          <t>EE 苏州比斯特</t>
        </is>
      </c>
      <c r="F1803" s="84" t="n">
        <v>4</v>
      </c>
      <c r="G1803" s="84" t="inlineStr">
        <is>
          <t>奥特莱斯</t>
        </is>
      </c>
      <c r="H1803" s="84" t="inlineStr">
        <is>
          <t>EEWJF23M02</t>
        </is>
      </c>
      <c r="I1803" s="84" t="n">
        <v>899</v>
      </c>
      <c r="J1803" s="84" t="n">
        <v>799</v>
      </c>
      <c r="K1803" s="85" t="n"/>
      <c r="L1803" s="85" t="n"/>
    </row>
    <row r="1804" ht="12.75" customHeight="1" s="103">
      <c r="A1804" s="78">
        <f>MID(H1804,3,2)</f>
        <v/>
      </c>
      <c r="B1804" s="84" t="inlineStr">
        <is>
          <t>B331</t>
        </is>
      </c>
      <c r="C1804" s="84" t="inlineStr">
        <is>
          <t>上海区域</t>
        </is>
      </c>
      <c r="D1804" s="84" t="inlineStr">
        <is>
          <t>CN0Q</t>
        </is>
      </c>
      <c r="E1804" s="80" t="inlineStr">
        <is>
          <t>EE 苏州比斯特</t>
        </is>
      </c>
      <c r="F1804" s="84" t="n">
        <v>4</v>
      </c>
      <c r="G1804" s="84" t="inlineStr">
        <is>
          <t>奥特莱斯</t>
        </is>
      </c>
      <c r="H1804" s="84" t="inlineStr">
        <is>
          <t>EEWJF24M01</t>
        </is>
      </c>
      <c r="I1804" s="84" t="n">
        <v>699</v>
      </c>
      <c r="J1804" s="84" t="n">
        <v>699</v>
      </c>
      <c r="K1804" s="85" t="n"/>
      <c r="L1804" s="85" t="n"/>
    </row>
    <row r="1805" ht="12.75" customHeight="1" s="103">
      <c r="A1805" s="78">
        <f>MID(H1805,3,2)</f>
        <v/>
      </c>
      <c r="B1805" s="84" t="inlineStr">
        <is>
          <t>B331</t>
        </is>
      </c>
      <c r="C1805" s="84" t="inlineStr">
        <is>
          <t>上海区域</t>
        </is>
      </c>
      <c r="D1805" s="84" t="inlineStr">
        <is>
          <t>CN0Q</t>
        </is>
      </c>
      <c r="E1805" s="80" t="inlineStr">
        <is>
          <t>EE 苏州比斯特</t>
        </is>
      </c>
      <c r="F1805" s="84" t="n">
        <v>4</v>
      </c>
      <c r="G1805" s="84" t="inlineStr">
        <is>
          <t>奥特莱斯</t>
        </is>
      </c>
      <c r="H1805" s="84" t="inlineStr">
        <is>
          <t>EEWJF24M01</t>
        </is>
      </c>
      <c r="I1805" s="84" t="n">
        <v>699</v>
      </c>
      <c r="J1805" s="84" t="n">
        <v>699</v>
      </c>
      <c r="K1805" s="85" t="n"/>
      <c r="L1805" s="85" t="n"/>
    </row>
    <row r="1806" ht="12.75" customHeight="1" s="103">
      <c r="A1806" s="78">
        <f>MID(H1806,3,2)</f>
        <v/>
      </c>
      <c r="B1806" s="84" t="inlineStr">
        <is>
          <t>B331</t>
        </is>
      </c>
      <c r="C1806" s="84" t="inlineStr">
        <is>
          <t>上海区域</t>
        </is>
      </c>
      <c r="D1806" s="84" t="inlineStr">
        <is>
          <t>CN0Q</t>
        </is>
      </c>
      <c r="E1806" s="80" t="inlineStr">
        <is>
          <t>EE 苏州比斯特</t>
        </is>
      </c>
      <c r="F1806" s="84" t="n">
        <v>4</v>
      </c>
      <c r="G1806" s="84" t="inlineStr">
        <is>
          <t>奥特莱斯</t>
        </is>
      </c>
      <c r="H1806" s="84" t="inlineStr">
        <is>
          <t>EEWJF24M01</t>
        </is>
      </c>
      <c r="I1806" s="84" t="n">
        <v>699</v>
      </c>
      <c r="J1806" s="84" t="n">
        <v>699</v>
      </c>
      <c r="K1806" s="85" t="n"/>
      <c r="L1806" s="85" t="n"/>
    </row>
    <row r="1807" ht="12.75" customHeight="1" s="103">
      <c r="A1807" s="78">
        <f>MID(H1807,3,2)</f>
        <v/>
      </c>
      <c r="B1807" s="84" t="inlineStr">
        <is>
          <t>B331</t>
        </is>
      </c>
      <c r="C1807" s="84" t="inlineStr">
        <is>
          <t>上海区域</t>
        </is>
      </c>
      <c r="D1807" s="84" t="inlineStr">
        <is>
          <t>CN0Q</t>
        </is>
      </c>
      <c r="E1807" s="80" t="inlineStr">
        <is>
          <t>EE 苏州比斯特</t>
        </is>
      </c>
      <c r="F1807" s="84" t="n">
        <v>4</v>
      </c>
      <c r="G1807" s="84" t="inlineStr">
        <is>
          <t>奥特莱斯</t>
        </is>
      </c>
      <c r="H1807" s="84" t="inlineStr">
        <is>
          <t>EEWJF24M01</t>
        </is>
      </c>
      <c r="I1807" s="84" t="n">
        <v>699</v>
      </c>
      <c r="J1807" s="84" t="n">
        <v>699</v>
      </c>
      <c r="K1807" s="85" t="n"/>
      <c r="L1807" s="85" t="n"/>
    </row>
    <row r="1808" ht="12.75" customHeight="1" s="103">
      <c r="A1808" s="78">
        <f>MID(H1808,3,2)</f>
        <v/>
      </c>
      <c r="B1808" s="84" t="inlineStr">
        <is>
          <t>B331</t>
        </is>
      </c>
      <c r="C1808" s="84" t="inlineStr">
        <is>
          <t>上海区域</t>
        </is>
      </c>
      <c r="D1808" s="84" t="inlineStr">
        <is>
          <t>CN0Q</t>
        </is>
      </c>
      <c r="E1808" s="80" t="inlineStr">
        <is>
          <t>EE 苏州比斯特</t>
        </is>
      </c>
      <c r="F1808" s="84" t="n">
        <v>4</v>
      </c>
      <c r="G1808" s="84" t="inlineStr">
        <is>
          <t>奥特莱斯</t>
        </is>
      </c>
      <c r="H1808" s="84" t="inlineStr">
        <is>
          <t>EEWJF24M01</t>
        </is>
      </c>
      <c r="I1808" s="84" t="n">
        <v>699</v>
      </c>
      <c r="J1808" s="84" t="n">
        <v>699</v>
      </c>
      <c r="K1808" s="85" t="n"/>
      <c r="L1808" s="85" t="n"/>
    </row>
    <row r="1809" ht="12.75" customHeight="1" s="103">
      <c r="A1809" s="78">
        <f>MID(H1809,3,2)</f>
        <v/>
      </c>
      <c r="B1809" s="84" t="inlineStr">
        <is>
          <t>B331</t>
        </is>
      </c>
      <c r="C1809" s="84" t="inlineStr">
        <is>
          <t>上海区域</t>
        </is>
      </c>
      <c r="D1809" s="84" t="inlineStr">
        <is>
          <t>CN0Q</t>
        </is>
      </c>
      <c r="E1809" s="80" t="inlineStr">
        <is>
          <t>EE 苏州比斯特</t>
        </is>
      </c>
      <c r="F1809" s="84" t="n">
        <v>4</v>
      </c>
      <c r="G1809" s="84" t="inlineStr">
        <is>
          <t>奥特莱斯</t>
        </is>
      </c>
      <c r="H1809" s="84" t="inlineStr">
        <is>
          <t>EEWJF24M01</t>
        </is>
      </c>
      <c r="I1809" s="84" t="n">
        <v>699</v>
      </c>
      <c r="J1809" s="84" t="n">
        <v>699</v>
      </c>
      <c r="K1809" s="85" t="n"/>
      <c r="L1809" s="85" t="n"/>
    </row>
    <row r="1810" ht="12.75" customHeight="1" s="103">
      <c r="A1810" s="78">
        <f>MID(H1810,3,2)</f>
        <v/>
      </c>
      <c r="B1810" s="84" t="inlineStr">
        <is>
          <t>B331</t>
        </is>
      </c>
      <c r="C1810" s="84" t="inlineStr">
        <is>
          <t>上海区域</t>
        </is>
      </c>
      <c r="D1810" s="84" t="inlineStr">
        <is>
          <t>CN0Q</t>
        </is>
      </c>
      <c r="E1810" s="80" t="inlineStr">
        <is>
          <t>EE 苏州比斯特</t>
        </is>
      </c>
      <c r="F1810" s="84" t="n">
        <v>4</v>
      </c>
      <c r="G1810" s="84" t="inlineStr">
        <is>
          <t>奥特莱斯</t>
        </is>
      </c>
      <c r="H1810" s="84" t="inlineStr">
        <is>
          <t>EEWJG23B01</t>
        </is>
      </c>
      <c r="I1810" s="84" t="n">
        <v>899</v>
      </c>
      <c r="J1810" s="84" t="n">
        <v>999</v>
      </c>
      <c r="K1810" s="85" t="n"/>
      <c r="L1810" s="85" t="n"/>
    </row>
    <row r="1811" ht="12.75" customHeight="1" s="103">
      <c r="A1811" s="78">
        <f>MID(H1811,3,2)</f>
        <v/>
      </c>
      <c r="B1811" s="84" t="inlineStr">
        <is>
          <t>B331</t>
        </is>
      </c>
      <c r="C1811" s="84" t="inlineStr">
        <is>
          <t>上海区域</t>
        </is>
      </c>
      <c r="D1811" s="84" t="inlineStr">
        <is>
          <t>CN0Q</t>
        </is>
      </c>
      <c r="E1811" s="80" t="inlineStr">
        <is>
          <t>EE 苏州比斯特</t>
        </is>
      </c>
      <c r="F1811" s="84" t="n">
        <v>4</v>
      </c>
      <c r="G1811" s="84" t="inlineStr">
        <is>
          <t>奥特莱斯</t>
        </is>
      </c>
      <c r="H1811" s="84" t="inlineStr">
        <is>
          <t>EEWJG23B01</t>
        </is>
      </c>
      <c r="I1811" s="84" t="n">
        <v>899</v>
      </c>
      <c r="J1811" s="84" t="n">
        <v>999</v>
      </c>
      <c r="K1811" s="85" t="n"/>
      <c r="L1811" s="85" t="n"/>
    </row>
    <row r="1812" ht="12.75" customHeight="1" s="103">
      <c r="A1812" s="78">
        <f>MID(H1812,3,2)</f>
        <v/>
      </c>
      <c r="B1812" s="84" t="inlineStr">
        <is>
          <t>B331</t>
        </is>
      </c>
      <c r="C1812" s="84" t="inlineStr">
        <is>
          <t>上海区域</t>
        </is>
      </c>
      <c r="D1812" s="84" t="inlineStr">
        <is>
          <t>CN0Q</t>
        </is>
      </c>
      <c r="E1812" s="80" t="inlineStr">
        <is>
          <t>EE 苏州比斯特</t>
        </is>
      </c>
      <c r="F1812" s="84" t="n">
        <v>4</v>
      </c>
      <c r="G1812" s="84" t="inlineStr">
        <is>
          <t>奥特莱斯</t>
        </is>
      </c>
      <c r="H1812" s="84" t="inlineStr">
        <is>
          <t>EEWJG23B01</t>
        </is>
      </c>
      <c r="I1812" s="84" t="n">
        <v>899</v>
      </c>
      <c r="J1812" s="84" t="n">
        <v>999</v>
      </c>
      <c r="K1812" s="85" t="n">
        <v>1</v>
      </c>
      <c r="L1812" s="85" t="n">
        <v>631</v>
      </c>
    </row>
    <row r="1813" ht="12.75" customHeight="1" s="103">
      <c r="A1813" s="78">
        <f>MID(H1813,3,2)</f>
        <v/>
      </c>
      <c r="B1813" s="84" t="inlineStr">
        <is>
          <t>B331</t>
        </is>
      </c>
      <c r="C1813" s="84" t="inlineStr">
        <is>
          <t>上海区域</t>
        </is>
      </c>
      <c r="D1813" s="84" t="inlineStr">
        <is>
          <t>CN0Q</t>
        </is>
      </c>
      <c r="E1813" s="80" t="inlineStr">
        <is>
          <t>EE 苏州比斯特</t>
        </is>
      </c>
      <c r="F1813" s="84" t="n">
        <v>4</v>
      </c>
      <c r="G1813" s="84" t="inlineStr">
        <is>
          <t>奥特莱斯</t>
        </is>
      </c>
      <c r="H1813" s="84" t="inlineStr">
        <is>
          <t>EEWJG23B01</t>
        </is>
      </c>
      <c r="I1813" s="84" t="n">
        <v>899</v>
      </c>
      <c r="J1813" s="84" t="n">
        <v>999</v>
      </c>
      <c r="K1813" s="85" t="n">
        <v>1</v>
      </c>
      <c r="L1813" s="85" t="n">
        <v>637</v>
      </c>
    </row>
    <row r="1814" ht="12.75" customHeight="1" s="103">
      <c r="A1814" s="78">
        <f>MID(H1814,3,2)</f>
        <v/>
      </c>
      <c r="B1814" s="84" t="inlineStr">
        <is>
          <t>B331</t>
        </is>
      </c>
      <c r="C1814" s="84" t="inlineStr">
        <is>
          <t>上海区域</t>
        </is>
      </c>
      <c r="D1814" s="84" t="inlineStr">
        <is>
          <t>CN0Q</t>
        </is>
      </c>
      <c r="E1814" s="80" t="inlineStr">
        <is>
          <t>EE 苏州比斯特</t>
        </is>
      </c>
      <c r="F1814" s="84" t="n">
        <v>4</v>
      </c>
      <c r="G1814" s="84" t="inlineStr">
        <is>
          <t>奥特莱斯</t>
        </is>
      </c>
      <c r="H1814" s="84" t="inlineStr">
        <is>
          <t>EEWJG23B01</t>
        </is>
      </c>
      <c r="I1814" s="84" t="n">
        <v>899</v>
      </c>
      <c r="J1814" s="84" t="n">
        <v>999</v>
      </c>
      <c r="K1814" s="85" t="n"/>
      <c r="L1814" s="85" t="n"/>
    </row>
    <row r="1815" ht="12.75" customHeight="1" s="103">
      <c r="A1815" s="78">
        <f>MID(H1815,3,2)</f>
        <v/>
      </c>
      <c r="B1815" s="84" t="inlineStr">
        <is>
          <t>B331</t>
        </is>
      </c>
      <c r="C1815" s="84" t="inlineStr">
        <is>
          <t>上海区域</t>
        </is>
      </c>
      <c r="D1815" s="84" t="inlineStr">
        <is>
          <t>CN0Q</t>
        </is>
      </c>
      <c r="E1815" s="80" t="inlineStr">
        <is>
          <t>EE 苏州比斯特</t>
        </is>
      </c>
      <c r="F1815" s="84" t="n">
        <v>4</v>
      </c>
      <c r="G1815" s="84" t="inlineStr">
        <is>
          <t>奥特莱斯</t>
        </is>
      </c>
      <c r="H1815" s="84" t="inlineStr">
        <is>
          <t>EEWJG23B01</t>
        </is>
      </c>
      <c r="I1815" s="84" t="n">
        <v>899</v>
      </c>
      <c r="J1815" s="84" t="n">
        <v>999</v>
      </c>
      <c r="K1815" s="85" t="n"/>
      <c r="L1815" s="85" t="n"/>
    </row>
    <row r="1816" ht="12.75" customHeight="1" s="103">
      <c r="A1816" s="78">
        <f>MID(H1816,3,2)</f>
        <v/>
      </c>
      <c r="B1816" s="84" t="inlineStr">
        <is>
          <t>B331</t>
        </is>
      </c>
      <c r="C1816" s="84" t="inlineStr">
        <is>
          <t>上海区域</t>
        </is>
      </c>
      <c r="D1816" s="84" t="inlineStr">
        <is>
          <t>CN0Q</t>
        </is>
      </c>
      <c r="E1816" s="80" t="inlineStr">
        <is>
          <t>EE 苏州比斯特</t>
        </is>
      </c>
      <c r="F1816" s="84" t="n">
        <v>4</v>
      </c>
      <c r="G1816" s="84" t="inlineStr">
        <is>
          <t>奥特莱斯</t>
        </is>
      </c>
      <c r="H1816" s="84" t="inlineStr">
        <is>
          <t>EEWJG23B01</t>
        </is>
      </c>
      <c r="I1816" s="84" t="n">
        <v>899</v>
      </c>
      <c r="J1816" s="84" t="n">
        <v>999</v>
      </c>
      <c r="K1816" s="85" t="n"/>
      <c r="L1816" s="85" t="n"/>
    </row>
    <row r="1817" ht="12.75" customHeight="1" s="103">
      <c r="A1817" s="78">
        <f>MID(H1817,3,2)</f>
        <v/>
      </c>
      <c r="B1817" s="84" t="inlineStr">
        <is>
          <t>B331</t>
        </is>
      </c>
      <c r="C1817" s="84" t="inlineStr">
        <is>
          <t>上海区域</t>
        </is>
      </c>
      <c r="D1817" s="84" t="inlineStr">
        <is>
          <t>CN0Q</t>
        </is>
      </c>
      <c r="E1817" s="80" t="inlineStr">
        <is>
          <t>EE 苏州比斯特</t>
        </is>
      </c>
      <c r="F1817" s="84" t="n">
        <v>4</v>
      </c>
      <c r="G1817" s="84" t="inlineStr">
        <is>
          <t>奥特莱斯</t>
        </is>
      </c>
      <c r="H1817" s="84" t="inlineStr">
        <is>
          <t>EEWJG23B01</t>
        </is>
      </c>
      <c r="I1817" s="84" t="n">
        <v>899</v>
      </c>
      <c r="J1817" s="84" t="n">
        <v>999</v>
      </c>
      <c r="K1817" s="85" t="n"/>
      <c r="L1817" s="85" t="n"/>
    </row>
    <row r="1818" ht="12.75" customHeight="1" s="103">
      <c r="A1818" s="78">
        <f>MID(H1818,3,2)</f>
        <v/>
      </c>
      <c r="B1818" s="84" t="inlineStr">
        <is>
          <t>B331</t>
        </is>
      </c>
      <c r="C1818" s="84" t="inlineStr">
        <is>
          <t>上海区域</t>
        </is>
      </c>
      <c r="D1818" s="84" t="inlineStr">
        <is>
          <t>CN0Q</t>
        </is>
      </c>
      <c r="E1818" s="80" t="inlineStr">
        <is>
          <t>EE 苏州比斯特</t>
        </is>
      </c>
      <c r="F1818" s="84" t="n">
        <v>4</v>
      </c>
      <c r="G1818" s="84" t="inlineStr">
        <is>
          <t>奥特莱斯</t>
        </is>
      </c>
      <c r="H1818" s="84" t="inlineStr">
        <is>
          <t>EEWJG23B02</t>
        </is>
      </c>
      <c r="I1818" s="84" t="n">
        <v>799</v>
      </c>
      <c r="J1818" s="84" t="n">
        <v>799</v>
      </c>
      <c r="K1818" s="85" t="n">
        <v>1</v>
      </c>
      <c r="L1818" s="85" t="n">
        <v>506</v>
      </c>
    </row>
    <row r="1819" ht="12.75" customHeight="1" s="103">
      <c r="A1819" s="78">
        <f>MID(H1819,3,2)</f>
        <v/>
      </c>
      <c r="B1819" s="84" t="inlineStr">
        <is>
          <t>B331</t>
        </is>
      </c>
      <c r="C1819" s="84" t="inlineStr">
        <is>
          <t>上海区域</t>
        </is>
      </c>
      <c r="D1819" s="84" t="inlineStr">
        <is>
          <t>CN0Q</t>
        </is>
      </c>
      <c r="E1819" s="80" t="inlineStr">
        <is>
          <t>EE 苏州比斯特</t>
        </is>
      </c>
      <c r="F1819" s="84" t="n">
        <v>4</v>
      </c>
      <c r="G1819" s="84" t="inlineStr">
        <is>
          <t>奥特莱斯</t>
        </is>
      </c>
      <c r="H1819" s="84" t="inlineStr">
        <is>
          <t>EEWJG23B02</t>
        </is>
      </c>
      <c r="I1819" s="84" t="n">
        <v>799</v>
      </c>
      <c r="J1819" s="84" t="n">
        <v>799</v>
      </c>
      <c r="K1819" s="85" t="n">
        <v>3</v>
      </c>
      <c r="L1819" s="86" t="n">
        <v>1258</v>
      </c>
    </row>
    <row r="1820" ht="12.75" customHeight="1" s="103">
      <c r="A1820" s="78">
        <f>MID(H1820,3,2)</f>
        <v/>
      </c>
      <c r="B1820" s="84" t="inlineStr">
        <is>
          <t>B331</t>
        </is>
      </c>
      <c r="C1820" s="84" t="inlineStr">
        <is>
          <t>上海区域</t>
        </is>
      </c>
      <c r="D1820" s="84" t="inlineStr">
        <is>
          <t>CN0Q</t>
        </is>
      </c>
      <c r="E1820" s="80" t="inlineStr">
        <is>
          <t>EE 苏州比斯特</t>
        </is>
      </c>
      <c r="F1820" s="84" t="n">
        <v>4</v>
      </c>
      <c r="G1820" s="84" t="inlineStr">
        <is>
          <t>奥特莱斯</t>
        </is>
      </c>
      <c r="H1820" s="84" t="inlineStr">
        <is>
          <t>EEWJG23B02</t>
        </is>
      </c>
      <c r="I1820" s="84" t="n">
        <v>799</v>
      </c>
      <c r="J1820" s="84" t="n">
        <v>799</v>
      </c>
      <c r="K1820" s="85" t="n">
        <v>1</v>
      </c>
      <c r="L1820" s="85" t="n">
        <v>506</v>
      </c>
    </row>
    <row r="1821" ht="12.75" customHeight="1" s="103">
      <c r="A1821" s="78">
        <f>MID(H1821,3,2)</f>
        <v/>
      </c>
      <c r="B1821" s="84" t="inlineStr">
        <is>
          <t>B331</t>
        </is>
      </c>
      <c r="C1821" s="84" t="inlineStr">
        <is>
          <t>上海区域</t>
        </is>
      </c>
      <c r="D1821" s="84" t="inlineStr">
        <is>
          <t>CN0Q</t>
        </is>
      </c>
      <c r="E1821" s="80" t="inlineStr">
        <is>
          <t>EE 苏州比斯特</t>
        </is>
      </c>
      <c r="F1821" s="84" t="n">
        <v>4</v>
      </c>
      <c r="G1821" s="84" t="inlineStr">
        <is>
          <t>奥特莱斯</t>
        </is>
      </c>
      <c r="H1821" s="84" t="inlineStr">
        <is>
          <t>EEWJG23B02</t>
        </is>
      </c>
      <c r="I1821" s="84" t="n">
        <v>799</v>
      </c>
      <c r="J1821" s="84" t="n">
        <v>799</v>
      </c>
      <c r="K1821" s="85" t="n">
        <v>1</v>
      </c>
      <c r="L1821" s="85" t="n">
        <v>507</v>
      </c>
    </row>
    <row r="1822" ht="12.75" customHeight="1" s="103">
      <c r="A1822" s="78">
        <f>MID(H1822,3,2)</f>
        <v/>
      </c>
      <c r="B1822" s="84" t="inlineStr">
        <is>
          <t>B331</t>
        </is>
      </c>
      <c r="C1822" s="84" t="inlineStr">
        <is>
          <t>上海区域</t>
        </is>
      </c>
      <c r="D1822" s="84" t="inlineStr">
        <is>
          <t>CN0Q</t>
        </is>
      </c>
      <c r="E1822" s="80" t="inlineStr">
        <is>
          <t>EE 苏州比斯特</t>
        </is>
      </c>
      <c r="F1822" s="84" t="n">
        <v>4</v>
      </c>
      <c r="G1822" s="84" t="inlineStr">
        <is>
          <t>奥特莱斯</t>
        </is>
      </c>
      <c r="H1822" s="84" t="inlineStr">
        <is>
          <t>EEWJG24E01</t>
        </is>
      </c>
      <c r="I1822" s="84" t="n">
        <v>699</v>
      </c>
      <c r="J1822" s="84" t="n">
        <v>699</v>
      </c>
      <c r="K1822" s="85" t="n">
        <v>1</v>
      </c>
      <c r="L1822" s="85" t="n">
        <v>452</v>
      </c>
    </row>
    <row r="1823" ht="12.75" customHeight="1" s="103">
      <c r="A1823" s="78">
        <f>MID(H1823,3,2)</f>
        <v/>
      </c>
      <c r="B1823" s="84" t="inlineStr">
        <is>
          <t>B331</t>
        </is>
      </c>
      <c r="C1823" s="84" t="inlineStr">
        <is>
          <t>上海区域</t>
        </is>
      </c>
      <c r="D1823" s="84" t="inlineStr">
        <is>
          <t>CN0Q</t>
        </is>
      </c>
      <c r="E1823" s="80" t="inlineStr">
        <is>
          <t>EE 苏州比斯特</t>
        </is>
      </c>
      <c r="F1823" s="84" t="n">
        <v>4</v>
      </c>
      <c r="G1823" s="84" t="inlineStr">
        <is>
          <t>奥特莱斯</t>
        </is>
      </c>
      <c r="H1823" s="84" t="inlineStr">
        <is>
          <t>EEWJG24E01</t>
        </is>
      </c>
      <c r="I1823" s="84" t="n">
        <v>699</v>
      </c>
      <c r="J1823" s="84" t="n">
        <v>699</v>
      </c>
      <c r="K1823" s="85" t="n">
        <v>1</v>
      </c>
      <c r="L1823" s="85" t="n">
        <v>489</v>
      </c>
    </row>
    <row r="1824" ht="12.75" customHeight="1" s="103">
      <c r="A1824" s="78">
        <f>MID(H1824,3,2)</f>
        <v/>
      </c>
      <c r="B1824" s="84" t="inlineStr">
        <is>
          <t>B331</t>
        </is>
      </c>
      <c r="C1824" s="84" t="inlineStr">
        <is>
          <t>上海区域</t>
        </is>
      </c>
      <c r="D1824" s="84" t="inlineStr">
        <is>
          <t>CN0Q</t>
        </is>
      </c>
      <c r="E1824" s="80" t="inlineStr">
        <is>
          <t>EE 苏州比斯特</t>
        </is>
      </c>
      <c r="F1824" s="84" t="n">
        <v>4</v>
      </c>
      <c r="G1824" s="84" t="inlineStr">
        <is>
          <t>奥特莱斯</t>
        </is>
      </c>
      <c r="H1824" s="84" t="inlineStr">
        <is>
          <t>EEWJG24E01</t>
        </is>
      </c>
      <c r="I1824" s="84" t="n">
        <v>699</v>
      </c>
      <c r="J1824" s="84" t="n">
        <v>699</v>
      </c>
      <c r="K1824" s="85" t="n">
        <v>2</v>
      </c>
      <c r="L1824" s="85" t="n">
        <v>658</v>
      </c>
    </row>
    <row r="1825" ht="12.75" customHeight="1" s="103">
      <c r="A1825" s="78">
        <f>MID(H1825,3,2)</f>
        <v/>
      </c>
      <c r="B1825" s="84" t="inlineStr">
        <is>
          <t>B331</t>
        </is>
      </c>
      <c r="C1825" s="84" t="inlineStr">
        <is>
          <t>上海区域</t>
        </is>
      </c>
      <c r="D1825" s="84" t="inlineStr">
        <is>
          <t>CN0Q</t>
        </is>
      </c>
      <c r="E1825" s="80" t="inlineStr">
        <is>
          <t>EE 苏州比斯特</t>
        </is>
      </c>
      <c r="F1825" s="84" t="n">
        <v>4</v>
      </c>
      <c r="G1825" s="84" t="inlineStr">
        <is>
          <t>奥特莱斯</t>
        </is>
      </c>
      <c r="H1825" s="84" t="inlineStr">
        <is>
          <t>EEWJG24E01</t>
        </is>
      </c>
      <c r="I1825" s="84" t="n">
        <v>699</v>
      </c>
      <c r="J1825" s="84" t="n">
        <v>699</v>
      </c>
      <c r="K1825" s="85" t="n"/>
      <c r="L1825" s="85" t="n"/>
    </row>
    <row r="1826" ht="12.75" customHeight="1" s="103">
      <c r="A1826" s="78">
        <f>MID(H1826,3,2)</f>
        <v/>
      </c>
      <c r="B1826" s="84" t="inlineStr">
        <is>
          <t>B331</t>
        </is>
      </c>
      <c r="C1826" s="84" t="inlineStr">
        <is>
          <t>上海区域</t>
        </is>
      </c>
      <c r="D1826" s="84" t="inlineStr">
        <is>
          <t>CN0Q</t>
        </is>
      </c>
      <c r="E1826" s="80" t="inlineStr">
        <is>
          <t>EE 苏州比斯特</t>
        </is>
      </c>
      <c r="F1826" s="84" t="n">
        <v>4</v>
      </c>
      <c r="G1826" s="84" t="inlineStr">
        <is>
          <t>奥特莱斯</t>
        </is>
      </c>
      <c r="H1826" s="84" t="inlineStr">
        <is>
          <t>EEWJG24E01</t>
        </is>
      </c>
      <c r="I1826" s="84" t="n">
        <v>699</v>
      </c>
      <c r="J1826" s="84" t="n">
        <v>699</v>
      </c>
      <c r="K1826" s="85" t="n">
        <v>1</v>
      </c>
      <c r="L1826" s="85" t="n">
        <v>489</v>
      </c>
    </row>
    <row r="1827" ht="12.75" customHeight="1" s="103">
      <c r="A1827" s="78">
        <f>MID(H1827,3,2)</f>
        <v/>
      </c>
      <c r="B1827" s="84" t="inlineStr">
        <is>
          <t>B331</t>
        </is>
      </c>
      <c r="C1827" s="84" t="inlineStr">
        <is>
          <t>上海区域</t>
        </is>
      </c>
      <c r="D1827" s="84" t="inlineStr">
        <is>
          <t>CN0Q</t>
        </is>
      </c>
      <c r="E1827" s="80" t="inlineStr">
        <is>
          <t>EE 苏州比斯特</t>
        </is>
      </c>
      <c r="F1827" s="84" t="n">
        <v>4</v>
      </c>
      <c r="G1827" s="84" t="inlineStr">
        <is>
          <t>奥特莱斯</t>
        </is>
      </c>
      <c r="H1827" s="84" t="inlineStr">
        <is>
          <t>EEWJG24E01</t>
        </is>
      </c>
      <c r="I1827" s="84" t="n">
        <v>699</v>
      </c>
      <c r="J1827" s="84" t="n">
        <v>699</v>
      </c>
      <c r="K1827" s="85" t="n">
        <v>1</v>
      </c>
      <c r="L1827" s="85" t="n">
        <v>444</v>
      </c>
    </row>
    <row r="1828" ht="12.75" customHeight="1" s="103">
      <c r="A1828" s="78">
        <f>MID(H1828,3,2)</f>
        <v/>
      </c>
      <c r="B1828" s="84" t="inlineStr">
        <is>
          <t>B331</t>
        </is>
      </c>
      <c r="C1828" s="84" t="inlineStr">
        <is>
          <t>上海区域</t>
        </is>
      </c>
      <c r="D1828" s="84" t="inlineStr">
        <is>
          <t>CN0Q</t>
        </is>
      </c>
      <c r="E1828" s="80" t="inlineStr">
        <is>
          <t>EE 苏州比斯特</t>
        </is>
      </c>
      <c r="F1828" s="84" t="n">
        <v>4</v>
      </c>
      <c r="G1828" s="84" t="inlineStr">
        <is>
          <t>奥特莱斯</t>
        </is>
      </c>
      <c r="H1828" s="84" t="inlineStr">
        <is>
          <t>EEWJG24E01</t>
        </is>
      </c>
      <c r="I1828" s="84" t="n">
        <v>699</v>
      </c>
      <c r="J1828" s="84" t="n">
        <v>699</v>
      </c>
      <c r="K1828" s="85" t="n">
        <v>1</v>
      </c>
      <c r="L1828" s="85" t="n">
        <v>489</v>
      </c>
    </row>
    <row r="1829" ht="12.75" customHeight="1" s="103">
      <c r="A1829" s="78">
        <f>MID(H1829,3,2)</f>
        <v/>
      </c>
      <c r="B1829" s="84" t="inlineStr">
        <is>
          <t>B331</t>
        </is>
      </c>
      <c r="C1829" s="84" t="inlineStr">
        <is>
          <t>上海区域</t>
        </is>
      </c>
      <c r="D1829" s="84" t="inlineStr">
        <is>
          <t>CN0Q</t>
        </is>
      </c>
      <c r="E1829" s="80" t="inlineStr">
        <is>
          <t>EE 苏州比斯特</t>
        </is>
      </c>
      <c r="F1829" s="84" t="n">
        <v>4</v>
      </c>
      <c r="G1829" s="84" t="inlineStr">
        <is>
          <t>奥特莱斯</t>
        </is>
      </c>
      <c r="H1829" s="84" t="inlineStr">
        <is>
          <t>EEWJG24E01</t>
        </is>
      </c>
      <c r="I1829" s="84" t="n">
        <v>699</v>
      </c>
      <c r="J1829" s="84" t="n">
        <v>699</v>
      </c>
      <c r="K1829" s="85" t="n"/>
      <c r="L1829" s="85" t="n"/>
    </row>
    <row r="1830" ht="12.75" customHeight="1" s="103">
      <c r="A1830" s="78">
        <f>MID(H1830,3,2)</f>
        <v/>
      </c>
      <c r="B1830" s="84" t="inlineStr">
        <is>
          <t>B331</t>
        </is>
      </c>
      <c r="C1830" s="84" t="inlineStr">
        <is>
          <t>上海区域</t>
        </is>
      </c>
      <c r="D1830" s="84" t="inlineStr">
        <is>
          <t>CN0Q</t>
        </is>
      </c>
      <c r="E1830" s="80" t="inlineStr">
        <is>
          <t>EE 苏州比斯特</t>
        </is>
      </c>
      <c r="F1830" s="84" t="n">
        <v>4</v>
      </c>
      <c r="G1830" s="84" t="inlineStr">
        <is>
          <t>奥特莱斯</t>
        </is>
      </c>
      <c r="H1830" s="84" t="inlineStr">
        <is>
          <t>EEYAG12B01</t>
        </is>
      </c>
      <c r="I1830" s="84" t="n">
        <v>699</v>
      </c>
      <c r="J1830" s="84" t="n">
        <v>699</v>
      </c>
      <c r="K1830" s="85" t="n"/>
      <c r="L1830" s="85" t="n"/>
    </row>
    <row r="1831" ht="12.75" customHeight="1" s="103">
      <c r="A1831" s="78">
        <f>MID(H1831,3,2)</f>
        <v/>
      </c>
      <c r="B1831" s="84" t="inlineStr">
        <is>
          <t>B331</t>
        </is>
      </c>
      <c r="C1831" s="84" t="inlineStr">
        <is>
          <t>上海区域</t>
        </is>
      </c>
      <c r="D1831" s="84" t="inlineStr">
        <is>
          <t>CN0Q</t>
        </is>
      </c>
      <c r="E1831" s="80" t="inlineStr">
        <is>
          <t>EE 苏州比斯特</t>
        </is>
      </c>
      <c r="F1831" s="84" t="n">
        <v>4</v>
      </c>
      <c r="G1831" s="84" t="inlineStr">
        <is>
          <t>奥特莱斯</t>
        </is>
      </c>
      <c r="H1831" s="84" t="inlineStr">
        <is>
          <t>EEYAG12B01</t>
        </is>
      </c>
      <c r="I1831" s="84" t="n">
        <v>699</v>
      </c>
      <c r="J1831" s="84" t="n">
        <v>699</v>
      </c>
      <c r="K1831" s="85" t="n"/>
      <c r="L1831" s="85" t="n"/>
    </row>
    <row r="1832" ht="12.75" customHeight="1" s="103">
      <c r="A1832" s="78">
        <f>MID(H1832,3,2)</f>
        <v/>
      </c>
      <c r="B1832" s="84" t="inlineStr">
        <is>
          <t>B331</t>
        </is>
      </c>
      <c r="C1832" s="84" t="inlineStr">
        <is>
          <t>上海区域</t>
        </is>
      </c>
      <c r="D1832" s="84" t="inlineStr">
        <is>
          <t>CN0Q</t>
        </is>
      </c>
      <c r="E1832" s="80" t="inlineStr">
        <is>
          <t>EE 苏州比斯特</t>
        </is>
      </c>
      <c r="F1832" s="84" t="n">
        <v>4</v>
      </c>
      <c r="G1832" s="84" t="inlineStr">
        <is>
          <t>奥特莱斯</t>
        </is>
      </c>
      <c r="H1832" s="84" t="inlineStr">
        <is>
          <t>EEYAG12B01</t>
        </is>
      </c>
      <c r="I1832" s="84" t="n">
        <v>699</v>
      </c>
      <c r="J1832" s="84" t="n">
        <v>699</v>
      </c>
      <c r="K1832" s="85" t="n"/>
      <c r="L1832" s="85" t="n"/>
    </row>
    <row r="1833" ht="12.75" customHeight="1" s="103">
      <c r="A1833" s="78">
        <f>MID(H1833,3,2)</f>
        <v/>
      </c>
      <c r="B1833" s="84" t="inlineStr">
        <is>
          <t>B331</t>
        </is>
      </c>
      <c r="C1833" s="84" t="inlineStr">
        <is>
          <t>上海区域</t>
        </is>
      </c>
      <c r="D1833" s="84" t="inlineStr">
        <is>
          <t>CN0Q</t>
        </is>
      </c>
      <c r="E1833" s="80" t="inlineStr">
        <is>
          <t>EE 苏州比斯特</t>
        </is>
      </c>
      <c r="F1833" s="84" t="n">
        <v>4</v>
      </c>
      <c r="G1833" s="84" t="inlineStr">
        <is>
          <t>奥特莱斯</t>
        </is>
      </c>
      <c r="H1833" s="84" t="inlineStr">
        <is>
          <t>EEYAG23B03</t>
        </is>
      </c>
      <c r="I1833" s="84" t="n">
        <v>799</v>
      </c>
      <c r="J1833" s="84" t="n">
        <v>699</v>
      </c>
      <c r="K1833" s="85" t="n">
        <v>1</v>
      </c>
      <c r="L1833" s="85" t="n">
        <v>489</v>
      </c>
    </row>
    <row r="1834" ht="12.75" customHeight="1" s="103">
      <c r="A1834" s="78">
        <f>MID(H1834,3,2)</f>
        <v/>
      </c>
      <c r="B1834" s="84" t="inlineStr">
        <is>
          <t>B331</t>
        </is>
      </c>
      <c r="C1834" s="84" t="inlineStr">
        <is>
          <t>上海区域</t>
        </is>
      </c>
      <c r="D1834" s="84" t="inlineStr">
        <is>
          <t>CN0Q</t>
        </is>
      </c>
      <c r="E1834" s="80" t="inlineStr">
        <is>
          <t>EE 苏州比斯特</t>
        </is>
      </c>
      <c r="F1834" s="84" t="n">
        <v>4</v>
      </c>
      <c r="G1834" s="84" t="inlineStr">
        <is>
          <t>奥特莱斯</t>
        </is>
      </c>
      <c r="H1834" s="84" t="inlineStr">
        <is>
          <t>EEYAG23B03</t>
        </is>
      </c>
      <c r="I1834" s="84" t="n">
        <v>799</v>
      </c>
      <c r="J1834" s="84" t="n">
        <v>699</v>
      </c>
      <c r="K1834" s="85" t="n">
        <v>1</v>
      </c>
      <c r="L1834" s="85" t="n">
        <v>449</v>
      </c>
    </row>
    <row r="1835" ht="12.75" customHeight="1" s="103">
      <c r="A1835" s="78">
        <f>MID(H1835,3,2)</f>
        <v/>
      </c>
      <c r="B1835" s="84" t="inlineStr">
        <is>
          <t>B331</t>
        </is>
      </c>
      <c r="C1835" s="84" t="inlineStr">
        <is>
          <t>上海区域</t>
        </is>
      </c>
      <c r="D1835" s="84" t="inlineStr">
        <is>
          <t>CN0Q</t>
        </is>
      </c>
      <c r="E1835" s="80" t="inlineStr">
        <is>
          <t>EE 苏州比斯特</t>
        </is>
      </c>
      <c r="F1835" s="84" t="n">
        <v>4</v>
      </c>
      <c r="G1835" s="84" t="inlineStr">
        <is>
          <t>奥特莱斯</t>
        </is>
      </c>
      <c r="H1835" s="84" t="inlineStr">
        <is>
          <t>EEYAG23B03</t>
        </is>
      </c>
      <c r="I1835" s="84" t="n">
        <v>799</v>
      </c>
      <c r="J1835" s="84" t="n">
        <v>699</v>
      </c>
      <c r="K1835" s="85" t="n">
        <v>1</v>
      </c>
      <c r="L1835" s="85" t="n">
        <v>446</v>
      </c>
    </row>
    <row r="1836" ht="12.75" customHeight="1" s="103">
      <c r="A1836" s="78">
        <f>MID(H1836,3,2)</f>
        <v/>
      </c>
      <c r="B1836" s="84" t="inlineStr">
        <is>
          <t>B331</t>
        </is>
      </c>
      <c r="C1836" s="84" t="inlineStr">
        <is>
          <t>上海区域</t>
        </is>
      </c>
      <c r="D1836" s="84" t="inlineStr">
        <is>
          <t>CN0Q</t>
        </is>
      </c>
      <c r="E1836" s="80" t="inlineStr">
        <is>
          <t>EE 苏州比斯特</t>
        </is>
      </c>
      <c r="F1836" s="84" t="n">
        <v>4</v>
      </c>
      <c r="G1836" s="84" t="inlineStr">
        <is>
          <t>奥特莱斯</t>
        </is>
      </c>
      <c r="H1836" s="84" t="inlineStr">
        <is>
          <t>EEYAG24B02</t>
        </is>
      </c>
      <c r="I1836" s="84" t="n">
        <v>699</v>
      </c>
      <c r="J1836" s="84" t="n">
        <v>699</v>
      </c>
      <c r="K1836" s="85" t="n"/>
      <c r="L1836" s="85" t="n"/>
    </row>
    <row r="1837" ht="12.75" customHeight="1" s="103">
      <c r="A1837" s="78">
        <f>MID(H1837,3,2)</f>
        <v/>
      </c>
      <c r="B1837" s="84" t="inlineStr">
        <is>
          <t>B331</t>
        </is>
      </c>
      <c r="C1837" s="84" t="inlineStr">
        <is>
          <t>上海区域</t>
        </is>
      </c>
      <c r="D1837" s="84" t="inlineStr">
        <is>
          <t>CN0Q</t>
        </is>
      </c>
      <c r="E1837" s="80" t="inlineStr">
        <is>
          <t>EE 苏州比斯特</t>
        </is>
      </c>
      <c r="F1837" s="84" t="n">
        <v>4</v>
      </c>
      <c r="G1837" s="84" t="inlineStr">
        <is>
          <t>奥特莱斯</t>
        </is>
      </c>
      <c r="H1837" s="84" t="inlineStr">
        <is>
          <t>EEYAG24B02</t>
        </is>
      </c>
      <c r="I1837" s="84" t="n">
        <v>699</v>
      </c>
      <c r="J1837" s="84" t="n">
        <v>699</v>
      </c>
      <c r="K1837" s="85" t="n">
        <v>1</v>
      </c>
      <c r="L1837" s="85" t="n"/>
    </row>
    <row r="1838" ht="12.75" customHeight="1" s="103">
      <c r="A1838" s="78">
        <f>MID(H1838,3,2)</f>
        <v/>
      </c>
      <c r="B1838" s="84" t="inlineStr">
        <is>
          <t>B331</t>
        </is>
      </c>
      <c r="C1838" s="84" t="inlineStr">
        <is>
          <t>上海区域</t>
        </is>
      </c>
      <c r="D1838" s="84" t="inlineStr">
        <is>
          <t>CN0Q</t>
        </is>
      </c>
      <c r="E1838" s="80" t="inlineStr">
        <is>
          <t>EE 苏州比斯特</t>
        </is>
      </c>
      <c r="F1838" s="84" t="n">
        <v>4</v>
      </c>
      <c r="G1838" s="84" t="inlineStr">
        <is>
          <t>奥特莱斯</t>
        </is>
      </c>
      <c r="H1838" s="84" t="inlineStr">
        <is>
          <t>EEYAG24B02</t>
        </is>
      </c>
      <c r="I1838" s="84" t="n">
        <v>699</v>
      </c>
      <c r="J1838" s="84" t="n">
        <v>699</v>
      </c>
      <c r="K1838" s="85" t="n"/>
      <c r="L1838" s="85" t="n"/>
    </row>
    <row r="1839" ht="12.75" customHeight="1" s="103">
      <c r="A1839" s="78">
        <f>MID(H1839,3,2)</f>
        <v/>
      </c>
      <c r="B1839" s="84" t="inlineStr">
        <is>
          <t>B331</t>
        </is>
      </c>
      <c r="C1839" s="84" t="inlineStr">
        <is>
          <t>上海区域</t>
        </is>
      </c>
      <c r="D1839" s="84" t="inlineStr">
        <is>
          <t>CN0Q</t>
        </is>
      </c>
      <c r="E1839" s="80" t="inlineStr">
        <is>
          <t>EE 苏州比斯特</t>
        </is>
      </c>
      <c r="F1839" s="84" t="n">
        <v>4</v>
      </c>
      <c r="G1839" s="84" t="inlineStr">
        <is>
          <t>奥特莱斯</t>
        </is>
      </c>
      <c r="H1839" s="84" t="inlineStr">
        <is>
          <t>EEYAG25B01</t>
        </is>
      </c>
      <c r="I1839" s="84" t="n">
        <v>699</v>
      </c>
      <c r="J1839" s="84" t="n">
        <v>699</v>
      </c>
      <c r="K1839" s="85" t="n">
        <v>2</v>
      </c>
      <c r="L1839" s="85" t="n">
        <v>902</v>
      </c>
    </row>
    <row r="1840" ht="12.75" customHeight="1" s="103">
      <c r="A1840" s="78">
        <f>MID(H1840,3,2)</f>
        <v/>
      </c>
      <c r="B1840" s="84" t="inlineStr">
        <is>
          <t>B331</t>
        </is>
      </c>
      <c r="C1840" s="84" t="inlineStr">
        <is>
          <t>上海区域</t>
        </is>
      </c>
      <c r="D1840" s="84" t="inlineStr">
        <is>
          <t>CN0Q</t>
        </is>
      </c>
      <c r="E1840" s="80" t="inlineStr">
        <is>
          <t>EE 苏州比斯特</t>
        </is>
      </c>
      <c r="F1840" s="84" t="n">
        <v>4</v>
      </c>
      <c r="G1840" s="84" t="inlineStr">
        <is>
          <t>奥特莱斯</t>
        </is>
      </c>
      <c r="H1840" s="84" t="inlineStr">
        <is>
          <t>EEYAG25B01</t>
        </is>
      </c>
      <c r="I1840" s="84" t="n">
        <v>699</v>
      </c>
      <c r="J1840" s="84" t="n">
        <v>699</v>
      </c>
      <c r="K1840" s="85" t="n">
        <v>1</v>
      </c>
      <c r="L1840" s="85" t="n">
        <v>443</v>
      </c>
    </row>
    <row r="1841" ht="12.75" customHeight="1" s="103">
      <c r="A1841" s="78">
        <f>MID(H1841,3,2)</f>
        <v/>
      </c>
      <c r="B1841" s="84" t="inlineStr">
        <is>
          <t>B331</t>
        </is>
      </c>
      <c r="C1841" s="84" t="inlineStr">
        <is>
          <t>上海区域</t>
        </is>
      </c>
      <c r="D1841" s="84" t="inlineStr">
        <is>
          <t>CN0Q</t>
        </is>
      </c>
      <c r="E1841" s="80" t="inlineStr">
        <is>
          <t>EE 苏州比斯特</t>
        </is>
      </c>
      <c r="F1841" s="84" t="n">
        <v>4</v>
      </c>
      <c r="G1841" s="84" t="inlineStr">
        <is>
          <t>奥特莱斯</t>
        </is>
      </c>
      <c r="H1841" s="84" t="inlineStr">
        <is>
          <t>EEYAG25B01</t>
        </is>
      </c>
      <c r="I1841" s="84" t="n">
        <v>699</v>
      </c>
      <c r="J1841" s="84" t="n">
        <v>699</v>
      </c>
      <c r="K1841" s="85" t="n">
        <v>1</v>
      </c>
      <c r="L1841" s="85" t="n">
        <v>489</v>
      </c>
    </row>
    <row r="1842" ht="12.75" customHeight="1" s="103">
      <c r="A1842" s="78">
        <f>MID(H1842,3,2)</f>
        <v/>
      </c>
      <c r="B1842" s="84" t="inlineStr">
        <is>
          <t>B331</t>
        </is>
      </c>
      <c r="C1842" s="84" t="inlineStr">
        <is>
          <t>上海区域</t>
        </is>
      </c>
      <c r="D1842" s="84" t="inlineStr">
        <is>
          <t>CN0Q</t>
        </is>
      </c>
      <c r="E1842" s="80" t="inlineStr">
        <is>
          <t>EE 苏州比斯特</t>
        </is>
      </c>
      <c r="F1842" s="84" t="n">
        <v>4</v>
      </c>
      <c r="G1842" s="84" t="inlineStr">
        <is>
          <t>奥特莱斯</t>
        </is>
      </c>
      <c r="H1842" s="84" t="inlineStr">
        <is>
          <t>EEYAG25B01</t>
        </is>
      </c>
      <c r="I1842" s="84" t="n">
        <v>699</v>
      </c>
      <c r="J1842" s="84" t="n">
        <v>699</v>
      </c>
      <c r="K1842" s="85" t="n">
        <v>2</v>
      </c>
      <c r="L1842" s="85" t="n">
        <v>446</v>
      </c>
    </row>
    <row r="1843" ht="12.75" customHeight="1" s="103">
      <c r="A1843" s="78">
        <f>MID(H1843,3,2)</f>
        <v/>
      </c>
      <c r="B1843" s="84" t="inlineStr">
        <is>
          <t>B331</t>
        </is>
      </c>
      <c r="C1843" s="84" t="inlineStr">
        <is>
          <t>上海区域</t>
        </is>
      </c>
      <c r="D1843" s="84" t="inlineStr">
        <is>
          <t>CN0Q</t>
        </is>
      </c>
      <c r="E1843" s="80" t="inlineStr">
        <is>
          <t>EE 苏州比斯特</t>
        </is>
      </c>
      <c r="F1843" s="84" t="n">
        <v>4</v>
      </c>
      <c r="G1843" s="84" t="inlineStr">
        <is>
          <t>奥特莱斯</t>
        </is>
      </c>
      <c r="H1843" s="84" t="inlineStr">
        <is>
          <t>EEYAG25B01</t>
        </is>
      </c>
      <c r="I1843" s="84" t="n">
        <v>699</v>
      </c>
      <c r="J1843" s="84" t="n">
        <v>699</v>
      </c>
      <c r="K1843" s="85" t="n">
        <v>2</v>
      </c>
      <c r="L1843" s="85" t="n">
        <v>930</v>
      </c>
    </row>
    <row r="1844" ht="12.75" customHeight="1" s="103">
      <c r="A1844" s="78">
        <f>MID(H1844,3,2)</f>
        <v/>
      </c>
      <c r="B1844" s="84" t="inlineStr">
        <is>
          <t>B331</t>
        </is>
      </c>
      <c r="C1844" s="84" t="inlineStr">
        <is>
          <t>上海区域</t>
        </is>
      </c>
      <c r="D1844" s="84" t="inlineStr">
        <is>
          <t>CN0Q</t>
        </is>
      </c>
      <c r="E1844" s="80" t="inlineStr">
        <is>
          <t>EE 苏州比斯特</t>
        </is>
      </c>
      <c r="F1844" s="84" t="n">
        <v>4</v>
      </c>
      <c r="G1844" s="84" t="inlineStr">
        <is>
          <t>奥特莱斯</t>
        </is>
      </c>
      <c r="H1844" s="84" t="inlineStr">
        <is>
          <t>EEYAG25B01</t>
        </is>
      </c>
      <c r="I1844" s="84" t="n">
        <v>699</v>
      </c>
      <c r="J1844" s="84" t="n">
        <v>699</v>
      </c>
      <c r="K1844" s="85" t="n">
        <v>1</v>
      </c>
      <c r="L1844" s="85" t="n"/>
    </row>
    <row r="1845" ht="12.75" customHeight="1" s="103">
      <c r="A1845" s="78">
        <f>MID(H1845,3,2)</f>
        <v/>
      </c>
      <c r="B1845" s="84" t="inlineStr">
        <is>
          <t>B331</t>
        </is>
      </c>
      <c r="C1845" s="84" t="inlineStr">
        <is>
          <t>上海区域</t>
        </is>
      </c>
      <c r="D1845" s="84" t="inlineStr">
        <is>
          <t>CN0Q</t>
        </is>
      </c>
      <c r="E1845" s="80" t="inlineStr">
        <is>
          <t>EE 苏州比斯特</t>
        </is>
      </c>
      <c r="F1845" s="84" t="n">
        <v>4</v>
      </c>
      <c r="G1845" s="84" t="inlineStr">
        <is>
          <t>奥特莱斯</t>
        </is>
      </c>
      <c r="H1845" s="84" t="inlineStr">
        <is>
          <t>EEYAG25B04</t>
        </is>
      </c>
      <c r="I1845" s="84" t="n">
        <v>599</v>
      </c>
      <c r="J1845" s="84" t="n">
        <v>599</v>
      </c>
      <c r="K1845" s="85" t="n">
        <v>5</v>
      </c>
      <c r="L1845" s="86" t="n">
        <v>1554</v>
      </c>
    </row>
    <row r="1846" ht="12.75" customHeight="1" s="103">
      <c r="A1846" s="78">
        <f>MID(H1846,3,2)</f>
        <v/>
      </c>
      <c r="B1846" s="84" t="inlineStr">
        <is>
          <t>B331</t>
        </is>
      </c>
      <c r="C1846" s="84" t="inlineStr">
        <is>
          <t>上海区域</t>
        </is>
      </c>
      <c r="D1846" s="84" t="inlineStr">
        <is>
          <t>CN0Q</t>
        </is>
      </c>
      <c r="E1846" s="80" t="inlineStr">
        <is>
          <t>EE 苏州比斯特</t>
        </is>
      </c>
      <c r="F1846" s="84" t="n">
        <v>4</v>
      </c>
      <c r="G1846" s="84" t="inlineStr">
        <is>
          <t>奥特莱斯</t>
        </is>
      </c>
      <c r="H1846" s="84" t="inlineStr">
        <is>
          <t>EEYAG25B04</t>
        </is>
      </c>
      <c r="I1846" s="84" t="n">
        <v>599</v>
      </c>
      <c r="J1846" s="84" t="n">
        <v>599</v>
      </c>
      <c r="K1846" s="85" t="n">
        <v>6</v>
      </c>
      <c r="L1846" s="86" t="n">
        <v>1494</v>
      </c>
    </row>
    <row r="1847" ht="12.75" customHeight="1" s="103">
      <c r="A1847" s="78">
        <f>MID(H1847,3,2)</f>
        <v/>
      </c>
      <c r="B1847" s="84" t="inlineStr">
        <is>
          <t>B331</t>
        </is>
      </c>
      <c r="C1847" s="84" t="inlineStr">
        <is>
          <t>上海区域</t>
        </is>
      </c>
      <c r="D1847" s="84" t="inlineStr">
        <is>
          <t>CN0Q</t>
        </is>
      </c>
      <c r="E1847" s="80" t="inlineStr">
        <is>
          <t>EE 苏州比斯特</t>
        </is>
      </c>
      <c r="F1847" s="84" t="n">
        <v>4</v>
      </c>
      <c r="G1847" s="84" t="inlineStr">
        <is>
          <t>奥特莱斯</t>
        </is>
      </c>
      <c r="H1847" s="84" t="inlineStr">
        <is>
          <t>EEYAG25B04</t>
        </is>
      </c>
      <c r="I1847" s="84" t="n">
        <v>599</v>
      </c>
      <c r="J1847" s="84" t="n">
        <v>599</v>
      </c>
      <c r="K1847" s="85" t="n">
        <v>2</v>
      </c>
      <c r="L1847" s="85" t="n">
        <v>379</v>
      </c>
    </row>
    <row r="1848" ht="12.75" customHeight="1" s="103">
      <c r="A1848" s="78">
        <f>MID(H1848,3,2)</f>
        <v/>
      </c>
      <c r="B1848" s="84" t="inlineStr">
        <is>
          <t>B331</t>
        </is>
      </c>
      <c r="C1848" s="84" t="inlineStr">
        <is>
          <t>上海区域</t>
        </is>
      </c>
      <c r="D1848" s="84" t="inlineStr">
        <is>
          <t>CN0Q</t>
        </is>
      </c>
      <c r="E1848" s="80" t="inlineStr">
        <is>
          <t>EE 苏州比斯特</t>
        </is>
      </c>
      <c r="F1848" s="84" t="n">
        <v>4</v>
      </c>
      <c r="G1848" s="84" t="inlineStr">
        <is>
          <t>奥特莱斯</t>
        </is>
      </c>
      <c r="H1848" s="84" t="inlineStr">
        <is>
          <t>EEYAG26B03</t>
        </is>
      </c>
      <c r="I1848" s="84" t="n">
        <v>699</v>
      </c>
      <c r="J1848" s="84" t="n">
        <v>699</v>
      </c>
      <c r="K1848" s="85" t="n">
        <v>2</v>
      </c>
      <c r="L1848" s="85" t="n">
        <v>445</v>
      </c>
    </row>
    <row r="1849" ht="12.75" customHeight="1" s="103">
      <c r="A1849" s="78">
        <f>MID(H1849,3,2)</f>
        <v/>
      </c>
      <c r="B1849" s="84" t="inlineStr">
        <is>
          <t>B331</t>
        </is>
      </c>
      <c r="C1849" s="84" t="inlineStr">
        <is>
          <t>上海区域</t>
        </is>
      </c>
      <c r="D1849" s="84" t="inlineStr">
        <is>
          <t>CN0Q</t>
        </is>
      </c>
      <c r="E1849" s="80" t="inlineStr">
        <is>
          <t>EE 苏州比斯特</t>
        </is>
      </c>
      <c r="F1849" s="84" t="n">
        <v>4</v>
      </c>
      <c r="G1849" s="84" t="inlineStr">
        <is>
          <t>奥特莱斯</t>
        </is>
      </c>
      <c r="H1849" s="84" t="inlineStr">
        <is>
          <t>EEYAG26B03</t>
        </is>
      </c>
      <c r="I1849" s="84" t="n">
        <v>699</v>
      </c>
      <c r="J1849" s="84" t="n">
        <v>699</v>
      </c>
      <c r="K1849" s="85" t="n">
        <v>3</v>
      </c>
      <c r="L1849" s="85" t="n">
        <v>651</v>
      </c>
    </row>
    <row r="1850" ht="12.75" customHeight="1" s="103">
      <c r="A1850" s="78">
        <f>MID(H1850,3,2)</f>
        <v/>
      </c>
      <c r="B1850" s="84" t="inlineStr">
        <is>
          <t>B331</t>
        </is>
      </c>
      <c r="C1850" s="84" t="inlineStr">
        <is>
          <t>上海区域</t>
        </is>
      </c>
      <c r="D1850" s="84" t="inlineStr">
        <is>
          <t>CN0Q</t>
        </is>
      </c>
      <c r="E1850" s="80" t="inlineStr">
        <is>
          <t>EE 苏州比斯特</t>
        </is>
      </c>
      <c r="F1850" s="84" t="n">
        <v>4</v>
      </c>
      <c r="G1850" s="84" t="inlineStr">
        <is>
          <t>奥特莱斯</t>
        </is>
      </c>
      <c r="H1850" s="84" t="inlineStr">
        <is>
          <t>EEYAG26B03</t>
        </is>
      </c>
      <c r="I1850" s="84" t="n">
        <v>699</v>
      </c>
      <c r="J1850" s="84" t="n">
        <v>699</v>
      </c>
      <c r="K1850" s="85" t="n"/>
      <c r="L1850" s="85" t="n"/>
    </row>
    <row r="1851" ht="12.75" customHeight="1" s="103">
      <c r="A1851" s="78">
        <f>MID(H1851,3,2)</f>
        <v/>
      </c>
      <c r="B1851" s="84" t="inlineStr">
        <is>
          <t>B331</t>
        </is>
      </c>
      <c r="C1851" s="84" t="inlineStr">
        <is>
          <t>上海区域</t>
        </is>
      </c>
      <c r="D1851" s="84" t="inlineStr">
        <is>
          <t>CN0Q</t>
        </is>
      </c>
      <c r="E1851" s="80" t="inlineStr">
        <is>
          <t>EE 苏州比斯特</t>
        </is>
      </c>
      <c r="F1851" s="84" t="n">
        <v>4</v>
      </c>
      <c r="G1851" s="84" t="inlineStr">
        <is>
          <t>奥特莱斯</t>
        </is>
      </c>
      <c r="H1851" s="84" t="inlineStr">
        <is>
          <t>EEYAG26B04</t>
        </is>
      </c>
      <c r="I1851" s="84" t="n">
        <v>699</v>
      </c>
      <c r="J1851" s="84" t="n">
        <v>699</v>
      </c>
      <c r="K1851" s="85" t="n">
        <v>0</v>
      </c>
      <c r="L1851" s="85" t="n">
        <v>-243</v>
      </c>
    </row>
    <row r="1852" ht="12.75" customHeight="1" s="103">
      <c r="A1852" s="78">
        <f>MID(H1852,3,2)</f>
        <v/>
      </c>
      <c r="B1852" s="84" t="inlineStr">
        <is>
          <t>B331</t>
        </is>
      </c>
      <c r="C1852" s="84" t="inlineStr">
        <is>
          <t>上海区域</t>
        </is>
      </c>
      <c r="D1852" s="84" t="inlineStr">
        <is>
          <t>CN0Q</t>
        </is>
      </c>
      <c r="E1852" s="80" t="inlineStr">
        <is>
          <t>EE 苏州比斯特</t>
        </is>
      </c>
      <c r="F1852" s="84" t="n">
        <v>4</v>
      </c>
      <c r="G1852" s="84" t="inlineStr">
        <is>
          <t>奥特莱斯</t>
        </is>
      </c>
      <c r="H1852" s="84" t="inlineStr">
        <is>
          <t>EEYAG26B04</t>
        </is>
      </c>
      <c r="I1852" s="84" t="n">
        <v>699</v>
      </c>
      <c r="J1852" s="84" t="n">
        <v>699</v>
      </c>
      <c r="K1852" s="85" t="n">
        <v>2</v>
      </c>
      <c r="L1852" s="86" t="n">
        <v>1160</v>
      </c>
    </row>
    <row r="1853" ht="12.75" customHeight="1" s="103">
      <c r="A1853" s="78">
        <f>MID(H1853,3,2)</f>
        <v/>
      </c>
      <c r="B1853" s="84" t="inlineStr">
        <is>
          <t>B331</t>
        </is>
      </c>
      <c r="C1853" s="84" t="inlineStr">
        <is>
          <t>上海区域</t>
        </is>
      </c>
      <c r="D1853" s="84" t="inlineStr">
        <is>
          <t>CN0Q</t>
        </is>
      </c>
      <c r="E1853" s="80" t="inlineStr">
        <is>
          <t>EE 苏州比斯特</t>
        </is>
      </c>
      <c r="F1853" s="84" t="n">
        <v>4</v>
      </c>
      <c r="G1853" s="84" t="inlineStr">
        <is>
          <t>奥特莱斯</t>
        </is>
      </c>
      <c r="H1853" s="84" t="inlineStr">
        <is>
          <t>EEYAG26B04</t>
        </is>
      </c>
      <c r="I1853" s="84" t="n">
        <v>699</v>
      </c>
      <c r="J1853" s="84" t="n">
        <v>699</v>
      </c>
      <c r="K1853" s="85" t="n"/>
      <c r="L1853" s="85" t="n"/>
    </row>
    <row r="1854" ht="12.75" customHeight="1" s="103">
      <c r="A1854" s="78">
        <f>MID(H1854,3,2)</f>
        <v/>
      </c>
      <c r="B1854" s="84" t="inlineStr">
        <is>
          <t>B331</t>
        </is>
      </c>
      <c r="C1854" s="84" t="inlineStr">
        <is>
          <t>上海区域</t>
        </is>
      </c>
      <c r="D1854" s="84" t="inlineStr">
        <is>
          <t>CN0Q</t>
        </is>
      </c>
      <c r="E1854" s="80" t="inlineStr">
        <is>
          <t>EE 苏州比斯特</t>
        </is>
      </c>
      <c r="F1854" s="84" t="n">
        <v>4</v>
      </c>
      <c r="G1854" s="84" t="inlineStr">
        <is>
          <t>奥特莱斯</t>
        </is>
      </c>
      <c r="H1854" s="84" t="inlineStr">
        <is>
          <t>EEYAG64S01</t>
        </is>
      </c>
      <c r="I1854" s="84" t="n">
        <v>699</v>
      </c>
      <c r="J1854" s="84" t="n">
        <v>699</v>
      </c>
      <c r="K1854" s="85" t="n">
        <v>1</v>
      </c>
      <c r="L1854" s="85" t="n">
        <v>350</v>
      </c>
    </row>
    <row r="1855" ht="12.75" customHeight="1" s="103">
      <c r="A1855" s="78">
        <f>MID(H1855,3,2)</f>
        <v/>
      </c>
      <c r="B1855" s="84" t="inlineStr">
        <is>
          <t>B331</t>
        </is>
      </c>
      <c r="C1855" s="84" t="inlineStr">
        <is>
          <t>上海区域</t>
        </is>
      </c>
      <c r="D1855" s="84" t="inlineStr">
        <is>
          <t>CN0Q</t>
        </is>
      </c>
      <c r="E1855" s="80" t="inlineStr">
        <is>
          <t>EE 苏州比斯特</t>
        </is>
      </c>
      <c r="F1855" s="84" t="n">
        <v>4</v>
      </c>
      <c r="G1855" s="84" t="inlineStr">
        <is>
          <t>奥特莱斯</t>
        </is>
      </c>
      <c r="H1855" s="84" t="inlineStr">
        <is>
          <t>EEYAG64S01</t>
        </is>
      </c>
      <c r="I1855" s="84" t="n">
        <v>699</v>
      </c>
      <c r="J1855" s="84" t="n">
        <v>699</v>
      </c>
      <c r="K1855" s="85" t="n"/>
      <c r="L1855" s="85" t="n"/>
    </row>
    <row r="1856" ht="12.75" customHeight="1" s="103">
      <c r="A1856" s="78">
        <f>MID(H1856,3,2)</f>
        <v/>
      </c>
      <c r="B1856" s="84" t="inlineStr">
        <is>
          <t>B331</t>
        </is>
      </c>
      <c r="C1856" s="84" t="inlineStr">
        <is>
          <t>上海区域</t>
        </is>
      </c>
      <c r="D1856" s="84" t="inlineStr">
        <is>
          <t>CN0Q</t>
        </is>
      </c>
      <c r="E1856" s="80" t="inlineStr">
        <is>
          <t>EE 苏州比斯特</t>
        </is>
      </c>
      <c r="F1856" s="84" t="n">
        <v>4</v>
      </c>
      <c r="G1856" s="84" t="inlineStr">
        <is>
          <t>奥特莱斯</t>
        </is>
      </c>
      <c r="H1856" s="84" t="inlineStr">
        <is>
          <t>EEYAG64S01</t>
        </is>
      </c>
      <c r="I1856" s="84" t="n">
        <v>699</v>
      </c>
      <c r="J1856" s="84" t="n">
        <v>699</v>
      </c>
      <c r="K1856" s="85" t="n"/>
      <c r="L1856" s="85" t="n"/>
    </row>
    <row r="1857" ht="12.75" customHeight="1" s="103">
      <c r="A1857" s="78">
        <f>MID(H1857,3,2)</f>
        <v/>
      </c>
      <c r="B1857" s="84" t="inlineStr">
        <is>
          <t>B331</t>
        </is>
      </c>
      <c r="C1857" s="84" t="inlineStr">
        <is>
          <t>上海区域</t>
        </is>
      </c>
      <c r="D1857" s="84" t="inlineStr">
        <is>
          <t>CN0Q</t>
        </is>
      </c>
      <c r="E1857" s="80" t="inlineStr">
        <is>
          <t>EE 苏州比斯特</t>
        </is>
      </c>
      <c r="F1857" s="84" t="n">
        <v>4</v>
      </c>
      <c r="G1857" s="84" t="inlineStr">
        <is>
          <t>奥特莱斯</t>
        </is>
      </c>
      <c r="H1857" s="84" t="inlineStr">
        <is>
          <t>EEYAG64S01</t>
        </is>
      </c>
      <c r="I1857" s="84" t="n">
        <v>699</v>
      </c>
      <c r="J1857" s="84" t="n">
        <v>699</v>
      </c>
      <c r="K1857" s="85" t="n">
        <v>4</v>
      </c>
      <c r="L1857" s="85" t="n">
        <v>638</v>
      </c>
    </row>
    <row r="1858" ht="12.75" customHeight="1" s="103">
      <c r="A1858" s="78">
        <f>MID(H1858,3,2)</f>
        <v/>
      </c>
      <c r="B1858" s="84" t="inlineStr">
        <is>
          <t>B331</t>
        </is>
      </c>
      <c r="C1858" s="84" t="inlineStr">
        <is>
          <t>上海区域</t>
        </is>
      </c>
      <c r="D1858" s="84" t="inlineStr">
        <is>
          <t>CN0Q</t>
        </is>
      </c>
      <c r="E1858" s="80" t="inlineStr">
        <is>
          <t>EE 苏州比斯特</t>
        </is>
      </c>
      <c r="F1858" s="84" t="n">
        <v>4</v>
      </c>
      <c r="G1858" s="84" t="inlineStr">
        <is>
          <t>奥特莱斯</t>
        </is>
      </c>
      <c r="H1858" s="84" t="inlineStr">
        <is>
          <t>EEYAG64S01</t>
        </is>
      </c>
      <c r="I1858" s="84" t="n">
        <v>699</v>
      </c>
      <c r="J1858" s="84" t="n">
        <v>699</v>
      </c>
      <c r="K1858" s="85" t="n">
        <v>5</v>
      </c>
      <c r="L1858" s="86" t="n">
        <v>1018</v>
      </c>
    </row>
    <row r="1859" ht="12.75" customHeight="1" s="103">
      <c r="A1859" s="78">
        <f>MID(H1859,3,2)</f>
        <v/>
      </c>
      <c r="B1859" s="84" t="inlineStr">
        <is>
          <t>B331</t>
        </is>
      </c>
      <c r="C1859" s="84" t="inlineStr">
        <is>
          <t>上海区域</t>
        </is>
      </c>
      <c r="D1859" s="84" t="inlineStr">
        <is>
          <t>CN0Q</t>
        </is>
      </c>
      <c r="E1859" s="80" t="inlineStr">
        <is>
          <t>EE 苏州比斯特</t>
        </is>
      </c>
      <c r="F1859" s="84" t="n">
        <v>4</v>
      </c>
      <c r="G1859" s="84" t="inlineStr">
        <is>
          <t>奥特莱斯</t>
        </is>
      </c>
      <c r="H1859" s="84" t="inlineStr">
        <is>
          <t>EEYAG64S01</t>
        </is>
      </c>
      <c r="I1859" s="84" t="n">
        <v>699</v>
      </c>
      <c r="J1859" s="84" t="n">
        <v>699</v>
      </c>
      <c r="K1859" s="85" t="n">
        <v>1</v>
      </c>
      <c r="L1859" s="85" t="n"/>
    </row>
    <row r="1860" ht="12.75" customHeight="1" s="103">
      <c r="A1860" s="78">
        <f>MID(H1860,3,2)</f>
        <v/>
      </c>
      <c r="B1860" s="84" t="inlineStr">
        <is>
          <t>B331</t>
        </is>
      </c>
      <c r="C1860" s="84" t="inlineStr">
        <is>
          <t>上海区域</t>
        </is>
      </c>
      <c r="D1860" s="84" t="inlineStr">
        <is>
          <t>CN0Q</t>
        </is>
      </c>
      <c r="E1860" s="80" t="inlineStr">
        <is>
          <t>EE 苏州比斯特</t>
        </is>
      </c>
      <c r="F1860" s="84" t="n">
        <v>4</v>
      </c>
      <c r="G1860" s="84" t="inlineStr">
        <is>
          <t>奥特莱斯</t>
        </is>
      </c>
      <c r="H1860" s="84" t="inlineStr">
        <is>
          <t>EEYCG12B1G</t>
        </is>
      </c>
      <c r="I1860" s="84" t="n">
        <v>799</v>
      </c>
      <c r="J1860" s="84" t="n">
        <v>799</v>
      </c>
      <c r="K1860" s="85" t="n"/>
      <c r="L1860" s="85" t="n"/>
    </row>
    <row r="1861" ht="12.75" customHeight="1" s="103">
      <c r="A1861" s="78">
        <f>MID(H1861,3,2)</f>
        <v/>
      </c>
      <c r="B1861" s="84" t="inlineStr">
        <is>
          <t>B331</t>
        </is>
      </c>
      <c r="C1861" s="84" t="inlineStr">
        <is>
          <t>上海区域</t>
        </is>
      </c>
      <c r="D1861" s="84" t="inlineStr">
        <is>
          <t>CN0Q</t>
        </is>
      </c>
      <c r="E1861" s="80" t="inlineStr">
        <is>
          <t>EE 苏州比斯特</t>
        </is>
      </c>
      <c r="F1861" s="84" t="n">
        <v>4</v>
      </c>
      <c r="G1861" s="84" t="inlineStr">
        <is>
          <t>奥特莱斯</t>
        </is>
      </c>
      <c r="H1861" s="84" t="inlineStr">
        <is>
          <t>EEYCG12B1G</t>
        </is>
      </c>
      <c r="I1861" s="84" t="n">
        <v>799</v>
      </c>
      <c r="J1861" s="84" t="n">
        <v>799</v>
      </c>
      <c r="K1861" s="85" t="n"/>
      <c r="L1861" s="85" t="n"/>
    </row>
    <row r="1862" ht="12.75" customHeight="1" s="103">
      <c r="A1862" s="78">
        <f>MID(H1862,3,2)</f>
        <v/>
      </c>
      <c r="B1862" s="84" t="inlineStr">
        <is>
          <t>B331</t>
        </is>
      </c>
      <c r="C1862" s="84" t="inlineStr">
        <is>
          <t>上海区域</t>
        </is>
      </c>
      <c r="D1862" s="84" t="inlineStr">
        <is>
          <t>CN0Q</t>
        </is>
      </c>
      <c r="E1862" s="80" t="inlineStr">
        <is>
          <t>EE 苏州比斯特</t>
        </is>
      </c>
      <c r="F1862" s="84" t="n">
        <v>4</v>
      </c>
      <c r="G1862" s="84" t="inlineStr">
        <is>
          <t>奥特莱斯</t>
        </is>
      </c>
      <c r="H1862" s="84" t="inlineStr">
        <is>
          <t>EEYCG12B1G</t>
        </is>
      </c>
      <c r="I1862" s="84" t="n">
        <v>799</v>
      </c>
      <c r="J1862" s="84" t="n">
        <v>799</v>
      </c>
      <c r="K1862" s="85" t="n"/>
      <c r="L1862" s="85" t="n"/>
    </row>
    <row r="1863" ht="12.75" customHeight="1" s="103">
      <c r="A1863" s="78">
        <f>MID(H1863,3,2)</f>
        <v/>
      </c>
      <c r="B1863" s="84" t="inlineStr">
        <is>
          <t>B331</t>
        </is>
      </c>
      <c r="C1863" s="84" t="inlineStr">
        <is>
          <t>上海区域</t>
        </is>
      </c>
      <c r="D1863" s="84" t="inlineStr">
        <is>
          <t>CN0Q</t>
        </is>
      </c>
      <c r="E1863" s="80" t="inlineStr">
        <is>
          <t>EE 苏州比斯特</t>
        </is>
      </c>
      <c r="F1863" s="84" t="n">
        <v>4</v>
      </c>
      <c r="G1863" s="84" t="inlineStr">
        <is>
          <t>奥特莱斯</t>
        </is>
      </c>
      <c r="H1863" s="84" t="inlineStr">
        <is>
          <t>EEYCG23B1G</t>
        </is>
      </c>
      <c r="I1863" s="84" t="n">
        <v>899</v>
      </c>
      <c r="J1863" s="84" t="n">
        <v>899</v>
      </c>
      <c r="K1863" s="85" t="n">
        <v>2</v>
      </c>
      <c r="L1863" s="86" t="n">
        <v>1152</v>
      </c>
    </row>
    <row r="1864" ht="12.75" customHeight="1" s="103">
      <c r="A1864" s="78">
        <f>MID(H1864,3,2)</f>
        <v/>
      </c>
      <c r="B1864" s="84" t="inlineStr">
        <is>
          <t>B331</t>
        </is>
      </c>
      <c r="C1864" s="84" t="inlineStr">
        <is>
          <t>上海区域</t>
        </is>
      </c>
      <c r="D1864" s="84" t="inlineStr">
        <is>
          <t>CN0Q</t>
        </is>
      </c>
      <c r="E1864" s="80" t="inlineStr">
        <is>
          <t>EE 苏州比斯特</t>
        </is>
      </c>
      <c r="F1864" s="84" t="n">
        <v>4</v>
      </c>
      <c r="G1864" s="84" t="inlineStr">
        <is>
          <t>奥特莱斯</t>
        </is>
      </c>
      <c r="H1864" s="84" t="inlineStr">
        <is>
          <t>EEYCG23B1G</t>
        </is>
      </c>
      <c r="I1864" s="84" t="n">
        <v>899</v>
      </c>
      <c r="J1864" s="84" t="n">
        <v>899</v>
      </c>
      <c r="K1864" s="85" t="n">
        <v>2</v>
      </c>
      <c r="L1864" s="86" t="n">
        <v>1160</v>
      </c>
    </row>
    <row r="1865" ht="12.75" customHeight="1" s="103">
      <c r="A1865" s="78">
        <f>MID(H1865,3,2)</f>
        <v/>
      </c>
      <c r="B1865" s="84" t="inlineStr">
        <is>
          <t>B331</t>
        </is>
      </c>
      <c r="C1865" s="84" t="inlineStr">
        <is>
          <t>上海区域</t>
        </is>
      </c>
      <c r="D1865" s="84" t="inlineStr">
        <is>
          <t>CN0Q</t>
        </is>
      </c>
      <c r="E1865" s="80" t="inlineStr">
        <is>
          <t>EE 苏州比斯特</t>
        </is>
      </c>
      <c r="F1865" s="84" t="n">
        <v>4</v>
      </c>
      <c r="G1865" s="84" t="inlineStr">
        <is>
          <t>奥特莱斯</t>
        </is>
      </c>
      <c r="H1865" s="84" t="inlineStr">
        <is>
          <t>EEYCG23B1G</t>
        </is>
      </c>
      <c r="I1865" s="84" t="n">
        <v>899</v>
      </c>
      <c r="J1865" s="84" t="n">
        <v>899</v>
      </c>
      <c r="K1865" s="85" t="n"/>
      <c r="L1865" s="85" t="n"/>
    </row>
    <row r="1866" ht="12.75" customHeight="1" s="103">
      <c r="A1866" s="78">
        <f>MID(H1866,3,2)</f>
        <v/>
      </c>
      <c r="B1866" s="84" t="inlineStr">
        <is>
          <t>B331</t>
        </is>
      </c>
      <c r="C1866" s="84" t="inlineStr">
        <is>
          <t>上海区域</t>
        </is>
      </c>
      <c r="D1866" s="84" t="inlineStr">
        <is>
          <t>CN0Q</t>
        </is>
      </c>
      <c r="E1866" s="80" t="inlineStr">
        <is>
          <t>EE 苏州比斯特</t>
        </is>
      </c>
      <c r="F1866" s="84" t="n">
        <v>4</v>
      </c>
      <c r="G1866" s="84" t="inlineStr">
        <is>
          <t>奥特莱斯</t>
        </is>
      </c>
      <c r="H1866" s="84" t="inlineStr">
        <is>
          <t>EEYCG23B1G</t>
        </is>
      </c>
      <c r="I1866" s="84" t="n">
        <v>899</v>
      </c>
      <c r="J1866" s="84" t="n">
        <v>899</v>
      </c>
      <c r="K1866" s="85" t="n"/>
      <c r="L1866" s="85" t="n"/>
    </row>
    <row r="1867" ht="12.75" customHeight="1" s="103">
      <c r="A1867" s="78">
        <f>MID(H1867,3,2)</f>
        <v/>
      </c>
      <c r="B1867" s="84" t="inlineStr">
        <is>
          <t>B331</t>
        </is>
      </c>
      <c r="C1867" s="84" t="inlineStr">
        <is>
          <t>上海区域</t>
        </is>
      </c>
      <c r="D1867" s="84" t="inlineStr">
        <is>
          <t>CN0Q</t>
        </is>
      </c>
      <c r="E1867" s="80" t="inlineStr">
        <is>
          <t>EE 苏州比斯特</t>
        </is>
      </c>
      <c r="F1867" s="84" t="n">
        <v>4</v>
      </c>
      <c r="G1867" s="84" t="inlineStr">
        <is>
          <t>奥特莱斯</t>
        </is>
      </c>
      <c r="H1867" s="84" t="inlineStr">
        <is>
          <t>EEYCG23E01</t>
        </is>
      </c>
      <c r="I1867" s="84" t="n">
        <v>799</v>
      </c>
      <c r="J1867" s="84" t="n">
        <v>799</v>
      </c>
      <c r="K1867" s="85" t="n"/>
      <c r="L1867" s="85" t="n"/>
    </row>
    <row r="1868" ht="12.75" customHeight="1" s="103">
      <c r="A1868" s="78">
        <f>MID(H1868,3,2)</f>
        <v/>
      </c>
      <c r="B1868" s="84" t="inlineStr">
        <is>
          <t>B331</t>
        </is>
      </c>
      <c r="C1868" s="84" t="inlineStr">
        <is>
          <t>上海区域</t>
        </is>
      </c>
      <c r="D1868" s="84" t="inlineStr">
        <is>
          <t>CN0Q</t>
        </is>
      </c>
      <c r="E1868" s="80" t="inlineStr">
        <is>
          <t>EE 苏州比斯特</t>
        </is>
      </c>
      <c r="F1868" s="84" t="n">
        <v>4</v>
      </c>
      <c r="G1868" s="84" t="inlineStr">
        <is>
          <t>奥特莱斯</t>
        </is>
      </c>
      <c r="H1868" s="84" t="inlineStr">
        <is>
          <t>EEYCG23E01</t>
        </is>
      </c>
      <c r="I1868" s="84" t="n">
        <v>799</v>
      </c>
      <c r="J1868" s="84" t="n">
        <v>799</v>
      </c>
      <c r="K1868" s="85" t="n">
        <v>1</v>
      </c>
      <c r="L1868" s="85" t="n">
        <v>559</v>
      </c>
    </row>
    <row r="1869" ht="12.75" customHeight="1" s="103">
      <c r="A1869" s="78">
        <f>MID(H1869,3,2)</f>
        <v/>
      </c>
      <c r="B1869" s="84" t="inlineStr">
        <is>
          <t>B331</t>
        </is>
      </c>
      <c r="C1869" s="84" t="inlineStr">
        <is>
          <t>上海区域</t>
        </is>
      </c>
      <c r="D1869" s="84" t="inlineStr">
        <is>
          <t>CN0Q</t>
        </is>
      </c>
      <c r="E1869" s="80" t="inlineStr">
        <is>
          <t>EE 苏州比斯特</t>
        </is>
      </c>
      <c r="F1869" s="84" t="n">
        <v>4</v>
      </c>
      <c r="G1869" s="84" t="inlineStr">
        <is>
          <t>奥特莱斯</t>
        </is>
      </c>
      <c r="H1869" s="84" t="inlineStr">
        <is>
          <t>EEYCG23E01</t>
        </is>
      </c>
      <c r="I1869" s="84" t="n">
        <v>799</v>
      </c>
      <c r="J1869" s="84" t="n">
        <v>799</v>
      </c>
      <c r="K1869" s="85" t="n"/>
      <c r="L1869" s="85" t="n"/>
    </row>
    <row r="1870" ht="12.75" customHeight="1" s="103">
      <c r="A1870" s="78">
        <f>MID(H1870,3,2)</f>
        <v/>
      </c>
      <c r="B1870" s="84" t="inlineStr">
        <is>
          <t>B331</t>
        </is>
      </c>
      <c r="C1870" s="84" t="inlineStr">
        <is>
          <t>上海区域</t>
        </is>
      </c>
      <c r="D1870" s="84" t="inlineStr">
        <is>
          <t>CN0Q</t>
        </is>
      </c>
      <c r="E1870" s="80" t="inlineStr">
        <is>
          <t>EE 苏州比斯特</t>
        </is>
      </c>
      <c r="F1870" s="84" t="n">
        <v>4</v>
      </c>
      <c r="G1870" s="84" t="inlineStr">
        <is>
          <t>奥特莱斯</t>
        </is>
      </c>
      <c r="H1870" s="84" t="inlineStr">
        <is>
          <t>EEYCG23E01</t>
        </is>
      </c>
      <c r="I1870" s="84" t="n">
        <v>799</v>
      </c>
      <c r="J1870" s="84" t="n">
        <v>799</v>
      </c>
      <c r="K1870" s="85" t="n"/>
      <c r="L1870" s="85" t="n"/>
    </row>
    <row r="1871" ht="12.75" customHeight="1" s="103">
      <c r="A1871" s="78">
        <f>MID(H1871,3,2)</f>
        <v/>
      </c>
      <c r="B1871" s="84" t="inlineStr">
        <is>
          <t>B331</t>
        </is>
      </c>
      <c r="C1871" s="84" t="inlineStr">
        <is>
          <t>上海区域</t>
        </is>
      </c>
      <c r="D1871" s="84" t="inlineStr">
        <is>
          <t>CN0Q</t>
        </is>
      </c>
      <c r="E1871" s="80" t="inlineStr">
        <is>
          <t>EE 苏州比斯特</t>
        </is>
      </c>
      <c r="F1871" s="84" t="n">
        <v>4</v>
      </c>
      <c r="G1871" s="84" t="inlineStr">
        <is>
          <t>奥特莱斯</t>
        </is>
      </c>
      <c r="H1871" s="84" t="inlineStr">
        <is>
          <t>EEYCG23E01</t>
        </is>
      </c>
      <c r="I1871" s="84" t="n">
        <v>799</v>
      </c>
      <c r="J1871" s="84" t="n">
        <v>799</v>
      </c>
      <c r="K1871" s="85" t="n"/>
      <c r="L1871" s="85" t="n"/>
    </row>
    <row r="1872" ht="12.75" customHeight="1" s="103">
      <c r="A1872" s="78">
        <f>MID(H1872,3,2)</f>
        <v/>
      </c>
      <c r="B1872" s="84" t="inlineStr">
        <is>
          <t>B331</t>
        </is>
      </c>
      <c r="C1872" s="84" t="inlineStr">
        <is>
          <t>上海区域</t>
        </is>
      </c>
      <c r="D1872" s="84" t="inlineStr">
        <is>
          <t>CN0Q</t>
        </is>
      </c>
      <c r="E1872" s="80" t="inlineStr">
        <is>
          <t>EE 苏州比斯特</t>
        </is>
      </c>
      <c r="F1872" s="84" t="n">
        <v>4</v>
      </c>
      <c r="G1872" s="84" t="inlineStr">
        <is>
          <t>奥特莱斯</t>
        </is>
      </c>
      <c r="H1872" s="84" t="inlineStr">
        <is>
          <t>EEYCG23E01</t>
        </is>
      </c>
      <c r="I1872" s="84" t="n">
        <v>799</v>
      </c>
      <c r="J1872" s="84" t="n">
        <v>799</v>
      </c>
      <c r="K1872" s="85" t="n"/>
      <c r="L1872" s="85" t="n"/>
    </row>
    <row r="1873" ht="12.75" customHeight="1" s="103">
      <c r="A1873" s="78">
        <f>MID(H1873,3,2)</f>
        <v/>
      </c>
      <c r="B1873" s="84" t="inlineStr">
        <is>
          <t>B331</t>
        </is>
      </c>
      <c r="C1873" s="84" t="inlineStr">
        <is>
          <t>上海区域</t>
        </is>
      </c>
      <c r="D1873" s="84" t="inlineStr">
        <is>
          <t>CN0Q</t>
        </is>
      </c>
      <c r="E1873" s="80" t="inlineStr">
        <is>
          <t>EE 苏州比斯特</t>
        </is>
      </c>
      <c r="F1873" s="84" t="n">
        <v>4</v>
      </c>
      <c r="G1873" s="84" t="inlineStr">
        <is>
          <t>奥特莱斯</t>
        </is>
      </c>
      <c r="H1873" s="84" t="inlineStr">
        <is>
          <t>EEYCG24E01</t>
        </is>
      </c>
      <c r="I1873" s="84" t="n">
        <v>699</v>
      </c>
      <c r="J1873" s="84" t="n">
        <v>699</v>
      </c>
      <c r="K1873" s="85" t="n"/>
      <c r="L1873" s="85" t="n"/>
    </row>
    <row r="1874" ht="12.75" customHeight="1" s="103">
      <c r="A1874" s="78">
        <f>MID(H1874,3,2)</f>
        <v/>
      </c>
      <c r="B1874" s="84" t="inlineStr">
        <is>
          <t>B331</t>
        </is>
      </c>
      <c r="C1874" s="84" t="inlineStr">
        <is>
          <t>上海区域</t>
        </is>
      </c>
      <c r="D1874" s="84" t="inlineStr">
        <is>
          <t>CN0Q</t>
        </is>
      </c>
      <c r="E1874" s="80" t="inlineStr">
        <is>
          <t>EE 苏州比斯特</t>
        </is>
      </c>
      <c r="F1874" s="84" t="n">
        <v>4</v>
      </c>
      <c r="G1874" s="84" t="inlineStr">
        <is>
          <t>奥特莱斯</t>
        </is>
      </c>
      <c r="H1874" s="84" t="inlineStr">
        <is>
          <t>EEYCG24E01</t>
        </is>
      </c>
      <c r="I1874" s="84" t="n">
        <v>699</v>
      </c>
      <c r="J1874" s="84" t="n">
        <v>699</v>
      </c>
      <c r="K1874" s="85" t="n"/>
      <c r="L1874" s="85" t="n"/>
    </row>
    <row r="1875" ht="12.75" customHeight="1" s="103">
      <c r="A1875" s="78">
        <f>MID(H1875,3,2)</f>
        <v/>
      </c>
      <c r="B1875" s="84" t="inlineStr">
        <is>
          <t>B331</t>
        </is>
      </c>
      <c r="C1875" s="84" t="inlineStr">
        <is>
          <t>上海区域</t>
        </is>
      </c>
      <c r="D1875" s="84" t="inlineStr">
        <is>
          <t>CN0Q</t>
        </is>
      </c>
      <c r="E1875" s="80" t="inlineStr">
        <is>
          <t>EE 苏州比斯特</t>
        </is>
      </c>
      <c r="F1875" s="84" t="n">
        <v>4</v>
      </c>
      <c r="G1875" s="84" t="inlineStr">
        <is>
          <t>奥特莱斯</t>
        </is>
      </c>
      <c r="H1875" s="84" t="inlineStr">
        <is>
          <t>EEYCG24E01</t>
        </is>
      </c>
      <c r="I1875" s="84" t="n">
        <v>699</v>
      </c>
      <c r="J1875" s="84" t="n">
        <v>699</v>
      </c>
      <c r="K1875" s="85" t="n"/>
      <c r="L1875" s="85" t="n"/>
    </row>
    <row r="1876" ht="12.75" customHeight="1" s="103">
      <c r="A1876" s="78">
        <f>MID(H1876,3,2)</f>
        <v/>
      </c>
      <c r="B1876" s="84" t="inlineStr">
        <is>
          <t>B331</t>
        </is>
      </c>
      <c r="C1876" s="84" t="inlineStr">
        <is>
          <t>上海区域</t>
        </is>
      </c>
      <c r="D1876" s="84" t="inlineStr">
        <is>
          <t>CN0Q</t>
        </is>
      </c>
      <c r="E1876" s="80" t="inlineStr">
        <is>
          <t>EE 苏州比斯特</t>
        </is>
      </c>
      <c r="F1876" s="84" t="n">
        <v>4</v>
      </c>
      <c r="G1876" s="84" t="inlineStr">
        <is>
          <t>奥特莱斯</t>
        </is>
      </c>
      <c r="H1876" s="84" t="inlineStr">
        <is>
          <t>EEYCG24E01</t>
        </is>
      </c>
      <c r="I1876" s="84" t="n">
        <v>699</v>
      </c>
      <c r="J1876" s="84" t="n">
        <v>699</v>
      </c>
      <c r="K1876" s="85" t="n">
        <v>1</v>
      </c>
      <c r="L1876" s="85" t="n">
        <v>489</v>
      </c>
    </row>
    <row r="1877" ht="12.75" customHeight="1" s="103">
      <c r="A1877" s="78">
        <f>MID(H1877,3,2)</f>
        <v/>
      </c>
      <c r="B1877" s="84" t="inlineStr">
        <is>
          <t>B331</t>
        </is>
      </c>
      <c r="C1877" s="84" t="inlineStr">
        <is>
          <t>上海区域</t>
        </is>
      </c>
      <c r="D1877" s="84" t="inlineStr">
        <is>
          <t>CN0Q</t>
        </is>
      </c>
      <c r="E1877" s="80" t="inlineStr">
        <is>
          <t>EE 苏州比斯特</t>
        </is>
      </c>
      <c r="F1877" s="84" t="n">
        <v>4</v>
      </c>
      <c r="G1877" s="84" t="inlineStr">
        <is>
          <t>奥特莱斯</t>
        </is>
      </c>
      <c r="H1877" s="84" t="inlineStr">
        <is>
          <t>EEYCG24E01</t>
        </is>
      </c>
      <c r="I1877" s="84" t="n">
        <v>699</v>
      </c>
      <c r="J1877" s="84" t="n">
        <v>699</v>
      </c>
      <c r="K1877" s="85" t="n">
        <v>1</v>
      </c>
      <c r="L1877" s="85" t="n">
        <v>443</v>
      </c>
    </row>
    <row r="1878" ht="12.75" customHeight="1" s="103">
      <c r="A1878" s="78">
        <f>MID(H1878,3,2)</f>
        <v/>
      </c>
      <c r="B1878" s="84" t="inlineStr">
        <is>
          <t>B331</t>
        </is>
      </c>
      <c r="C1878" s="84" t="inlineStr">
        <is>
          <t>上海区域</t>
        </is>
      </c>
      <c r="D1878" s="84" t="inlineStr">
        <is>
          <t>CN0Q</t>
        </is>
      </c>
      <c r="E1878" s="80" t="inlineStr">
        <is>
          <t>EE 苏州比斯特</t>
        </is>
      </c>
      <c r="F1878" s="84" t="n">
        <v>4</v>
      </c>
      <c r="G1878" s="84" t="inlineStr">
        <is>
          <t>奥特莱斯</t>
        </is>
      </c>
      <c r="H1878" s="84" t="inlineStr">
        <is>
          <t>EEYCG24E01</t>
        </is>
      </c>
      <c r="I1878" s="84" t="n">
        <v>699</v>
      </c>
      <c r="J1878" s="84" t="n">
        <v>699</v>
      </c>
      <c r="K1878" s="85" t="n">
        <v>1</v>
      </c>
      <c r="L1878" s="85" t="n">
        <v>444</v>
      </c>
    </row>
    <row r="1879" ht="12.75" customHeight="1" s="103">
      <c r="A1879" s="78">
        <f>MID(H1879,3,2)</f>
        <v/>
      </c>
      <c r="B1879" s="84" t="inlineStr">
        <is>
          <t>B331</t>
        </is>
      </c>
      <c r="C1879" s="84" t="inlineStr">
        <is>
          <t>上海区域</t>
        </is>
      </c>
      <c r="D1879" s="84" t="inlineStr">
        <is>
          <t>CN0Q</t>
        </is>
      </c>
      <c r="E1879" s="80" t="inlineStr">
        <is>
          <t>EE 苏州比斯特</t>
        </is>
      </c>
      <c r="F1879" s="84" t="n">
        <v>4</v>
      </c>
      <c r="G1879" s="84" t="inlineStr">
        <is>
          <t>奥特莱斯</t>
        </is>
      </c>
      <c r="H1879" s="84" t="inlineStr">
        <is>
          <t>EEYCG24E02</t>
        </is>
      </c>
      <c r="I1879" s="84" t="n">
        <v>799</v>
      </c>
      <c r="J1879" s="84" t="n">
        <v>799</v>
      </c>
      <c r="K1879" s="85" t="n">
        <v>2</v>
      </c>
      <c r="L1879" s="85" t="n">
        <v>523</v>
      </c>
    </row>
    <row r="1880" ht="12.75" customHeight="1" s="103">
      <c r="A1880" s="78">
        <f>MID(H1880,3,2)</f>
        <v/>
      </c>
      <c r="B1880" s="84" t="inlineStr">
        <is>
          <t>B331</t>
        </is>
      </c>
      <c r="C1880" s="84" t="inlineStr">
        <is>
          <t>上海区域</t>
        </is>
      </c>
      <c r="D1880" s="84" t="inlineStr">
        <is>
          <t>CN0Q</t>
        </is>
      </c>
      <c r="E1880" s="80" t="inlineStr">
        <is>
          <t>EE 苏州比斯特</t>
        </is>
      </c>
      <c r="F1880" s="84" t="n">
        <v>4</v>
      </c>
      <c r="G1880" s="84" t="inlineStr">
        <is>
          <t>奥特莱斯</t>
        </is>
      </c>
      <c r="H1880" s="84" t="inlineStr">
        <is>
          <t>EEYCG24E02</t>
        </is>
      </c>
      <c r="I1880" s="84" t="n">
        <v>799</v>
      </c>
      <c r="J1880" s="84" t="n">
        <v>799</v>
      </c>
      <c r="K1880" s="85" t="n">
        <v>3</v>
      </c>
      <c r="L1880" s="86" t="n">
        <v>1525</v>
      </c>
    </row>
    <row r="1881" ht="12.75" customHeight="1" s="103">
      <c r="A1881" s="78">
        <f>MID(H1881,3,2)</f>
        <v/>
      </c>
      <c r="B1881" s="84" t="inlineStr">
        <is>
          <t>B331</t>
        </is>
      </c>
      <c r="C1881" s="84" t="inlineStr">
        <is>
          <t>上海区域</t>
        </is>
      </c>
      <c r="D1881" s="84" t="inlineStr">
        <is>
          <t>CN0Q</t>
        </is>
      </c>
      <c r="E1881" s="80" t="inlineStr">
        <is>
          <t>EE 苏州比斯特</t>
        </is>
      </c>
      <c r="F1881" s="84" t="n">
        <v>4</v>
      </c>
      <c r="G1881" s="84" t="inlineStr">
        <is>
          <t>奥特莱斯</t>
        </is>
      </c>
      <c r="H1881" s="84" t="inlineStr">
        <is>
          <t>EEYCG24E02</t>
        </is>
      </c>
      <c r="I1881" s="84" t="n">
        <v>799</v>
      </c>
      <c r="J1881" s="84" t="n">
        <v>799</v>
      </c>
      <c r="K1881" s="85" t="n">
        <v>1</v>
      </c>
      <c r="L1881" s="85" t="n">
        <v>524</v>
      </c>
    </row>
    <row r="1882" ht="12.75" customHeight="1" s="103">
      <c r="A1882" s="78">
        <f>MID(H1882,3,2)</f>
        <v/>
      </c>
      <c r="B1882" s="84" t="inlineStr">
        <is>
          <t>B331</t>
        </is>
      </c>
      <c r="C1882" s="84" t="inlineStr">
        <is>
          <t>上海区域</t>
        </is>
      </c>
      <c r="D1882" s="84" t="inlineStr">
        <is>
          <t>CN0Q</t>
        </is>
      </c>
      <c r="E1882" s="80" t="inlineStr">
        <is>
          <t>EE 苏州比斯特</t>
        </is>
      </c>
      <c r="F1882" s="84" t="n">
        <v>4</v>
      </c>
      <c r="G1882" s="84" t="inlineStr">
        <is>
          <t>奥特莱斯</t>
        </is>
      </c>
      <c r="H1882" s="84" t="inlineStr">
        <is>
          <t>EEYCG25B1G</t>
        </is>
      </c>
      <c r="I1882" s="84" t="n">
        <v>799</v>
      </c>
      <c r="J1882" s="84" t="n">
        <v>799</v>
      </c>
      <c r="K1882" s="85" t="n"/>
      <c r="L1882" s="85" t="n"/>
    </row>
    <row r="1883" ht="12.75" customHeight="1" s="103">
      <c r="A1883" s="78">
        <f>MID(H1883,3,2)</f>
        <v/>
      </c>
      <c r="B1883" s="84" t="inlineStr">
        <is>
          <t>B331</t>
        </is>
      </c>
      <c r="C1883" s="84" t="inlineStr">
        <is>
          <t>上海区域</t>
        </is>
      </c>
      <c r="D1883" s="84" t="inlineStr">
        <is>
          <t>CN0Q</t>
        </is>
      </c>
      <c r="E1883" s="80" t="inlineStr">
        <is>
          <t>EE 苏州比斯特</t>
        </is>
      </c>
      <c r="F1883" s="84" t="n">
        <v>4</v>
      </c>
      <c r="G1883" s="84" t="inlineStr">
        <is>
          <t>奥特莱斯</t>
        </is>
      </c>
      <c r="H1883" s="84" t="inlineStr">
        <is>
          <t>EEYCG25B1G</t>
        </is>
      </c>
      <c r="I1883" s="84" t="n">
        <v>799</v>
      </c>
      <c r="J1883" s="84" t="n">
        <v>799</v>
      </c>
      <c r="K1883" s="85" t="n"/>
      <c r="L1883" s="85" t="n"/>
    </row>
    <row r="1884" ht="12.75" customHeight="1" s="103">
      <c r="A1884" s="78">
        <f>MID(H1884,3,2)</f>
        <v/>
      </c>
      <c r="B1884" s="84" t="inlineStr">
        <is>
          <t>B331</t>
        </is>
      </c>
      <c r="C1884" s="84" t="inlineStr">
        <is>
          <t>上海区域</t>
        </is>
      </c>
      <c r="D1884" s="84" t="inlineStr">
        <is>
          <t>CN0Q</t>
        </is>
      </c>
      <c r="E1884" s="80" t="inlineStr">
        <is>
          <t>EE 苏州比斯特</t>
        </is>
      </c>
      <c r="F1884" s="84" t="n">
        <v>4</v>
      </c>
      <c r="G1884" s="84" t="inlineStr">
        <is>
          <t>奥特莱斯</t>
        </is>
      </c>
      <c r="H1884" s="84" t="inlineStr">
        <is>
          <t>EEYCG25B1G</t>
        </is>
      </c>
      <c r="I1884" s="84" t="n">
        <v>799</v>
      </c>
      <c r="J1884" s="84" t="n">
        <v>799</v>
      </c>
      <c r="K1884" s="85" t="n"/>
      <c r="L1884" s="85" t="n"/>
    </row>
    <row r="1885" ht="12.75" customHeight="1" s="103">
      <c r="A1885" s="78">
        <f>MID(H1885,3,2)</f>
        <v/>
      </c>
      <c r="B1885" s="84" t="inlineStr">
        <is>
          <t>B331</t>
        </is>
      </c>
      <c r="C1885" s="84" t="inlineStr">
        <is>
          <t>上海区域</t>
        </is>
      </c>
      <c r="D1885" s="84" t="inlineStr">
        <is>
          <t>CN0Q</t>
        </is>
      </c>
      <c r="E1885" s="80" t="inlineStr">
        <is>
          <t>EE 苏州比斯特</t>
        </is>
      </c>
      <c r="F1885" s="84" t="n">
        <v>4</v>
      </c>
      <c r="G1885" s="84" t="inlineStr">
        <is>
          <t>奥特莱斯</t>
        </is>
      </c>
      <c r="H1885" s="84" t="inlineStr">
        <is>
          <t>EEYCG25B1G</t>
        </is>
      </c>
      <c r="I1885" s="84" t="n">
        <v>799</v>
      </c>
      <c r="J1885" s="84" t="n">
        <v>799</v>
      </c>
      <c r="K1885" s="85" t="n"/>
      <c r="L1885" s="85" t="n"/>
    </row>
    <row r="1886" ht="12.75" customHeight="1" s="103">
      <c r="A1886" s="78">
        <f>MID(H1886,3,2)</f>
        <v/>
      </c>
      <c r="B1886" s="84" t="inlineStr">
        <is>
          <t>B331</t>
        </is>
      </c>
      <c r="C1886" s="84" t="inlineStr">
        <is>
          <t>上海区域</t>
        </is>
      </c>
      <c r="D1886" s="84" t="inlineStr">
        <is>
          <t>CN0Q</t>
        </is>
      </c>
      <c r="E1886" s="80" t="inlineStr">
        <is>
          <t>EE 苏州比斯特</t>
        </is>
      </c>
      <c r="F1886" s="84" t="n">
        <v>4</v>
      </c>
      <c r="G1886" s="84" t="inlineStr">
        <is>
          <t>奥特莱斯</t>
        </is>
      </c>
      <c r="H1886" s="84" t="inlineStr">
        <is>
          <t>EEYCG26E01</t>
        </is>
      </c>
      <c r="I1886" s="84" t="n">
        <v>799</v>
      </c>
      <c r="J1886" s="84" t="n">
        <v>799</v>
      </c>
      <c r="K1886" s="85" t="n">
        <v>4</v>
      </c>
      <c r="L1886" s="86" t="n">
        <v>1528</v>
      </c>
    </row>
    <row r="1887" ht="12.75" customHeight="1" s="103">
      <c r="A1887" s="78">
        <f>MID(H1887,3,2)</f>
        <v/>
      </c>
      <c r="B1887" s="84" t="inlineStr">
        <is>
          <t>B331</t>
        </is>
      </c>
      <c r="C1887" s="84" t="inlineStr">
        <is>
          <t>上海区域</t>
        </is>
      </c>
      <c r="D1887" s="84" t="inlineStr">
        <is>
          <t>CN0Q</t>
        </is>
      </c>
      <c r="E1887" s="80" t="inlineStr">
        <is>
          <t>EE 苏州比斯特</t>
        </is>
      </c>
      <c r="F1887" s="84" t="n">
        <v>4</v>
      </c>
      <c r="G1887" s="84" t="inlineStr">
        <is>
          <t>奥特莱斯</t>
        </is>
      </c>
      <c r="H1887" s="84" t="inlineStr">
        <is>
          <t>EEYCG26E01</t>
        </is>
      </c>
      <c r="I1887" s="84" t="n">
        <v>799</v>
      </c>
      <c r="J1887" s="84" t="n">
        <v>799</v>
      </c>
      <c r="K1887" s="85" t="n">
        <v>3</v>
      </c>
      <c r="L1887" s="86" t="n">
        <v>1265</v>
      </c>
    </row>
    <row r="1888" ht="12.75" customHeight="1" s="103">
      <c r="A1888" s="78">
        <f>MID(H1888,3,2)</f>
        <v/>
      </c>
      <c r="B1888" s="84" t="inlineStr">
        <is>
          <t>B331</t>
        </is>
      </c>
      <c r="C1888" s="84" t="inlineStr">
        <is>
          <t>上海区域</t>
        </is>
      </c>
      <c r="D1888" s="84" t="inlineStr">
        <is>
          <t>CN0Q</t>
        </is>
      </c>
      <c r="E1888" s="80" t="inlineStr">
        <is>
          <t>EE 苏州比斯特</t>
        </is>
      </c>
      <c r="F1888" s="84" t="n">
        <v>4</v>
      </c>
      <c r="G1888" s="84" t="inlineStr">
        <is>
          <t>奥特莱斯</t>
        </is>
      </c>
      <c r="H1888" s="84" t="inlineStr">
        <is>
          <t>EEYCG26E01</t>
        </is>
      </c>
      <c r="I1888" s="84" t="n">
        <v>799</v>
      </c>
      <c r="J1888" s="84" t="n">
        <v>799</v>
      </c>
      <c r="K1888" s="85" t="n">
        <v>2</v>
      </c>
      <c r="L1888" s="86" t="n">
        <v>1019</v>
      </c>
    </row>
    <row r="1889" ht="12.75" customHeight="1" s="103">
      <c r="A1889" s="78">
        <f>MID(H1889,3,2)</f>
        <v/>
      </c>
      <c r="B1889" s="84" t="inlineStr">
        <is>
          <t>B331</t>
        </is>
      </c>
      <c r="C1889" s="84" t="inlineStr">
        <is>
          <t>上海区域</t>
        </is>
      </c>
      <c r="D1889" s="84" t="inlineStr">
        <is>
          <t>CN0Q</t>
        </is>
      </c>
      <c r="E1889" s="80" t="inlineStr">
        <is>
          <t>EE 苏州比斯特</t>
        </is>
      </c>
      <c r="F1889" s="84" t="n">
        <v>4</v>
      </c>
      <c r="G1889" s="84" t="inlineStr">
        <is>
          <t>奥特莱斯</t>
        </is>
      </c>
      <c r="H1889" s="84" t="inlineStr">
        <is>
          <t>EEYCG63S01</t>
        </is>
      </c>
      <c r="I1889" s="84" t="n">
        <v>799</v>
      </c>
      <c r="J1889" s="84" t="n">
        <v>799</v>
      </c>
      <c r="K1889" s="85" t="n">
        <v>1</v>
      </c>
      <c r="L1889" s="85" t="n">
        <v>240</v>
      </c>
    </row>
    <row r="1890" ht="12.75" customHeight="1" s="103">
      <c r="A1890" s="78">
        <f>MID(H1890,3,2)</f>
        <v/>
      </c>
      <c r="B1890" s="84" t="inlineStr">
        <is>
          <t>B331</t>
        </is>
      </c>
      <c r="C1890" s="84" t="inlineStr">
        <is>
          <t>上海区域</t>
        </is>
      </c>
      <c r="D1890" s="84" t="inlineStr">
        <is>
          <t>CN0Q</t>
        </is>
      </c>
      <c r="E1890" s="80" t="inlineStr">
        <is>
          <t>EE 苏州比斯特</t>
        </is>
      </c>
      <c r="F1890" s="84" t="n">
        <v>4</v>
      </c>
      <c r="G1890" s="84" t="inlineStr">
        <is>
          <t>奥特莱斯</t>
        </is>
      </c>
      <c r="H1890" s="84" t="inlineStr">
        <is>
          <t>EEYCG63S01</t>
        </is>
      </c>
      <c r="I1890" s="84" t="n">
        <v>799</v>
      </c>
      <c r="J1890" s="84" t="n">
        <v>799</v>
      </c>
      <c r="K1890" s="85" t="n"/>
      <c r="L1890" s="85" t="n"/>
    </row>
    <row r="1891" ht="12.75" customHeight="1" s="103">
      <c r="A1891" s="78">
        <f>MID(H1891,3,2)</f>
        <v/>
      </c>
      <c r="B1891" s="84" t="inlineStr">
        <is>
          <t>B331</t>
        </is>
      </c>
      <c r="C1891" s="84" t="inlineStr">
        <is>
          <t>上海区域</t>
        </is>
      </c>
      <c r="D1891" s="84" t="inlineStr">
        <is>
          <t>CN0Q</t>
        </is>
      </c>
      <c r="E1891" s="80" t="inlineStr">
        <is>
          <t>EE 苏州比斯特</t>
        </is>
      </c>
      <c r="F1891" s="84" t="n">
        <v>4</v>
      </c>
      <c r="G1891" s="84" t="inlineStr">
        <is>
          <t>奥特莱斯</t>
        </is>
      </c>
      <c r="H1891" s="84" t="inlineStr">
        <is>
          <t>EEYCG63S01</t>
        </is>
      </c>
      <c r="I1891" s="84" t="n">
        <v>799</v>
      </c>
      <c r="J1891" s="84" t="n">
        <v>799</v>
      </c>
      <c r="K1891" s="85" t="n">
        <v>1</v>
      </c>
      <c r="L1891" s="85" t="n">
        <v>400</v>
      </c>
    </row>
    <row r="1892" ht="12.75" customHeight="1" s="103">
      <c r="A1892" s="78">
        <f>MID(H1892,3,2)</f>
        <v/>
      </c>
      <c r="B1892" s="84" t="inlineStr">
        <is>
          <t>B331</t>
        </is>
      </c>
      <c r="C1892" s="84" t="inlineStr">
        <is>
          <t>上海区域</t>
        </is>
      </c>
      <c r="D1892" s="84" t="inlineStr">
        <is>
          <t>CN0Q</t>
        </is>
      </c>
      <c r="E1892" s="80" t="inlineStr">
        <is>
          <t>EE 苏州比斯特</t>
        </is>
      </c>
      <c r="F1892" s="84" t="n">
        <v>4</v>
      </c>
      <c r="G1892" s="84" t="inlineStr">
        <is>
          <t>奥特莱斯</t>
        </is>
      </c>
      <c r="H1892" s="84" t="inlineStr">
        <is>
          <t>EEYCG63S01</t>
        </is>
      </c>
      <c r="I1892" s="84" t="n">
        <v>799</v>
      </c>
      <c r="J1892" s="84" t="n">
        <v>799</v>
      </c>
      <c r="K1892" s="85" t="n">
        <v>4</v>
      </c>
      <c r="L1892" s="86" t="n">
        <v>1499</v>
      </c>
    </row>
    <row r="1893" ht="12.75" customHeight="1" s="103">
      <c r="A1893" s="78">
        <f>MID(H1893,3,2)</f>
        <v/>
      </c>
      <c r="B1893" s="84" t="inlineStr">
        <is>
          <t>B331</t>
        </is>
      </c>
      <c r="C1893" s="84" t="inlineStr">
        <is>
          <t>上海区域</t>
        </is>
      </c>
      <c r="D1893" s="84" t="inlineStr">
        <is>
          <t>CN0Q</t>
        </is>
      </c>
      <c r="E1893" s="80" t="inlineStr">
        <is>
          <t>EE 苏州比斯特</t>
        </is>
      </c>
      <c r="F1893" s="84" t="n">
        <v>4</v>
      </c>
      <c r="G1893" s="84" t="inlineStr">
        <is>
          <t>奥特莱斯</t>
        </is>
      </c>
      <c r="H1893" s="84" t="inlineStr">
        <is>
          <t>EEYCG63S01</t>
        </is>
      </c>
      <c r="I1893" s="84" t="n">
        <v>799</v>
      </c>
      <c r="J1893" s="84" t="n">
        <v>799</v>
      </c>
      <c r="K1893" s="85" t="n">
        <v>1</v>
      </c>
      <c r="L1893" s="85" t="n">
        <v>400</v>
      </c>
    </row>
    <row r="1894" ht="12.75" customHeight="1" s="103">
      <c r="A1894" s="78">
        <f>MID(H1894,3,2)</f>
        <v/>
      </c>
      <c r="B1894" s="84" t="inlineStr">
        <is>
          <t>B331</t>
        </is>
      </c>
      <c r="C1894" s="84" t="inlineStr">
        <is>
          <t>上海区域</t>
        </is>
      </c>
      <c r="D1894" s="84" t="inlineStr">
        <is>
          <t>CN0Q</t>
        </is>
      </c>
      <c r="E1894" s="80" t="inlineStr">
        <is>
          <t>EE 苏州比斯特</t>
        </is>
      </c>
      <c r="F1894" s="84" t="n">
        <v>4</v>
      </c>
      <c r="G1894" s="84" t="inlineStr">
        <is>
          <t>奥特莱斯</t>
        </is>
      </c>
      <c r="H1894" s="84" t="inlineStr">
        <is>
          <t>EEYCG63S01</t>
        </is>
      </c>
      <c r="I1894" s="84" t="n">
        <v>799</v>
      </c>
      <c r="J1894" s="84" t="n">
        <v>799</v>
      </c>
      <c r="K1894" s="85" t="n"/>
      <c r="L1894" s="85" t="n"/>
    </row>
    <row r="1895" ht="12.75" customHeight="1" s="103">
      <c r="A1895" s="78">
        <f>MID(H1895,3,2)</f>
        <v/>
      </c>
      <c r="B1895" s="84" t="inlineStr">
        <is>
          <t>B331</t>
        </is>
      </c>
      <c r="C1895" s="84" t="inlineStr">
        <is>
          <t>上海区域</t>
        </is>
      </c>
      <c r="D1895" s="84" t="inlineStr">
        <is>
          <t>CN0Q</t>
        </is>
      </c>
      <c r="E1895" s="80" t="inlineStr">
        <is>
          <t>EE 苏州比斯特</t>
        </is>
      </c>
      <c r="F1895" s="84" t="n">
        <v>4</v>
      </c>
      <c r="G1895" s="84" t="inlineStr">
        <is>
          <t>奥特莱斯</t>
        </is>
      </c>
      <c r="H1895" s="84" t="inlineStr">
        <is>
          <t>EEYPG12E1G</t>
        </is>
      </c>
      <c r="I1895" s="84" t="n">
        <v>799</v>
      </c>
      <c r="J1895" s="84" t="n">
        <v>799</v>
      </c>
      <c r="K1895" s="85" t="n">
        <v>1</v>
      </c>
      <c r="L1895" s="85" t="n"/>
    </row>
    <row r="1896" ht="12.75" customHeight="1" s="103">
      <c r="A1896" s="78">
        <f>MID(H1896,3,2)</f>
        <v/>
      </c>
      <c r="B1896" s="84" t="inlineStr">
        <is>
          <t>B331</t>
        </is>
      </c>
      <c r="C1896" s="84" t="inlineStr">
        <is>
          <t>上海区域</t>
        </is>
      </c>
      <c r="D1896" s="84" t="inlineStr">
        <is>
          <t>CN0Q</t>
        </is>
      </c>
      <c r="E1896" s="80" t="inlineStr">
        <is>
          <t>EE 苏州比斯特</t>
        </is>
      </c>
      <c r="F1896" s="84" t="n">
        <v>4</v>
      </c>
      <c r="G1896" s="84" t="inlineStr">
        <is>
          <t>奥特莱斯</t>
        </is>
      </c>
      <c r="H1896" s="84" t="inlineStr">
        <is>
          <t>EEYPG12E1G</t>
        </is>
      </c>
      <c r="I1896" s="84" t="n">
        <v>799</v>
      </c>
      <c r="J1896" s="84" t="n">
        <v>799</v>
      </c>
      <c r="K1896" s="85" t="n">
        <v>2</v>
      </c>
      <c r="L1896" s="85" t="n">
        <v>240</v>
      </c>
    </row>
    <row r="1897" ht="12.75" customHeight="1" s="103">
      <c r="A1897" s="78">
        <f>MID(H1897,3,2)</f>
        <v/>
      </c>
      <c r="B1897" s="84" t="inlineStr">
        <is>
          <t>B331</t>
        </is>
      </c>
      <c r="C1897" s="84" t="inlineStr">
        <is>
          <t>上海区域</t>
        </is>
      </c>
      <c r="D1897" s="84" t="inlineStr">
        <is>
          <t>CN0Q</t>
        </is>
      </c>
      <c r="E1897" s="80" t="inlineStr">
        <is>
          <t>EE 苏州比斯特</t>
        </is>
      </c>
      <c r="F1897" s="84" t="n">
        <v>4</v>
      </c>
      <c r="G1897" s="84" t="inlineStr">
        <is>
          <t>奥特莱斯</t>
        </is>
      </c>
      <c r="H1897" s="84" t="inlineStr">
        <is>
          <t>EEYPG12E1G</t>
        </is>
      </c>
      <c r="I1897" s="84" t="n">
        <v>799</v>
      </c>
      <c r="J1897" s="84" t="n">
        <v>799</v>
      </c>
      <c r="K1897" s="85" t="n"/>
      <c r="L1897" s="85" t="n"/>
    </row>
    <row r="1898" ht="12.75" customHeight="1" s="103">
      <c r="A1898" s="78">
        <f>MID(H1898,3,2)</f>
        <v/>
      </c>
      <c r="B1898" s="84" t="inlineStr">
        <is>
          <t>B331</t>
        </is>
      </c>
      <c r="C1898" s="84" t="inlineStr">
        <is>
          <t>上海区域</t>
        </is>
      </c>
      <c r="D1898" s="84" t="inlineStr">
        <is>
          <t>CN0Q</t>
        </is>
      </c>
      <c r="E1898" s="80" t="inlineStr">
        <is>
          <t>EE 苏州比斯特</t>
        </is>
      </c>
      <c r="F1898" s="84" t="n">
        <v>4</v>
      </c>
      <c r="G1898" s="84" t="inlineStr">
        <is>
          <t>奥特莱斯</t>
        </is>
      </c>
      <c r="H1898" s="84" t="inlineStr">
        <is>
          <t>EEYPG12E1G</t>
        </is>
      </c>
      <c r="I1898" s="84" t="n">
        <v>799</v>
      </c>
      <c r="J1898" s="84" t="n">
        <v>799</v>
      </c>
      <c r="K1898" s="85" t="n">
        <v>1</v>
      </c>
      <c r="L1898" s="85" t="n">
        <v>361</v>
      </c>
    </row>
    <row r="1899" ht="12.75" customHeight="1" s="103">
      <c r="A1899" s="78">
        <f>MID(H1899,3,2)</f>
        <v/>
      </c>
      <c r="B1899" s="84" t="inlineStr">
        <is>
          <t>B331</t>
        </is>
      </c>
      <c r="C1899" s="84" t="inlineStr">
        <is>
          <t>上海区域</t>
        </is>
      </c>
      <c r="D1899" s="84" t="inlineStr">
        <is>
          <t>CN0Q</t>
        </is>
      </c>
      <c r="E1899" s="80" t="inlineStr">
        <is>
          <t>EE 苏州比斯特</t>
        </is>
      </c>
      <c r="F1899" s="84" t="n">
        <v>4</v>
      </c>
      <c r="G1899" s="84" t="inlineStr">
        <is>
          <t>奥特莱斯</t>
        </is>
      </c>
      <c r="H1899" s="84" t="inlineStr">
        <is>
          <t>EEYPG23E01</t>
        </is>
      </c>
      <c r="I1899" s="84" t="n">
        <v>699</v>
      </c>
      <c r="J1899" s="84" t="n">
        <v>699</v>
      </c>
      <c r="K1899" s="85" t="n"/>
      <c r="L1899" s="85" t="n"/>
    </row>
    <row r="1900" ht="12.75" customHeight="1" s="103">
      <c r="A1900" s="78">
        <f>MID(H1900,3,2)</f>
        <v/>
      </c>
      <c r="B1900" s="84" t="inlineStr">
        <is>
          <t>B331</t>
        </is>
      </c>
      <c r="C1900" s="84" t="inlineStr">
        <is>
          <t>上海区域</t>
        </is>
      </c>
      <c r="D1900" s="84" t="inlineStr">
        <is>
          <t>CN0Q</t>
        </is>
      </c>
      <c r="E1900" s="80" t="inlineStr">
        <is>
          <t>EE 苏州比斯特</t>
        </is>
      </c>
      <c r="F1900" s="84" t="n">
        <v>4</v>
      </c>
      <c r="G1900" s="84" t="inlineStr">
        <is>
          <t>奥特莱斯</t>
        </is>
      </c>
      <c r="H1900" s="84" t="inlineStr">
        <is>
          <t>EEYPG23E01</t>
        </is>
      </c>
      <c r="I1900" s="84" t="n">
        <v>699</v>
      </c>
      <c r="J1900" s="84" t="n">
        <v>699</v>
      </c>
      <c r="K1900" s="85" t="n">
        <v>2</v>
      </c>
      <c r="L1900" s="85" t="n">
        <v>979</v>
      </c>
    </row>
    <row r="1901" ht="12.75" customHeight="1" s="103">
      <c r="A1901" s="78">
        <f>MID(H1901,3,2)</f>
        <v/>
      </c>
      <c r="B1901" s="84" t="inlineStr">
        <is>
          <t>B331</t>
        </is>
      </c>
      <c r="C1901" s="84" t="inlineStr">
        <is>
          <t>上海区域</t>
        </is>
      </c>
      <c r="D1901" s="84" t="inlineStr">
        <is>
          <t>CN0Q</t>
        </is>
      </c>
      <c r="E1901" s="80" t="inlineStr">
        <is>
          <t>EE 苏州比斯特</t>
        </is>
      </c>
      <c r="F1901" s="84" t="n">
        <v>4</v>
      </c>
      <c r="G1901" s="84" t="inlineStr">
        <is>
          <t>奥特莱斯</t>
        </is>
      </c>
      <c r="H1901" s="84" t="inlineStr">
        <is>
          <t>EEYPG23E01</t>
        </is>
      </c>
      <c r="I1901" s="84" t="n">
        <v>699</v>
      </c>
      <c r="J1901" s="84" t="n">
        <v>699</v>
      </c>
      <c r="K1901" s="85" t="n">
        <v>1</v>
      </c>
      <c r="L1901" s="85" t="n">
        <v>489</v>
      </c>
    </row>
    <row r="1902" ht="12.75" customHeight="1" s="103">
      <c r="A1902" s="78">
        <f>MID(H1902,3,2)</f>
        <v/>
      </c>
      <c r="B1902" s="84" t="inlineStr">
        <is>
          <t>B331</t>
        </is>
      </c>
      <c r="C1902" s="84" t="inlineStr">
        <is>
          <t>上海区域</t>
        </is>
      </c>
      <c r="D1902" s="84" t="inlineStr">
        <is>
          <t>CN0Q</t>
        </is>
      </c>
      <c r="E1902" s="80" t="inlineStr">
        <is>
          <t>EE 苏州比斯特</t>
        </is>
      </c>
      <c r="F1902" s="84" t="n">
        <v>4</v>
      </c>
      <c r="G1902" s="84" t="inlineStr">
        <is>
          <t>奥特莱斯</t>
        </is>
      </c>
      <c r="H1902" s="84" t="inlineStr">
        <is>
          <t>EEYPG23E01</t>
        </is>
      </c>
      <c r="I1902" s="84" t="n">
        <v>699</v>
      </c>
      <c r="J1902" s="84" t="n">
        <v>699</v>
      </c>
      <c r="K1902" s="85" t="n">
        <v>3</v>
      </c>
      <c r="L1902" s="85" t="n">
        <v>922</v>
      </c>
    </row>
    <row r="1903" ht="12.75" customHeight="1" s="103">
      <c r="A1903" s="78">
        <f>MID(H1903,3,2)</f>
        <v/>
      </c>
      <c r="B1903" s="84" t="inlineStr">
        <is>
          <t>B331</t>
        </is>
      </c>
      <c r="C1903" s="84" t="inlineStr">
        <is>
          <t>上海区域</t>
        </is>
      </c>
      <c r="D1903" s="84" t="inlineStr">
        <is>
          <t>CN0Q</t>
        </is>
      </c>
      <c r="E1903" s="80" t="inlineStr">
        <is>
          <t>EE 苏州比斯特</t>
        </is>
      </c>
      <c r="F1903" s="84" t="n">
        <v>4</v>
      </c>
      <c r="G1903" s="84" t="inlineStr">
        <is>
          <t>奥特莱斯</t>
        </is>
      </c>
      <c r="H1903" s="84" t="inlineStr">
        <is>
          <t>EEYPG23E01</t>
        </is>
      </c>
      <c r="I1903" s="84" t="n">
        <v>699</v>
      </c>
      <c r="J1903" s="84" t="n">
        <v>699</v>
      </c>
      <c r="K1903" s="85" t="n">
        <v>4</v>
      </c>
      <c r="L1903" s="86" t="n">
        <v>1421</v>
      </c>
    </row>
    <row r="1904" ht="12.75" customHeight="1" s="103">
      <c r="A1904" s="78">
        <f>MID(H1904,3,2)</f>
        <v/>
      </c>
      <c r="B1904" s="84" t="inlineStr">
        <is>
          <t>B331</t>
        </is>
      </c>
      <c r="C1904" s="84" t="inlineStr">
        <is>
          <t>上海区域</t>
        </is>
      </c>
      <c r="D1904" s="84" t="inlineStr">
        <is>
          <t>CN0Q</t>
        </is>
      </c>
      <c r="E1904" s="80" t="inlineStr">
        <is>
          <t>EE 苏州比斯特</t>
        </is>
      </c>
      <c r="F1904" s="84" t="n">
        <v>4</v>
      </c>
      <c r="G1904" s="84" t="inlineStr">
        <is>
          <t>奥特莱斯</t>
        </is>
      </c>
      <c r="H1904" s="84" t="inlineStr">
        <is>
          <t>EEYPG23E01</t>
        </is>
      </c>
      <c r="I1904" s="84" t="n">
        <v>699</v>
      </c>
      <c r="J1904" s="84" t="n">
        <v>699</v>
      </c>
      <c r="K1904" s="85" t="n">
        <v>3</v>
      </c>
      <c r="L1904" s="85" t="n">
        <v>904</v>
      </c>
    </row>
    <row r="1905" ht="12.75" customHeight="1" s="103">
      <c r="A1905" s="78">
        <f>MID(H1905,3,2)</f>
        <v/>
      </c>
      <c r="B1905" s="84" t="inlineStr">
        <is>
          <t>B331</t>
        </is>
      </c>
      <c r="C1905" s="84" t="inlineStr">
        <is>
          <t>上海区域</t>
        </is>
      </c>
      <c r="D1905" s="84" t="inlineStr">
        <is>
          <t>CN0Q</t>
        </is>
      </c>
      <c r="E1905" s="80" t="inlineStr">
        <is>
          <t>EE 苏州比斯特</t>
        </is>
      </c>
      <c r="F1905" s="84" t="n">
        <v>4</v>
      </c>
      <c r="G1905" s="84" t="inlineStr">
        <is>
          <t>奥特莱斯</t>
        </is>
      </c>
      <c r="H1905" s="84" t="inlineStr">
        <is>
          <t>EEYPG24E01</t>
        </is>
      </c>
      <c r="I1905" s="84" t="n">
        <v>599</v>
      </c>
      <c r="J1905" s="84" t="n">
        <v>599</v>
      </c>
      <c r="K1905" s="85" t="n">
        <v>7</v>
      </c>
      <c r="L1905" s="85" t="n">
        <v>378</v>
      </c>
    </row>
    <row r="1906" ht="12.75" customHeight="1" s="103">
      <c r="A1906" s="78">
        <f>MID(H1906,3,2)</f>
        <v/>
      </c>
      <c r="B1906" s="84" t="inlineStr">
        <is>
          <t>B331</t>
        </is>
      </c>
      <c r="C1906" s="84" t="inlineStr">
        <is>
          <t>上海区域</t>
        </is>
      </c>
      <c r="D1906" s="84" t="inlineStr">
        <is>
          <t>CN0Q</t>
        </is>
      </c>
      <c r="E1906" s="80" t="inlineStr">
        <is>
          <t>EE 苏州比斯特</t>
        </is>
      </c>
      <c r="F1906" s="84" t="n">
        <v>4</v>
      </c>
      <c r="G1906" s="84" t="inlineStr">
        <is>
          <t>奥特莱斯</t>
        </is>
      </c>
      <c r="H1906" s="84" t="inlineStr">
        <is>
          <t>EEYPG24E01</t>
        </is>
      </c>
      <c r="I1906" s="84" t="n">
        <v>599</v>
      </c>
      <c r="J1906" s="84" t="n">
        <v>599</v>
      </c>
      <c r="K1906" s="85" t="n">
        <v>5</v>
      </c>
      <c r="L1906" s="86" t="n">
        <v>1216</v>
      </c>
    </row>
    <row r="1907" ht="12.75" customHeight="1" s="103">
      <c r="A1907" s="78">
        <f>MID(H1907,3,2)</f>
        <v/>
      </c>
      <c r="B1907" s="84" t="inlineStr">
        <is>
          <t>B331</t>
        </is>
      </c>
      <c r="C1907" s="84" t="inlineStr">
        <is>
          <t>上海区域</t>
        </is>
      </c>
      <c r="D1907" s="84" t="inlineStr">
        <is>
          <t>CN0Q</t>
        </is>
      </c>
      <c r="E1907" s="80" t="inlineStr">
        <is>
          <t>EE 苏州比斯特</t>
        </is>
      </c>
      <c r="F1907" s="84" t="n">
        <v>4</v>
      </c>
      <c r="G1907" s="84" t="inlineStr">
        <is>
          <t>奥特莱斯</t>
        </is>
      </c>
      <c r="H1907" s="84" t="inlineStr">
        <is>
          <t>EEYPG24E01</t>
        </is>
      </c>
      <c r="I1907" s="84" t="n">
        <v>599</v>
      </c>
      <c r="J1907" s="84" t="n">
        <v>599</v>
      </c>
      <c r="K1907" s="85" t="n">
        <v>1</v>
      </c>
      <c r="L1907" s="85" t="n"/>
    </row>
    <row r="1908" ht="12.75" customHeight="1" s="103">
      <c r="A1908" s="78">
        <f>MID(H1908,3,2)</f>
        <v/>
      </c>
      <c r="B1908" s="84" t="inlineStr">
        <is>
          <t>B331</t>
        </is>
      </c>
      <c r="C1908" s="84" t="inlineStr">
        <is>
          <t>上海区域</t>
        </is>
      </c>
      <c r="D1908" s="84" t="inlineStr">
        <is>
          <t>CN0Q</t>
        </is>
      </c>
      <c r="E1908" s="80" t="inlineStr">
        <is>
          <t>EE 苏州比斯特</t>
        </is>
      </c>
      <c r="F1908" s="84" t="n">
        <v>4</v>
      </c>
      <c r="G1908" s="84" t="inlineStr">
        <is>
          <t>奥特莱斯</t>
        </is>
      </c>
      <c r="H1908" s="84" t="inlineStr">
        <is>
          <t>EEYPG24E01</t>
        </is>
      </c>
      <c r="I1908" s="84" t="n">
        <v>599</v>
      </c>
      <c r="J1908" s="84" t="n">
        <v>599</v>
      </c>
      <c r="K1908" s="85" t="n">
        <v>3</v>
      </c>
      <c r="L1908" s="85" t="n">
        <v>380</v>
      </c>
    </row>
    <row r="1909" ht="12.75" customHeight="1" s="103">
      <c r="A1909" s="78">
        <f>MID(H1909,3,2)</f>
        <v/>
      </c>
      <c r="B1909" s="84" t="inlineStr">
        <is>
          <t>B331</t>
        </is>
      </c>
      <c r="C1909" s="84" t="inlineStr">
        <is>
          <t>上海区域</t>
        </is>
      </c>
      <c r="D1909" s="84" t="inlineStr">
        <is>
          <t>CN0Q</t>
        </is>
      </c>
      <c r="E1909" s="80" t="inlineStr">
        <is>
          <t>EE 苏州比斯特</t>
        </is>
      </c>
      <c r="F1909" s="84" t="n">
        <v>4</v>
      </c>
      <c r="G1909" s="84" t="inlineStr">
        <is>
          <t>奥特莱斯</t>
        </is>
      </c>
      <c r="H1909" s="84" t="inlineStr">
        <is>
          <t>EEYPG24E01</t>
        </is>
      </c>
      <c r="I1909" s="84" t="n">
        <v>599</v>
      </c>
      <c r="J1909" s="84" t="n">
        <v>599</v>
      </c>
      <c r="K1909" s="85" t="n">
        <v>2</v>
      </c>
      <c r="L1909" s="85" t="n">
        <v>419</v>
      </c>
    </row>
    <row r="1910" ht="12.75" customHeight="1" s="103">
      <c r="A1910" s="78">
        <f>MID(H1910,3,2)</f>
        <v/>
      </c>
      <c r="B1910" s="84" t="inlineStr">
        <is>
          <t>B331</t>
        </is>
      </c>
      <c r="C1910" s="84" t="inlineStr">
        <is>
          <t>上海区域</t>
        </is>
      </c>
      <c r="D1910" s="84" t="inlineStr">
        <is>
          <t>CN0Q</t>
        </is>
      </c>
      <c r="E1910" s="80" t="inlineStr">
        <is>
          <t>EE 苏州比斯特</t>
        </is>
      </c>
      <c r="F1910" s="84" t="n">
        <v>4</v>
      </c>
      <c r="G1910" s="84" t="inlineStr">
        <is>
          <t>奥特莱斯</t>
        </is>
      </c>
      <c r="H1910" s="84" t="inlineStr">
        <is>
          <t>EEYPG24E01</t>
        </is>
      </c>
      <c r="I1910" s="84" t="n">
        <v>599</v>
      </c>
      <c r="J1910" s="84" t="n">
        <v>599</v>
      </c>
      <c r="K1910" s="85" t="n">
        <v>1</v>
      </c>
      <c r="L1910" s="85" t="n">
        <v>392</v>
      </c>
    </row>
    <row r="1911" ht="12.75" customHeight="1" s="103">
      <c r="A1911" s="78">
        <f>MID(H1911,3,2)</f>
        <v/>
      </c>
      <c r="B1911" s="84" t="inlineStr">
        <is>
          <t>B331</t>
        </is>
      </c>
      <c r="C1911" s="84" t="inlineStr">
        <is>
          <t>上海区域</t>
        </is>
      </c>
      <c r="D1911" s="84" t="inlineStr">
        <is>
          <t>CN0Q</t>
        </is>
      </c>
      <c r="E1911" s="80" t="inlineStr">
        <is>
          <t>EE 苏州比斯特</t>
        </is>
      </c>
      <c r="F1911" s="84" t="n">
        <v>4</v>
      </c>
      <c r="G1911" s="84" t="inlineStr">
        <is>
          <t>奥特莱斯</t>
        </is>
      </c>
      <c r="H1911" s="84" t="inlineStr">
        <is>
          <t>EEYPG25B1G</t>
        </is>
      </c>
      <c r="I1911" s="84" t="n">
        <v>799</v>
      </c>
      <c r="J1911" s="84" t="n">
        <v>799</v>
      </c>
      <c r="K1911" s="85" t="n"/>
      <c r="L1911" s="85" t="n"/>
    </row>
    <row r="1912" ht="12.75" customHeight="1" s="103">
      <c r="A1912" s="78">
        <f>MID(H1912,3,2)</f>
        <v/>
      </c>
      <c r="B1912" s="84" t="inlineStr">
        <is>
          <t>B331</t>
        </is>
      </c>
      <c r="C1912" s="84" t="inlineStr">
        <is>
          <t>上海区域</t>
        </is>
      </c>
      <c r="D1912" s="84" t="inlineStr">
        <is>
          <t>CN0Q</t>
        </is>
      </c>
      <c r="E1912" s="80" t="inlineStr">
        <is>
          <t>EE 苏州比斯特</t>
        </is>
      </c>
      <c r="F1912" s="84" t="n">
        <v>4</v>
      </c>
      <c r="G1912" s="84" t="inlineStr">
        <is>
          <t>奥特莱斯</t>
        </is>
      </c>
      <c r="H1912" s="84" t="inlineStr">
        <is>
          <t>EEYPG25B1G</t>
        </is>
      </c>
      <c r="I1912" s="84" t="n">
        <v>799</v>
      </c>
      <c r="J1912" s="84" t="n">
        <v>799</v>
      </c>
      <c r="K1912" s="85" t="n">
        <v>1</v>
      </c>
      <c r="L1912" s="85" t="n"/>
    </row>
    <row r="1913" ht="12.75" customHeight="1" s="103">
      <c r="A1913" s="78">
        <f>MID(H1913,3,2)</f>
        <v/>
      </c>
      <c r="B1913" s="84" t="inlineStr">
        <is>
          <t>B331</t>
        </is>
      </c>
      <c r="C1913" s="84" t="inlineStr">
        <is>
          <t>上海区域</t>
        </is>
      </c>
      <c r="D1913" s="84" t="inlineStr">
        <is>
          <t>CN0Q</t>
        </is>
      </c>
      <c r="E1913" s="80" t="inlineStr">
        <is>
          <t>EE 苏州比斯特</t>
        </is>
      </c>
      <c r="F1913" s="84" t="n">
        <v>4</v>
      </c>
      <c r="G1913" s="84" t="inlineStr">
        <is>
          <t>奥特莱斯</t>
        </is>
      </c>
      <c r="H1913" s="84" t="inlineStr">
        <is>
          <t>EEYPG25B1G</t>
        </is>
      </c>
      <c r="I1913" s="84" t="n">
        <v>799</v>
      </c>
      <c r="J1913" s="84" t="n">
        <v>799</v>
      </c>
      <c r="K1913" s="85" t="n">
        <v>1</v>
      </c>
      <c r="L1913" s="85" t="n"/>
    </row>
    <row r="1914" ht="12.75" customHeight="1" s="103">
      <c r="A1914" s="78">
        <f>MID(H1914,3,2)</f>
        <v/>
      </c>
      <c r="B1914" s="84" t="inlineStr">
        <is>
          <t>B331</t>
        </is>
      </c>
      <c r="C1914" s="84" t="inlineStr">
        <is>
          <t>上海区域</t>
        </is>
      </c>
      <c r="D1914" s="84" t="inlineStr">
        <is>
          <t>CN0Q</t>
        </is>
      </c>
      <c r="E1914" s="80" t="inlineStr">
        <is>
          <t>EE 苏州比斯特</t>
        </is>
      </c>
      <c r="F1914" s="84" t="n">
        <v>4</v>
      </c>
      <c r="G1914" s="84" t="inlineStr">
        <is>
          <t>奥特莱斯</t>
        </is>
      </c>
      <c r="H1914" s="84" t="inlineStr">
        <is>
          <t>EEYPG25B1G</t>
        </is>
      </c>
      <c r="I1914" s="84" t="n">
        <v>799</v>
      </c>
      <c r="J1914" s="84" t="n">
        <v>799</v>
      </c>
      <c r="K1914" s="85" t="n"/>
      <c r="L1914" s="85" t="n"/>
    </row>
    <row r="1915" ht="12.75" customHeight="1" s="103">
      <c r="A1915" s="78">
        <f>MID(H1915,3,2)</f>
        <v/>
      </c>
      <c r="B1915" s="84" t="inlineStr">
        <is>
          <t>B331</t>
        </is>
      </c>
      <c r="C1915" s="84" t="inlineStr">
        <is>
          <t>上海区域</t>
        </is>
      </c>
      <c r="D1915" s="84" t="inlineStr">
        <is>
          <t>CN0Q</t>
        </is>
      </c>
      <c r="E1915" s="80" t="inlineStr">
        <is>
          <t>EE 苏州比斯特</t>
        </is>
      </c>
      <c r="F1915" s="84" t="n">
        <v>4</v>
      </c>
      <c r="G1915" s="84" t="inlineStr">
        <is>
          <t>奥特莱斯</t>
        </is>
      </c>
      <c r="H1915" s="84" t="inlineStr">
        <is>
          <t>EEYSG12E1G</t>
        </is>
      </c>
      <c r="I1915" s="84" t="n">
        <v>799</v>
      </c>
      <c r="J1915" s="84" t="n">
        <v>799</v>
      </c>
      <c r="K1915" s="85" t="n">
        <v>2</v>
      </c>
      <c r="L1915" s="85" t="n">
        <v>361</v>
      </c>
    </row>
    <row r="1916" ht="12.75" customHeight="1" s="103">
      <c r="A1916" s="78">
        <f>MID(H1916,3,2)</f>
        <v/>
      </c>
      <c r="B1916" s="84" t="inlineStr">
        <is>
          <t>B331</t>
        </is>
      </c>
      <c r="C1916" s="84" t="inlineStr">
        <is>
          <t>上海区域</t>
        </is>
      </c>
      <c r="D1916" s="84" t="inlineStr">
        <is>
          <t>CN0Q</t>
        </is>
      </c>
      <c r="E1916" s="80" t="inlineStr">
        <is>
          <t>EE 苏州比斯特</t>
        </is>
      </c>
      <c r="F1916" s="84" t="n">
        <v>4</v>
      </c>
      <c r="G1916" s="84" t="inlineStr">
        <is>
          <t>奥特莱斯</t>
        </is>
      </c>
      <c r="H1916" s="84" t="inlineStr">
        <is>
          <t>EEYSG12E1G</t>
        </is>
      </c>
      <c r="I1916" s="84" t="n">
        <v>799</v>
      </c>
      <c r="J1916" s="84" t="n">
        <v>799</v>
      </c>
      <c r="K1916" s="85" t="n">
        <v>1</v>
      </c>
      <c r="L1916" s="85" t="n">
        <v>363</v>
      </c>
    </row>
    <row r="1917" ht="12.75" customHeight="1" s="103">
      <c r="A1917" s="78">
        <f>MID(H1917,3,2)</f>
        <v/>
      </c>
      <c r="B1917" s="84" t="inlineStr">
        <is>
          <t>B331</t>
        </is>
      </c>
      <c r="C1917" s="84" t="inlineStr">
        <is>
          <t>上海区域</t>
        </is>
      </c>
      <c r="D1917" s="84" t="inlineStr">
        <is>
          <t>CN0Q</t>
        </is>
      </c>
      <c r="E1917" s="80" t="inlineStr">
        <is>
          <t>EE 苏州比斯特</t>
        </is>
      </c>
      <c r="F1917" s="84" t="n">
        <v>4</v>
      </c>
      <c r="G1917" s="84" t="inlineStr">
        <is>
          <t>奥特莱斯</t>
        </is>
      </c>
      <c r="H1917" s="84" t="inlineStr">
        <is>
          <t>EEYSG12E1G</t>
        </is>
      </c>
      <c r="I1917" s="84" t="n">
        <v>799</v>
      </c>
      <c r="J1917" s="84" t="n">
        <v>799</v>
      </c>
      <c r="K1917" s="85" t="n">
        <v>2</v>
      </c>
      <c r="L1917" s="85" t="n"/>
    </row>
    <row r="1918" ht="12.75" customHeight="1" s="103">
      <c r="A1918" s="78">
        <f>MID(H1918,3,2)</f>
        <v/>
      </c>
      <c r="B1918" s="84" t="inlineStr">
        <is>
          <t>B331</t>
        </is>
      </c>
      <c r="C1918" s="84" t="inlineStr">
        <is>
          <t>上海区域</t>
        </is>
      </c>
      <c r="D1918" s="84" t="inlineStr">
        <is>
          <t>CN0Q</t>
        </is>
      </c>
      <c r="E1918" s="80" t="inlineStr">
        <is>
          <t>EE 苏州比斯特</t>
        </is>
      </c>
      <c r="F1918" s="84" t="n">
        <v>4</v>
      </c>
      <c r="G1918" s="84" t="inlineStr">
        <is>
          <t>奥特莱斯</t>
        </is>
      </c>
      <c r="H1918" s="84" t="inlineStr">
        <is>
          <t>EEYSG12E1G</t>
        </is>
      </c>
      <c r="I1918" s="84" t="n">
        <v>799</v>
      </c>
      <c r="J1918" s="84" t="n">
        <v>799</v>
      </c>
      <c r="K1918" s="85" t="n"/>
      <c r="L1918" s="85" t="n"/>
    </row>
    <row r="1919" ht="12.75" customHeight="1" s="103">
      <c r="A1919" s="78">
        <f>MID(H1919,3,2)</f>
        <v/>
      </c>
      <c r="B1919" s="84" t="inlineStr">
        <is>
          <t>B331</t>
        </is>
      </c>
      <c r="C1919" s="84" t="inlineStr">
        <is>
          <t>上海区域</t>
        </is>
      </c>
      <c r="D1919" s="84" t="inlineStr">
        <is>
          <t>CN0Q</t>
        </is>
      </c>
      <c r="E1919" s="80" t="inlineStr">
        <is>
          <t>EE 苏州比斯特</t>
        </is>
      </c>
      <c r="F1919" s="84" t="n">
        <v>4</v>
      </c>
      <c r="G1919" s="84" t="inlineStr">
        <is>
          <t>奥特莱斯</t>
        </is>
      </c>
      <c r="H1919" s="84" t="inlineStr">
        <is>
          <t>EEYSG12E1G</t>
        </is>
      </c>
      <c r="I1919" s="84" t="n">
        <v>799</v>
      </c>
      <c r="J1919" s="84" t="n">
        <v>799</v>
      </c>
      <c r="K1919" s="85" t="n">
        <v>1</v>
      </c>
      <c r="L1919" s="85" t="n">
        <v>371</v>
      </c>
    </row>
    <row r="1920" ht="12.75" customHeight="1" s="103">
      <c r="A1920" s="78">
        <f>MID(H1920,3,2)</f>
        <v/>
      </c>
      <c r="B1920" s="84" t="inlineStr">
        <is>
          <t>B331</t>
        </is>
      </c>
      <c r="C1920" s="84" t="inlineStr">
        <is>
          <t>上海区域</t>
        </is>
      </c>
      <c r="D1920" s="84" t="inlineStr">
        <is>
          <t>CN0Q</t>
        </is>
      </c>
      <c r="E1920" s="80" t="inlineStr">
        <is>
          <t>EE 苏州比斯特</t>
        </is>
      </c>
      <c r="F1920" s="84" t="n">
        <v>4</v>
      </c>
      <c r="G1920" s="84" t="inlineStr">
        <is>
          <t>奥特莱斯</t>
        </is>
      </c>
      <c r="H1920" s="84" t="inlineStr">
        <is>
          <t>EEYSG12E1G</t>
        </is>
      </c>
      <c r="I1920" s="84" t="n">
        <v>799</v>
      </c>
      <c r="J1920" s="84" t="n">
        <v>799</v>
      </c>
      <c r="K1920" s="85" t="n">
        <v>3</v>
      </c>
      <c r="L1920" s="85" t="n">
        <v>729</v>
      </c>
    </row>
    <row r="1921" ht="12.75" customHeight="1" s="103">
      <c r="A1921" s="78">
        <f>MID(H1921,3,2)</f>
        <v/>
      </c>
      <c r="B1921" s="84" t="inlineStr">
        <is>
          <t>B331</t>
        </is>
      </c>
      <c r="C1921" s="84" t="inlineStr">
        <is>
          <t>上海区域</t>
        </is>
      </c>
      <c r="D1921" s="84" t="inlineStr">
        <is>
          <t>CN0Q</t>
        </is>
      </c>
      <c r="E1921" s="80" t="inlineStr">
        <is>
          <t>EE 苏州比斯特</t>
        </is>
      </c>
      <c r="F1921" s="84" t="n">
        <v>4</v>
      </c>
      <c r="G1921" s="84" t="inlineStr">
        <is>
          <t>奥特莱斯</t>
        </is>
      </c>
      <c r="H1921" s="84" t="inlineStr">
        <is>
          <t>EEYSG12E1G</t>
        </is>
      </c>
      <c r="I1921" s="84" t="n">
        <v>799</v>
      </c>
      <c r="J1921" s="84" t="n">
        <v>799</v>
      </c>
      <c r="K1921" s="85" t="n"/>
      <c r="L1921" s="85" t="n"/>
    </row>
    <row r="1922" ht="12.75" customHeight="1" s="103">
      <c r="A1922" s="78">
        <f>MID(H1922,3,2)</f>
        <v/>
      </c>
      <c r="B1922" s="84" t="inlineStr">
        <is>
          <t>B331</t>
        </is>
      </c>
      <c r="C1922" s="84" t="inlineStr">
        <is>
          <t>上海区域</t>
        </is>
      </c>
      <c r="D1922" s="84" t="inlineStr">
        <is>
          <t>CN0Q</t>
        </is>
      </c>
      <c r="E1922" s="80" t="inlineStr">
        <is>
          <t>EE 苏州比斯特</t>
        </is>
      </c>
      <c r="F1922" s="84" t="n">
        <v>4</v>
      </c>
      <c r="G1922" s="84" t="inlineStr">
        <is>
          <t>奥特莱斯</t>
        </is>
      </c>
      <c r="H1922" s="84" t="inlineStr">
        <is>
          <t>EEYSG12E1G</t>
        </is>
      </c>
      <c r="I1922" s="84" t="n">
        <v>799</v>
      </c>
      <c r="J1922" s="84" t="n">
        <v>799</v>
      </c>
      <c r="K1922" s="85" t="n"/>
      <c r="L1922" s="85" t="n"/>
    </row>
    <row r="1923" ht="12.75" customHeight="1" s="103">
      <c r="A1923" s="78">
        <f>MID(H1923,3,2)</f>
        <v/>
      </c>
      <c r="B1923" s="84" t="inlineStr">
        <is>
          <t>B331</t>
        </is>
      </c>
      <c r="C1923" s="84" t="inlineStr">
        <is>
          <t>上海区域</t>
        </is>
      </c>
      <c r="D1923" s="84" t="inlineStr">
        <is>
          <t>CN0Q</t>
        </is>
      </c>
      <c r="E1923" s="80" t="inlineStr">
        <is>
          <t>EE 苏州比斯特</t>
        </is>
      </c>
      <c r="F1923" s="84" t="n">
        <v>4</v>
      </c>
      <c r="G1923" s="84" t="inlineStr">
        <is>
          <t>奥特莱斯</t>
        </is>
      </c>
      <c r="H1923" s="84" t="inlineStr">
        <is>
          <t>EEYSG23E01</t>
        </is>
      </c>
      <c r="I1923" s="84" t="n">
        <v>799</v>
      </c>
      <c r="J1923" s="84" t="n">
        <v>799</v>
      </c>
      <c r="K1923" s="85" t="n">
        <v>2</v>
      </c>
      <c r="L1923" s="85" t="n"/>
    </row>
    <row r="1924" ht="12.75" customHeight="1" s="103">
      <c r="A1924" s="78">
        <f>MID(H1924,3,2)</f>
        <v/>
      </c>
      <c r="B1924" s="84" t="inlineStr">
        <is>
          <t>B331</t>
        </is>
      </c>
      <c r="C1924" s="84" t="inlineStr">
        <is>
          <t>上海区域</t>
        </is>
      </c>
      <c r="D1924" s="84" t="inlineStr">
        <is>
          <t>CN0Q</t>
        </is>
      </c>
      <c r="E1924" s="80" t="inlineStr">
        <is>
          <t>EE 苏州比斯特</t>
        </is>
      </c>
      <c r="F1924" s="84" t="n">
        <v>4</v>
      </c>
      <c r="G1924" s="84" t="inlineStr">
        <is>
          <t>奥特莱斯</t>
        </is>
      </c>
      <c r="H1924" s="84" t="inlineStr">
        <is>
          <t>EEYSG23E01</t>
        </is>
      </c>
      <c r="I1924" s="84" t="n">
        <v>799</v>
      </c>
      <c r="J1924" s="84" t="n">
        <v>799</v>
      </c>
      <c r="K1924" s="85" t="n"/>
      <c r="L1924" s="85" t="n"/>
    </row>
    <row r="1925" ht="12.75" customHeight="1" s="103">
      <c r="A1925" s="78">
        <f>MID(H1925,3,2)</f>
        <v/>
      </c>
      <c r="B1925" s="84" t="inlineStr">
        <is>
          <t>B331</t>
        </is>
      </c>
      <c r="C1925" s="84" t="inlineStr">
        <is>
          <t>上海区域</t>
        </is>
      </c>
      <c r="D1925" s="84" t="inlineStr">
        <is>
          <t>CN0Q</t>
        </is>
      </c>
      <c r="E1925" s="80" t="inlineStr">
        <is>
          <t>EE 苏州比斯特</t>
        </is>
      </c>
      <c r="F1925" s="84" t="n">
        <v>4</v>
      </c>
      <c r="G1925" s="84" t="inlineStr">
        <is>
          <t>奥特莱斯</t>
        </is>
      </c>
      <c r="H1925" s="84" t="inlineStr">
        <is>
          <t>EEYSG23E01</t>
        </is>
      </c>
      <c r="I1925" s="84" t="n">
        <v>799</v>
      </c>
      <c r="J1925" s="84" t="n">
        <v>799</v>
      </c>
      <c r="K1925" s="85" t="n"/>
      <c r="L1925" s="85" t="n"/>
    </row>
    <row r="1926" ht="12.75" customHeight="1" s="103">
      <c r="A1926" s="78">
        <f>MID(H1926,3,2)</f>
        <v/>
      </c>
      <c r="B1926" s="84" t="inlineStr">
        <is>
          <t>B331</t>
        </is>
      </c>
      <c r="C1926" s="84" t="inlineStr">
        <is>
          <t>上海区域</t>
        </is>
      </c>
      <c r="D1926" s="84" t="inlineStr">
        <is>
          <t>CN0Q</t>
        </is>
      </c>
      <c r="E1926" s="80" t="inlineStr">
        <is>
          <t>EE 苏州比斯特</t>
        </is>
      </c>
      <c r="F1926" s="84" t="n">
        <v>4</v>
      </c>
      <c r="G1926" s="84" t="inlineStr">
        <is>
          <t>奥特莱斯</t>
        </is>
      </c>
      <c r="H1926" s="84" t="inlineStr">
        <is>
          <t>EEYSG23E01</t>
        </is>
      </c>
      <c r="I1926" s="84" t="n">
        <v>799</v>
      </c>
      <c r="J1926" s="84" t="n">
        <v>799</v>
      </c>
      <c r="K1926" s="85" t="n">
        <v>3</v>
      </c>
      <c r="L1926" s="86" t="n">
        <v>1536</v>
      </c>
    </row>
    <row r="1927" ht="12.75" customHeight="1" s="103">
      <c r="A1927" s="78">
        <f>MID(H1927,3,2)</f>
        <v/>
      </c>
      <c r="B1927" s="84" t="inlineStr">
        <is>
          <t>B331</t>
        </is>
      </c>
      <c r="C1927" s="84" t="inlineStr">
        <is>
          <t>上海区域</t>
        </is>
      </c>
      <c r="D1927" s="84" t="inlineStr">
        <is>
          <t>CN0Q</t>
        </is>
      </c>
      <c r="E1927" s="80" t="inlineStr">
        <is>
          <t>EE 苏州比斯特</t>
        </is>
      </c>
      <c r="F1927" s="84" t="n">
        <v>4</v>
      </c>
      <c r="G1927" s="84" t="inlineStr">
        <is>
          <t>奥特莱斯</t>
        </is>
      </c>
      <c r="H1927" s="84" t="inlineStr">
        <is>
          <t>EEYSG23E01</t>
        </is>
      </c>
      <c r="I1927" s="84" t="n">
        <v>799</v>
      </c>
      <c r="J1927" s="84" t="n">
        <v>799</v>
      </c>
      <c r="K1927" s="85" t="n">
        <v>6</v>
      </c>
      <c r="L1927" s="86" t="n">
        <v>2041</v>
      </c>
    </row>
    <row r="1928" ht="12.75" customHeight="1" s="103">
      <c r="A1928" s="78">
        <f>MID(H1928,3,2)</f>
        <v/>
      </c>
      <c r="B1928" s="84" t="inlineStr">
        <is>
          <t>B331</t>
        </is>
      </c>
      <c r="C1928" s="84" t="inlineStr">
        <is>
          <t>上海区域</t>
        </is>
      </c>
      <c r="D1928" s="84" t="inlineStr">
        <is>
          <t>CN0Q</t>
        </is>
      </c>
      <c r="E1928" s="80" t="inlineStr">
        <is>
          <t>EE 苏州比斯特</t>
        </is>
      </c>
      <c r="F1928" s="84" t="n">
        <v>4</v>
      </c>
      <c r="G1928" s="84" t="inlineStr">
        <is>
          <t>奥特莱斯</t>
        </is>
      </c>
      <c r="H1928" s="84" t="inlineStr">
        <is>
          <t>EEYSG23E01</t>
        </is>
      </c>
      <c r="I1928" s="84" t="n">
        <v>799</v>
      </c>
      <c r="J1928" s="84" t="n">
        <v>799</v>
      </c>
      <c r="K1928" s="85" t="n"/>
      <c r="L1928" s="85" t="n"/>
    </row>
    <row r="1929" ht="12.75" customHeight="1" s="103">
      <c r="A1929" s="78">
        <f>MID(H1929,3,2)</f>
        <v/>
      </c>
      <c r="B1929" s="84" t="inlineStr">
        <is>
          <t>B331</t>
        </is>
      </c>
      <c r="C1929" s="84" t="inlineStr">
        <is>
          <t>上海区域</t>
        </is>
      </c>
      <c r="D1929" s="84" t="inlineStr">
        <is>
          <t>CN0Q</t>
        </is>
      </c>
      <c r="E1929" s="80" t="inlineStr">
        <is>
          <t>EE 苏州比斯特</t>
        </is>
      </c>
      <c r="F1929" s="84" t="n">
        <v>4</v>
      </c>
      <c r="G1929" s="84" t="inlineStr">
        <is>
          <t>奥特莱斯</t>
        </is>
      </c>
      <c r="H1929" s="84" t="inlineStr">
        <is>
          <t>EEYSG23E01</t>
        </is>
      </c>
      <c r="I1929" s="84" t="n">
        <v>799</v>
      </c>
      <c r="J1929" s="84" t="n">
        <v>799</v>
      </c>
      <c r="K1929" s="85" t="n">
        <v>1</v>
      </c>
      <c r="L1929" s="85" t="n"/>
    </row>
    <row r="1930" ht="12.75" customHeight="1" s="103">
      <c r="A1930" s="78">
        <f>MID(H1930,3,2)</f>
        <v/>
      </c>
      <c r="B1930" s="84" t="inlineStr">
        <is>
          <t>B331</t>
        </is>
      </c>
      <c r="C1930" s="84" t="inlineStr">
        <is>
          <t>上海区域</t>
        </is>
      </c>
      <c r="D1930" s="84" t="inlineStr">
        <is>
          <t>CN0Q</t>
        </is>
      </c>
      <c r="E1930" s="80" t="inlineStr">
        <is>
          <t>EE 苏州比斯特</t>
        </is>
      </c>
      <c r="F1930" s="84" t="n">
        <v>4</v>
      </c>
      <c r="G1930" s="84" t="inlineStr">
        <is>
          <t>奥特莱斯</t>
        </is>
      </c>
      <c r="H1930" s="84" t="inlineStr">
        <is>
          <t>EEYSG23E01</t>
        </is>
      </c>
      <c r="I1930" s="84" t="n">
        <v>799</v>
      </c>
      <c r="J1930" s="84" t="n">
        <v>799</v>
      </c>
      <c r="K1930" s="85" t="n"/>
      <c r="L1930" s="85" t="n"/>
    </row>
    <row r="1931" ht="12.75" customHeight="1" s="103">
      <c r="A1931" s="78">
        <f>MID(H1931,3,2)</f>
        <v/>
      </c>
      <c r="B1931" s="84" t="inlineStr">
        <is>
          <t>B331</t>
        </is>
      </c>
      <c r="C1931" s="84" t="inlineStr">
        <is>
          <t>上海区域</t>
        </is>
      </c>
      <c r="D1931" s="84" t="inlineStr">
        <is>
          <t>CN0Q</t>
        </is>
      </c>
      <c r="E1931" s="80" t="inlineStr">
        <is>
          <t>EE 苏州比斯特</t>
        </is>
      </c>
      <c r="F1931" s="84" t="n">
        <v>4</v>
      </c>
      <c r="G1931" s="84" t="inlineStr">
        <is>
          <t>奥特莱斯</t>
        </is>
      </c>
      <c r="H1931" s="84" t="inlineStr">
        <is>
          <t>EEYSG23E01</t>
        </is>
      </c>
      <c r="I1931" s="84" t="n">
        <v>799</v>
      </c>
      <c r="J1931" s="84" t="n">
        <v>799</v>
      </c>
      <c r="K1931" s="85" t="n"/>
      <c r="L1931" s="85" t="n"/>
    </row>
    <row r="1932" ht="12.75" customHeight="1" s="103">
      <c r="A1932" s="78">
        <f>MID(H1932,3,2)</f>
        <v/>
      </c>
      <c r="B1932" s="84" t="inlineStr">
        <is>
          <t>B331</t>
        </is>
      </c>
      <c r="C1932" s="84" t="inlineStr">
        <is>
          <t>上海区域</t>
        </is>
      </c>
      <c r="D1932" s="84" t="inlineStr">
        <is>
          <t>CN0Q</t>
        </is>
      </c>
      <c r="E1932" s="80" t="inlineStr">
        <is>
          <t>EE 苏州比斯特</t>
        </is>
      </c>
      <c r="F1932" s="84" t="n">
        <v>4</v>
      </c>
      <c r="G1932" s="84" t="inlineStr">
        <is>
          <t>奥特莱斯</t>
        </is>
      </c>
      <c r="H1932" s="84" t="inlineStr">
        <is>
          <t>EEYSG24E04</t>
        </is>
      </c>
      <c r="I1932" s="84" t="n">
        <v>699</v>
      </c>
      <c r="J1932" s="84" t="n">
        <v>699</v>
      </c>
      <c r="K1932" s="85" t="n"/>
      <c r="L1932" s="85" t="n"/>
    </row>
    <row r="1933" ht="12.75" customHeight="1" s="103">
      <c r="A1933" s="78">
        <f>MID(H1933,3,2)</f>
        <v/>
      </c>
      <c r="B1933" s="84" t="inlineStr">
        <is>
          <t>B331</t>
        </is>
      </c>
      <c r="C1933" s="84" t="inlineStr">
        <is>
          <t>上海区域</t>
        </is>
      </c>
      <c r="D1933" s="84" t="inlineStr">
        <is>
          <t>CN0Q</t>
        </is>
      </c>
      <c r="E1933" s="80" t="inlineStr">
        <is>
          <t>EE 苏州比斯特</t>
        </is>
      </c>
      <c r="F1933" s="84" t="n">
        <v>4</v>
      </c>
      <c r="G1933" s="84" t="inlineStr">
        <is>
          <t>奥特莱斯</t>
        </is>
      </c>
      <c r="H1933" s="84" t="inlineStr">
        <is>
          <t>EEYSG24E04</t>
        </is>
      </c>
      <c r="I1933" s="84" t="n">
        <v>699</v>
      </c>
      <c r="J1933" s="84" t="n">
        <v>699</v>
      </c>
      <c r="K1933" s="85" t="n"/>
      <c r="L1933" s="85" t="n"/>
    </row>
    <row r="1934" ht="12.75" customHeight="1" s="103">
      <c r="A1934" s="78">
        <f>MID(H1934,3,2)</f>
        <v/>
      </c>
      <c r="B1934" s="84" t="inlineStr">
        <is>
          <t>B331</t>
        </is>
      </c>
      <c r="C1934" s="84" t="inlineStr">
        <is>
          <t>上海区域</t>
        </is>
      </c>
      <c r="D1934" s="84" t="inlineStr">
        <is>
          <t>CN0Q</t>
        </is>
      </c>
      <c r="E1934" s="80" t="inlineStr">
        <is>
          <t>EE 苏州比斯特</t>
        </is>
      </c>
      <c r="F1934" s="84" t="n">
        <v>4</v>
      </c>
      <c r="G1934" s="84" t="inlineStr">
        <is>
          <t>奥特莱斯</t>
        </is>
      </c>
      <c r="H1934" s="84" t="inlineStr">
        <is>
          <t>EEYSG24E04</t>
        </is>
      </c>
      <c r="I1934" s="84" t="n">
        <v>699</v>
      </c>
      <c r="J1934" s="84" t="n">
        <v>699</v>
      </c>
      <c r="K1934" s="85" t="n">
        <v>1</v>
      </c>
      <c r="L1934" s="85" t="n">
        <v>446</v>
      </c>
    </row>
    <row r="1935" ht="12.75" customHeight="1" s="103">
      <c r="A1935" s="78">
        <f>MID(H1935,3,2)</f>
        <v/>
      </c>
      <c r="B1935" s="84" t="inlineStr">
        <is>
          <t>B331</t>
        </is>
      </c>
      <c r="C1935" s="84" t="inlineStr">
        <is>
          <t>上海区域</t>
        </is>
      </c>
      <c r="D1935" s="84" t="inlineStr">
        <is>
          <t>CN0Q</t>
        </is>
      </c>
      <c r="E1935" s="80" t="inlineStr">
        <is>
          <t>EE 苏州比斯特</t>
        </is>
      </c>
      <c r="F1935" s="84" t="n">
        <v>4</v>
      </c>
      <c r="G1935" s="84" t="inlineStr">
        <is>
          <t>奥特莱斯</t>
        </is>
      </c>
      <c r="H1935" s="84" t="inlineStr">
        <is>
          <t>EEYSG25B1G</t>
        </is>
      </c>
      <c r="I1935" s="84" t="n">
        <v>899</v>
      </c>
      <c r="J1935" s="84" t="n">
        <v>899</v>
      </c>
      <c r="K1935" s="85" t="n">
        <v>2</v>
      </c>
      <c r="L1935" s="85" t="n">
        <v>576</v>
      </c>
    </row>
    <row r="1936" ht="12.75" customHeight="1" s="103">
      <c r="A1936" s="78">
        <f>MID(H1936,3,2)</f>
        <v/>
      </c>
      <c r="B1936" s="84" t="inlineStr">
        <is>
          <t>B331</t>
        </is>
      </c>
      <c r="C1936" s="84" t="inlineStr">
        <is>
          <t>上海区域</t>
        </is>
      </c>
      <c r="D1936" s="84" t="inlineStr">
        <is>
          <t>CN0Q</t>
        </is>
      </c>
      <c r="E1936" s="80" t="inlineStr">
        <is>
          <t>EE 苏州比斯特</t>
        </is>
      </c>
      <c r="F1936" s="84" t="n">
        <v>4</v>
      </c>
      <c r="G1936" s="84" t="inlineStr">
        <is>
          <t>奥特莱斯</t>
        </is>
      </c>
      <c r="H1936" s="84" t="inlineStr">
        <is>
          <t>EEYSG25B1G</t>
        </is>
      </c>
      <c r="I1936" s="84" t="n">
        <v>899</v>
      </c>
      <c r="J1936" s="84" t="n">
        <v>899</v>
      </c>
      <c r="K1936" s="85" t="n"/>
      <c r="L1936" s="85" t="n"/>
    </row>
    <row r="1937" ht="12.75" customHeight="1" s="103">
      <c r="A1937" s="78">
        <f>MID(H1937,3,2)</f>
        <v/>
      </c>
      <c r="B1937" s="84" t="inlineStr">
        <is>
          <t>B331</t>
        </is>
      </c>
      <c r="C1937" s="84" t="inlineStr">
        <is>
          <t>上海区域</t>
        </is>
      </c>
      <c r="D1937" s="84" t="inlineStr">
        <is>
          <t>CN0Q</t>
        </is>
      </c>
      <c r="E1937" s="80" t="inlineStr">
        <is>
          <t>EE 苏州比斯特</t>
        </is>
      </c>
      <c r="F1937" s="84" t="n">
        <v>4</v>
      </c>
      <c r="G1937" s="84" t="inlineStr">
        <is>
          <t>奥特莱斯</t>
        </is>
      </c>
      <c r="H1937" s="84" t="inlineStr">
        <is>
          <t>EEYSG25B1G</t>
        </is>
      </c>
      <c r="I1937" s="84" t="n">
        <v>899</v>
      </c>
      <c r="J1937" s="84" t="n">
        <v>899</v>
      </c>
      <c r="K1937" s="85" t="n"/>
      <c r="L1937" s="85" t="n"/>
    </row>
    <row r="1938" ht="12.75" customHeight="1" s="103">
      <c r="A1938" s="78">
        <f>MID(H1938,3,2)</f>
        <v/>
      </c>
      <c r="B1938" s="84" t="inlineStr">
        <is>
          <t>B331</t>
        </is>
      </c>
      <c r="C1938" s="84" t="inlineStr">
        <is>
          <t>上海区域</t>
        </is>
      </c>
      <c r="D1938" s="84" t="inlineStr">
        <is>
          <t>CN0Q</t>
        </is>
      </c>
      <c r="E1938" s="80" t="inlineStr">
        <is>
          <t>EE 苏州比斯特</t>
        </is>
      </c>
      <c r="F1938" s="84" t="n">
        <v>4</v>
      </c>
      <c r="G1938" s="84" t="inlineStr">
        <is>
          <t>奥特莱斯</t>
        </is>
      </c>
      <c r="H1938" s="84" t="inlineStr">
        <is>
          <t>EEYSG25B1G</t>
        </is>
      </c>
      <c r="I1938" s="84" t="n">
        <v>899</v>
      </c>
      <c r="J1938" s="84" t="n">
        <v>899</v>
      </c>
      <c r="K1938" s="85" t="n"/>
      <c r="L1938" s="85" t="n"/>
    </row>
    <row r="1939" ht="12.75" customHeight="1" s="103">
      <c r="A1939" s="78">
        <f>MID(H1939,3,2)</f>
        <v/>
      </c>
      <c r="B1939" s="84" t="inlineStr">
        <is>
          <t>B331</t>
        </is>
      </c>
      <c r="C1939" s="84" t="inlineStr">
        <is>
          <t>上海区域</t>
        </is>
      </c>
      <c r="D1939" s="84" t="inlineStr">
        <is>
          <t>CN0Q</t>
        </is>
      </c>
      <c r="E1939" s="80" t="inlineStr">
        <is>
          <t>EE 苏州比斯特</t>
        </is>
      </c>
      <c r="F1939" s="84" t="n">
        <v>4</v>
      </c>
      <c r="G1939" s="84" t="inlineStr">
        <is>
          <t>奥特莱斯</t>
        </is>
      </c>
      <c r="H1939" s="84" t="inlineStr">
        <is>
          <t>EEYSG25B1G</t>
        </is>
      </c>
      <c r="I1939" s="84" t="n">
        <v>899</v>
      </c>
      <c r="J1939" s="84" t="n">
        <v>899</v>
      </c>
      <c r="K1939" s="85" t="n">
        <v>2</v>
      </c>
      <c r="L1939" s="85" t="n"/>
    </row>
    <row r="1940" ht="12.75" customHeight="1" s="103">
      <c r="A1940" s="78">
        <f>MID(H1940,3,2)</f>
        <v/>
      </c>
      <c r="B1940" s="84" t="inlineStr">
        <is>
          <t>B331</t>
        </is>
      </c>
      <c r="C1940" s="84" t="inlineStr">
        <is>
          <t>上海区域</t>
        </is>
      </c>
      <c r="D1940" s="84" t="inlineStr">
        <is>
          <t>CN0Q</t>
        </is>
      </c>
      <c r="E1940" s="80" t="inlineStr">
        <is>
          <t>EE 苏州比斯特</t>
        </is>
      </c>
      <c r="F1940" s="84" t="n">
        <v>4</v>
      </c>
      <c r="G1940" s="84" t="inlineStr">
        <is>
          <t>奥特莱斯</t>
        </is>
      </c>
      <c r="H1940" s="84" t="inlineStr">
        <is>
          <t>EEYSG25B1G</t>
        </is>
      </c>
      <c r="I1940" s="84" t="n">
        <v>899</v>
      </c>
      <c r="J1940" s="84" t="n">
        <v>899</v>
      </c>
      <c r="K1940" s="85" t="n">
        <v>2</v>
      </c>
      <c r="L1940" s="85" t="n">
        <v>579</v>
      </c>
    </row>
    <row r="1941" ht="12.75" customHeight="1" s="103">
      <c r="A1941" s="78">
        <f>MID(H1941,3,2)</f>
        <v/>
      </c>
      <c r="B1941" s="84" t="inlineStr">
        <is>
          <t>B331</t>
        </is>
      </c>
      <c r="C1941" s="84" t="inlineStr">
        <is>
          <t>上海区域</t>
        </is>
      </c>
      <c r="D1941" s="84" t="inlineStr">
        <is>
          <t>CN0Q</t>
        </is>
      </c>
      <c r="E1941" s="80" t="inlineStr">
        <is>
          <t>EE 苏州比斯特</t>
        </is>
      </c>
      <c r="F1941" s="84" t="n">
        <v>4</v>
      </c>
      <c r="G1941" s="84" t="inlineStr">
        <is>
          <t>奥特莱斯</t>
        </is>
      </c>
      <c r="H1941" s="84" t="inlineStr">
        <is>
          <t>EEYSG25B1G</t>
        </is>
      </c>
      <c r="I1941" s="84" t="n">
        <v>899</v>
      </c>
      <c r="J1941" s="84" t="n">
        <v>899</v>
      </c>
      <c r="K1941" s="85" t="n"/>
      <c r="L1941" s="85" t="n"/>
    </row>
    <row r="1942" ht="12.75" customHeight="1" s="103">
      <c r="A1942" s="78">
        <f>MID(H1942,3,2)</f>
        <v/>
      </c>
      <c r="B1942" s="84" t="inlineStr">
        <is>
          <t>B331</t>
        </is>
      </c>
      <c r="C1942" s="84" t="inlineStr">
        <is>
          <t>上海区域</t>
        </is>
      </c>
      <c r="D1942" s="84" t="inlineStr">
        <is>
          <t>CN0Q</t>
        </is>
      </c>
      <c r="E1942" s="80" t="inlineStr">
        <is>
          <t>EE 苏州比斯特</t>
        </is>
      </c>
      <c r="F1942" s="84" t="n">
        <v>4</v>
      </c>
      <c r="G1942" s="84" t="inlineStr">
        <is>
          <t>奥特莱斯</t>
        </is>
      </c>
      <c r="H1942" s="84" t="inlineStr">
        <is>
          <t>EEYSG25B1G</t>
        </is>
      </c>
      <c r="I1942" s="84" t="n">
        <v>899</v>
      </c>
      <c r="J1942" s="84" t="n">
        <v>899</v>
      </c>
      <c r="K1942" s="85" t="n"/>
      <c r="L1942" s="85" t="n"/>
    </row>
    <row r="1943" ht="12.75" customHeight="1" s="103">
      <c r="A1943" s="78">
        <f>MID(H1943,3,2)</f>
        <v/>
      </c>
      <c r="B1943" s="84" t="inlineStr">
        <is>
          <t>B331</t>
        </is>
      </c>
      <c r="C1943" s="84" t="inlineStr">
        <is>
          <t>上海区域</t>
        </is>
      </c>
      <c r="D1943" s="84" t="inlineStr">
        <is>
          <t>CN0Q</t>
        </is>
      </c>
      <c r="E1943" s="80" t="inlineStr">
        <is>
          <t>EE 苏州比斯特</t>
        </is>
      </c>
      <c r="F1943" s="84" t="n">
        <v>4</v>
      </c>
      <c r="G1943" s="84" t="inlineStr">
        <is>
          <t>奥特莱斯</t>
        </is>
      </c>
      <c r="H1943" s="84" t="inlineStr">
        <is>
          <t>EEYSG63S01</t>
        </is>
      </c>
      <c r="I1943" s="84" t="n">
        <v>799</v>
      </c>
      <c r="J1943" s="84" t="n">
        <v>799</v>
      </c>
      <c r="K1943" s="85" t="n">
        <v>3</v>
      </c>
      <c r="L1943" s="86" t="n">
        <v>1134</v>
      </c>
    </row>
    <row r="1944" ht="12.75" customHeight="1" s="103">
      <c r="A1944" s="78">
        <f>MID(H1944,3,2)</f>
        <v/>
      </c>
      <c r="B1944" s="84" t="inlineStr">
        <is>
          <t>B331</t>
        </is>
      </c>
      <c r="C1944" s="84" t="inlineStr">
        <is>
          <t>上海区域</t>
        </is>
      </c>
      <c r="D1944" s="84" t="inlineStr">
        <is>
          <t>CN0Q</t>
        </is>
      </c>
      <c r="E1944" s="80" t="inlineStr">
        <is>
          <t>EE 苏州比斯特</t>
        </is>
      </c>
      <c r="F1944" s="84" t="n">
        <v>4</v>
      </c>
      <c r="G1944" s="84" t="inlineStr">
        <is>
          <t>奥特莱斯</t>
        </is>
      </c>
      <c r="H1944" s="84" t="inlineStr">
        <is>
          <t>EEYSG63S01</t>
        </is>
      </c>
      <c r="I1944" s="84" t="n">
        <v>799</v>
      </c>
      <c r="J1944" s="84" t="n">
        <v>799</v>
      </c>
      <c r="K1944" s="85" t="n"/>
      <c r="L1944" s="85" t="n"/>
    </row>
    <row r="1945" ht="12.75" customHeight="1" s="103">
      <c r="A1945" s="78">
        <f>MID(H1945,3,2)</f>
        <v/>
      </c>
      <c r="B1945" s="84" t="inlineStr">
        <is>
          <t>B331</t>
        </is>
      </c>
      <c r="C1945" s="84" t="inlineStr">
        <is>
          <t>上海区域</t>
        </is>
      </c>
      <c r="D1945" s="84" t="inlineStr">
        <is>
          <t>CN0Q</t>
        </is>
      </c>
      <c r="E1945" s="80" t="inlineStr">
        <is>
          <t>EE 苏州比斯特</t>
        </is>
      </c>
      <c r="F1945" s="84" t="n">
        <v>4</v>
      </c>
      <c r="G1945" s="84" t="inlineStr">
        <is>
          <t>奥特莱斯</t>
        </is>
      </c>
      <c r="H1945" s="84" t="inlineStr">
        <is>
          <t>EEYSG63S01</t>
        </is>
      </c>
      <c r="I1945" s="84" t="n">
        <v>799</v>
      </c>
      <c r="J1945" s="84" t="n">
        <v>799</v>
      </c>
      <c r="K1945" s="85" t="n">
        <v>1</v>
      </c>
      <c r="L1945" s="85" t="n">
        <v>370</v>
      </c>
    </row>
    <row r="1946" ht="12.75" customHeight="1" s="103">
      <c r="A1946" s="78">
        <f>MID(H1946,3,2)</f>
        <v/>
      </c>
      <c r="B1946" s="84" t="inlineStr">
        <is>
          <t>B331</t>
        </is>
      </c>
      <c r="C1946" s="84" t="inlineStr">
        <is>
          <t>上海区域</t>
        </is>
      </c>
      <c r="D1946" s="84" t="inlineStr">
        <is>
          <t>CN0Q</t>
        </is>
      </c>
      <c r="E1946" s="80" t="inlineStr">
        <is>
          <t>EE 苏州比斯特</t>
        </is>
      </c>
      <c r="F1946" s="84" t="n">
        <v>4</v>
      </c>
      <c r="G1946" s="84" t="inlineStr">
        <is>
          <t>奥特莱斯</t>
        </is>
      </c>
      <c r="H1946" s="84" t="inlineStr">
        <is>
          <t>EEYSG63S01</t>
        </is>
      </c>
      <c r="I1946" s="84" t="n">
        <v>799</v>
      </c>
      <c r="J1946" s="84" t="n">
        <v>799</v>
      </c>
      <c r="K1946" s="85" t="n">
        <v>4</v>
      </c>
      <c r="L1946" s="85" t="n">
        <v>764</v>
      </c>
    </row>
    <row r="1947" ht="12.75" customHeight="1" s="103">
      <c r="A1947" s="78">
        <f>MID(H1947,3,2)</f>
        <v/>
      </c>
      <c r="B1947" s="84" t="inlineStr">
        <is>
          <t>B331</t>
        </is>
      </c>
      <c r="C1947" s="84" t="inlineStr">
        <is>
          <t>上海区域</t>
        </is>
      </c>
      <c r="D1947" s="84" t="inlineStr">
        <is>
          <t>CN0Q</t>
        </is>
      </c>
      <c r="E1947" s="80" t="inlineStr">
        <is>
          <t>EE 苏州比斯特</t>
        </is>
      </c>
      <c r="F1947" s="84" t="n">
        <v>4</v>
      </c>
      <c r="G1947" s="84" t="inlineStr">
        <is>
          <t>奥特莱斯</t>
        </is>
      </c>
      <c r="H1947" s="84" t="inlineStr">
        <is>
          <t>EEYSG63S01</t>
        </is>
      </c>
      <c r="I1947" s="84" t="n">
        <v>799</v>
      </c>
      <c r="J1947" s="84" t="n">
        <v>799</v>
      </c>
      <c r="K1947" s="85" t="n">
        <v>4</v>
      </c>
      <c r="L1947" s="86" t="n">
        <v>1004</v>
      </c>
    </row>
    <row r="1948" ht="12.75" customHeight="1" s="103">
      <c r="A1948" s="78">
        <f>MID(H1948,3,2)</f>
        <v/>
      </c>
      <c r="B1948" s="84" t="inlineStr">
        <is>
          <t>B331</t>
        </is>
      </c>
      <c r="C1948" s="84" t="inlineStr">
        <is>
          <t>上海区域</t>
        </is>
      </c>
      <c r="D1948" s="84" t="inlineStr">
        <is>
          <t>CN0Q</t>
        </is>
      </c>
      <c r="E1948" s="80" t="inlineStr">
        <is>
          <t>EE 苏州比斯特</t>
        </is>
      </c>
      <c r="F1948" s="84" t="n">
        <v>4</v>
      </c>
      <c r="G1948" s="84" t="inlineStr">
        <is>
          <t>奥特莱斯</t>
        </is>
      </c>
      <c r="H1948" s="84" t="inlineStr">
        <is>
          <t>EEYSG63S01</t>
        </is>
      </c>
      <c r="I1948" s="84" t="n">
        <v>799</v>
      </c>
      <c r="J1948" s="84" t="n">
        <v>799</v>
      </c>
      <c r="K1948" s="85" t="n">
        <v>2</v>
      </c>
      <c r="L1948" s="85" t="n">
        <v>361</v>
      </c>
    </row>
    <row r="1949" ht="12.75" customHeight="1" s="103">
      <c r="A1949" s="78">
        <f>MID(H1949,3,2)</f>
        <v/>
      </c>
      <c r="B1949" s="84" t="inlineStr">
        <is>
          <t>B331</t>
        </is>
      </c>
      <c r="C1949" s="84" t="inlineStr">
        <is>
          <t>上海区域</t>
        </is>
      </c>
      <c r="D1949" s="84" t="inlineStr">
        <is>
          <t>CN0Q</t>
        </is>
      </c>
      <c r="E1949" s="80" t="inlineStr">
        <is>
          <t>EE 苏州比斯特</t>
        </is>
      </c>
      <c r="F1949" s="84" t="n">
        <v>4</v>
      </c>
      <c r="G1949" s="84" t="inlineStr">
        <is>
          <t>奥特莱斯</t>
        </is>
      </c>
      <c r="H1949" s="84" t="inlineStr">
        <is>
          <t>EEYSG63S02</t>
        </is>
      </c>
      <c r="I1949" s="84" t="n">
        <v>799</v>
      </c>
      <c r="J1949" s="84" t="n">
        <v>799</v>
      </c>
      <c r="K1949" s="85" t="n">
        <v>4</v>
      </c>
      <c r="L1949" s="86" t="n">
        <v>1166</v>
      </c>
    </row>
    <row r="1950" ht="12.75" customHeight="1" s="103">
      <c r="A1950" s="78">
        <f>MID(H1950,3,2)</f>
        <v/>
      </c>
      <c r="B1950" s="84" t="inlineStr">
        <is>
          <t>B331</t>
        </is>
      </c>
      <c r="C1950" s="84" t="inlineStr">
        <is>
          <t>上海区域</t>
        </is>
      </c>
      <c r="D1950" s="84" t="inlineStr">
        <is>
          <t>CN0Q</t>
        </is>
      </c>
      <c r="E1950" s="80" t="inlineStr">
        <is>
          <t>EE 苏州比斯特</t>
        </is>
      </c>
      <c r="F1950" s="84" t="n">
        <v>4</v>
      </c>
      <c r="G1950" s="84" t="inlineStr">
        <is>
          <t>奥特莱斯</t>
        </is>
      </c>
      <c r="H1950" s="84" t="inlineStr">
        <is>
          <t>EEYSG63S02</t>
        </is>
      </c>
      <c r="I1950" s="84" t="n">
        <v>799</v>
      </c>
      <c r="J1950" s="84" t="n">
        <v>799</v>
      </c>
      <c r="K1950" s="85" t="n">
        <v>4</v>
      </c>
      <c r="L1950" s="86" t="n">
        <v>1142</v>
      </c>
    </row>
    <row r="1951" ht="12.75" customHeight="1" s="103">
      <c r="A1951" s="78">
        <f>MID(H1951,3,2)</f>
        <v/>
      </c>
      <c r="B1951" s="84" t="inlineStr">
        <is>
          <t>B331</t>
        </is>
      </c>
      <c r="C1951" s="84" t="inlineStr">
        <is>
          <t>上海区域</t>
        </is>
      </c>
      <c r="D1951" s="84" t="inlineStr">
        <is>
          <t>CN0Q</t>
        </is>
      </c>
      <c r="E1951" s="80" t="inlineStr">
        <is>
          <t>EE 苏州比斯特</t>
        </is>
      </c>
      <c r="F1951" s="84" t="n">
        <v>4</v>
      </c>
      <c r="G1951" s="84" t="inlineStr">
        <is>
          <t>奥特莱斯</t>
        </is>
      </c>
      <c r="H1951" s="84" t="inlineStr">
        <is>
          <t>EEYSG63S02</t>
        </is>
      </c>
      <c r="I1951" s="84" t="n">
        <v>799</v>
      </c>
      <c r="J1951" s="84" t="n">
        <v>799</v>
      </c>
      <c r="K1951" s="85" t="n"/>
      <c r="L1951" s="85" t="n"/>
    </row>
    <row r="1952" ht="12.75" customHeight="1" s="103">
      <c r="A1952" s="78">
        <f>MID(H1952,3,2)</f>
        <v/>
      </c>
      <c r="B1952" s="84" t="inlineStr">
        <is>
          <t>B331</t>
        </is>
      </c>
      <c r="C1952" s="84" t="inlineStr">
        <is>
          <t>上海区域</t>
        </is>
      </c>
      <c r="D1952" s="84" t="inlineStr">
        <is>
          <t>CN0Q</t>
        </is>
      </c>
      <c r="E1952" s="80" t="inlineStr">
        <is>
          <t>EE 苏州比斯特</t>
        </is>
      </c>
      <c r="F1952" s="84" t="n">
        <v>4</v>
      </c>
      <c r="G1952" s="84" t="inlineStr">
        <is>
          <t>奥特莱斯</t>
        </is>
      </c>
      <c r="H1952" s="84" t="inlineStr">
        <is>
          <t>EEYSG63S02</t>
        </is>
      </c>
      <c r="I1952" s="84" t="n">
        <v>799</v>
      </c>
      <c r="J1952" s="84" t="n">
        <v>799</v>
      </c>
      <c r="K1952" s="85" t="n">
        <v>1</v>
      </c>
      <c r="L1952" s="85" t="n">
        <v>400</v>
      </c>
    </row>
    <row r="1953" ht="12.75" customHeight="1" s="103">
      <c r="A1953" s="78">
        <f>MID(H1953,3,2)</f>
        <v/>
      </c>
      <c r="B1953" s="84" t="inlineStr">
        <is>
          <t>B331</t>
        </is>
      </c>
      <c r="C1953" s="84" t="inlineStr">
        <is>
          <t>上海区域</t>
        </is>
      </c>
      <c r="D1953" s="84" t="inlineStr">
        <is>
          <t>CN0Q</t>
        </is>
      </c>
      <c r="E1953" s="80" t="inlineStr">
        <is>
          <t>EE 苏州比斯特</t>
        </is>
      </c>
      <c r="F1953" s="84" t="n">
        <v>4</v>
      </c>
      <c r="G1953" s="84" t="inlineStr">
        <is>
          <t>奥特莱斯</t>
        </is>
      </c>
      <c r="H1953" s="84" t="inlineStr">
        <is>
          <t>EEYSG63S02</t>
        </is>
      </c>
      <c r="I1953" s="84" t="n">
        <v>799</v>
      </c>
      <c r="J1953" s="84" t="n">
        <v>799</v>
      </c>
      <c r="K1953" s="85" t="n">
        <v>1</v>
      </c>
      <c r="L1953" s="85" t="n">
        <v>400</v>
      </c>
    </row>
    <row r="1954" ht="12.75" customHeight="1" s="103">
      <c r="A1954" s="78">
        <f>MID(H1954,3,2)</f>
        <v/>
      </c>
      <c r="B1954" s="84" t="inlineStr">
        <is>
          <t>B331</t>
        </is>
      </c>
      <c r="C1954" s="84" t="inlineStr">
        <is>
          <t>上海区域</t>
        </is>
      </c>
      <c r="D1954" s="84" t="inlineStr">
        <is>
          <t>CN0Q</t>
        </is>
      </c>
      <c r="E1954" s="80" t="inlineStr">
        <is>
          <t>EE 苏州比斯特</t>
        </is>
      </c>
      <c r="F1954" s="84" t="n">
        <v>4</v>
      </c>
      <c r="G1954" s="84" t="inlineStr">
        <is>
          <t>奥特莱斯</t>
        </is>
      </c>
      <c r="H1954" s="84" t="inlineStr">
        <is>
          <t>EEYSG63S02</t>
        </is>
      </c>
      <c r="I1954" s="84" t="n">
        <v>799</v>
      </c>
      <c r="J1954" s="84" t="n">
        <v>799</v>
      </c>
      <c r="K1954" s="85" t="n">
        <v>1</v>
      </c>
      <c r="L1954" s="85" t="n">
        <v>366</v>
      </c>
    </row>
    <row r="1955" ht="12.75" customHeight="1" s="103">
      <c r="A1955" s="78">
        <f>MID(H1955,3,2)</f>
        <v/>
      </c>
      <c r="B1955" s="84" t="inlineStr">
        <is>
          <t>B331</t>
        </is>
      </c>
      <c r="C1955" s="84" t="inlineStr">
        <is>
          <t>上海区域</t>
        </is>
      </c>
      <c r="D1955" s="84" t="inlineStr">
        <is>
          <t>CN0Q</t>
        </is>
      </c>
      <c r="E1955" s="80" t="inlineStr">
        <is>
          <t>EE 苏州比斯特</t>
        </is>
      </c>
      <c r="F1955" s="84" t="n">
        <v>4</v>
      </c>
      <c r="G1955" s="84" t="inlineStr">
        <is>
          <t>奥特莱斯</t>
        </is>
      </c>
      <c r="H1955" s="84" t="inlineStr">
        <is>
          <t>EEYSG63S02</t>
        </is>
      </c>
      <c r="I1955" s="84" t="n">
        <v>799</v>
      </c>
      <c r="J1955" s="84" t="n">
        <v>799</v>
      </c>
      <c r="K1955" s="85" t="n">
        <v>3</v>
      </c>
      <c r="L1955" s="86" t="n">
        <v>1167</v>
      </c>
    </row>
    <row r="1956" ht="12.75" customHeight="1" s="103">
      <c r="A1956" s="78">
        <f>MID(H1956,3,2)</f>
        <v/>
      </c>
      <c r="B1956" s="84" t="inlineStr">
        <is>
          <t>B331</t>
        </is>
      </c>
      <c r="C1956" s="84" t="inlineStr">
        <is>
          <t>上海区域</t>
        </is>
      </c>
      <c r="D1956" s="84" t="inlineStr">
        <is>
          <t>CN0Q</t>
        </is>
      </c>
      <c r="E1956" s="80" t="inlineStr">
        <is>
          <t>EE 苏州比斯特</t>
        </is>
      </c>
      <c r="F1956" s="84" t="n">
        <v>4</v>
      </c>
      <c r="G1956" s="84" t="inlineStr">
        <is>
          <t>奥特莱斯</t>
        </is>
      </c>
      <c r="H1956" s="84" t="inlineStr">
        <is>
          <t>EEYSG63S02</t>
        </is>
      </c>
      <c r="I1956" s="84" t="n">
        <v>799</v>
      </c>
      <c r="J1956" s="84" t="n">
        <v>799</v>
      </c>
      <c r="K1956" s="85" t="n">
        <v>4</v>
      </c>
      <c r="L1956" s="85" t="n">
        <v>400</v>
      </c>
    </row>
    <row r="1957" ht="12.75" customHeight="1" s="103">
      <c r="A1957" s="78">
        <f>MID(H1957,3,2)</f>
        <v/>
      </c>
      <c r="B1957" s="84" t="inlineStr">
        <is>
          <t>B331</t>
        </is>
      </c>
      <c r="C1957" s="84" t="inlineStr">
        <is>
          <t>上海区域</t>
        </is>
      </c>
      <c r="D1957" s="84" t="inlineStr">
        <is>
          <t>CN0Q</t>
        </is>
      </c>
      <c r="E1957" s="80" t="inlineStr">
        <is>
          <t>EE 苏州比斯特</t>
        </is>
      </c>
      <c r="F1957" s="84" t="n">
        <v>4</v>
      </c>
      <c r="G1957" s="84" t="inlineStr">
        <is>
          <t>奥特莱斯</t>
        </is>
      </c>
      <c r="H1957" s="84" t="inlineStr">
        <is>
          <t>EEYSG63S02</t>
        </is>
      </c>
      <c r="I1957" s="84" t="n">
        <v>799</v>
      </c>
      <c r="J1957" s="84" t="n">
        <v>799</v>
      </c>
      <c r="K1957" s="85" t="n">
        <v>1</v>
      </c>
      <c r="L1957" s="85" t="n">
        <v>363</v>
      </c>
    </row>
    <row r="1958" ht="12.75" customHeight="1" s="103">
      <c r="A1958" s="78">
        <f>MID(H1958,3,2)</f>
        <v/>
      </c>
      <c r="B1958" s="84" t="inlineStr">
        <is>
          <t>B331</t>
        </is>
      </c>
      <c r="C1958" s="84" t="inlineStr">
        <is>
          <t>上海区域</t>
        </is>
      </c>
      <c r="D1958" s="84" t="inlineStr">
        <is>
          <t>CN0Q</t>
        </is>
      </c>
      <c r="E1958" s="80" t="inlineStr">
        <is>
          <t>EE 苏州比斯特</t>
        </is>
      </c>
      <c r="F1958" s="84" t="n">
        <v>4</v>
      </c>
      <c r="G1958" s="84" t="inlineStr">
        <is>
          <t>奥特莱斯</t>
        </is>
      </c>
      <c r="H1958" s="84" t="inlineStr">
        <is>
          <t>EEYWF23E01</t>
        </is>
      </c>
      <c r="I1958" s="84" t="n">
        <v>799</v>
      </c>
      <c r="J1958" s="84" t="n">
        <v>799</v>
      </c>
      <c r="K1958" s="85" t="n">
        <v>3</v>
      </c>
      <c r="L1958" s="85" t="n">
        <v>400</v>
      </c>
    </row>
    <row r="1959" ht="12.75" customHeight="1" s="103">
      <c r="A1959" s="78">
        <f>MID(H1959,3,2)</f>
        <v/>
      </c>
      <c r="B1959" s="84" t="inlineStr">
        <is>
          <t>B331</t>
        </is>
      </c>
      <c r="C1959" s="84" t="inlineStr">
        <is>
          <t>上海区域</t>
        </is>
      </c>
      <c r="D1959" s="84" t="inlineStr">
        <is>
          <t>CN0Q</t>
        </is>
      </c>
      <c r="E1959" s="80" t="inlineStr">
        <is>
          <t>EE 苏州比斯特</t>
        </is>
      </c>
      <c r="F1959" s="84" t="n">
        <v>4</v>
      </c>
      <c r="G1959" s="84" t="inlineStr">
        <is>
          <t>奥特莱斯</t>
        </is>
      </c>
      <c r="H1959" s="84" t="inlineStr">
        <is>
          <t>EEYWF23E01</t>
        </is>
      </c>
      <c r="I1959" s="84" t="n">
        <v>799</v>
      </c>
      <c r="J1959" s="84" t="n">
        <v>799</v>
      </c>
      <c r="K1959" s="85" t="n">
        <v>1</v>
      </c>
      <c r="L1959" s="85" t="n"/>
    </row>
    <row r="1960" ht="12.75" customHeight="1" s="103">
      <c r="A1960" s="78">
        <f>MID(H1960,3,2)</f>
        <v/>
      </c>
      <c r="B1960" s="84" t="inlineStr">
        <is>
          <t>B331</t>
        </is>
      </c>
      <c r="C1960" s="84" t="inlineStr">
        <is>
          <t>上海区域</t>
        </is>
      </c>
      <c r="D1960" s="84" t="inlineStr">
        <is>
          <t>CN0Q</t>
        </is>
      </c>
      <c r="E1960" s="80" t="inlineStr">
        <is>
          <t>EE 苏州比斯特</t>
        </is>
      </c>
      <c r="F1960" s="84" t="n">
        <v>4</v>
      </c>
      <c r="G1960" s="84" t="inlineStr">
        <is>
          <t>奥特莱斯</t>
        </is>
      </c>
      <c r="H1960" s="84" t="inlineStr">
        <is>
          <t>EEYWF23E01</t>
        </is>
      </c>
      <c r="I1960" s="84" t="n">
        <v>799</v>
      </c>
      <c r="J1960" s="84" t="n">
        <v>799</v>
      </c>
      <c r="K1960" s="85" t="n"/>
      <c r="L1960" s="85" t="n"/>
    </row>
    <row r="1961" ht="12.75" customHeight="1" s="103">
      <c r="A1961" s="78">
        <f>MID(H1961,3,2)</f>
        <v/>
      </c>
      <c r="B1961" s="84" t="inlineStr">
        <is>
          <t>B331</t>
        </is>
      </c>
      <c r="C1961" s="84" t="inlineStr">
        <is>
          <t>上海区域</t>
        </is>
      </c>
      <c r="D1961" s="84" t="inlineStr">
        <is>
          <t>CN0Q</t>
        </is>
      </c>
      <c r="E1961" s="80" t="inlineStr">
        <is>
          <t>EE 苏州比斯特</t>
        </is>
      </c>
      <c r="F1961" s="84" t="n">
        <v>4</v>
      </c>
      <c r="G1961" s="84" t="inlineStr">
        <is>
          <t>奥特莱斯</t>
        </is>
      </c>
      <c r="H1961" s="84" t="inlineStr">
        <is>
          <t>EEYWF23E01</t>
        </is>
      </c>
      <c r="I1961" s="84" t="n">
        <v>799</v>
      </c>
      <c r="J1961" s="84" t="n">
        <v>799</v>
      </c>
      <c r="K1961" s="85" t="n"/>
      <c r="L1961" s="85" t="n"/>
    </row>
    <row r="1962" ht="12.75" customHeight="1" s="103">
      <c r="A1962" s="78">
        <f>MID(H1962,3,2)</f>
        <v/>
      </c>
      <c r="B1962" s="84" t="inlineStr">
        <is>
          <t>B331</t>
        </is>
      </c>
      <c r="C1962" s="84" t="inlineStr">
        <is>
          <t>上海区域</t>
        </is>
      </c>
      <c r="D1962" s="84" t="inlineStr">
        <is>
          <t>CN0Q</t>
        </is>
      </c>
      <c r="E1962" s="80" t="inlineStr">
        <is>
          <t>EE 苏州比斯特</t>
        </is>
      </c>
      <c r="F1962" s="84" t="n">
        <v>4</v>
      </c>
      <c r="G1962" s="84" t="inlineStr">
        <is>
          <t>奥特莱斯</t>
        </is>
      </c>
      <c r="H1962" s="84" t="inlineStr">
        <is>
          <t>EEYWF23E01</t>
        </is>
      </c>
      <c r="I1962" s="84" t="n">
        <v>799</v>
      </c>
      <c r="J1962" s="84" t="n">
        <v>799</v>
      </c>
      <c r="K1962" s="85" t="n"/>
      <c r="L1962" s="85" t="n"/>
    </row>
    <row r="1963" ht="12.75" customHeight="1" s="103">
      <c r="A1963" s="78">
        <f>MID(H1963,3,2)</f>
        <v/>
      </c>
      <c r="B1963" s="84" t="inlineStr">
        <is>
          <t>B331</t>
        </is>
      </c>
      <c r="C1963" s="84" t="inlineStr">
        <is>
          <t>上海区域</t>
        </is>
      </c>
      <c r="D1963" s="84" t="inlineStr">
        <is>
          <t>CN0Q</t>
        </is>
      </c>
      <c r="E1963" s="80" t="inlineStr">
        <is>
          <t>EE 苏州比斯特</t>
        </is>
      </c>
      <c r="F1963" s="84" t="n">
        <v>4</v>
      </c>
      <c r="G1963" s="84" t="inlineStr">
        <is>
          <t>奥特莱斯</t>
        </is>
      </c>
      <c r="H1963" s="84" t="inlineStr">
        <is>
          <t>EEYWF23E01</t>
        </is>
      </c>
      <c r="I1963" s="84" t="n">
        <v>799</v>
      </c>
      <c r="J1963" s="84" t="n">
        <v>799</v>
      </c>
      <c r="K1963" s="85" t="n"/>
      <c r="L1963" s="85" t="n"/>
    </row>
    <row r="1964" ht="12.75" customHeight="1" s="103">
      <c r="A1964" s="78">
        <f>MID(H1964,3,2)</f>
        <v/>
      </c>
      <c r="B1964" s="84" t="inlineStr">
        <is>
          <t>B331</t>
        </is>
      </c>
      <c r="C1964" s="84" t="inlineStr">
        <is>
          <t>上海区域</t>
        </is>
      </c>
      <c r="D1964" s="84" t="inlineStr">
        <is>
          <t>CN0Q</t>
        </is>
      </c>
      <c r="E1964" s="80" t="inlineStr">
        <is>
          <t>EE 苏州比斯特</t>
        </is>
      </c>
      <c r="F1964" s="84" t="n">
        <v>4</v>
      </c>
      <c r="G1964" s="84" t="inlineStr">
        <is>
          <t>奥特莱斯</t>
        </is>
      </c>
      <c r="H1964" s="84" t="inlineStr">
        <is>
          <t>EEYWF23E01</t>
        </is>
      </c>
      <c r="I1964" s="84" t="n">
        <v>799</v>
      </c>
      <c r="J1964" s="84" t="n">
        <v>799</v>
      </c>
      <c r="K1964" s="85" t="n"/>
      <c r="L1964" s="85" t="n"/>
    </row>
    <row r="1965" ht="12.75" customHeight="1" s="103">
      <c r="A1965" s="78">
        <f>MID(H1965,3,2)</f>
        <v/>
      </c>
      <c r="B1965" s="84" t="inlineStr">
        <is>
          <t>B331</t>
        </is>
      </c>
      <c r="C1965" s="84" t="inlineStr">
        <is>
          <t>上海区域</t>
        </is>
      </c>
      <c r="D1965" s="84" t="inlineStr">
        <is>
          <t>CN0Q</t>
        </is>
      </c>
      <c r="E1965" s="80" t="inlineStr">
        <is>
          <t>EE 苏州比斯特</t>
        </is>
      </c>
      <c r="F1965" s="84" t="n">
        <v>4</v>
      </c>
      <c r="G1965" s="84" t="inlineStr">
        <is>
          <t>奥特莱斯</t>
        </is>
      </c>
      <c r="H1965" s="84" t="inlineStr">
        <is>
          <t>EEYWF23E01</t>
        </is>
      </c>
      <c r="I1965" s="84" t="n">
        <v>799</v>
      </c>
      <c r="J1965" s="84" t="n">
        <v>799</v>
      </c>
      <c r="K1965" s="85" t="n"/>
      <c r="L1965" s="85" t="n"/>
    </row>
    <row r="1966" ht="12.75" customHeight="1" s="103">
      <c r="A1966" s="78">
        <f>MID(H1966,3,2)</f>
        <v/>
      </c>
      <c r="B1966" s="84" t="inlineStr">
        <is>
          <t>B331</t>
        </is>
      </c>
      <c r="C1966" s="84" t="inlineStr">
        <is>
          <t>上海区域</t>
        </is>
      </c>
      <c r="D1966" s="84" t="inlineStr">
        <is>
          <t>CN0Q</t>
        </is>
      </c>
      <c r="E1966" s="80" t="inlineStr">
        <is>
          <t>EE 苏州比斯特</t>
        </is>
      </c>
      <c r="F1966" s="84" t="n">
        <v>4</v>
      </c>
      <c r="G1966" s="84" t="inlineStr">
        <is>
          <t>奥特莱斯</t>
        </is>
      </c>
      <c r="H1966" s="84" t="inlineStr">
        <is>
          <t>EEYWF23E01</t>
        </is>
      </c>
      <c r="I1966" s="84" t="n">
        <v>799</v>
      </c>
      <c r="J1966" s="84" t="n">
        <v>799</v>
      </c>
      <c r="K1966" s="85" t="n"/>
      <c r="L1966" s="85" t="n"/>
    </row>
    <row r="1967" ht="12.75" customHeight="1" s="103">
      <c r="A1967" s="78">
        <f>MID(H1967,3,2)</f>
        <v/>
      </c>
      <c r="B1967" s="84" t="inlineStr">
        <is>
          <t>B331</t>
        </is>
      </c>
      <c r="C1967" s="84" t="inlineStr">
        <is>
          <t>上海区域</t>
        </is>
      </c>
      <c r="D1967" s="84" t="inlineStr">
        <is>
          <t>CN0Q</t>
        </is>
      </c>
      <c r="E1967" s="80" t="inlineStr">
        <is>
          <t>EE 苏州比斯特</t>
        </is>
      </c>
      <c r="F1967" s="84" t="n">
        <v>4</v>
      </c>
      <c r="G1967" s="84" t="inlineStr">
        <is>
          <t>奥特莱斯</t>
        </is>
      </c>
      <c r="H1967" s="84" t="inlineStr">
        <is>
          <t>EEYWF23E01</t>
        </is>
      </c>
      <c r="I1967" s="84" t="n">
        <v>799</v>
      </c>
      <c r="J1967" s="84" t="n">
        <v>799</v>
      </c>
      <c r="K1967" s="85" t="n"/>
      <c r="L1967" s="85" t="n"/>
    </row>
    <row r="1968" ht="12.75" customHeight="1" s="103">
      <c r="A1968" s="78">
        <f>MID(H1968,3,2)</f>
        <v/>
      </c>
      <c r="B1968" s="84" t="inlineStr">
        <is>
          <t>B331</t>
        </is>
      </c>
      <c r="C1968" s="84" t="inlineStr">
        <is>
          <t>上海区域</t>
        </is>
      </c>
      <c r="D1968" s="84" t="inlineStr">
        <is>
          <t>CN0Q</t>
        </is>
      </c>
      <c r="E1968" s="80" t="inlineStr">
        <is>
          <t>EE 苏州比斯特</t>
        </is>
      </c>
      <c r="F1968" s="84" t="n">
        <v>4</v>
      </c>
      <c r="G1968" s="84" t="inlineStr">
        <is>
          <t>奥特莱斯</t>
        </is>
      </c>
      <c r="H1968" s="84" t="inlineStr">
        <is>
          <t>EEYWF23E01</t>
        </is>
      </c>
      <c r="I1968" s="84" t="n">
        <v>799</v>
      </c>
      <c r="J1968" s="84" t="n">
        <v>799</v>
      </c>
      <c r="K1968" s="85" t="n"/>
      <c r="L1968" s="85" t="n"/>
    </row>
    <row r="1969" ht="12.75" customHeight="1" s="103">
      <c r="A1969" s="78">
        <f>MID(H1969,3,2)</f>
        <v/>
      </c>
      <c r="B1969" s="84" t="inlineStr">
        <is>
          <t>B331</t>
        </is>
      </c>
      <c r="C1969" s="84" t="inlineStr">
        <is>
          <t>上海区域</t>
        </is>
      </c>
      <c r="D1969" s="84" t="inlineStr">
        <is>
          <t>CN0Q</t>
        </is>
      </c>
      <c r="E1969" s="80" t="inlineStr">
        <is>
          <t>EE 苏州比斯特</t>
        </is>
      </c>
      <c r="F1969" s="84" t="n">
        <v>4</v>
      </c>
      <c r="G1969" s="84" t="inlineStr">
        <is>
          <t>奥特莱斯</t>
        </is>
      </c>
      <c r="H1969" s="84" t="inlineStr">
        <is>
          <t>EEYWF23E01</t>
        </is>
      </c>
      <c r="I1969" s="84" t="n">
        <v>799</v>
      </c>
      <c r="J1969" s="84" t="n">
        <v>799</v>
      </c>
      <c r="K1969" s="85" t="n"/>
      <c r="L1969" s="85" t="n"/>
    </row>
    <row r="1970" ht="12.75" customHeight="1" s="103">
      <c r="A1970" s="78">
        <f>MID(H1970,3,2)</f>
        <v/>
      </c>
      <c r="B1970" s="84" t="inlineStr">
        <is>
          <t>B331</t>
        </is>
      </c>
      <c r="C1970" s="84" t="inlineStr">
        <is>
          <t>上海区域</t>
        </is>
      </c>
      <c r="D1970" s="84" t="inlineStr">
        <is>
          <t>CN0Q</t>
        </is>
      </c>
      <c r="E1970" s="80" t="inlineStr">
        <is>
          <t>EE 苏州比斯特</t>
        </is>
      </c>
      <c r="F1970" s="84" t="n">
        <v>4</v>
      </c>
      <c r="G1970" s="84" t="inlineStr">
        <is>
          <t>奥特莱斯</t>
        </is>
      </c>
      <c r="H1970" s="84" t="inlineStr">
        <is>
          <t>EEYWF23E01</t>
        </is>
      </c>
      <c r="I1970" s="84" t="n">
        <v>799</v>
      </c>
      <c r="J1970" s="84" t="n">
        <v>799</v>
      </c>
      <c r="K1970" s="85" t="n">
        <v>4</v>
      </c>
      <c r="L1970" s="85" t="n"/>
    </row>
    <row r="1971" ht="12.75" customHeight="1" s="103">
      <c r="A1971" s="78">
        <f>MID(H1971,3,2)</f>
        <v/>
      </c>
      <c r="B1971" s="84" t="inlineStr">
        <is>
          <t>B331</t>
        </is>
      </c>
      <c r="C1971" s="84" t="inlineStr">
        <is>
          <t>上海区域</t>
        </is>
      </c>
      <c r="D1971" s="84" t="inlineStr">
        <is>
          <t>CN0Q</t>
        </is>
      </c>
      <c r="E1971" s="80" t="inlineStr">
        <is>
          <t>EE 苏州比斯特</t>
        </is>
      </c>
      <c r="F1971" s="84" t="n">
        <v>4</v>
      </c>
      <c r="G1971" s="84" t="inlineStr">
        <is>
          <t>奥特莱斯</t>
        </is>
      </c>
      <c r="H1971" s="84" t="inlineStr">
        <is>
          <t>EEYWF23E01</t>
        </is>
      </c>
      <c r="I1971" s="84" t="n">
        <v>799</v>
      </c>
      <c r="J1971" s="84" t="n">
        <v>799</v>
      </c>
      <c r="K1971" s="85" t="n">
        <v>1</v>
      </c>
      <c r="L1971" s="85" t="n"/>
    </row>
    <row r="1972" ht="12.75" customHeight="1" s="103">
      <c r="A1972" s="78">
        <f>MID(H1972,3,2)</f>
        <v/>
      </c>
      <c r="B1972" s="84" t="inlineStr">
        <is>
          <t>B331</t>
        </is>
      </c>
      <c r="C1972" s="84" t="inlineStr">
        <is>
          <t>上海区域</t>
        </is>
      </c>
      <c r="D1972" s="84" t="inlineStr">
        <is>
          <t>CN0Q</t>
        </is>
      </c>
      <c r="E1972" s="80" t="inlineStr">
        <is>
          <t>EE 苏州比斯特</t>
        </is>
      </c>
      <c r="F1972" s="84" t="n">
        <v>4</v>
      </c>
      <c r="G1972" s="84" t="inlineStr">
        <is>
          <t>奥特莱斯</t>
        </is>
      </c>
      <c r="H1972" s="84" t="inlineStr">
        <is>
          <t>EEYWF23E01</t>
        </is>
      </c>
      <c r="I1972" s="84" t="n">
        <v>799</v>
      </c>
      <c r="J1972" s="84" t="n">
        <v>799</v>
      </c>
      <c r="K1972" s="85" t="n">
        <v>2</v>
      </c>
      <c r="L1972" s="85" t="n"/>
    </row>
    <row r="1973" ht="12.75" customHeight="1" s="103">
      <c r="A1973" s="78">
        <f>MID(H1973,3,2)</f>
        <v/>
      </c>
      <c r="B1973" s="84" t="inlineStr">
        <is>
          <t>B331</t>
        </is>
      </c>
      <c r="C1973" s="84" t="inlineStr">
        <is>
          <t>上海区域</t>
        </is>
      </c>
      <c r="D1973" s="84" t="inlineStr">
        <is>
          <t>CN0Q</t>
        </is>
      </c>
      <c r="E1973" s="80" t="inlineStr">
        <is>
          <t>EE 苏州比斯特</t>
        </is>
      </c>
      <c r="F1973" s="84" t="n">
        <v>4</v>
      </c>
      <c r="G1973" s="84" t="inlineStr">
        <is>
          <t>奥特莱斯</t>
        </is>
      </c>
      <c r="H1973" s="84" t="inlineStr">
        <is>
          <t>EEYWF23E03</t>
        </is>
      </c>
      <c r="I1973" s="84" t="n">
        <v>599</v>
      </c>
      <c r="J1973" s="84" t="n">
        <v>599</v>
      </c>
      <c r="K1973" s="85" t="n"/>
      <c r="L1973" s="85" t="n"/>
    </row>
    <row r="1974" ht="12.75" customHeight="1" s="103">
      <c r="A1974" s="78">
        <f>MID(H1974,3,2)</f>
        <v/>
      </c>
      <c r="B1974" s="84" t="inlineStr">
        <is>
          <t>B331</t>
        </is>
      </c>
      <c r="C1974" s="84" t="inlineStr">
        <is>
          <t>上海区域</t>
        </is>
      </c>
      <c r="D1974" s="84" t="inlineStr">
        <is>
          <t>CN0Q</t>
        </is>
      </c>
      <c r="E1974" s="80" t="inlineStr">
        <is>
          <t>EE 苏州比斯特</t>
        </is>
      </c>
      <c r="F1974" s="84" t="n">
        <v>4</v>
      </c>
      <c r="G1974" s="84" t="inlineStr">
        <is>
          <t>奥特莱斯</t>
        </is>
      </c>
      <c r="H1974" s="84" t="inlineStr">
        <is>
          <t>EEYWF23E03</t>
        </is>
      </c>
      <c r="I1974" s="84" t="n">
        <v>599</v>
      </c>
      <c r="J1974" s="84" t="n">
        <v>599</v>
      </c>
      <c r="K1974" s="85" t="n"/>
      <c r="L1974" s="85" t="n"/>
    </row>
    <row r="1975" ht="12.75" customHeight="1" s="103">
      <c r="A1975" s="78">
        <f>MID(H1975,3,2)</f>
        <v/>
      </c>
      <c r="B1975" s="84" t="inlineStr">
        <is>
          <t>B331</t>
        </is>
      </c>
      <c r="C1975" s="84" t="inlineStr">
        <is>
          <t>上海区域</t>
        </is>
      </c>
      <c r="D1975" s="84" t="inlineStr">
        <is>
          <t>CN0Q</t>
        </is>
      </c>
      <c r="E1975" s="80" t="inlineStr">
        <is>
          <t>EE 苏州比斯特</t>
        </is>
      </c>
      <c r="F1975" s="84" t="n">
        <v>4</v>
      </c>
      <c r="G1975" s="84" t="inlineStr">
        <is>
          <t>奥特莱斯</t>
        </is>
      </c>
      <c r="H1975" s="84" t="inlineStr">
        <is>
          <t>EEYWF23E03</t>
        </is>
      </c>
      <c r="I1975" s="84" t="n">
        <v>599</v>
      </c>
      <c r="J1975" s="84" t="n">
        <v>599</v>
      </c>
      <c r="K1975" s="85" t="n"/>
      <c r="L1975" s="85" t="n"/>
    </row>
    <row r="1976" ht="12.75" customHeight="1" s="103">
      <c r="A1976" s="78">
        <f>MID(H1976,3,2)</f>
        <v/>
      </c>
      <c r="B1976" s="84" t="inlineStr">
        <is>
          <t>B331</t>
        </is>
      </c>
      <c r="C1976" s="84" t="inlineStr">
        <is>
          <t>上海区域</t>
        </is>
      </c>
      <c r="D1976" s="84" t="inlineStr">
        <is>
          <t>CN0Q</t>
        </is>
      </c>
      <c r="E1976" s="80" t="inlineStr">
        <is>
          <t>EE 苏州比斯特</t>
        </is>
      </c>
      <c r="F1976" s="84" t="n">
        <v>4</v>
      </c>
      <c r="G1976" s="84" t="inlineStr">
        <is>
          <t>奥特莱斯</t>
        </is>
      </c>
      <c r="H1976" s="84" t="inlineStr">
        <is>
          <t>EEYWF23E03</t>
        </is>
      </c>
      <c r="I1976" s="84" t="n">
        <v>599</v>
      </c>
      <c r="J1976" s="84" t="n">
        <v>599</v>
      </c>
      <c r="K1976" s="85" t="n"/>
      <c r="L1976" s="85" t="n"/>
    </row>
    <row r="1977" ht="12.75" customHeight="1" s="103">
      <c r="A1977" s="78">
        <f>MID(H1977,3,2)</f>
        <v/>
      </c>
      <c r="B1977" s="84" t="inlineStr">
        <is>
          <t>B331</t>
        </is>
      </c>
      <c r="C1977" s="84" t="inlineStr">
        <is>
          <t>上海区域</t>
        </is>
      </c>
      <c r="D1977" s="84" t="inlineStr">
        <is>
          <t>CN0Q</t>
        </is>
      </c>
      <c r="E1977" s="80" t="inlineStr">
        <is>
          <t>EE 苏州比斯特</t>
        </is>
      </c>
      <c r="F1977" s="84" t="n">
        <v>4</v>
      </c>
      <c r="G1977" s="84" t="inlineStr">
        <is>
          <t>奥特莱斯</t>
        </is>
      </c>
      <c r="H1977" s="84" t="inlineStr">
        <is>
          <t>EEYWF23E03</t>
        </is>
      </c>
      <c r="I1977" s="84" t="n">
        <v>599</v>
      </c>
      <c r="J1977" s="84" t="n">
        <v>599</v>
      </c>
      <c r="K1977" s="85" t="n"/>
      <c r="L1977" s="85" t="n"/>
    </row>
    <row r="1978" ht="12.75" customHeight="1" s="103">
      <c r="A1978" s="78">
        <f>MID(H1978,3,2)</f>
        <v/>
      </c>
      <c r="B1978" s="84" t="inlineStr">
        <is>
          <t>B331</t>
        </is>
      </c>
      <c r="C1978" s="84" t="inlineStr">
        <is>
          <t>上海区域</t>
        </is>
      </c>
      <c r="D1978" s="84" t="inlineStr">
        <is>
          <t>CN0Q</t>
        </is>
      </c>
      <c r="E1978" s="80" t="inlineStr">
        <is>
          <t>EE 苏州比斯特</t>
        </is>
      </c>
      <c r="F1978" s="84" t="n">
        <v>4</v>
      </c>
      <c r="G1978" s="84" t="inlineStr">
        <is>
          <t>奥特莱斯</t>
        </is>
      </c>
      <c r="H1978" s="84" t="inlineStr">
        <is>
          <t>EEYWF23E03</t>
        </is>
      </c>
      <c r="I1978" s="84" t="n">
        <v>599</v>
      </c>
      <c r="J1978" s="84" t="n">
        <v>599</v>
      </c>
      <c r="K1978" s="85" t="n"/>
      <c r="L1978" s="85" t="n"/>
    </row>
    <row r="1979" ht="12.75" customHeight="1" s="103">
      <c r="A1979" s="78">
        <f>MID(H1979,3,2)</f>
        <v/>
      </c>
      <c r="B1979" s="84" t="inlineStr">
        <is>
          <t>B331</t>
        </is>
      </c>
      <c r="C1979" s="84" t="inlineStr">
        <is>
          <t>上海区域</t>
        </is>
      </c>
      <c r="D1979" s="84" t="inlineStr">
        <is>
          <t>CN0Q</t>
        </is>
      </c>
      <c r="E1979" s="80" t="inlineStr">
        <is>
          <t>EE 苏州比斯特</t>
        </is>
      </c>
      <c r="F1979" s="84" t="n">
        <v>4</v>
      </c>
      <c r="G1979" s="84" t="inlineStr">
        <is>
          <t>奥特莱斯</t>
        </is>
      </c>
      <c r="H1979" s="84" t="inlineStr">
        <is>
          <t>EEYWF23E03</t>
        </is>
      </c>
      <c r="I1979" s="84" t="n">
        <v>599</v>
      </c>
      <c r="J1979" s="84" t="n">
        <v>599</v>
      </c>
      <c r="K1979" s="85" t="n"/>
      <c r="L1979" s="85" t="n"/>
    </row>
    <row r="1980" ht="12.75" customHeight="1" s="103">
      <c r="A1980" s="78">
        <f>MID(H1980,3,2)</f>
        <v/>
      </c>
      <c r="B1980" s="84" t="inlineStr">
        <is>
          <t>B331</t>
        </is>
      </c>
      <c r="C1980" s="84" t="inlineStr">
        <is>
          <t>上海区域</t>
        </is>
      </c>
      <c r="D1980" s="84" t="inlineStr">
        <is>
          <t>CN0Q</t>
        </is>
      </c>
      <c r="E1980" s="80" t="inlineStr">
        <is>
          <t>EE 苏州比斯特</t>
        </is>
      </c>
      <c r="F1980" s="84" t="n">
        <v>4</v>
      </c>
      <c r="G1980" s="84" t="inlineStr">
        <is>
          <t>奥特莱斯</t>
        </is>
      </c>
      <c r="H1980" s="84" t="inlineStr">
        <is>
          <t>EEYWF23E03</t>
        </is>
      </c>
      <c r="I1980" s="84" t="n">
        <v>599</v>
      </c>
      <c r="J1980" s="84" t="n">
        <v>599</v>
      </c>
      <c r="K1980" s="85" t="n"/>
      <c r="L1980" s="85" t="n"/>
    </row>
    <row r="1981" ht="12.75" customHeight="1" s="103">
      <c r="A1981" s="78">
        <f>MID(H1981,3,2)</f>
        <v/>
      </c>
      <c r="B1981" s="84" t="inlineStr">
        <is>
          <t>B331</t>
        </is>
      </c>
      <c r="C1981" s="84" t="inlineStr">
        <is>
          <t>上海区域</t>
        </is>
      </c>
      <c r="D1981" s="84" t="inlineStr">
        <is>
          <t>CN0Q</t>
        </is>
      </c>
      <c r="E1981" s="80" t="inlineStr">
        <is>
          <t>EE 苏州比斯特</t>
        </is>
      </c>
      <c r="F1981" s="84" t="n">
        <v>4</v>
      </c>
      <c r="G1981" s="84" t="inlineStr">
        <is>
          <t>奥特莱斯</t>
        </is>
      </c>
      <c r="H1981" s="84" t="inlineStr">
        <is>
          <t>EEYWF23R31</t>
        </is>
      </c>
      <c r="I1981" s="84" t="n">
        <v>599</v>
      </c>
      <c r="J1981" s="84" t="n">
        <v>599</v>
      </c>
      <c r="K1981" s="85" t="n"/>
      <c r="L1981" s="85" t="n"/>
    </row>
    <row r="1982" ht="12.75" customHeight="1" s="103">
      <c r="A1982" s="78">
        <f>MID(H1982,3,2)</f>
        <v/>
      </c>
      <c r="B1982" s="84" t="inlineStr">
        <is>
          <t>B331</t>
        </is>
      </c>
      <c r="C1982" s="84" t="inlineStr">
        <is>
          <t>上海区域</t>
        </is>
      </c>
      <c r="D1982" s="84" t="inlineStr">
        <is>
          <t>CN0Q</t>
        </is>
      </c>
      <c r="E1982" s="80" t="inlineStr">
        <is>
          <t>EE 苏州比斯特</t>
        </is>
      </c>
      <c r="F1982" s="84" t="n">
        <v>4</v>
      </c>
      <c r="G1982" s="84" t="inlineStr">
        <is>
          <t>奥特莱斯</t>
        </is>
      </c>
      <c r="H1982" s="84" t="inlineStr">
        <is>
          <t>EEYWF23R31</t>
        </is>
      </c>
      <c r="I1982" s="84" t="n">
        <v>599</v>
      </c>
      <c r="J1982" s="84" t="n">
        <v>599</v>
      </c>
      <c r="K1982" s="85" t="n"/>
      <c r="L1982" s="85" t="n"/>
    </row>
    <row r="1983" ht="12.75" customHeight="1" s="103">
      <c r="A1983" s="78">
        <f>MID(H1983,3,2)</f>
        <v/>
      </c>
      <c r="B1983" s="84" t="inlineStr">
        <is>
          <t>B331</t>
        </is>
      </c>
      <c r="C1983" s="84" t="inlineStr">
        <is>
          <t>上海区域</t>
        </is>
      </c>
      <c r="D1983" s="84" t="inlineStr">
        <is>
          <t>CN0Q</t>
        </is>
      </c>
      <c r="E1983" s="80" t="inlineStr">
        <is>
          <t>EE 苏州比斯特</t>
        </is>
      </c>
      <c r="F1983" s="84" t="n">
        <v>4</v>
      </c>
      <c r="G1983" s="84" t="inlineStr">
        <is>
          <t>奥特莱斯</t>
        </is>
      </c>
      <c r="H1983" s="84" t="inlineStr">
        <is>
          <t>EEYWF23R31</t>
        </is>
      </c>
      <c r="I1983" s="84" t="n">
        <v>599</v>
      </c>
      <c r="J1983" s="84" t="n">
        <v>599</v>
      </c>
      <c r="K1983" s="85" t="n"/>
      <c r="L1983" s="85" t="n"/>
    </row>
    <row r="1984" ht="12.75" customHeight="1" s="103">
      <c r="A1984" s="78">
        <f>MID(H1984,3,2)</f>
        <v/>
      </c>
      <c r="B1984" s="84" t="inlineStr">
        <is>
          <t>B331</t>
        </is>
      </c>
      <c r="C1984" s="84" t="inlineStr">
        <is>
          <t>上海区域</t>
        </is>
      </c>
      <c r="D1984" s="84" t="inlineStr">
        <is>
          <t>CN0Q</t>
        </is>
      </c>
      <c r="E1984" s="80" t="inlineStr">
        <is>
          <t>EE 苏州比斯特</t>
        </is>
      </c>
      <c r="F1984" s="84" t="n">
        <v>4</v>
      </c>
      <c r="G1984" s="84" t="inlineStr">
        <is>
          <t>奥特莱斯</t>
        </is>
      </c>
      <c r="H1984" s="84" t="inlineStr">
        <is>
          <t>EEYWF24E03</t>
        </is>
      </c>
      <c r="I1984" s="84" t="n">
        <v>699</v>
      </c>
      <c r="J1984" s="84" t="n">
        <v>699</v>
      </c>
      <c r="K1984" s="85" t="n"/>
      <c r="L1984" s="85" t="n"/>
    </row>
    <row r="1985" ht="12.75" customHeight="1" s="103">
      <c r="A1985" s="78">
        <f>MID(H1985,3,2)</f>
        <v/>
      </c>
      <c r="B1985" s="84" t="inlineStr">
        <is>
          <t>B331</t>
        </is>
      </c>
      <c r="C1985" s="84" t="inlineStr">
        <is>
          <t>上海区域</t>
        </is>
      </c>
      <c r="D1985" s="84" t="inlineStr">
        <is>
          <t>CN0Q</t>
        </is>
      </c>
      <c r="E1985" s="80" t="inlineStr">
        <is>
          <t>EE 苏州比斯特</t>
        </is>
      </c>
      <c r="F1985" s="84" t="n">
        <v>4</v>
      </c>
      <c r="G1985" s="84" t="inlineStr">
        <is>
          <t>奥特莱斯</t>
        </is>
      </c>
      <c r="H1985" s="84" t="inlineStr">
        <is>
          <t>EEYWF24E03</t>
        </is>
      </c>
      <c r="I1985" s="84" t="n">
        <v>699</v>
      </c>
      <c r="J1985" s="84" t="n">
        <v>699</v>
      </c>
      <c r="K1985" s="85" t="n"/>
      <c r="L1985" s="85" t="n"/>
    </row>
    <row r="1986" ht="12.75" customHeight="1" s="103">
      <c r="A1986" s="78">
        <f>MID(H1986,3,2)</f>
        <v/>
      </c>
      <c r="B1986" s="84" t="inlineStr">
        <is>
          <t>B331</t>
        </is>
      </c>
      <c r="C1986" s="84" t="inlineStr">
        <is>
          <t>上海区域</t>
        </is>
      </c>
      <c r="D1986" s="84" t="inlineStr">
        <is>
          <t>CN0Q</t>
        </is>
      </c>
      <c r="E1986" s="80" t="inlineStr">
        <is>
          <t>EE 苏州比斯特</t>
        </is>
      </c>
      <c r="F1986" s="84" t="n">
        <v>4</v>
      </c>
      <c r="G1986" s="84" t="inlineStr">
        <is>
          <t>奥特莱斯</t>
        </is>
      </c>
      <c r="H1986" s="84" t="inlineStr">
        <is>
          <t>EEYWF24E03</t>
        </is>
      </c>
      <c r="I1986" s="84" t="n">
        <v>699</v>
      </c>
      <c r="J1986" s="84" t="n">
        <v>699</v>
      </c>
      <c r="K1986" s="85" t="n"/>
      <c r="L1986" s="85" t="n"/>
    </row>
    <row r="1987" ht="12.75" customHeight="1" s="103">
      <c r="A1987" s="78">
        <f>MID(H1987,3,2)</f>
        <v/>
      </c>
      <c r="B1987" s="84" t="inlineStr">
        <is>
          <t>B331</t>
        </is>
      </c>
      <c r="C1987" s="84" t="inlineStr">
        <is>
          <t>上海区域</t>
        </is>
      </c>
      <c r="D1987" s="84" t="inlineStr">
        <is>
          <t>CN0Q</t>
        </is>
      </c>
      <c r="E1987" s="80" t="inlineStr">
        <is>
          <t>EE 苏州比斯特</t>
        </is>
      </c>
      <c r="F1987" s="84" t="n">
        <v>4</v>
      </c>
      <c r="G1987" s="84" t="inlineStr">
        <is>
          <t>奥特莱斯</t>
        </is>
      </c>
      <c r="H1987" s="84" t="inlineStr">
        <is>
          <t>EEYWF24E03</t>
        </is>
      </c>
      <c r="I1987" s="84" t="n">
        <v>699</v>
      </c>
      <c r="J1987" s="84" t="n">
        <v>699</v>
      </c>
      <c r="K1987" s="85" t="n"/>
      <c r="L1987" s="85" t="n"/>
    </row>
    <row r="1988" ht="12.75" customHeight="1" s="103">
      <c r="A1988" s="78">
        <f>MID(H1988,3,2)</f>
        <v/>
      </c>
      <c r="B1988" s="84" t="inlineStr">
        <is>
          <t>B331</t>
        </is>
      </c>
      <c r="C1988" s="84" t="inlineStr">
        <is>
          <t>上海区域</t>
        </is>
      </c>
      <c r="D1988" s="84" t="inlineStr">
        <is>
          <t>CN0Q</t>
        </is>
      </c>
      <c r="E1988" s="80" t="inlineStr">
        <is>
          <t>EE 苏州比斯特</t>
        </is>
      </c>
      <c r="F1988" s="84" t="n">
        <v>4</v>
      </c>
      <c r="G1988" s="84" t="inlineStr">
        <is>
          <t>奥特莱斯</t>
        </is>
      </c>
      <c r="H1988" s="84" t="inlineStr">
        <is>
          <t>EEYWF24E03</t>
        </is>
      </c>
      <c r="I1988" s="84" t="n">
        <v>699</v>
      </c>
      <c r="J1988" s="84" t="n">
        <v>699</v>
      </c>
      <c r="K1988" s="85" t="n"/>
      <c r="L1988" s="85" t="n"/>
    </row>
    <row r="1989" ht="12.75" customHeight="1" s="103">
      <c r="A1989" s="78">
        <f>MID(H1989,3,2)</f>
        <v/>
      </c>
      <c r="B1989" s="84" t="inlineStr">
        <is>
          <t>B331</t>
        </is>
      </c>
      <c r="C1989" s="84" t="inlineStr">
        <is>
          <t>上海区域</t>
        </is>
      </c>
      <c r="D1989" s="84" t="inlineStr">
        <is>
          <t>CN0Q</t>
        </is>
      </c>
      <c r="E1989" s="80" t="inlineStr">
        <is>
          <t>EE 苏州比斯特</t>
        </is>
      </c>
      <c r="F1989" s="84" t="n">
        <v>4</v>
      </c>
      <c r="G1989" s="84" t="inlineStr">
        <is>
          <t>奥特莱斯</t>
        </is>
      </c>
      <c r="H1989" s="84" t="inlineStr">
        <is>
          <t>EEYWF24E03</t>
        </is>
      </c>
      <c r="I1989" s="84" t="n">
        <v>699</v>
      </c>
      <c r="J1989" s="84" t="n">
        <v>699</v>
      </c>
      <c r="K1989" s="85" t="n"/>
      <c r="L1989" s="85" t="n"/>
    </row>
    <row r="1990" ht="12.75" customHeight="1" s="103">
      <c r="A1990" s="78">
        <f>MID(H1990,3,2)</f>
        <v/>
      </c>
      <c r="B1990" s="84" t="inlineStr">
        <is>
          <t>B331</t>
        </is>
      </c>
      <c r="C1990" s="84" t="inlineStr">
        <is>
          <t>上海区域</t>
        </is>
      </c>
      <c r="D1990" s="84" t="inlineStr">
        <is>
          <t>CN0Q</t>
        </is>
      </c>
      <c r="E1990" s="80" t="inlineStr">
        <is>
          <t>EE 苏州比斯特</t>
        </is>
      </c>
      <c r="F1990" s="84" t="n">
        <v>4</v>
      </c>
      <c r="G1990" s="84" t="inlineStr">
        <is>
          <t>奥特莱斯</t>
        </is>
      </c>
      <c r="H1990" s="84" t="inlineStr">
        <is>
          <t>EEYWF25E01</t>
        </is>
      </c>
      <c r="I1990" s="84" t="n">
        <v>599</v>
      </c>
      <c r="J1990" s="84" t="n">
        <v>599</v>
      </c>
      <c r="K1990" s="85" t="n">
        <v>1</v>
      </c>
      <c r="L1990" s="85" t="n">
        <v>599</v>
      </c>
    </row>
    <row r="1991" ht="12.75" customHeight="1" s="103">
      <c r="A1991" s="78">
        <f>MID(H1991,3,2)</f>
        <v/>
      </c>
      <c r="B1991" s="84" t="inlineStr">
        <is>
          <t>B331</t>
        </is>
      </c>
      <c r="C1991" s="84" t="inlineStr">
        <is>
          <t>上海区域</t>
        </is>
      </c>
      <c r="D1991" s="84" t="inlineStr">
        <is>
          <t>CN0Q</t>
        </is>
      </c>
      <c r="E1991" s="80" t="inlineStr">
        <is>
          <t>EE 苏州比斯特</t>
        </is>
      </c>
      <c r="F1991" s="84" t="n">
        <v>4</v>
      </c>
      <c r="G1991" s="84" t="inlineStr">
        <is>
          <t>奥特莱斯</t>
        </is>
      </c>
      <c r="H1991" s="84" t="inlineStr">
        <is>
          <t>EEYWF25E01</t>
        </is>
      </c>
      <c r="I1991" s="84" t="n">
        <v>599</v>
      </c>
      <c r="J1991" s="84" t="n">
        <v>599</v>
      </c>
      <c r="K1991" s="85" t="n">
        <v>-1</v>
      </c>
      <c r="L1991" s="85" t="n">
        <v>-599</v>
      </c>
    </row>
    <row r="1992" ht="12.75" customHeight="1" s="103">
      <c r="A1992" s="78">
        <f>MID(H1992,3,2)</f>
        <v/>
      </c>
      <c r="B1992" s="84" t="inlineStr">
        <is>
          <t>B331</t>
        </is>
      </c>
      <c r="C1992" s="84" t="inlineStr">
        <is>
          <t>上海区域</t>
        </is>
      </c>
      <c r="D1992" s="84" t="inlineStr">
        <is>
          <t>CN0Q</t>
        </is>
      </c>
      <c r="E1992" s="80" t="inlineStr">
        <is>
          <t>EE 苏州比斯特</t>
        </is>
      </c>
      <c r="F1992" s="84" t="n">
        <v>4</v>
      </c>
      <c r="G1992" s="84" t="inlineStr">
        <is>
          <t>奥特莱斯</t>
        </is>
      </c>
      <c r="H1992" s="84" t="inlineStr">
        <is>
          <t>EEYWF25E01</t>
        </is>
      </c>
      <c r="I1992" s="84" t="n">
        <v>599</v>
      </c>
      <c r="J1992" s="84" t="n">
        <v>599</v>
      </c>
      <c r="K1992" s="85" t="n"/>
      <c r="L1992" s="85" t="n"/>
    </row>
    <row r="1993" ht="12.75" customHeight="1" s="103">
      <c r="A1993" s="78">
        <f>MID(H1993,3,2)</f>
        <v/>
      </c>
      <c r="B1993" s="84" t="inlineStr">
        <is>
          <t>B331</t>
        </is>
      </c>
      <c r="C1993" s="84" t="inlineStr">
        <is>
          <t>上海区域</t>
        </is>
      </c>
      <c r="D1993" s="84" t="inlineStr">
        <is>
          <t>CN0Q</t>
        </is>
      </c>
      <c r="E1993" s="80" t="inlineStr">
        <is>
          <t>EE 苏州比斯特</t>
        </is>
      </c>
      <c r="F1993" s="84" t="n">
        <v>4</v>
      </c>
      <c r="G1993" s="84" t="inlineStr">
        <is>
          <t>奥特莱斯</t>
        </is>
      </c>
      <c r="H1993" s="84" t="inlineStr">
        <is>
          <t>EEYWF25E01</t>
        </is>
      </c>
      <c r="I1993" s="84" t="n">
        <v>599</v>
      </c>
      <c r="J1993" s="84" t="n">
        <v>599</v>
      </c>
      <c r="K1993" s="85" t="n"/>
      <c r="L1993" s="85" t="n"/>
    </row>
    <row r="1994" ht="12.75" customHeight="1" s="103">
      <c r="A1994" s="78">
        <f>MID(H1994,3,2)</f>
        <v/>
      </c>
      <c r="B1994" s="84" t="inlineStr">
        <is>
          <t>B331</t>
        </is>
      </c>
      <c r="C1994" s="84" t="inlineStr">
        <is>
          <t>上海区域</t>
        </is>
      </c>
      <c r="D1994" s="84" t="inlineStr">
        <is>
          <t>CN0Q</t>
        </is>
      </c>
      <c r="E1994" s="80" t="inlineStr">
        <is>
          <t>EE 苏州比斯特</t>
        </is>
      </c>
      <c r="F1994" s="84" t="n">
        <v>4</v>
      </c>
      <c r="G1994" s="84" t="inlineStr">
        <is>
          <t>奥特莱斯</t>
        </is>
      </c>
      <c r="H1994" s="84" t="inlineStr">
        <is>
          <t>EEYWF25E01</t>
        </is>
      </c>
      <c r="I1994" s="84" t="n">
        <v>599</v>
      </c>
      <c r="J1994" s="84" t="n">
        <v>599</v>
      </c>
      <c r="K1994" s="85" t="n"/>
      <c r="L1994" s="85" t="n"/>
    </row>
    <row r="1995" ht="12.75" customHeight="1" s="103">
      <c r="A1995" s="78">
        <f>MID(H1995,3,2)</f>
        <v/>
      </c>
      <c r="B1995" s="84" t="inlineStr">
        <is>
          <t>B331</t>
        </is>
      </c>
      <c r="C1995" s="84" t="inlineStr">
        <is>
          <t>上海区域</t>
        </is>
      </c>
      <c r="D1995" s="84" t="inlineStr">
        <is>
          <t>CN0Q</t>
        </is>
      </c>
      <c r="E1995" s="80" t="inlineStr">
        <is>
          <t>EE 苏州比斯特</t>
        </is>
      </c>
      <c r="F1995" s="84" t="n">
        <v>4</v>
      </c>
      <c r="G1995" s="84" t="inlineStr">
        <is>
          <t>奥特莱斯</t>
        </is>
      </c>
      <c r="H1995" s="84" t="inlineStr">
        <is>
          <t>EEYWF25E01</t>
        </is>
      </c>
      <c r="I1995" s="84" t="n">
        <v>599</v>
      </c>
      <c r="J1995" s="84" t="n">
        <v>599</v>
      </c>
      <c r="K1995" s="85" t="n"/>
      <c r="L1995" s="85" t="n"/>
    </row>
    <row r="1996" ht="12.75" customHeight="1" s="103">
      <c r="A1996" s="78">
        <f>MID(H1996,3,2)</f>
        <v/>
      </c>
      <c r="B1996" s="84" t="inlineStr">
        <is>
          <t>B331</t>
        </is>
      </c>
      <c r="C1996" s="84" t="inlineStr">
        <is>
          <t>上海区域</t>
        </is>
      </c>
      <c r="D1996" s="84" t="inlineStr">
        <is>
          <t>CN0Q</t>
        </is>
      </c>
      <c r="E1996" s="80" t="inlineStr">
        <is>
          <t>EE 苏州比斯特</t>
        </is>
      </c>
      <c r="F1996" s="84" t="n">
        <v>4</v>
      </c>
      <c r="G1996" s="84" t="inlineStr">
        <is>
          <t>奥特莱斯</t>
        </is>
      </c>
      <c r="H1996" s="84" t="inlineStr">
        <is>
          <t>EEYWF25E01</t>
        </is>
      </c>
      <c r="I1996" s="84" t="n">
        <v>599</v>
      </c>
      <c r="J1996" s="84" t="n">
        <v>599</v>
      </c>
      <c r="K1996" s="85" t="n"/>
      <c r="L1996" s="85" t="n"/>
    </row>
    <row r="1997" ht="12.75" customHeight="1" s="103">
      <c r="A1997" s="78">
        <f>MID(H1997,3,2)</f>
        <v/>
      </c>
      <c r="B1997" s="84" t="inlineStr">
        <is>
          <t>B331</t>
        </is>
      </c>
      <c r="C1997" s="84" t="inlineStr">
        <is>
          <t>上海区域</t>
        </is>
      </c>
      <c r="D1997" s="84" t="inlineStr">
        <is>
          <t>CN0Q</t>
        </is>
      </c>
      <c r="E1997" s="80" t="inlineStr">
        <is>
          <t>EE 苏州比斯特</t>
        </is>
      </c>
      <c r="F1997" s="84" t="n">
        <v>4</v>
      </c>
      <c r="G1997" s="84" t="inlineStr">
        <is>
          <t>奥特莱斯</t>
        </is>
      </c>
      <c r="H1997" s="84" t="inlineStr">
        <is>
          <t>EEYWF25E01</t>
        </is>
      </c>
      <c r="I1997" s="84" t="n">
        <v>599</v>
      </c>
      <c r="J1997" s="84" t="n">
        <v>599</v>
      </c>
      <c r="K1997" s="85" t="n">
        <v>1</v>
      </c>
      <c r="L1997" s="85" t="n">
        <v>276</v>
      </c>
    </row>
    <row r="1998" ht="12.75" customHeight="1" s="103">
      <c r="A1998" s="78">
        <f>MID(H1998,3,2)</f>
        <v/>
      </c>
      <c r="B1998" s="84" t="inlineStr">
        <is>
          <t>B331</t>
        </is>
      </c>
      <c r="C1998" s="84" t="inlineStr">
        <is>
          <t>上海区域</t>
        </is>
      </c>
      <c r="D1998" s="84" t="inlineStr">
        <is>
          <t>CN0Q</t>
        </is>
      </c>
      <c r="E1998" s="80" t="inlineStr">
        <is>
          <t>EE 苏州比斯特</t>
        </is>
      </c>
      <c r="F1998" s="84" t="n">
        <v>4</v>
      </c>
      <c r="G1998" s="84" t="inlineStr">
        <is>
          <t>奥特莱斯</t>
        </is>
      </c>
      <c r="H1998" s="84" t="inlineStr">
        <is>
          <t>EEYWF25E01</t>
        </is>
      </c>
      <c r="I1998" s="84" t="n">
        <v>599</v>
      </c>
      <c r="J1998" s="84" t="n">
        <v>599</v>
      </c>
      <c r="K1998" s="85" t="n"/>
      <c r="L1998" s="85" t="n"/>
    </row>
    <row r="1999" ht="12.75" customHeight="1" s="103">
      <c r="A1999" s="78">
        <f>MID(H1999,3,2)</f>
        <v/>
      </c>
      <c r="B1999" s="84" t="inlineStr">
        <is>
          <t>B331</t>
        </is>
      </c>
      <c r="C1999" s="84" t="inlineStr">
        <is>
          <t>上海区域</t>
        </is>
      </c>
      <c r="D1999" s="84" t="inlineStr">
        <is>
          <t>CN0Q</t>
        </is>
      </c>
      <c r="E1999" s="80" t="inlineStr">
        <is>
          <t>EE 苏州比斯特</t>
        </is>
      </c>
      <c r="F1999" s="84" t="n">
        <v>4</v>
      </c>
      <c r="G1999" s="84" t="inlineStr">
        <is>
          <t>奥特莱斯</t>
        </is>
      </c>
      <c r="H1999" s="84" t="inlineStr">
        <is>
          <t>EEYWF25E03</t>
        </is>
      </c>
      <c r="I1999" s="84" t="n">
        <v>799</v>
      </c>
      <c r="J1999" s="84" t="n">
        <v>799</v>
      </c>
      <c r="K1999" s="85" t="n"/>
      <c r="L1999" s="85" t="n"/>
    </row>
    <row r="2000" ht="12.75" customHeight="1" s="103">
      <c r="A2000" s="78">
        <f>MID(H2000,3,2)</f>
        <v/>
      </c>
      <c r="B2000" s="84" t="inlineStr">
        <is>
          <t>B331</t>
        </is>
      </c>
      <c r="C2000" s="84" t="inlineStr">
        <is>
          <t>上海区域</t>
        </is>
      </c>
      <c r="D2000" s="84" t="inlineStr">
        <is>
          <t>CN0Q</t>
        </is>
      </c>
      <c r="E2000" s="80" t="inlineStr">
        <is>
          <t>EE 苏州比斯特</t>
        </is>
      </c>
      <c r="F2000" s="84" t="n">
        <v>4</v>
      </c>
      <c r="G2000" s="84" t="inlineStr">
        <is>
          <t>奥特莱斯</t>
        </is>
      </c>
      <c r="H2000" s="84" t="inlineStr">
        <is>
          <t>EEYWF25E03</t>
        </is>
      </c>
      <c r="I2000" s="84" t="n">
        <v>799</v>
      </c>
      <c r="J2000" s="84" t="n">
        <v>799</v>
      </c>
      <c r="K2000" s="85" t="n"/>
      <c r="L2000" s="85" t="n"/>
    </row>
    <row r="2001" ht="12.75" customHeight="1" s="103">
      <c r="A2001" s="78">
        <f>MID(H2001,3,2)</f>
        <v/>
      </c>
      <c r="B2001" s="84" t="inlineStr">
        <is>
          <t>B331</t>
        </is>
      </c>
      <c r="C2001" s="84" t="inlineStr">
        <is>
          <t>上海区域</t>
        </is>
      </c>
      <c r="D2001" s="84" t="inlineStr">
        <is>
          <t>CN0Q</t>
        </is>
      </c>
      <c r="E2001" s="80" t="inlineStr">
        <is>
          <t>EE 苏州比斯特</t>
        </is>
      </c>
      <c r="F2001" s="84" t="n">
        <v>4</v>
      </c>
      <c r="G2001" s="84" t="inlineStr">
        <is>
          <t>奥特莱斯</t>
        </is>
      </c>
      <c r="H2001" s="84" t="inlineStr">
        <is>
          <t>EEYWF25E03</t>
        </is>
      </c>
      <c r="I2001" s="84" t="n">
        <v>799</v>
      </c>
      <c r="J2001" s="84" t="n">
        <v>799</v>
      </c>
      <c r="K2001" s="85" t="n"/>
      <c r="L2001" s="85" t="n"/>
    </row>
    <row r="2002" ht="12.75" customHeight="1" s="103">
      <c r="A2002" s="78">
        <f>MID(H2002,3,2)</f>
        <v/>
      </c>
      <c r="B2002" s="84" t="inlineStr">
        <is>
          <t>B331</t>
        </is>
      </c>
      <c r="C2002" s="84" t="inlineStr">
        <is>
          <t>上海区域</t>
        </is>
      </c>
      <c r="D2002" s="84" t="inlineStr">
        <is>
          <t>CN0Q</t>
        </is>
      </c>
      <c r="E2002" s="80" t="inlineStr">
        <is>
          <t>EE 苏州比斯特</t>
        </is>
      </c>
      <c r="F2002" s="84" t="n">
        <v>4</v>
      </c>
      <c r="G2002" s="84" t="inlineStr">
        <is>
          <t>奥特莱斯</t>
        </is>
      </c>
      <c r="H2002" s="84" t="inlineStr">
        <is>
          <t>EEYWF25E03</t>
        </is>
      </c>
      <c r="I2002" s="84" t="n">
        <v>799</v>
      </c>
      <c r="J2002" s="84" t="n">
        <v>799</v>
      </c>
      <c r="K2002" s="85" t="n">
        <v>1</v>
      </c>
      <c r="L2002" s="85" t="n">
        <v>799</v>
      </c>
    </row>
    <row r="2003" ht="12.75" customHeight="1" s="103">
      <c r="A2003" s="78">
        <f>MID(H2003,3,2)</f>
        <v/>
      </c>
      <c r="B2003" s="84" t="inlineStr">
        <is>
          <t>B331</t>
        </is>
      </c>
      <c r="C2003" s="84" t="inlineStr">
        <is>
          <t>上海区域</t>
        </is>
      </c>
      <c r="D2003" s="84" t="inlineStr">
        <is>
          <t>CN0Q</t>
        </is>
      </c>
      <c r="E2003" s="80" t="inlineStr">
        <is>
          <t>EE 苏州比斯特</t>
        </is>
      </c>
      <c r="F2003" s="84" t="n">
        <v>4</v>
      </c>
      <c r="G2003" s="84" t="inlineStr">
        <is>
          <t>奥特莱斯</t>
        </is>
      </c>
      <c r="H2003" s="84" t="inlineStr">
        <is>
          <t>EEYWF25E03</t>
        </is>
      </c>
      <c r="I2003" s="84" t="n">
        <v>799</v>
      </c>
      <c r="J2003" s="84" t="n">
        <v>799</v>
      </c>
      <c r="K2003" s="85" t="n">
        <v>-1</v>
      </c>
      <c r="L2003" s="85" t="n">
        <v>-799</v>
      </c>
    </row>
    <row r="2004" ht="12.75" customHeight="1" s="103">
      <c r="A2004" s="78">
        <f>MID(H2004,3,2)</f>
        <v/>
      </c>
      <c r="B2004" s="84" t="inlineStr">
        <is>
          <t>B331</t>
        </is>
      </c>
      <c r="C2004" s="84" t="inlineStr">
        <is>
          <t>上海区域</t>
        </is>
      </c>
      <c r="D2004" s="84" t="inlineStr">
        <is>
          <t>CN0Q</t>
        </is>
      </c>
      <c r="E2004" s="80" t="inlineStr">
        <is>
          <t>EE 苏州比斯特</t>
        </is>
      </c>
      <c r="F2004" s="84" t="n">
        <v>4</v>
      </c>
      <c r="G2004" s="84" t="inlineStr">
        <is>
          <t>奥特莱斯</t>
        </is>
      </c>
      <c r="H2004" s="84" t="inlineStr">
        <is>
          <t>EEYWF25E03</t>
        </is>
      </c>
      <c r="I2004" s="84" t="n">
        <v>799</v>
      </c>
      <c r="J2004" s="84" t="n">
        <v>799</v>
      </c>
      <c r="K2004" s="85" t="n"/>
      <c r="L2004" s="85" t="n"/>
    </row>
    <row r="2005" ht="12.75" customHeight="1" s="103">
      <c r="A2005" s="78">
        <f>MID(H2005,3,2)</f>
        <v/>
      </c>
      <c r="B2005" s="84" t="inlineStr">
        <is>
          <t>B331</t>
        </is>
      </c>
      <c r="C2005" s="84" t="inlineStr">
        <is>
          <t>上海区域</t>
        </is>
      </c>
      <c r="D2005" s="84" t="inlineStr">
        <is>
          <t>CN0Q</t>
        </is>
      </c>
      <c r="E2005" s="80" t="inlineStr">
        <is>
          <t>EE 苏州比斯特</t>
        </is>
      </c>
      <c r="F2005" s="84" t="n">
        <v>4</v>
      </c>
      <c r="G2005" s="84" t="inlineStr">
        <is>
          <t>奥特莱斯</t>
        </is>
      </c>
      <c r="H2005" s="84" t="inlineStr">
        <is>
          <t>EEYWF25E03</t>
        </is>
      </c>
      <c r="I2005" s="84" t="n">
        <v>799</v>
      </c>
      <c r="J2005" s="84" t="n">
        <v>799</v>
      </c>
      <c r="K2005" s="85" t="n"/>
      <c r="L2005" s="85" t="n"/>
    </row>
    <row r="2006" ht="12.75" customHeight="1" s="103">
      <c r="A2006" s="78">
        <f>MID(H2006,3,2)</f>
        <v/>
      </c>
      <c r="B2006" s="84" t="inlineStr">
        <is>
          <t>B331</t>
        </is>
      </c>
      <c r="C2006" s="84" t="inlineStr">
        <is>
          <t>上海区域</t>
        </is>
      </c>
      <c r="D2006" s="84" t="inlineStr">
        <is>
          <t>CN0Q</t>
        </is>
      </c>
      <c r="E2006" s="80" t="inlineStr">
        <is>
          <t>EE 苏州比斯特</t>
        </is>
      </c>
      <c r="F2006" s="84" t="n">
        <v>4</v>
      </c>
      <c r="G2006" s="84" t="inlineStr">
        <is>
          <t>奥特莱斯</t>
        </is>
      </c>
      <c r="H2006" s="84" t="inlineStr">
        <is>
          <t>EEYWF25E03</t>
        </is>
      </c>
      <c r="I2006" s="84" t="n">
        <v>799</v>
      </c>
      <c r="J2006" s="84" t="n">
        <v>799</v>
      </c>
      <c r="K2006" s="85" t="n"/>
      <c r="L2006" s="85" t="n"/>
    </row>
    <row r="2007" ht="12.75" customHeight="1" s="103">
      <c r="A2007" s="78">
        <f>MID(H2007,3,2)</f>
        <v/>
      </c>
      <c r="B2007" s="84" t="inlineStr">
        <is>
          <t>B331</t>
        </is>
      </c>
      <c r="C2007" s="84" t="inlineStr">
        <is>
          <t>上海区域</t>
        </is>
      </c>
      <c r="D2007" s="84" t="inlineStr">
        <is>
          <t>CN0Q</t>
        </is>
      </c>
      <c r="E2007" s="80" t="inlineStr">
        <is>
          <t>EE 苏州比斯特</t>
        </is>
      </c>
      <c r="F2007" s="84" t="n">
        <v>4</v>
      </c>
      <c r="G2007" s="84" t="inlineStr">
        <is>
          <t>奥特莱斯</t>
        </is>
      </c>
      <c r="H2007" s="84" t="inlineStr">
        <is>
          <t>EEYWF25E03</t>
        </is>
      </c>
      <c r="I2007" s="84" t="n">
        <v>799</v>
      </c>
      <c r="J2007" s="84" t="n">
        <v>799</v>
      </c>
      <c r="K2007" s="85" t="n"/>
      <c r="L2007" s="85" t="n"/>
    </row>
    <row r="2008" ht="12.75" customHeight="1" s="103">
      <c r="A2008" s="78">
        <f>MID(H2008,3,2)</f>
        <v/>
      </c>
      <c r="B2008" s="84" t="inlineStr">
        <is>
          <t>B331</t>
        </is>
      </c>
      <c r="C2008" s="84" t="inlineStr">
        <is>
          <t>上海区域</t>
        </is>
      </c>
      <c r="D2008" s="84" t="inlineStr">
        <is>
          <t>CN0Q</t>
        </is>
      </c>
      <c r="E2008" s="80" t="inlineStr">
        <is>
          <t>EE 苏州比斯特</t>
        </is>
      </c>
      <c r="F2008" s="84" t="n">
        <v>4</v>
      </c>
      <c r="G2008" s="84" t="inlineStr">
        <is>
          <t>奥特莱斯</t>
        </is>
      </c>
      <c r="H2008" s="84" t="inlineStr">
        <is>
          <t>EEYWF25E03</t>
        </is>
      </c>
      <c r="I2008" s="84" t="n">
        <v>799</v>
      </c>
      <c r="J2008" s="84" t="n">
        <v>799</v>
      </c>
      <c r="K2008" s="85" t="n">
        <v>3</v>
      </c>
      <c r="L2008" s="85" t="n">
        <v>361</v>
      </c>
    </row>
    <row r="2009" ht="12.75" customHeight="1" s="103">
      <c r="A2009" s="78">
        <f>MID(H2009,3,2)</f>
        <v/>
      </c>
      <c r="B2009" s="84" t="inlineStr">
        <is>
          <t>B331</t>
        </is>
      </c>
      <c r="C2009" s="84" t="inlineStr">
        <is>
          <t>上海区域</t>
        </is>
      </c>
      <c r="D2009" s="84" t="inlineStr">
        <is>
          <t>CN0Q</t>
        </is>
      </c>
      <c r="E2009" s="80" t="inlineStr">
        <is>
          <t>EE 苏州比斯特</t>
        </is>
      </c>
      <c r="F2009" s="84" t="n">
        <v>4</v>
      </c>
      <c r="G2009" s="84" t="inlineStr">
        <is>
          <t>奥特莱斯</t>
        </is>
      </c>
      <c r="H2009" s="84" t="inlineStr">
        <is>
          <t>EEYWF25E03</t>
        </is>
      </c>
      <c r="I2009" s="84" t="n">
        <v>799</v>
      </c>
      <c r="J2009" s="84" t="n">
        <v>799</v>
      </c>
      <c r="K2009" s="85" t="n">
        <v>4</v>
      </c>
      <c r="L2009" s="85" t="n">
        <v>739</v>
      </c>
    </row>
    <row r="2010" ht="12.75" customHeight="1" s="103">
      <c r="A2010" s="78">
        <f>MID(H2010,3,2)</f>
        <v/>
      </c>
      <c r="B2010" s="84" t="inlineStr">
        <is>
          <t>B331</t>
        </is>
      </c>
      <c r="C2010" s="84" t="inlineStr">
        <is>
          <t>上海区域</t>
        </is>
      </c>
      <c r="D2010" s="84" t="inlineStr">
        <is>
          <t>CN0Q</t>
        </is>
      </c>
      <c r="E2010" s="80" t="inlineStr">
        <is>
          <t>EE 苏州比斯特</t>
        </is>
      </c>
      <c r="F2010" s="84" t="n">
        <v>4</v>
      </c>
      <c r="G2010" s="84" t="inlineStr">
        <is>
          <t>奥特莱斯</t>
        </is>
      </c>
      <c r="H2010" s="84" t="inlineStr">
        <is>
          <t>EEYWF25E03</t>
        </is>
      </c>
      <c r="I2010" s="84" t="n">
        <v>799</v>
      </c>
      <c r="J2010" s="84" t="n">
        <v>799</v>
      </c>
      <c r="K2010" s="85" t="n"/>
      <c r="L2010" s="85" t="n"/>
    </row>
    <row r="2011" ht="12.75" customHeight="1" s="103">
      <c r="A2011" s="78">
        <f>MID(H2011,3,2)</f>
        <v/>
      </c>
      <c r="B2011" s="84" t="inlineStr">
        <is>
          <t>B331</t>
        </is>
      </c>
      <c r="C2011" s="84" t="inlineStr">
        <is>
          <t>上海区域</t>
        </is>
      </c>
      <c r="D2011" s="84" t="inlineStr">
        <is>
          <t>CN0Q</t>
        </is>
      </c>
      <c r="E2011" s="80" t="inlineStr">
        <is>
          <t>EE 苏州比斯特</t>
        </is>
      </c>
      <c r="F2011" s="84" t="n">
        <v>4</v>
      </c>
      <c r="G2011" s="84" t="inlineStr">
        <is>
          <t>奥特莱斯</t>
        </is>
      </c>
      <c r="H2011" s="84" t="inlineStr">
        <is>
          <t>EEYWF37E01</t>
        </is>
      </c>
      <c r="I2011" s="84" t="n">
        <v>899</v>
      </c>
      <c r="J2011" s="84" t="n">
        <v>799</v>
      </c>
      <c r="K2011" s="85" t="n"/>
      <c r="L2011" s="85" t="n"/>
    </row>
    <row r="2012" ht="12.75" customHeight="1" s="103">
      <c r="A2012" s="78">
        <f>MID(H2012,3,2)</f>
        <v/>
      </c>
      <c r="B2012" s="84" t="inlineStr">
        <is>
          <t>B331</t>
        </is>
      </c>
      <c r="C2012" s="84" t="inlineStr">
        <is>
          <t>上海区域</t>
        </is>
      </c>
      <c r="D2012" s="84" t="inlineStr">
        <is>
          <t>CN0Q</t>
        </is>
      </c>
      <c r="E2012" s="80" t="inlineStr">
        <is>
          <t>EE 苏州比斯特</t>
        </is>
      </c>
      <c r="F2012" s="84" t="n">
        <v>4</v>
      </c>
      <c r="G2012" s="84" t="inlineStr">
        <is>
          <t>奥特莱斯</t>
        </is>
      </c>
      <c r="H2012" s="84" t="inlineStr">
        <is>
          <t>EEYWF37E01</t>
        </is>
      </c>
      <c r="I2012" s="84" t="n">
        <v>899</v>
      </c>
      <c r="J2012" s="84" t="n">
        <v>799</v>
      </c>
      <c r="K2012" s="85" t="n"/>
      <c r="L2012" s="85" t="n"/>
    </row>
    <row r="2013" ht="12.75" customHeight="1" s="103">
      <c r="A2013" s="78">
        <f>MID(H2013,3,2)</f>
        <v/>
      </c>
      <c r="B2013" s="84" t="inlineStr">
        <is>
          <t>B331</t>
        </is>
      </c>
      <c r="C2013" s="84" t="inlineStr">
        <is>
          <t>上海区域</t>
        </is>
      </c>
      <c r="D2013" s="84" t="inlineStr">
        <is>
          <t>CN0Q</t>
        </is>
      </c>
      <c r="E2013" s="80" t="inlineStr">
        <is>
          <t>EE 苏州比斯特</t>
        </is>
      </c>
      <c r="F2013" s="84" t="n">
        <v>4</v>
      </c>
      <c r="G2013" s="84" t="inlineStr">
        <is>
          <t>奥特莱斯</t>
        </is>
      </c>
      <c r="H2013" s="84" t="inlineStr">
        <is>
          <t>EEYWF37E01</t>
        </is>
      </c>
      <c r="I2013" s="84" t="n">
        <v>899</v>
      </c>
      <c r="J2013" s="84" t="n">
        <v>799</v>
      </c>
      <c r="K2013" s="85" t="n"/>
      <c r="L2013" s="85" t="n"/>
    </row>
    <row r="2014" ht="12.75" customHeight="1" s="103">
      <c r="A2014" s="78">
        <f>MID(H2014,3,2)</f>
        <v/>
      </c>
      <c r="B2014" s="84" t="inlineStr">
        <is>
          <t>B331</t>
        </is>
      </c>
      <c r="C2014" s="84" t="inlineStr">
        <is>
          <t>上海区域</t>
        </is>
      </c>
      <c r="D2014" s="84" t="inlineStr">
        <is>
          <t>CN0Q</t>
        </is>
      </c>
      <c r="E2014" s="80" t="inlineStr">
        <is>
          <t>EE 苏州比斯特</t>
        </is>
      </c>
      <c r="F2014" s="84" t="n">
        <v>4</v>
      </c>
      <c r="G2014" s="84" t="inlineStr">
        <is>
          <t>奥特莱斯</t>
        </is>
      </c>
      <c r="H2014" s="84" t="inlineStr">
        <is>
          <t>EEYWF37E01</t>
        </is>
      </c>
      <c r="I2014" s="84" t="n">
        <v>899</v>
      </c>
      <c r="J2014" s="84" t="n">
        <v>799</v>
      </c>
      <c r="K2014" s="85" t="n"/>
      <c r="L2014" s="85" t="n"/>
    </row>
    <row r="2015" ht="12.75" customHeight="1" s="103">
      <c r="A2015" s="78">
        <f>MID(H2015,3,2)</f>
        <v/>
      </c>
      <c r="B2015" s="84" t="inlineStr">
        <is>
          <t>B331</t>
        </is>
      </c>
      <c r="C2015" s="84" t="inlineStr">
        <is>
          <t>上海区域</t>
        </is>
      </c>
      <c r="D2015" s="84" t="inlineStr">
        <is>
          <t>CN0Q</t>
        </is>
      </c>
      <c r="E2015" s="80" t="inlineStr">
        <is>
          <t>EE 苏州比斯特</t>
        </is>
      </c>
      <c r="F2015" s="84" t="n">
        <v>4</v>
      </c>
      <c r="G2015" s="84" t="inlineStr">
        <is>
          <t>奥特莱斯</t>
        </is>
      </c>
      <c r="H2015" s="84" t="inlineStr">
        <is>
          <t>EEYWF37E01</t>
        </is>
      </c>
      <c r="I2015" s="84" t="n">
        <v>899</v>
      </c>
      <c r="J2015" s="84" t="n">
        <v>799</v>
      </c>
      <c r="K2015" s="85" t="n"/>
      <c r="L2015" s="85" t="n"/>
    </row>
    <row r="2016" ht="12.75" customHeight="1" s="103">
      <c r="A2016" s="78">
        <f>MID(H2016,3,2)</f>
        <v/>
      </c>
      <c r="B2016" s="84" t="inlineStr">
        <is>
          <t>B331</t>
        </is>
      </c>
      <c r="C2016" s="84" t="inlineStr">
        <is>
          <t>上海区域</t>
        </is>
      </c>
      <c r="D2016" s="84" t="inlineStr">
        <is>
          <t>CN0Q</t>
        </is>
      </c>
      <c r="E2016" s="80" t="inlineStr">
        <is>
          <t>EE 苏州比斯特</t>
        </is>
      </c>
      <c r="F2016" s="84" t="n">
        <v>4</v>
      </c>
      <c r="G2016" s="84" t="inlineStr">
        <is>
          <t>奥特莱斯</t>
        </is>
      </c>
      <c r="H2016" s="84" t="inlineStr">
        <is>
          <t>EEYWF37E01</t>
        </is>
      </c>
      <c r="I2016" s="84" t="n">
        <v>899</v>
      </c>
      <c r="J2016" s="84" t="n">
        <v>799</v>
      </c>
      <c r="K2016" s="85" t="n"/>
      <c r="L2016" s="85" t="n"/>
    </row>
    <row r="2017" ht="12.75" customHeight="1" s="103">
      <c r="A2017" s="78">
        <f>MID(H2017,3,2)</f>
        <v/>
      </c>
      <c r="B2017" s="84" t="inlineStr">
        <is>
          <t>B331</t>
        </is>
      </c>
      <c r="C2017" s="84" t="inlineStr">
        <is>
          <t>上海区域</t>
        </is>
      </c>
      <c r="D2017" s="84" t="inlineStr">
        <is>
          <t>CN0Q</t>
        </is>
      </c>
      <c r="E2017" s="80" t="inlineStr">
        <is>
          <t>EE 苏州比斯特</t>
        </is>
      </c>
      <c r="F2017" s="84" t="n">
        <v>4</v>
      </c>
      <c r="G2017" s="84" t="inlineStr">
        <is>
          <t>奥特莱斯</t>
        </is>
      </c>
      <c r="H2017" s="84" t="inlineStr">
        <is>
          <t>EEYWF37E01</t>
        </is>
      </c>
      <c r="I2017" s="84" t="n">
        <v>899</v>
      </c>
      <c r="J2017" s="84" t="n">
        <v>799</v>
      </c>
      <c r="K2017" s="85" t="n"/>
      <c r="L2017" s="85" t="n"/>
    </row>
    <row r="2018" ht="12.75" customHeight="1" s="103">
      <c r="A2018" s="78">
        <f>MID(H2018,3,2)</f>
        <v/>
      </c>
      <c r="B2018" s="84" t="inlineStr">
        <is>
          <t>B331</t>
        </is>
      </c>
      <c r="C2018" s="84" t="inlineStr">
        <is>
          <t>上海区域</t>
        </is>
      </c>
      <c r="D2018" s="84" t="inlineStr">
        <is>
          <t>CN0Q</t>
        </is>
      </c>
      <c r="E2018" s="80" t="inlineStr">
        <is>
          <t>EE 苏州比斯特</t>
        </is>
      </c>
      <c r="F2018" s="84" t="n">
        <v>4</v>
      </c>
      <c r="G2018" s="84" t="inlineStr">
        <is>
          <t>奥特莱斯</t>
        </is>
      </c>
      <c r="H2018" s="84" t="inlineStr">
        <is>
          <t>EEYWF37E01</t>
        </is>
      </c>
      <c r="I2018" s="84" t="n">
        <v>899</v>
      </c>
      <c r="J2018" s="84" t="n">
        <v>799</v>
      </c>
      <c r="K2018" s="85" t="n"/>
      <c r="L2018" s="85" t="n"/>
    </row>
    <row r="2019" ht="12.75" customHeight="1" s="103">
      <c r="A2019" s="78">
        <f>MID(H2019,3,2)</f>
        <v/>
      </c>
      <c r="B2019" s="84" t="inlineStr">
        <is>
          <t>B331</t>
        </is>
      </c>
      <c r="C2019" s="84" t="inlineStr">
        <is>
          <t>上海区域</t>
        </is>
      </c>
      <c r="D2019" s="84" t="inlineStr">
        <is>
          <t>CN0Q</t>
        </is>
      </c>
      <c r="E2019" s="80" t="inlineStr">
        <is>
          <t>EE 苏州比斯特</t>
        </is>
      </c>
      <c r="F2019" s="84" t="n">
        <v>4</v>
      </c>
      <c r="G2019" s="84" t="inlineStr">
        <is>
          <t>奥特莱斯</t>
        </is>
      </c>
      <c r="H2019" s="84" t="inlineStr">
        <is>
          <t>EEYWG11E02</t>
        </is>
      </c>
      <c r="I2019" s="84" t="n">
        <v>699</v>
      </c>
      <c r="J2019" s="84" t="n">
        <v>699</v>
      </c>
      <c r="K2019" s="85" t="n">
        <v>2</v>
      </c>
      <c r="L2019" s="85" t="n">
        <v>667</v>
      </c>
    </row>
    <row r="2020" ht="12.75" customHeight="1" s="103">
      <c r="A2020" s="78">
        <f>MID(H2020,3,2)</f>
        <v/>
      </c>
      <c r="B2020" s="84" t="inlineStr">
        <is>
          <t>B331</t>
        </is>
      </c>
      <c r="C2020" s="84" t="inlineStr">
        <is>
          <t>上海区域</t>
        </is>
      </c>
      <c r="D2020" s="84" t="inlineStr">
        <is>
          <t>CN0Q</t>
        </is>
      </c>
      <c r="E2020" s="80" t="inlineStr">
        <is>
          <t>EE 苏州比斯特</t>
        </is>
      </c>
      <c r="F2020" s="84" t="n">
        <v>4</v>
      </c>
      <c r="G2020" s="84" t="inlineStr">
        <is>
          <t>奥特莱斯</t>
        </is>
      </c>
      <c r="H2020" s="84" t="inlineStr">
        <is>
          <t>EEYWG11E02</t>
        </is>
      </c>
      <c r="I2020" s="84" t="n">
        <v>699</v>
      </c>
      <c r="J2020" s="84" t="n">
        <v>699</v>
      </c>
      <c r="K2020" s="85" t="n"/>
      <c r="L2020" s="85" t="n"/>
    </row>
    <row r="2021" ht="12.75" customHeight="1" s="103">
      <c r="A2021" s="78">
        <f>MID(H2021,3,2)</f>
        <v/>
      </c>
      <c r="B2021" s="84" t="inlineStr">
        <is>
          <t>B331</t>
        </is>
      </c>
      <c r="C2021" s="84" t="inlineStr">
        <is>
          <t>上海区域</t>
        </is>
      </c>
      <c r="D2021" s="84" t="inlineStr">
        <is>
          <t>CN0Q</t>
        </is>
      </c>
      <c r="E2021" s="80" t="inlineStr">
        <is>
          <t>EE 苏州比斯特</t>
        </is>
      </c>
      <c r="F2021" s="84" t="n">
        <v>4</v>
      </c>
      <c r="G2021" s="84" t="inlineStr">
        <is>
          <t>奥特莱斯</t>
        </is>
      </c>
      <c r="H2021" s="84" t="inlineStr">
        <is>
          <t>EEYWG12E1G</t>
        </is>
      </c>
      <c r="I2021" s="84" t="n">
        <v>799</v>
      </c>
      <c r="J2021" s="84" t="n">
        <v>799</v>
      </c>
      <c r="K2021" s="85" t="n"/>
      <c r="L2021" s="85" t="n"/>
    </row>
    <row r="2022" ht="12.75" customHeight="1" s="103">
      <c r="A2022" s="78">
        <f>MID(H2022,3,2)</f>
        <v/>
      </c>
      <c r="B2022" s="84" t="inlineStr">
        <is>
          <t>B331</t>
        </is>
      </c>
      <c r="C2022" s="84" t="inlineStr">
        <is>
          <t>上海区域</t>
        </is>
      </c>
      <c r="D2022" s="84" t="inlineStr">
        <is>
          <t>CN0Q</t>
        </is>
      </c>
      <c r="E2022" s="80" t="inlineStr">
        <is>
          <t>EE 苏州比斯特</t>
        </is>
      </c>
      <c r="F2022" s="84" t="n">
        <v>4</v>
      </c>
      <c r="G2022" s="84" t="inlineStr">
        <is>
          <t>奥特莱斯</t>
        </is>
      </c>
      <c r="H2022" s="84" t="inlineStr">
        <is>
          <t>EEYWG12E1G</t>
        </is>
      </c>
      <c r="I2022" s="84" t="n">
        <v>799</v>
      </c>
      <c r="J2022" s="84" t="n">
        <v>799</v>
      </c>
      <c r="K2022" s="85" t="n"/>
      <c r="L2022" s="85" t="n"/>
    </row>
    <row r="2023" ht="12.75" customHeight="1" s="103">
      <c r="A2023" s="78">
        <f>MID(H2023,3,2)</f>
        <v/>
      </c>
      <c r="B2023" s="84" t="inlineStr">
        <is>
          <t>B331</t>
        </is>
      </c>
      <c r="C2023" s="84" t="inlineStr">
        <is>
          <t>上海区域</t>
        </is>
      </c>
      <c r="D2023" s="84" t="inlineStr">
        <is>
          <t>CN0Q</t>
        </is>
      </c>
      <c r="E2023" s="80" t="inlineStr">
        <is>
          <t>EE 苏州比斯特</t>
        </is>
      </c>
      <c r="F2023" s="84" t="n">
        <v>4</v>
      </c>
      <c r="G2023" s="84" t="inlineStr">
        <is>
          <t>奥特莱斯</t>
        </is>
      </c>
      <c r="H2023" s="84" t="inlineStr">
        <is>
          <t>EEYWG12E1G</t>
        </is>
      </c>
      <c r="I2023" s="84" t="n">
        <v>799</v>
      </c>
      <c r="J2023" s="84" t="n">
        <v>799</v>
      </c>
      <c r="K2023" s="85" t="n"/>
      <c r="L2023" s="85" t="n"/>
    </row>
    <row r="2024" ht="12.75" customHeight="1" s="103">
      <c r="A2024" s="78">
        <f>MID(H2024,3,2)</f>
        <v/>
      </c>
      <c r="B2024" s="84" t="inlineStr">
        <is>
          <t>B331</t>
        </is>
      </c>
      <c r="C2024" s="84" t="inlineStr">
        <is>
          <t>上海区域</t>
        </is>
      </c>
      <c r="D2024" s="84" t="inlineStr">
        <is>
          <t>CN0Q</t>
        </is>
      </c>
      <c r="E2024" s="80" t="inlineStr">
        <is>
          <t>EE 苏州比斯特</t>
        </is>
      </c>
      <c r="F2024" s="84" t="n">
        <v>4</v>
      </c>
      <c r="G2024" s="84" t="inlineStr">
        <is>
          <t>奥特莱斯</t>
        </is>
      </c>
      <c r="H2024" s="84" t="inlineStr">
        <is>
          <t>EEYWG12E1G</t>
        </is>
      </c>
      <c r="I2024" s="84" t="n">
        <v>799</v>
      </c>
      <c r="J2024" s="84" t="n">
        <v>799</v>
      </c>
      <c r="K2024" s="85" t="n"/>
      <c r="L2024" s="85" t="n"/>
    </row>
    <row r="2025" ht="12.75" customHeight="1" s="103">
      <c r="A2025" s="78">
        <f>MID(H2025,3,2)</f>
        <v/>
      </c>
      <c r="B2025" s="84" t="inlineStr">
        <is>
          <t>B331</t>
        </is>
      </c>
      <c r="C2025" s="84" t="inlineStr">
        <is>
          <t>上海区域</t>
        </is>
      </c>
      <c r="D2025" s="84" t="inlineStr">
        <is>
          <t>CN0Q</t>
        </is>
      </c>
      <c r="E2025" s="80" t="inlineStr">
        <is>
          <t>EE 苏州比斯特</t>
        </is>
      </c>
      <c r="F2025" s="84" t="n">
        <v>4</v>
      </c>
      <c r="G2025" s="84" t="inlineStr">
        <is>
          <t>奥特莱斯</t>
        </is>
      </c>
      <c r="H2025" s="84" t="inlineStr">
        <is>
          <t>EEYWG12E1G</t>
        </is>
      </c>
      <c r="I2025" s="84" t="n">
        <v>799</v>
      </c>
      <c r="J2025" s="84" t="n">
        <v>799</v>
      </c>
      <c r="K2025" s="85" t="n"/>
      <c r="L2025" s="85" t="n"/>
    </row>
    <row r="2026" ht="12.75" customHeight="1" s="103">
      <c r="A2026" s="78">
        <f>MID(H2026,3,2)</f>
        <v/>
      </c>
      <c r="B2026" s="84" t="inlineStr">
        <is>
          <t>B331</t>
        </is>
      </c>
      <c r="C2026" s="84" t="inlineStr">
        <is>
          <t>上海区域</t>
        </is>
      </c>
      <c r="D2026" s="84" t="inlineStr">
        <is>
          <t>CN0Q</t>
        </is>
      </c>
      <c r="E2026" s="80" t="inlineStr">
        <is>
          <t>EE 苏州比斯特</t>
        </is>
      </c>
      <c r="F2026" s="84" t="n">
        <v>4</v>
      </c>
      <c r="G2026" s="84" t="inlineStr">
        <is>
          <t>奥特莱斯</t>
        </is>
      </c>
      <c r="H2026" s="84" t="inlineStr">
        <is>
          <t>EEYWG12E1G</t>
        </is>
      </c>
      <c r="I2026" s="84" t="n">
        <v>799</v>
      </c>
      <c r="J2026" s="84" t="n">
        <v>799</v>
      </c>
      <c r="K2026" s="85" t="n"/>
      <c r="L2026" s="85" t="n"/>
    </row>
    <row r="2027" ht="12.75" customHeight="1" s="103">
      <c r="A2027" s="78">
        <f>MID(H2027,3,2)</f>
        <v/>
      </c>
      <c r="B2027" s="84" t="inlineStr">
        <is>
          <t>B331</t>
        </is>
      </c>
      <c r="C2027" s="84" t="inlineStr">
        <is>
          <t>上海区域</t>
        </is>
      </c>
      <c r="D2027" s="84" t="inlineStr">
        <is>
          <t>CN0Q</t>
        </is>
      </c>
      <c r="E2027" s="80" t="inlineStr">
        <is>
          <t>EE 苏州比斯特</t>
        </is>
      </c>
      <c r="F2027" s="84" t="n">
        <v>4</v>
      </c>
      <c r="G2027" s="84" t="inlineStr">
        <is>
          <t>奥特莱斯</t>
        </is>
      </c>
      <c r="H2027" s="84" t="inlineStr">
        <is>
          <t>EEYWG12E1G</t>
        </is>
      </c>
      <c r="I2027" s="84" t="n">
        <v>799</v>
      </c>
      <c r="J2027" s="84" t="n">
        <v>799</v>
      </c>
      <c r="K2027" s="85" t="n"/>
      <c r="L2027" s="85" t="n"/>
    </row>
    <row r="2028" ht="12.75" customHeight="1" s="103">
      <c r="A2028" s="78">
        <f>MID(H2028,3,2)</f>
        <v/>
      </c>
      <c r="B2028" s="84" t="inlineStr">
        <is>
          <t>B331</t>
        </is>
      </c>
      <c r="C2028" s="84" t="inlineStr">
        <is>
          <t>上海区域</t>
        </is>
      </c>
      <c r="D2028" s="84" t="inlineStr">
        <is>
          <t>CN0Q</t>
        </is>
      </c>
      <c r="E2028" s="80" t="inlineStr">
        <is>
          <t>EE 苏州比斯特</t>
        </is>
      </c>
      <c r="F2028" s="84" t="n">
        <v>4</v>
      </c>
      <c r="G2028" s="84" t="inlineStr">
        <is>
          <t>奥特莱斯</t>
        </is>
      </c>
      <c r="H2028" s="84" t="inlineStr">
        <is>
          <t>EEYWG12E1G</t>
        </is>
      </c>
      <c r="I2028" s="84" t="n">
        <v>799</v>
      </c>
      <c r="J2028" s="84" t="n">
        <v>799</v>
      </c>
      <c r="K2028" s="85" t="n"/>
      <c r="L2028" s="85" t="n"/>
    </row>
    <row r="2029" ht="12.75" customHeight="1" s="103">
      <c r="A2029" s="78">
        <f>MID(H2029,3,2)</f>
        <v/>
      </c>
      <c r="B2029" s="84" t="inlineStr">
        <is>
          <t>B331</t>
        </is>
      </c>
      <c r="C2029" s="84" t="inlineStr">
        <is>
          <t>上海区域</t>
        </is>
      </c>
      <c r="D2029" s="84" t="inlineStr">
        <is>
          <t>CN0Q</t>
        </is>
      </c>
      <c r="E2029" s="80" t="inlineStr">
        <is>
          <t>EE 苏州比斯特</t>
        </is>
      </c>
      <c r="F2029" s="84" t="n">
        <v>4</v>
      </c>
      <c r="G2029" s="84" t="inlineStr">
        <is>
          <t>奥特莱斯</t>
        </is>
      </c>
      <c r="H2029" s="84" t="inlineStr">
        <is>
          <t>EEYWG12E1G</t>
        </is>
      </c>
      <c r="I2029" s="84" t="n">
        <v>799</v>
      </c>
      <c r="J2029" s="84" t="n">
        <v>799</v>
      </c>
      <c r="K2029" s="85" t="n"/>
      <c r="L2029" s="85" t="n"/>
    </row>
    <row r="2030" ht="12.75" customHeight="1" s="103">
      <c r="A2030" s="78">
        <f>MID(H2030,3,2)</f>
        <v/>
      </c>
      <c r="B2030" s="84" t="inlineStr">
        <is>
          <t>B331</t>
        </is>
      </c>
      <c r="C2030" s="84" t="inlineStr">
        <is>
          <t>上海区域</t>
        </is>
      </c>
      <c r="D2030" s="84" t="inlineStr">
        <is>
          <t>CN0Q</t>
        </is>
      </c>
      <c r="E2030" s="80" t="inlineStr">
        <is>
          <t>EE 苏州比斯特</t>
        </is>
      </c>
      <c r="F2030" s="84" t="n">
        <v>4</v>
      </c>
      <c r="G2030" s="84" t="inlineStr">
        <is>
          <t>奥特莱斯</t>
        </is>
      </c>
      <c r="H2030" s="84" t="inlineStr">
        <is>
          <t>EEYWG12E1G</t>
        </is>
      </c>
      <c r="I2030" s="84" t="n">
        <v>799</v>
      </c>
      <c r="J2030" s="84" t="n">
        <v>799</v>
      </c>
      <c r="K2030" s="85" t="n"/>
      <c r="L2030" s="85" t="n"/>
    </row>
    <row r="2031" ht="12.75" customHeight="1" s="103">
      <c r="A2031" s="78">
        <f>MID(H2031,3,2)</f>
        <v/>
      </c>
      <c r="B2031" s="84" t="inlineStr">
        <is>
          <t>B331</t>
        </is>
      </c>
      <c r="C2031" s="84" t="inlineStr">
        <is>
          <t>上海区域</t>
        </is>
      </c>
      <c r="D2031" s="84" t="inlineStr">
        <is>
          <t>CN0Q</t>
        </is>
      </c>
      <c r="E2031" s="80" t="inlineStr">
        <is>
          <t>EE 苏州比斯特</t>
        </is>
      </c>
      <c r="F2031" s="84" t="n">
        <v>4</v>
      </c>
      <c r="G2031" s="84" t="inlineStr">
        <is>
          <t>奥特莱斯</t>
        </is>
      </c>
      <c r="H2031" s="84" t="inlineStr">
        <is>
          <t>EEYWG12E1G</t>
        </is>
      </c>
      <c r="I2031" s="84" t="n">
        <v>799</v>
      </c>
      <c r="J2031" s="84" t="n">
        <v>799</v>
      </c>
      <c r="K2031" s="85" t="n"/>
      <c r="L2031" s="85" t="n"/>
    </row>
    <row r="2032" ht="12.75" customHeight="1" s="103">
      <c r="A2032" s="78">
        <f>MID(H2032,3,2)</f>
        <v/>
      </c>
      <c r="B2032" s="84" t="inlineStr">
        <is>
          <t>B331</t>
        </is>
      </c>
      <c r="C2032" s="84" t="inlineStr">
        <is>
          <t>上海区域</t>
        </is>
      </c>
      <c r="D2032" s="84" t="inlineStr">
        <is>
          <t>CN0Q</t>
        </is>
      </c>
      <c r="E2032" s="80" t="inlineStr">
        <is>
          <t>EE 苏州比斯特</t>
        </is>
      </c>
      <c r="F2032" s="84" t="n">
        <v>4</v>
      </c>
      <c r="G2032" s="84" t="inlineStr">
        <is>
          <t>奥特莱斯</t>
        </is>
      </c>
      <c r="H2032" s="84" t="inlineStr">
        <is>
          <t>EEYWG12E1G</t>
        </is>
      </c>
      <c r="I2032" s="84" t="n">
        <v>799</v>
      </c>
      <c r="J2032" s="84" t="n">
        <v>799</v>
      </c>
      <c r="K2032" s="85" t="n"/>
      <c r="L2032" s="85" t="n"/>
    </row>
    <row r="2033" ht="12.75" customHeight="1" s="103">
      <c r="A2033" s="78">
        <f>MID(H2033,3,2)</f>
        <v/>
      </c>
      <c r="B2033" s="84" t="inlineStr">
        <is>
          <t>B331</t>
        </is>
      </c>
      <c r="C2033" s="84" t="inlineStr">
        <is>
          <t>上海区域</t>
        </is>
      </c>
      <c r="D2033" s="84" t="inlineStr">
        <is>
          <t>CN0Q</t>
        </is>
      </c>
      <c r="E2033" s="80" t="inlineStr">
        <is>
          <t>EE 苏州比斯特</t>
        </is>
      </c>
      <c r="F2033" s="84" t="n">
        <v>4</v>
      </c>
      <c r="G2033" s="84" t="inlineStr">
        <is>
          <t>奥特莱斯</t>
        </is>
      </c>
      <c r="H2033" s="84" t="inlineStr">
        <is>
          <t>EEYWG12E1G</t>
        </is>
      </c>
      <c r="I2033" s="84" t="n">
        <v>799</v>
      </c>
      <c r="J2033" s="84" t="n">
        <v>799</v>
      </c>
      <c r="K2033" s="85" t="n"/>
      <c r="L2033" s="85" t="n"/>
    </row>
    <row r="2034" ht="12.75" customHeight="1" s="103">
      <c r="A2034" s="78">
        <f>MID(H2034,3,2)</f>
        <v/>
      </c>
      <c r="B2034" s="84" t="inlineStr">
        <is>
          <t>B331</t>
        </is>
      </c>
      <c r="C2034" s="84" t="inlineStr">
        <is>
          <t>上海区域</t>
        </is>
      </c>
      <c r="D2034" s="84" t="inlineStr">
        <is>
          <t>CN0Q</t>
        </is>
      </c>
      <c r="E2034" s="80" t="inlineStr">
        <is>
          <t>EE 苏州比斯特</t>
        </is>
      </c>
      <c r="F2034" s="84" t="n">
        <v>4</v>
      </c>
      <c r="G2034" s="84" t="inlineStr">
        <is>
          <t>奥特莱斯</t>
        </is>
      </c>
      <c r="H2034" s="84" t="inlineStr">
        <is>
          <t>EEYWG12E1G</t>
        </is>
      </c>
      <c r="I2034" s="84" t="n">
        <v>799</v>
      </c>
      <c r="J2034" s="84" t="n">
        <v>799</v>
      </c>
      <c r="K2034" s="85" t="n"/>
      <c r="L2034" s="85" t="n"/>
    </row>
    <row r="2035" ht="12.75" customHeight="1" s="103">
      <c r="A2035" s="78">
        <f>MID(H2035,3,2)</f>
        <v/>
      </c>
      <c r="B2035" s="84" t="inlineStr">
        <is>
          <t>B331</t>
        </is>
      </c>
      <c r="C2035" s="84" t="inlineStr">
        <is>
          <t>上海区域</t>
        </is>
      </c>
      <c r="D2035" s="84" t="inlineStr">
        <is>
          <t>CN0Q</t>
        </is>
      </c>
      <c r="E2035" s="80" t="inlineStr">
        <is>
          <t>EE 苏州比斯特</t>
        </is>
      </c>
      <c r="F2035" s="84" t="n">
        <v>4</v>
      </c>
      <c r="G2035" s="84" t="inlineStr">
        <is>
          <t>奥特莱斯</t>
        </is>
      </c>
      <c r="H2035" s="84" t="inlineStr">
        <is>
          <t>EEYWG12E1G</t>
        </is>
      </c>
      <c r="I2035" s="84" t="n">
        <v>799</v>
      </c>
      <c r="J2035" s="84" t="n">
        <v>799</v>
      </c>
      <c r="K2035" s="85" t="n"/>
      <c r="L2035" s="85" t="n"/>
    </row>
    <row r="2036" ht="12.75" customHeight="1" s="103">
      <c r="A2036" s="78">
        <f>MID(H2036,3,2)</f>
        <v/>
      </c>
      <c r="B2036" s="84" t="inlineStr">
        <is>
          <t>B331</t>
        </is>
      </c>
      <c r="C2036" s="84" t="inlineStr">
        <is>
          <t>上海区域</t>
        </is>
      </c>
      <c r="D2036" s="84" t="inlineStr">
        <is>
          <t>CN0Q</t>
        </is>
      </c>
      <c r="E2036" s="80" t="inlineStr">
        <is>
          <t>EE 苏州比斯特</t>
        </is>
      </c>
      <c r="F2036" s="84" t="n">
        <v>4</v>
      </c>
      <c r="G2036" s="84" t="inlineStr">
        <is>
          <t>奥特莱斯</t>
        </is>
      </c>
      <c r="H2036" s="84" t="inlineStr">
        <is>
          <t>EEYWG12E1G</t>
        </is>
      </c>
      <c r="I2036" s="84" t="n">
        <v>799</v>
      </c>
      <c r="J2036" s="84" t="n">
        <v>799</v>
      </c>
      <c r="K2036" s="85" t="n"/>
      <c r="L2036" s="85" t="n"/>
    </row>
    <row r="2037" ht="12.75" customHeight="1" s="103">
      <c r="A2037" s="78">
        <f>MID(H2037,3,2)</f>
        <v/>
      </c>
      <c r="B2037" s="84" t="inlineStr">
        <is>
          <t>B331</t>
        </is>
      </c>
      <c r="C2037" s="84" t="inlineStr">
        <is>
          <t>上海区域</t>
        </is>
      </c>
      <c r="D2037" s="84" t="inlineStr">
        <is>
          <t>CN0Q</t>
        </is>
      </c>
      <c r="E2037" s="80" t="inlineStr">
        <is>
          <t>EE 苏州比斯特</t>
        </is>
      </c>
      <c r="F2037" s="84" t="n">
        <v>4</v>
      </c>
      <c r="G2037" s="84" t="inlineStr">
        <is>
          <t>奥特莱斯</t>
        </is>
      </c>
      <c r="H2037" s="84" t="inlineStr">
        <is>
          <t>EEYWG23E01</t>
        </is>
      </c>
      <c r="I2037" s="84" t="n">
        <v>799</v>
      </c>
      <c r="J2037" s="84" t="n">
        <v>799</v>
      </c>
      <c r="K2037" s="85" t="n">
        <v>6</v>
      </c>
      <c r="L2037" s="86" t="n">
        <v>1739</v>
      </c>
    </row>
    <row r="2038" ht="12.75" customHeight="1" s="103">
      <c r="A2038" s="78">
        <f>MID(H2038,3,2)</f>
        <v/>
      </c>
      <c r="B2038" s="84" t="inlineStr">
        <is>
          <t>B331</t>
        </is>
      </c>
      <c r="C2038" s="84" t="inlineStr">
        <is>
          <t>上海区域</t>
        </is>
      </c>
      <c r="D2038" s="84" t="inlineStr">
        <is>
          <t>CN0Q</t>
        </is>
      </c>
      <c r="E2038" s="80" t="inlineStr">
        <is>
          <t>EE 苏州比斯特</t>
        </is>
      </c>
      <c r="F2038" s="84" t="n">
        <v>4</v>
      </c>
      <c r="G2038" s="84" t="inlineStr">
        <is>
          <t>奥特莱斯</t>
        </is>
      </c>
      <c r="H2038" s="84" t="inlineStr">
        <is>
          <t>EEYWG23E01</t>
        </is>
      </c>
      <c r="I2038" s="84" t="n">
        <v>799</v>
      </c>
      <c r="J2038" s="84" t="n">
        <v>799</v>
      </c>
      <c r="K2038" s="85" t="n">
        <v>3</v>
      </c>
      <c r="L2038" s="86" t="n">
        <v>1522</v>
      </c>
    </row>
    <row r="2039" ht="12.75" customHeight="1" s="103">
      <c r="A2039" s="78">
        <f>MID(H2039,3,2)</f>
        <v/>
      </c>
      <c r="B2039" s="84" t="inlineStr">
        <is>
          <t>B331</t>
        </is>
      </c>
      <c r="C2039" s="84" t="inlineStr">
        <is>
          <t>上海区域</t>
        </is>
      </c>
      <c r="D2039" s="84" t="inlineStr">
        <is>
          <t>CN0Q</t>
        </is>
      </c>
      <c r="E2039" s="80" t="inlineStr">
        <is>
          <t>EE 苏州比斯特</t>
        </is>
      </c>
      <c r="F2039" s="84" t="n">
        <v>4</v>
      </c>
      <c r="G2039" s="84" t="inlineStr">
        <is>
          <t>奥特莱斯</t>
        </is>
      </c>
      <c r="H2039" s="84" t="inlineStr">
        <is>
          <t>EEYWG23E01</t>
        </is>
      </c>
      <c r="I2039" s="84" t="n">
        <v>799</v>
      </c>
      <c r="J2039" s="84" t="n">
        <v>799</v>
      </c>
      <c r="K2039" s="85" t="n">
        <v>1</v>
      </c>
      <c r="L2039" s="85" t="n"/>
    </row>
    <row r="2040" ht="12.75" customHeight="1" s="103">
      <c r="A2040" s="78">
        <f>MID(H2040,3,2)</f>
        <v/>
      </c>
      <c r="B2040" s="84" t="inlineStr">
        <is>
          <t>B331</t>
        </is>
      </c>
      <c r="C2040" s="84" t="inlineStr">
        <is>
          <t>上海区域</t>
        </is>
      </c>
      <c r="D2040" s="84" t="inlineStr">
        <is>
          <t>CN0Q</t>
        </is>
      </c>
      <c r="E2040" s="80" t="inlineStr">
        <is>
          <t>EE 苏州比斯特</t>
        </is>
      </c>
      <c r="F2040" s="84" t="n">
        <v>4</v>
      </c>
      <c r="G2040" s="84" t="inlineStr">
        <is>
          <t>奥特莱斯</t>
        </is>
      </c>
      <c r="H2040" s="84" t="inlineStr">
        <is>
          <t>EEYWG23E01</t>
        </is>
      </c>
      <c r="I2040" s="84" t="n">
        <v>799</v>
      </c>
      <c r="J2040" s="84" t="n">
        <v>799</v>
      </c>
      <c r="K2040" s="85" t="n">
        <v>3</v>
      </c>
      <c r="L2040" s="86" t="n">
        <v>1879</v>
      </c>
    </row>
    <row r="2041" ht="12.75" customHeight="1" s="103">
      <c r="A2041" s="78">
        <f>MID(H2041,3,2)</f>
        <v/>
      </c>
      <c r="B2041" s="84" t="inlineStr">
        <is>
          <t>B331</t>
        </is>
      </c>
      <c r="C2041" s="84" t="inlineStr">
        <is>
          <t>上海区域</t>
        </is>
      </c>
      <c r="D2041" s="84" t="inlineStr">
        <is>
          <t>CN0Q</t>
        </is>
      </c>
      <c r="E2041" s="80" t="inlineStr">
        <is>
          <t>EE 苏州比斯特</t>
        </is>
      </c>
      <c r="F2041" s="84" t="n">
        <v>4</v>
      </c>
      <c r="G2041" s="84" t="inlineStr">
        <is>
          <t>奥特莱斯</t>
        </is>
      </c>
      <c r="H2041" s="84" t="inlineStr">
        <is>
          <t>EEYWG23E01</t>
        </is>
      </c>
      <c r="I2041" s="84" t="n">
        <v>799</v>
      </c>
      <c r="J2041" s="84" t="n">
        <v>799</v>
      </c>
      <c r="K2041" s="85" t="n">
        <v>3</v>
      </c>
      <c r="L2041" s="85" t="n">
        <v>468</v>
      </c>
    </row>
    <row r="2042" ht="12.75" customHeight="1" s="103">
      <c r="A2042" s="78">
        <f>MID(H2042,3,2)</f>
        <v/>
      </c>
      <c r="B2042" s="84" t="inlineStr">
        <is>
          <t>B331</t>
        </is>
      </c>
      <c r="C2042" s="84" t="inlineStr">
        <is>
          <t>上海区域</t>
        </is>
      </c>
      <c r="D2042" s="84" t="inlineStr">
        <is>
          <t>CN0Q</t>
        </is>
      </c>
      <c r="E2042" s="80" t="inlineStr">
        <is>
          <t>EE 苏州比斯特</t>
        </is>
      </c>
      <c r="F2042" s="84" t="n">
        <v>4</v>
      </c>
      <c r="G2042" s="84" t="inlineStr">
        <is>
          <t>奥特莱斯</t>
        </is>
      </c>
      <c r="H2042" s="84" t="inlineStr">
        <is>
          <t>EEYWG23E01</t>
        </is>
      </c>
      <c r="I2042" s="84" t="n">
        <v>799</v>
      </c>
      <c r="J2042" s="84" t="n">
        <v>799</v>
      </c>
      <c r="K2042" s="85" t="n">
        <v>3</v>
      </c>
      <c r="L2042" s="86" t="n">
        <v>1533</v>
      </c>
    </row>
    <row r="2043" ht="12.75" customHeight="1" s="103">
      <c r="A2043" s="78">
        <f>MID(H2043,3,2)</f>
        <v/>
      </c>
      <c r="B2043" s="84" t="inlineStr">
        <is>
          <t>B331</t>
        </is>
      </c>
      <c r="C2043" s="84" t="inlineStr">
        <is>
          <t>上海区域</t>
        </is>
      </c>
      <c r="D2043" s="84" t="inlineStr">
        <is>
          <t>CN0Q</t>
        </is>
      </c>
      <c r="E2043" s="80" t="inlineStr">
        <is>
          <t>EE 苏州比斯特</t>
        </is>
      </c>
      <c r="F2043" s="84" t="n">
        <v>4</v>
      </c>
      <c r="G2043" s="84" t="inlineStr">
        <is>
          <t>奥特莱斯</t>
        </is>
      </c>
      <c r="H2043" s="84" t="inlineStr">
        <is>
          <t>EEYWG23E01</t>
        </is>
      </c>
      <c r="I2043" s="84" t="n">
        <v>799</v>
      </c>
      <c r="J2043" s="84" t="n">
        <v>799</v>
      </c>
      <c r="K2043" s="85" t="n">
        <v>12</v>
      </c>
      <c r="L2043" s="86" t="n">
        <v>3390</v>
      </c>
    </row>
    <row r="2044" ht="12.75" customHeight="1" s="103">
      <c r="A2044" s="78">
        <f>MID(H2044,3,2)</f>
        <v/>
      </c>
      <c r="B2044" s="84" t="inlineStr">
        <is>
          <t>B331</t>
        </is>
      </c>
      <c r="C2044" s="84" t="inlineStr">
        <is>
          <t>上海区域</t>
        </is>
      </c>
      <c r="D2044" s="84" t="inlineStr">
        <is>
          <t>CN0Q</t>
        </is>
      </c>
      <c r="E2044" s="80" t="inlineStr">
        <is>
          <t>EE 苏州比斯特</t>
        </is>
      </c>
      <c r="F2044" s="84" t="n">
        <v>4</v>
      </c>
      <c r="G2044" s="84" t="inlineStr">
        <is>
          <t>奥特莱斯</t>
        </is>
      </c>
      <c r="H2044" s="84" t="inlineStr">
        <is>
          <t>EEYWG23E01</t>
        </is>
      </c>
      <c r="I2044" s="84" t="n">
        <v>799</v>
      </c>
      <c r="J2044" s="84" t="n">
        <v>799</v>
      </c>
      <c r="K2044" s="85" t="n">
        <v>4</v>
      </c>
      <c r="L2044" s="86" t="n">
        <v>1260</v>
      </c>
    </row>
    <row r="2045" ht="12.75" customHeight="1" s="103">
      <c r="A2045" s="78">
        <f>MID(H2045,3,2)</f>
        <v/>
      </c>
      <c r="B2045" s="84" t="inlineStr">
        <is>
          <t>B331</t>
        </is>
      </c>
      <c r="C2045" s="84" t="inlineStr">
        <is>
          <t>上海区域</t>
        </is>
      </c>
      <c r="D2045" s="84" t="inlineStr">
        <is>
          <t>CN0Q</t>
        </is>
      </c>
      <c r="E2045" s="80" t="inlineStr">
        <is>
          <t>EE 苏州比斯特</t>
        </is>
      </c>
      <c r="F2045" s="84" t="n">
        <v>4</v>
      </c>
      <c r="G2045" s="84" t="inlineStr">
        <is>
          <t>奥特莱斯</t>
        </is>
      </c>
      <c r="H2045" s="84" t="inlineStr">
        <is>
          <t>EEYWG23E01</t>
        </is>
      </c>
      <c r="I2045" s="84" t="n">
        <v>799</v>
      </c>
      <c r="J2045" s="84" t="n">
        <v>799</v>
      </c>
      <c r="K2045" s="85" t="n">
        <v>2</v>
      </c>
      <c r="L2045" s="85" t="n">
        <v>512</v>
      </c>
    </row>
    <row r="2046" ht="12.75" customHeight="1" s="103">
      <c r="A2046" s="78">
        <f>MID(H2046,3,2)</f>
        <v/>
      </c>
      <c r="B2046" s="84" t="inlineStr">
        <is>
          <t>B331</t>
        </is>
      </c>
      <c r="C2046" s="84" t="inlineStr">
        <is>
          <t>上海区域</t>
        </is>
      </c>
      <c r="D2046" s="84" t="inlineStr">
        <is>
          <t>CN0Q</t>
        </is>
      </c>
      <c r="E2046" s="80" t="inlineStr">
        <is>
          <t>EE 苏州比斯特</t>
        </is>
      </c>
      <c r="F2046" s="84" t="n">
        <v>4</v>
      </c>
      <c r="G2046" s="84" t="inlineStr">
        <is>
          <t>奥特莱斯</t>
        </is>
      </c>
      <c r="H2046" s="84" t="inlineStr">
        <is>
          <t>EEYWG23E01</t>
        </is>
      </c>
      <c r="I2046" s="84" t="n">
        <v>799</v>
      </c>
      <c r="J2046" s="84" t="n">
        <v>799</v>
      </c>
      <c r="K2046" s="85" t="n">
        <v>4</v>
      </c>
      <c r="L2046" s="86" t="n">
        <v>2184</v>
      </c>
    </row>
    <row r="2047" ht="12.75" customHeight="1" s="103">
      <c r="A2047" s="78">
        <f>MID(H2047,3,2)</f>
        <v/>
      </c>
      <c r="B2047" s="84" t="inlineStr">
        <is>
          <t>B331</t>
        </is>
      </c>
      <c r="C2047" s="84" t="inlineStr">
        <is>
          <t>上海区域</t>
        </is>
      </c>
      <c r="D2047" s="84" t="inlineStr">
        <is>
          <t>CN0Q</t>
        </is>
      </c>
      <c r="E2047" s="80" t="inlineStr">
        <is>
          <t>EE 苏州比斯特</t>
        </is>
      </c>
      <c r="F2047" s="84" t="n">
        <v>4</v>
      </c>
      <c r="G2047" s="84" t="inlineStr">
        <is>
          <t>奥特莱斯</t>
        </is>
      </c>
      <c r="H2047" s="84" t="inlineStr">
        <is>
          <t>EEYWG23E01</t>
        </is>
      </c>
      <c r="I2047" s="84" t="n">
        <v>799</v>
      </c>
      <c r="J2047" s="84" t="n">
        <v>799</v>
      </c>
      <c r="K2047" s="85" t="n">
        <v>6</v>
      </c>
      <c r="L2047" s="86" t="n">
        <v>2005</v>
      </c>
    </row>
    <row r="2048" ht="12.75" customHeight="1" s="103">
      <c r="A2048" s="78">
        <f>MID(H2048,3,2)</f>
        <v/>
      </c>
      <c r="B2048" s="84" t="inlineStr">
        <is>
          <t>B331</t>
        </is>
      </c>
      <c r="C2048" s="84" t="inlineStr">
        <is>
          <t>上海区域</t>
        </is>
      </c>
      <c r="D2048" s="84" t="inlineStr">
        <is>
          <t>CN0Q</t>
        </is>
      </c>
      <c r="E2048" s="80" t="inlineStr">
        <is>
          <t>EE 苏州比斯特</t>
        </is>
      </c>
      <c r="F2048" s="84" t="n">
        <v>4</v>
      </c>
      <c r="G2048" s="84" t="inlineStr">
        <is>
          <t>奥特莱斯</t>
        </is>
      </c>
      <c r="H2048" s="84" t="inlineStr">
        <is>
          <t>EEYWG23E01</t>
        </is>
      </c>
      <c r="I2048" s="84" t="n">
        <v>799</v>
      </c>
      <c r="J2048" s="84" t="n">
        <v>799</v>
      </c>
      <c r="K2048" s="85" t="n"/>
      <c r="L2048" s="85" t="n"/>
    </row>
    <row r="2049" ht="12.75" customHeight="1" s="103">
      <c r="A2049" s="78">
        <f>MID(H2049,3,2)</f>
        <v/>
      </c>
      <c r="B2049" s="84" t="inlineStr">
        <is>
          <t>B331</t>
        </is>
      </c>
      <c r="C2049" s="84" t="inlineStr">
        <is>
          <t>上海区域</t>
        </is>
      </c>
      <c r="D2049" s="84" t="inlineStr">
        <is>
          <t>CN0Q</t>
        </is>
      </c>
      <c r="E2049" s="80" t="inlineStr">
        <is>
          <t>EE 苏州比斯特</t>
        </is>
      </c>
      <c r="F2049" s="84" t="n">
        <v>4</v>
      </c>
      <c r="G2049" s="84" t="inlineStr">
        <is>
          <t>奥特莱斯</t>
        </is>
      </c>
      <c r="H2049" s="84" t="inlineStr">
        <is>
          <t>EEYWG23E01</t>
        </is>
      </c>
      <c r="I2049" s="84" t="n">
        <v>799</v>
      </c>
      <c r="J2049" s="84" t="n">
        <v>799</v>
      </c>
      <c r="K2049" s="85" t="n">
        <v>3</v>
      </c>
      <c r="L2049" s="86" t="n">
        <v>1571</v>
      </c>
    </row>
    <row r="2050" ht="12.75" customHeight="1" s="103">
      <c r="A2050" s="78">
        <f>MID(H2050,3,2)</f>
        <v/>
      </c>
      <c r="B2050" s="84" t="inlineStr">
        <is>
          <t>B331</t>
        </is>
      </c>
      <c r="C2050" s="84" t="inlineStr">
        <is>
          <t>上海区域</t>
        </is>
      </c>
      <c r="D2050" s="84" t="inlineStr">
        <is>
          <t>CN0Q</t>
        </is>
      </c>
      <c r="E2050" s="80" t="inlineStr">
        <is>
          <t>EE 苏州比斯特</t>
        </is>
      </c>
      <c r="F2050" s="84" t="n">
        <v>4</v>
      </c>
      <c r="G2050" s="84" t="inlineStr">
        <is>
          <t>奥特莱斯</t>
        </is>
      </c>
      <c r="H2050" s="84" t="inlineStr">
        <is>
          <t>EEYWG23E01</t>
        </is>
      </c>
      <c r="I2050" s="84" t="n">
        <v>799</v>
      </c>
      <c r="J2050" s="84" t="n">
        <v>799</v>
      </c>
      <c r="K2050" s="85" t="n">
        <v>3</v>
      </c>
      <c r="L2050" s="86" t="n">
        <v>1072</v>
      </c>
    </row>
    <row r="2051" ht="12.75" customHeight="1" s="103">
      <c r="A2051" s="78">
        <f>MID(H2051,3,2)</f>
        <v/>
      </c>
      <c r="B2051" s="84" t="inlineStr">
        <is>
          <t>B331</t>
        </is>
      </c>
      <c r="C2051" s="84" t="inlineStr">
        <is>
          <t>上海区域</t>
        </is>
      </c>
      <c r="D2051" s="84" t="inlineStr">
        <is>
          <t>CN0Q</t>
        </is>
      </c>
      <c r="E2051" s="80" t="inlineStr">
        <is>
          <t>EE 苏州比斯特</t>
        </is>
      </c>
      <c r="F2051" s="84" t="n">
        <v>4</v>
      </c>
      <c r="G2051" s="84" t="inlineStr">
        <is>
          <t>奥特莱斯</t>
        </is>
      </c>
      <c r="H2051" s="84" t="inlineStr">
        <is>
          <t>EEYWG23E01</t>
        </is>
      </c>
      <c r="I2051" s="84" t="n">
        <v>799</v>
      </c>
      <c r="J2051" s="84" t="n">
        <v>799</v>
      </c>
      <c r="K2051" s="85" t="n">
        <v>1</v>
      </c>
      <c r="L2051" s="85" t="n">
        <v>240</v>
      </c>
    </row>
    <row r="2052" ht="12.75" customHeight="1" s="103">
      <c r="A2052" s="78">
        <f>MID(H2052,3,2)</f>
        <v/>
      </c>
      <c r="B2052" s="84" t="inlineStr">
        <is>
          <t>B331</t>
        </is>
      </c>
      <c r="C2052" s="84" t="inlineStr">
        <is>
          <t>上海区域</t>
        </is>
      </c>
      <c r="D2052" s="84" t="inlineStr">
        <is>
          <t>CN0Q</t>
        </is>
      </c>
      <c r="E2052" s="80" t="inlineStr">
        <is>
          <t>EE 苏州比斯特</t>
        </is>
      </c>
      <c r="F2052" s="84" t="n">
        <v>4</v>
      </c>
      <c r="G2052" s="84" t="inlineStr">
        <is>
          <t>奥特莱斯</t>
        </is>
      </c>
      <c r="H2052" s="84" t="inlineStr">
        <is>
          <t>EEYWG23E02</t>
        </is>
      </c>
      <c r="I2052" s="84" t="n">
        <v>799</v>
      </c>
      <c r="J2052" s="84" t="n">
        <v>599</v>
      </c>
      <c r="K2052" s="85" t="n"/>
      <c r="L2052" s="85" t="n"/>
    </row>
    <row r="2053" ht="12.75" customHeight="1" s="103">
      <c r="A2053" s="78">
        <f>MID(H2053,3,2)</f>
        <v/>
      </c>
      <c r="B2053" s="84" t="inlineStr">
        <is>
          <t>B331</t>
        </is>
      </c>
      <c r="C2053" s="84" t="inlineStr">
        <is>
          <t>上海区域</t>
        </is>
      </c>
      <c r="D2053" s="84" t="inlineStr">
        <is>
          <t>CN0Q</t>
        </is>
      </c>
      <c r="E2053" s="80" t="inlineStr">
        <is>
          <t>EE 苏州比斯特</t>
        </is>
      </c>
      <c r="F2053" s="84" t="n">
        <v>4</v>
      </c>
      <c r="G2053" s="84" t="inlineStr">
        <is>
          <t>奥特莱斯</t>
        </is>
      </c>
      <c r="H2053" s="84" t="inlineStr">
        <is>
          <t>EEYWG23E02</t>
        </is>
      </c>
      <c r="I2053" s="84" t="n">
        <v>799</v>
      </c>
      <c r="J2053" s="84" t="n">
        <v>599</v>
      </c>
      <c r="K2053" s="85" t="n"/>
      <c r="L2053" s="85" t="n"/>
    </row>
    <row r="2054" ht="12.75" customHeight="1" s="103">
      <c r="A2054" s="78">
        <f>MID(H2054,3,2)</f>
        <v/>
      </c>
      <c r="B2054" s="84" t="inlineStr">
        <is>
          <t>B331</t>
        </is>
      </c>
      <c r="C2054" s="84" t="inlineStr">
        <is>
          <t>上海区域</t>
        </is>
      </c>
      <c r="D2054" s="84" t="inlineStr">
        <is>
          <t>CN0Q</t>
        </is>
      </c>
      <c r="E2054" s="80" t="inlineStr">
        <is>
          <t>EE 苏州比斯特</t>
        </is>
      </c>
      <c r="F2054" s="84" t="n">
        <v>4</v>
      </c>
      <c r="G2054" s="84" t="inlineStr">
        <is>
          <t>奥特莱斯</t>
        </is>
      </c>
      <c r="H2054" s="84" t="inlineStr">
        <is>
          <t>EEYWG23E02</t>
        </is>
      </c>
      <c r="I2054" s="84" t="n">
        <v>799</v>
      </c>
      <c r="J2054" s="84" t="n">
        <v>599</v>
      </c>
      <c r="K2054" s="85" t="n"/>
      <c r="L2054" s="85" t="n"/>
    </row>
    <row r="2055" ht="12.75" customHeight="1" s="103">
      <c r="A2055" s="78">
        <f>MID(H2055,3,2)</f>
        <v/>
      </c>
      <c r="B2055" s="84" t="inlineStr">
        <is>
          <t>B331</t>
        </is>
      </c>
      <c r="C2055" s="84" t="inlineStr">
        <is>
          <t>上海区域</t>
        </is>
      </c>
      <c r="D2055" s="84" t="inlineStr">
        <is>
          <t>CN0Q</t>
        </is>
      </c>
      <c r="E2055" s="80" t="inlineStr">
        <is>
          <t>EE 苏州比斯特</t>
        </is>
      </c>
      <c r="F2055" s="84" t="n">
        <v>4</v>
      </c>
      <c r="G2055" s="84" t="inlineStr">
        <is>
          <t>奥特莱斯</t>
        </is>
      </c>
      <c r="H2055" s="84" t="inlineStr">
        <is>
          <t>EEYWG23E02</t>
        </is>
      </c>
      <c r="I2055" s="84" t="n">
        <v>799</v>
      </c>
      <c r="J2055" s="84" t="n">
        <v>599</v>
      </c>
      <c r="K2055" s="85" t="n"/>
      <c r="L2055" s="85" t="n"/>
    </row>
    <row r="2056" ht="12.75" customHeight="1" s="103">
      <c r="A2056" s="78">
        <f>MID(H2056,3,2)</f>
        <v/>
      </c>
      <c r="B2056" s="84" t="inlineStr">
        <is>
          <t>B331</t>
        </is>
      </c>
      <c r="C2056" s="84" t="inlineStr">
        <is>
          <t>上海区域</t>
        </is>
      </c>
      <c r="D2056" s="84" t="inlineStr">
        <is>
          <t>CN0Q</t>
        </is>
      </c>
      <c r="E2056" s="80" t="inlineStr">
        <is>
          <t>EE 苏州比斯特</t>
        </is>
      </c>
      <c r="F2056" s="84" t="n">
        <v>4</v>
      </c>
      <c r="G2056" s="84" t="inlineStr">
        <is>
          <t>奥特莱斯</t>
        </is>
      </c>
      <c r="H2056" s="84" t="inlineStr">
        <is>
          <t>EEYWG23E02</t>
        </is>
      </c>
      <c r="I2056" s="84" t="n">
        <v>799</v>
      </c>
      <c r="J2056" s="84" t="n">
        <v>599</v>
      </c>
      <c r="K2056" s="85" t="n"/>
      <c r="L2056" s="85" t="n"/>
    </row>
    <row r="2057" ht="12.75" customHeight="1" s="103">
      <c r="A2057" s="78">
        <f>MID(H2057,3,2)</f>
        <v/>
      </c>
      <c r="B2057" s="84" t="inlineStr">
        <is>
          <t>B331</t>
        </is>
      </c>
      <c r="C2057" s="84" t="inlineStr">
        <is>
          <t>上海区域</t>
        </is>
      </c>
      <c r="D2057" s="84" t="inlineStr">
        <is>
          <t>CN0Q</t>
        </is>
      </c>
      <c r="E2057" s="80" t="inlineStr">
        <is>
          <t>EE 苏州比斯特</t>
        </is>
      </c>
      <c r="F2057" s="84" t="n">
        <v>4</v>
      </c>
      <c r="G2057" s="84" t="inlineStr">
        <is>
          <t>奥特莱斯</t>
        </is>
      </c>
      <c r="H2057" s="84" t="inlineStr">
        <is>
          <t>EEYWG23E02</t>
        </is>
      </c>
      <c r="I2057" s="84" t="n">
        <v>799</v>
      </c>
      <c r="J2057" s="84" t="n">
        <v>599</v>
      </c>
      <c r="K2057" s="85" t="n"/>
      <c r="L2057" s="85" t="n"/>
    </row>
    <row r="2058" ht="12.75" customHeight="1" s="103">
      <c r="A2058" s="78">
        <f>MID(H2058,3,2)</f>
        <v/>
      </c>
      <c r="B2058" s="84" t="inlineStr">
        <is>
          <t>B331</t>
        </is>
      </c>
      <c r="C2058" s="84" t="inlineStr">
        <is>
          <t>上海区域</t>
        </is>
      </c>
      <c r="D2058" s="84" t="inlineStr">
        <is>
          <t>CN0Q</t>
        </is>
      </c>
      <c r="E2058" s="80" t="inlineStr">
        <is>
          <t>EE 苏州比斯特</t>
        </is>
      </c>
      <c r="F2058" s="84" t="n">
        <v>4</v>
      </c>
      <c r="G2058" s="84" t="inlineStr">
        <is>
          <t>奥特莱斯</t>
        </is>
      </c>
      <c r="H2058" s="84" t="inlineStr">
        <is>
          <t>EEYWG23E02</t>
        </is>
      </c>
      <c r="I2058" s="84" t="n">
        <v>799</v>
      </c>
      <c r="J2058" s="84" t="n">
        <v>599</v>
      </c>
      <c r="K2058" s="85" t="n"/>
      <c r="L2058" s="85" t="n"/>
    </row>
    <row r="2059" ht="12.75" customHeight="1" s="103">
      <c r="A2059" s="78">
        <f>MID(H2059,3,2)</f>
        <v/>
      </c>
      <c r="B2059" s="84" t="inlineStr">
        <is>
          <t>B331</t>
        </is>
      </c>
      <c r="C2059" s="84" t="inlineStr">
        <is>
          <t>上海区域</t>
        </is>
      </c>
      <c r="D2059" s="84" t="inlineStr">
        <is>
          <t>CN0Q</t>
        </is>
      </c>
      <c r="E2059" s="80" t="inlineStr">
        <is>
          <t>EE 苏州比斯特</t>
        </is>
      </c>
      <c r="F2059" s="84" t="n">
        <v>4</v>
      </c>
      <c r="G2059" s="84" t="inlineStr">
        <is>
          <t>奥特莱斯</t>
        </is>
      </c>
      <c r="H2059" s="84" t="inlineStr">
        <is>
          <t>EEYWG23E02</t>
        </is>
      </c>
      <c r="I2059" s="84" t="n">
        <v>799</v>
      </c>
      <c r="J2059" s="84" t="n">
        <v>599</v>
      </c>
      <c r="K2059" s="85" t="n"/>
      <c r="L2059" s="85" t="n"/>
    </row>
    <row r="2060" ht="12.75" customHeight="1" s="103">
      <c r="A2060" s="78">
        <f>MID(H2060,3,2)</f>
        <v/>
      </c>
      <c r="B2060" s="84" t="inlineStr">
        <is>
          <t>B331</t>
        </is>
      </c>
      <c r="C2060" s="84" t="inlineStr">
        <is>
          <t>上海区域</t>
        </is>
      </c>
      <c r="D2060" s="84" t="inlineStr">
        <is>
          <t>CN0Q</t>
        </is>
      </c>
      <c r="E2060" s="80" t="inlineStr">
        <is>
          <t>EE 苏州比斯特</t>
        </is>
      </c>
      <c r="F2060" s="84" t="n">
        <v>4</v>
      </c>
      <c r="G2060" s="84" t="inlineStr">
        <is>
          <t>奥特莱斯</t>
        </is>
      </c>
      <c r="H2060" s="84" t="inlineStr">
        <is>
          <t>EEYWG23E02</t>
        </is>
      </c>
      <c r="I2060" s="84" t="n">
        <v>799</v>
      </c>
      <c r="J2060" s="84" t="n">
        <v>599</v>
      </c>
      <c r="K2060" s="85" t="n"/>
      <c r="L2060" s="85" t="n"/>
    </row>
    <row r="2061" ht="12.75" customHeight="1" s="103">
      <c r="A2061" s="78">
        <f>MID(H2061,3,2)</f>
        <v/>
      </c>
      <c r="B2061" s="84" t="inlineStr">
        <is>
          <t>B331</t>
        </is>
      </c>
      <c r="C2061" s="84" t="inlineStr">
        <is>
          <t>上海区域</t>
        </is>
      </c>
      <c r="D2061" s="84" t="inlineStr">
        <is>
          <t>CN0Q</t>
        </is>
      </c>
      <c r="E2061" s="80" t="inlineStr">
        <is>
          <t>EE 苏州比斯特</t>
        </is>
      </c>
      <c r="F2061" s="84" t="n">
        <v>4</v>
      </c>
      <c r="G2061" s="84" t="inlineStr">
        <is>
          <t>奥特莱斯</t>
        </is>
      </c>
      <c r="H2061" s="84" t="inlineStr">
        <is>
          <t>EEYWG23E02</t>
        </is>
      </c>
      <c r="I2061" s="84" t="n">
        <v>799</v>
      </c>
      <c r="J2061" s="84" t="n">
        <v>599</v>
      </c>
      <c r="K2061" s="85" t="n"/>
      <c r="L2061" s="85" t="n"/>
    </row>
    <row r="2062" ht="12.75" customHeight="1" s="103">
      <c r="A2062" s="78">
        <f>MID(H2062,3,2)</f>
        <v/>
      </c>
      <c r="B2062" s="84" t="inlineStr">
        <is>
          <t>B331</t>
        </is>
      </c>
      <c r="C2062" s="84" t="inlineStr">
        <is>
          <t>上海区域</t>
        </is>
      </c>
      <c r="D2062" s="84" t="inlineStr">
        <is>
          <t>CN0Q</t>
        </is>
      </c>
      <c r="E2062" s="80" t="inlineStr">
        <is>
          <t>EE 苏州比斯特</t>
        </is>
      </c>
      <c r="F2062" s="84" t="n">
        <v>4</v>
      </c>
      <c r="G2062" s="84" t="inlineStr">
        <is>
          <t>奥特莱斯</t>
        </is>
      </c>
      <c r="H2062" s="84" t="inlineStr">
        <is>
          <t>EEYWG23R31</t>
        </is>
      </c>
      <c r="I2062" s="84" t="n">
        <v>699</v>
      </c>
      <c r="J2062" s="84" t="n">
        <v>699</v>
      </c>
      <c r="K2062" s="85" t="n"/>
      <c r="L2062" s="85" t="n"/>
    </row>
    <row r="2063" ht="12.75" customHeight="1" s="103">
      <c r="A2063" s="78">
        <f>MID(H2063,3,2)</f>
        <v/>
      </c>
      <c r="B2063" s="84" t="inlineStr">
        <is>
          <t>B331</t>
        </is>
      </c>
      <c r="C2063" s="84" t="inlineStr">
        <is>
          <t>上海区域</t>
        </is>
      </c>
      <c r="D2063" s="84" t="inlineStr">
        <is>
          <t>CN0Q</t>
        </is>
      </c>
      <c r="E2063" s="80" t="inlineStr">
        <is>
          <t>EE 苏州比斯特</t>
        </is>
      </c>
      <c r="F2063" s="84" t="n">
        <v>4</v>
      </c>
      <c r="G2063" s="84" t="inlineStr">
        <is>
          <t>奥特莱斯</t>
        </is>
      </c>
      <c r="H2063" s="84" t="inlineStr">
        <is>
          <t>EEYWG23R31</t>
        </is>
      </c>
      <c r="I2063" s="84" t="n">
        <v>699</v>
      </c>
      <c r="J2063" s="84" t="n">
        <v>699</v>
      </c>
      <c r="K2063" s="85" t="n"/>
      <c r="L2063" s="85" t="n"/>
    </row>
    <row r="2064" ht="12.75" customHeight="1" s="103">
      <c r="A2064" s="78">
        <f>MID(H2064,3,2)</f>
        <v/>
      </c>
      <c r="B2064" s="84" t="inlineStr">
        <is>
          <t>B331</t>
        </is>
      </c>
      <c r="C2064" s="84" t="inlineStr">
        <is>
          <t>上海区域</t>
        </is>
      </c>
      <c r="D2064" s="84" t="inlineStr">
        <is>
          <t>CN0Q</t>
        </is>
      </c>
      <c r="E2064" s="80" t="inlineStr">
        <is>
          <t>EE 苏州比斯特</t>
        </is>
      </c>
      <c r="F2064" s="84" t="n">
        <v>4</v>
      </c>
      <c r="G2064" s="84" t="inlineStr">
        <is>
          <t>奥特莱斯</t>
        </is>
      </c>
      <c r="H2064" s="84" t="inlineStr">
        <is>
          <t>EEYWG23R31</t>
        </is>
      </c>
      <c r="I2064" s="84" t="n">
        <v>699</v>
      </c>
      <c r="J2064" s="84" t="n">
        <v>699</v>
      </c>
      <c r="K2064" s="85" t="n"/>
      <c r="L2064" s="85" t="n"/>
    </row>
    <row r="2065" ht="12.75" customHeight="1" s="103">
      <c r="A2065" s="78">
        <f>MID(H2065,3,2)</f>
        <v/>
      </c>
      <c r="B2065" s="84" t="inlineStr">
        <is>
          <t>B331</t>
        </is>
      </c>
      <c r="C2065" s="84" t="inlineStr">
        <is>
          <t>上海区域</t>
        </is>
      </c>
      <c r="D2065" s="84" t="inlineStr">
        <is>
          <t>CN0Q</t>
        </is>
      </c>
      <c r="E2065" s="80" t="inlineStr">
        <is>
          <t>EE 苏州比斯特</t>
        </is>
      </c>
      <c r="F2065" s="84" t="n">
        <v>4</v>
      </c>
      <c r="G2065" s="84" t="inlineStr">
        <is>
          <t>奥特莱斯</t>
        </is>
      </c>
      <c r="H2065" s="84" t="inlineStr">
        <is>
          <t>EEYWG24E01</t>
        </is>
      </c>
      <c r="I2065" s="84" t="n">
        <v>799</v>
      </c>
      <c r="J2065" s="84" t="n">
        <v>799</v>
      </c>
      <c r="K2065" s="85" t="n">
        <v>24</v>
      </c>
      <c r="L2065" s="86" t="n">
        <v>7864</v>
      </c>
    </row>
    <row r="2066" ht="12.75" customHeight="1" s="103">
      <c r="A2066" s="78">
        <f>MID(H2066,3,2)</f>
        <v/>
      </c>
      <c r="B2066" s="84" t="inlineStr">
        <is>
          <t>B331</t>
        </is>
      </c>
      <c r="C2066" s="84" t="inlineStr">
        <is>
          <t>上海区域</t>
        </is>
      </c>
      <c r="D2066" s="84" t="inlineStr">
        <is>
          <t>CN0Q</t>
        </is>
      </c>
      <c r="E2066" s="80" t="inlineStr">
        <is>
          <t>EE 苏州比斯特</t>
        </is>
      </c>
      <c r="F2066" s="84" t="n">
        <v>4</v>
      </c>
      <c r="G2066" s="84" t="inlineStr">
        <is>
          <t>奥特莱斯</t>
        </is>
      </c>
      <c r="H2066" s="84" t="inlineStr">
        <is>
          <t>EEYWG24E01</t>
        </is>
      </c>
      <c r="I2066" s="84" t="n">
        <v>799</v>
      </c>
      <c r="J2066" s="84" t="n">
        <v>799</v>
      </c>
      <c r="K2066" s="85" t="n">
        <v>22</v>
      </c>
      <c r="L2066" s="86" t="n">
        <v>8269</v>
      </c>
    </row>
    <row r="2067" ht="12.75" customHeight="1" s="103">
      <c r="A2067" s="78">
        <f>MID(H2067,3,2)</f>
        <v/>
      </c>
      <c r="B2067" s="84" t="inlineStr">
        <is>
          <t>B331</t>
        </is>
      </c>
      <c r="C2067" s="84" t="inlineStr">
        <is>
          <t>上海区域</t>
        </is>
      </c>
      <c r="D2067" s="84" t="inlineStr">
        <is>
          <t>CN0Q</t>
        </is>
      </c>
      <c r="E2067" s="80" t="inlineStr">
        <is>
          <t>EE 苏州比斯特</t>
        </is>
      </c>
      <c r="F2067" s="84" t="n">
        <v>4</v>
      </c>
      <c r="G2067" s="84" t="inlineStr">
        <is>
          <t>奥特莱斯</t>
        </is>
      </c>
      <c r="H2067" s="84" t="inlineStr">
        <is>
          <t>EEYWG24E01</t>
        </is>
      </c>
      <c r="I2067" s="84" t="n">
        <v>799</v>
      </c>
      <c r="J2067" s="84" t="n">
        <v>799</v>
      </c>
      <c r="K2067" s="85" t="n">
        <v>12</v>
      </c>
      <c r="L2067" s="86" t="n">
        <v>4408</v>
      </c>
    </row>
    <row r="2068" ht="12.75" customHeight="1" s="103">
      <c r="A2068" s="78">
        <f>MID(H2068,3,2)</f>
        <v/>
      </c>
      <c r="B2068" s="84" t="inlineStr">
        <is>
          <t>B331</t>
        </is>
      </c>
      <c r="C2068" s="84" t="inlineStr">
        <is>
          <t>上海区域</t>
        </is>
      </c>
      <c r="D2068" s="84" t="inlineStr">
        <is>
          <t>CN0Q</t>
        </is>
      </c>
      <c r="E2068" s="80" t="inlineStr">
        <is>
          <t>EE 苏州比斯特</t>
        </is>
      </c>
      <c r="F2068" s="84" t="n">
        <v>4</v>
      </c>
      <c r="G2068" s="84" t="inlineStr">
        <is>
          <t>奥特莱斯</t>
        </is>
      </c>
      <c r="H2068" s="84" t="inlineStr">
        <is>
          <t>EEYWG24E01</t>
        </is>
      </c>
      <c r="I2068" s="84" t="n">
        <v>799</v>
      </c>
      <c r="J2068" s="84" t="n">
        <v>799</v>
      </c>
      <c r="K2068" s="85" t="n">
        <v>34</v>
      </c>
      <c r="L2068" s="86" t="n">
        <v>12815</v>
      </c>
    </row>
    <row r="2069" ht="12.75" customHeight="1" s="103">
      <c r="A2069" s="78">
        <f>MID(H2069,3,2)</f>
        <v/>
      </c>
      <c r="B2069" s="84" t="inlineStr">
        <is>
          <t>B331</t>
        </is>
      </c>
      <c r="C2069" s="84" t="inlineStr">
        <is>
          <t>上海区域</t>
        </is>
      </c>
      <c r="D2069" s="84" t="inlineStr">
        <is>
          <t>CN0Q</t>
        </is>
      </c>
      <c r="E2069" s="80" t="inlineStr">
        <is>
          <t>EE 苏州比斯特</t>
        </is>
      </c>
      <c r="F2069" s="84" t="n">
        <v>4</v>
      </c>
      <c r="G2069" s="84" t="inlineStr">
        <is>
          <t>奥特莱斯</t>
        </is>
      </c>
      <c r="H2069" s="84" t="inlineStr">
        <is>
          <t>EEYWG24E01</t>
        </is>
      </c>
      <c r="I2069" s="84" t="n">
        <v>799</v>
      </c>
      <c r="J2069" s="84" t="n">
        <v>799</v>
      </c>
      <c r="K2069" s="85" t="n">
        <v>30</v>
      </c>
      <c r="L2069" s="86" t="n">
        <v>9101</v>
      </c>
    </row>
    <row r="2070" ht="12.75" customHeight="1" s="103">
      <c r="A2070" s="78">
        <f>MID(H2070,3,2)</f>
        <v/>
      </c>
      <c r="B2070" s="84" t="inlineStr">
        <is>
          <t>B331</t>
        </is>
      </c>
      <c r="C2070" s="84" t="inlineStr">
        <is>
          <t>上海区域</t>
        </is>
      </c>
      <c r="D2070" s="84" t="inlineStr">
        <is>
          <t>CN0Q</t>
        </is>
      </c>
      <c r="E2070" s="80" t="inlineStr">
        <is>
          <t>EE 苏州比斯特</t>
        </is>
      </c>
      <c r="F2070" s="84" t="n">
        <v>4</v>
      </c>
      <c r="G2070" s="84" t="inlineStr">
        <is>
          <t>奥特莱斯</t>
        </is>
      </c>
      <c r="H2070" s="84" t="inlineStr">
        <is>
          <t>EEYWG24E01</t>
        </is>
      </c>
      <c r="I2070" s="84" t="n">
        <v>799</v>
      </c>
      <c r="J2070" s="84" t="n">
        <v>799</v>
      </c>
      <c r="K2070" s="85" t="n">
        <v>4</v>
      </c>
      <c r="L2070" s="85" t="n">
        <v>506</v>
      </c>
    </row>
    <row r="2071" ht="12.75" customHeight="1" s="103">
      <c r="A2071" s="78">
        <f>MID(H2071,3,2)</f>
        <v/>
      </c>
      <c r="B2071" s="84" t="inlineStr">
        <is>
          <t>B331</t>
        </is>
      </c>
      <c r="C2071" s="84" t="inlineStr">
        <is>
          <t>上海区域</t>
        </is>
      </c>
      <c r="D2071" s="84" t="inlineStr">
        <is>
          <t>CN0Q</t>
        </is>
      </c>
      <c r="E2071" s="80" t="inlineStr">
        <is>
          <t>EE 苏州比斯特</t>
        </is>
      </c>
      <c r="F2071" s="84" t="n">
        <v>4</v>
      </c>
      <c r="G2071" s="84" t="inlineStr">
        <is>
          <t>奥特莱斯</t>
        </is>
      </c>
      <c r="H2071" s="84" t="inlineStr">
        <is>
          <t>EEYWG24E01</t>
        </is>
      </c>
      <c r="I2071" s="84" t="n">
        <v>799</v>
      </c>
      <c r="J2071" s="84" t="n">
        <v>799</v>
      </c>
      <c r="K2071" s="85" t="n">
        <v>29</v>
      </c>
      <c r="L2071" s="86" t="n">
        <v>10140</v>
      </c>
    </row>
    <row r="2072" ht="12.75" customHeight="1" s="103">
      <c r="A2072" s="78">
        <f>MID(H2072,3,2)</f>
        <v/>
      </c>
      <c r="B2072" s="84" t="inlineStr">
        <is>
          <t>B331</t>
        </is>
      </c>
      <c r="C2072" s="84" t="inlineStr">
        <is>
          <t>上海区域</t>
        </is>
      </c>
      <c r="D2072" s="84" t="inlineStr">
        <is>
          <t>CN0Q</t>
        </is>
      </c>
      <c r="E2072" s="80" t="inlineStr">
        <is>
          <t>EE 苏州比斯特</t>
        </is>
      </c>
      <c r="F2072" s="84" t="n">
        <v>4</v>
      </c>
      <c r="G2072" s="84" t="inlineStr">
        <is>
          <t>奥特莱斯</t>
        </is>
      </c>
      <c r="H2072" s="84" t="inlineStr">
        <is>
          <t>EEYWG24E01</t>
        </is>
      </c>
      <c r="I2072" s="84" t="n">
        <v>799</v>
      </c>
      <c r="J2072" s="84" t="n">
        <v>799</v>
      </c>
      <c r="K2072" s="85" t="n">
        <v>15</v>
      </c>
      <c r="L2072" s="86" t="n">
        <v>7299</v>
      </c>
    </row>
    <row r="2073" ht="12.75" customHeight="1" s="103">
      <c r="A2073" s="78">
        <f>MID(H2073,3,2)</f>
        <v/>
      </c>
      <c r="B2073" s="84" t="inlineStr">
        <is>
          <t>B331</t>
        </is>
      </c>
      <c r="C2073" s="84" t="inlineStr">
        <is>
          <t>上海区域</t>
        </is>
      </c>
      <c r="D2073" s="84" t="inlineStr">
        <is>
          <t>CN0Q</t>
        </is>
      </c>
      <c r="E2073" s="80" t="inlineStr">
        <is>
          <t>EE 苏州比斯特</t>
        </is>
      </c>
      <c r="F2073" s="84" t="n">
        <v>4</v>
      </c>
      <c r="G2073" s="84" t="inlineStr">
        <is>
          <t>奥特莱斯</t>
        </is>
      </c>
      <c r="H2073" s="84" t="inlineStr">
        <is>
          <t>EEYWG24E01</t>
        </is>
      </c>
      <c r="I2073" s="84" t="n">
        <v>799</v>
      </c>
      <c r="J2073" s="84" t="n">
        <v>799</v>
      </c>
      <c r="K2073" s="85" t="n">
        <v>4</v>
      </c>
      <c r="L2073" s="85" t="n">
        <v>785</v>
      </c>
    </row>
    <row r="2074" ht="12.75" customHeight="1" s="103">
      <c r="A2074" s="78">
        <f>MID(H2074,3,2)</f>
        <v/>
      </c>
      <c r="B2074" s="84" t="inlineStr">
        <is>
          <t>B331</t>
        </is>
      </c>
      <c r="C2074" s="84" t="inlineStr">
        <is>
          <t>上海区域</t>
        </is>
      </c>
      <c r="D2074" s="84" t="inlineStr">
        <is>
          <t>CN0Q</t>
        </is>
      </c>
      <c r="E2074" s="80" t="inlineStr">
        <is>
          <t>EE 苏州比斯特</t>
        </is>
      </c>
      <c r="F2074" s="84" t="n">
        <v>4</v>
      </c>
      <c r="G2074" s="84" t="inlineStr">
        <is>
          <t>奥特莱斯</t>
        </is>
      </c>
      <c r="H2074" s="84" t="inlineStr">
        <is>
          <t>EEYWG24E01</t>
        </is>
      </c>
      <c r="I2074" s="84" t="n">
        <v>799</v>
      </c>
      <c r="J2074" s="84" t="n">
        <v>799</v>
      </c>
      <c r="K2074" s="85" t="n">
        <v>8</v>
      </c>
      <c r="L2074" s="86" t="n">
        <v>2896</v>
      </c>
    </row>
    <row r="2075" ht="12.75" customHeight="1" s="103">
      <c r="A2075" s="78">
        <f>MID(H2075,3,2)</f>
        <v/>
      </c>
      <c r="B2075" s="84" t="inlineStr">
        <is>
          <t>B331</t>
        </is>
      </c>
      <c r="C2075" s="84" t="inlineStr">
        <is>
          <t>上海区域</t>
        </is>
      </c>
      <c r="D2075" s="84" t="inlineStr">
        <is>
          <t>CN0Q</t>
        </is>
      </c>
      <c r="E2075" s="80" t="inlineStr">
        <is>
          <t>EE 苏州比斯特</t>
        </is>
      </c>
      <c r="F2075" s="84" t="n">
        <v>4</v>
      </c>
      <c r="G2075" s="84" t="inlineStr">
        <is>
          <t>奥特莱斯</t>
        </is>
      </c>
      <c r="H2075" s="84" t="inlineStr">
        <is>
          <t>EEYWG24E01</t>
        </is>
      </c>
      <c r="I2075" s="84" t="n">
        <v>799</v>
      </c>
      <c r="J2075" s="84" t="n">
        <v>799</v>
      </c>
      <c r="K2075" s="85" t="n">
        <v>7</v>
      </c>
      <c r="L2075" s="86" t="n">
        <v>2629</v>
      </c>
    </row>
    <row r="2076" ht="12.75" customHeight="1" s="103">
      <c r="A2076" s="78">
        <f>MID(H2076,3,2)</f>
        <v/>
      </c>
      <c r="B2076" s="84" t="inlineStr">
        <is>
          <t>B331</t>
        </is>
      </c>
      <c r="C2076" s="84" t="inlineStr">
        <is>
          <t>上海区域</t>
        </is>
      </c>
      <c r="D2076" s="84" t="inlineStr">
        <is>
          <t>CN0Q</t>
        </is>
      </c>
      <c r="E2076" s="80" t="inlineStr">
        <is>
          <t>EE 苏州比斯特</t>
        </is>
      </c>
      <c r="F2076" s="84" t="n">
        <v>4</v>
      </c>
      <c r="G2076" s="84" t="inlineStr">
        <is>
          <t>奥特莱斯</t>
        </is>
      </c>
      <c r="H2076" s="84" t="inlineStr">
        <is>
          <t>EEYWG24E01</t>
        </is>
      </c>
      <c r="I2076" s="84" t="n">
        <v>799</v>
      </c>
      <c r="J2076" s="84" t="n">
        <v>799</v>
      </c>
      <c r="K2076" s="85" t="n">
        <v>5</v>
      </c>
      <c r="L2076" s="86" t="n">
        <v>1783</v>
      </c>
    </row>
    <row r="2077" ht="12.75" customHeight="1" s="103">
      <c r="A2077" s="78">
        <f>MID(H2077,3,2)</f>
        <v/>
      </c>
      <c r="B2077" s="84" t="inlineStr">
        <is>
          <t>B331</t>
        </is>
      </c>
      <c r="C2077" s="84" t="inlineStr">
        <is>
          <t>上海区域</t>
        </is>
      </c>
      <c r="D2077" s="84" t="inlineStr">
        <is>
          <t>CN0Q</t>
        </is>
      </c>
      <c r="E2077" s="80" t="inlineStr">
        <is>
          <t>EE 苏州比斯特</t>
        </is>
      </c>
      <c r="F2077" s="84" t="n">
        <v>4</v>
      </c>
      <c r="G2077" s="84" t="inlineStr">
        <is>
          <t>奥特莱斯</t>
        </is>
      </c>
      <c r="H2077" s="84" t="inlineStr">
        <is>
          <t>EEYWG24E01</t>
        </is>
      </c>
      <c r="I2077" s="84" t="n">
        <v>799</v>
      </c>
      <c r="J2077" s="84" t="n">
        <v>799</v>
      </c>
      <c r="K2077" s="85" t="n">
        <v>15</v>
      </c>
      <c r="L2077" s="86" t="n">
        <v>4129</v>
      </c>
    </row>
    <row r="2078" ht="12.75" customHeight="1" s="103">
      <c r="A2078" s="78">
        <f>MID(H2078,3,2)</f>
        <v/>
      </c>
      <c r="B2078" s="84" t="inlineStr">
        <is>
          <t>B331</t>
        </is>
      </c>
      <c r="C2078" s="84" t="inlineStr">
        <is>
          <t>上海区域</t>
        </is>
      </c>
      <c r="D2078" s="84" t="inlineStr">
        <is>
          <t>CN0Q</t>
        </is>
      </c>
      <c r="E2078" s="80" t="inlineStr">
        <is>
          <t>EE 苏州比斯特</t>
        </is>
      </c>
      <c r="F2078" s="84" t="n">
        <v>4</v>
      </c>
      <c r="G2078" s="84" t="inlineStr">
        <is>
          <t>奥特莱斯</t>
        </is>
      </c>
      <c r="H2078" s="84" t="inlineStr">
        <is>
          <t>EEYWG24E01</t>
        </is>
      </c>
      <c r="I2078" s="84" t="n">
        <v>799</v>
      </c>
      <c r="J2078" s="84" t="n">
        <v>799</v>
      </c>
      <c r="K2078" s="85" t="n">
        <v>3</v>
      </c>
      <c r="L2078" s="85" t="n">
        <v>240</v>
      </c>
    </row>
    <row r="2079" ht="12.75" customHeight="1" s="103">
      <c r="A2079" s="78">
        <f>MID(H2079,3,2)</f>
        <v/>
      </c>
      <c r="B2079" s="84" t="inlineStr">
        <is>
          <t>B331</t>
        </is>
      </c>
      <c r="C2079" s="84" t="inlineStr">
        <is>
          <t>上海区域</t>
        </is>
      </c>
      <c r="D2079" s="84" t="inlineStr">
        <is>
          <t>CN0Q</t>
        </is>
      </c>
      <c r="E2079" s="80" t="inlineStr">
        <is>
          <t>EE 苏州比斯特</t>
        </is>
      </c>
      <c r="F2079" s="84" t="n">
        <v>4</v>
      </c>
      <c r="G2079" s="84" t="inlineStr">
        <is>
          <t>奥特莱斯</t>
        </is>
      </c>
      <c r="H2079" s="84" t="inlineStr">
        <is>
          <t>EEYWG24E01</t>
        </is>
      </c>
      <c r="I2079" s="84" t="n">
        <v>799</v>
      </c>
      <c r="J2079" s="84" t="n">
        <v>799</v>
      </c>
      <c r="K2079" s="85" t="n">
        <v>3</v>
      </c>
      <c r="L2079" s="85" t="n">
        <v>479</v>
      </c>
    </row>
    <row r="2080" ht="12.75" customHeight="1" s="103">
      <c r="A2080" s="78">
        <f>MID(H2080,3,2)</f>
        <v/>
      </c>
      <c r="B2080" s="84" t="inlineStr">
        <is>
          <t>B331</t>
        </is>
      </c>
      <c r="C2080" s="84" t="inlineStr">
        <is>
          <t>上海区域</t>
        </is>
      </c>
      <c r="D2080" s="84" t="inlineStr">
        <is>
          <t>CN0Q</t>
        </is>
      </c>
      <c r="E2080" s="80" t="inlineStr">
        <is>
          <t>EE 苏州比斯特</t>
        </is>
      </c>
      <c r="F2080" s="84" t="n">
        <v>4</v>
      </c>
      <c r="G2080" s="84" t="inlineStr">
        <is>
          <t>奥特莱斯</t>
        </is>
      </c>
      <c r="H2080" s="84" t="inlineStr">
        <is>
          <t>EEYWG24E01</t>
        </is>
      </c>
      <c r="I2080" s="84" t="n">
        <v>799</v>
      </c>
      <c r="J2080" s="84" t="n">
        <v>799</v>
      </c>
      <c r="K2080" s="85" t="n">
        <v>2</v>
      </c>
      <c r="L2080" s="85" t="n">
        <v>508</v>
      </c>
    </row>
    <row r="2081" ht="12.75" customHeight="1" s="103">
      <c r="A2081" s="78">
        <f>MID(H2081,3,2)</f>
        <v/>
      </c>
      <c r="B2081" s="84" t="inlineStr">
        <is>
          <t>B331</t>
        </is>
      </c>
      <c r="C2081" s="84" t="inlineStr">
        <is>
          <t>上海区域</t>
        </is>
      </c>
      <c r="D2081" s="84" t="inlineStr">
        <is>
          <t>CN0Q</t>
        </is>
      </c>
      <c r="E2081" s="80" t="inlineStr">
        <is>
          <t>EE 苏州比斯特</t>
        </is>
      </c>
      <c r="F2081" s="84" t="n">
        <v>4</v>
      </c>
      <c r="G2081" s="84" t="inlineStr">
        <is>
          <t>奥特莱斯</t>
        </is>
      </c>
      <c r="H2081" s="84" t="inlineStr">
        <is>
          <t>EEYWG24E01</t>
        </is>
      </c>
      <c r="I2081" s="84" t="n">
        <v>799</v>
      </c>
      <c r="J2081" s="84" t="n">
        <v>799</v>
      </c>
      <c r="K2081" s="85" t="n">
        <v>1</v>
      </c>
      <c r="L2081" s="85" t="n"/>
    </row>
    <row r="2082" ht="12.75" customHeight="1" s="103">
      <c r="A2082" s="78">
        <f>MID(H2082,3,2)</f>
        <v/>
      </c>
      <c r="B2082" s="84" t="inlineStr">
        <is>
          <t>B331</t>
        </is>
      </c>
      <c r="C2082" s="84" t="inlineStr">
        <is>
          <t>上海区域</t>
        </is>
      </c>
      <c r="D2082" s="84" t="inlineStr">
        <is>
          <t>CN0Q</t>
        </is>
      </c>
      <c r="E2082" s="80" t="inlineStr">
        <is>
          <t>EE 苏州比斯特</t>
        </is>
      </c>
      <c r="F2082" s="84" t="n">
        <v>4</v>
      </c>
      <c r="G2082" s="84" t="inlineStr">
        <is>
          <t>奥特莱斯</t>
        </is>
      </c>
      <c r="H2082" s="84" t="inlineStr">
        <is>
          <t>EEYWG24E01</t>
        </is>
      </c>
      <c r="I2082" s="84" t="n">
        <v>799</v>
      </c>
      <c r="J2082" s="84" t="n">
        <v>799</v>
      </c>
      <c r="K2082" s="85" t="n">
        <v>4</v>
      </c>
      <c r="L2082" s="85" t="n">
        <v>992</v>
      </c>
    </row>
    <row r="2083" ht="12.75" customHeight="1" s="103">
      <c r="A2083" s="78">
        <f>MID(H2083,3,2)</f>
        <v/>
      </c>
      <c r="B2083" s="84" t="inlineStr">
        <is>
          <t>B331</t>
        </is>
      </c>
      <c r="C2083" s="84" t="inlineStr">
        <is>
          <t>上海区域</t>
        </is>
      </c>
      <c r="D2083" s="84" t="inlineStr">
        <is>
          <t>CN0Q</t>
        </is>
      </c>
      <c r="E2083" s="80" t="inlineStr">
        <is>
          <t>EE 苏州比斯特</t>
        </is>
      </c>
      <c r="F2083" s="84" t="n">
        <v>4</v>
      </c>
      <c r="G2083" s="84" t="inlineStr">
        <is>
          <t>奥特莱斯</t>
        </is>
      </c>
      <c r="H2083" s="84" t="inlineStr">
        <is>
          <t>EEYWG24E02</t>
        </is>
      </c>
      <c r="I2083" s="84" t="n">
        <v>699</v>
      </c>
      <c r="J2083" s="84" t="n">
        <v>699</v>
      </c>
      <c r="K2083" s="85" t="n">
        <v>2</v>
      </c>
      <c r="L2083" s="85" t="n">
        <v>886</v>
      </c>
    </row>
    <row r="2084" ht="12.75" customHeight="1" s="103">
      <c r="A2084" s="78">
        <f>MID(H2084,3,2)</f>
        <v/>
      </c>
      <c r="B2084" s="84" t="inlineStr">
        <is>
          <t>B331</t>
        </is>
      </c>
      <c r="C2084" s="84" t="inlineStr">
        <is>
          <t>上海区域</t>
        </is>
      </c>
      <c r="D2084" s="84" t="inlineStr">
        <is>
          <t>CN0Q</t>
        </is>
      </c>
      <c r="E2084" s="80" t="inlineStr">
        <is>
          <t>EE 苏州比斯特</t>
        </is>
      </c>
      <c r="F2084" s="84" t="n">
        <v>4</v>
      </c>
      <c r="G2084" s="84" t="inlineStr">
        <is>
          <t>奥特莱斯</t>
        </is>
      </c>
      <c r="H2084" s="84" t="inlineStr">
        <is>
          <t>EEYWG24E02</t>
        </is>
      </c>
      <c r="I2084" s="84" t="n">
        <v>699</v>
      </c>
      <c r="J2084" s="84" t="n">
        <v>699</v>
      </c>
      <c r="K2084" s="85" t="n">
        <v>2</v>
      </c>
      <c r="L2084" s="85" t="n">
        <v>891</v>
      </c>
    </row>
    <row r="2085" ht="12.75" customHeight="1" s="103">
      <c r="A2085" s="78">
        <f>MID(H2085,3,2)</f>
        <v/>
      </c>
      <c r="B2085" s="84" t="inlineStr">
        <is>
          <t>B331</t>
        </is>
      </c>
      <c r="C2085" s="84" t="inlineStr">
        <is>
          <t>上海区域</t>
        </is>
      </c>
      <c r="D2085" s="84" t="inlineStr">
        <is>
          <t>CN0Q</t>
        </is>
      </c>
      <c r="E2085" s="80" t="inlineStr">
        <is>
          <t>EE 苏州比斯特</t>
        </is>
      </c>
      <c r="F2085" s="84" t="n">
        <v>4</v>
      </c>
      <c r="G2085" s="84" t="inlineStr">
        <is>
          <t>奥特莱斯</t>
        </is>
      </c>
      <c r="H2085" s="84" t="inlineStr">
        <is>
          <t>EEYWG24E02</t>
        </is>
      </c>
      <c r="I2085" s="84" t="n">
        <v>699</v>
      </c>
      <c r="J2085" s="84" t="n">
        <v>699</v>
      </c>
      <c r="K2085" s="85" t="n"/>
      <c r="L2085" s="85" t="n"/>
    </row>
    <row r="2086" ht="12.75" customHeight="1" s="103">
      <c r="A2086" s="78">
        <f>MID(H2086,3,2)</f>
        <v/>
      </c>
      <c r="B2086" s="84" t="inlineStr">
        <is>
          <t>B331</t>
        </is>
      </c>
      <c r="C2086" s="84" t="inlineStr">
        <is>
          <t>上海区域</t>
        </is>
      </c>
      <c r="D2086" s="84" t="inlineStr">
        <is>
          <t>CN0Q</t>
        </is>
      </c>
      <c r="E2086" s="80" t="inlineStr">
        <is>
          <t>EE 苏州比斯特</t>
        </is>
      </c>
      <c r="F2086" s="84" t="n">
        <v>4</v>
      </c>
      <c r="G2086" s="84" t="inlineStr">
        <is>
          <t>奥特莱斯</t>
        </is>
      </c>
      <c r="H2086" s="84" t="inlineStr">
        <is>
          <t>EEYWG24E02</t>
        </is>
      </c>
      <c r="I2086" s="84" t="n">
        <v>699</v>
      </c>
      <c r="J2086" s="84" t="n">
        <v>699</v>
      </c>
      <c r="K2086" s="85" t="n">
        <v>1</v>
      </c>
      <c r="L2086" s="85" t="n">
        <v>489</v>
      </c>
    </row>
    <row r="2087" ht="12.75" customHeight="1" s="103">
      <c r="A2087" s="78">
        <f>MID(H2087,3,2)</f>
        <v/>
      </c>
      <c r="B2087" s="84" t="inlineStr">
        <is>
          <t>B331</t>
        </is>
      </c>
      <c r="C2087" s="84" t="inlineStr">
        <is>
          <t>上海区域</t>
        </is>
      </c>
      <c r="D2087" s="84" t="inlineStr">
        <is>
          <t>CN0Q</t>
        </is>
      </c>
      <c r="E2087" s="80" t="inlineStr">
        <is>
          <t>EE 苏州比斯特</t>
        </is>
      </c>
      <c r="F2087" s="84" t="n">
        <v>4</v>
      </c>
      <c r="G2087" s="84" t="inlineStr">
        <is>
          <t>奥特莱斯</t>
        </is>
      </c>
      <c r="H2087" s="84" t="inlineStr">
        <is>
          <t>EEYWG24E02</t>
        </is>
      </c>
      <c r="I2087" s="84" t="n">
        <v>699</v>
      </c>
      <c r="J2087" s="84" t="n">
        <v>699</v>
      </c>
      <c r="K2087" s="85" t="n">
        <v>2</v>
      </c>
      <c r="L2087" s="85" t="n">
        <v>443</v>
      </c>
    </row>
    <row r="2088" ht="12.75" customHeight="1" s="103">
      <c r="A2088" s="78">
        <f>MID(H2088,3,2)</f>
        <v/>
      </c>
      <c r="B2088" s="84" t="inlineStr">
        <is>
          <t>B331</t>
        </is>
      </c>
      <c r="C2088" s="84" t="inlineStr">
        <is>
          <t>上海区域</t>
        </is>
      </c>
      <c r="D2088" s="84" t="inlineStr">
        <is>
          <t>CN0Q</t>
        </is>
      </c>
      <c r="E2088" s="80" t="inlineStr">
        <is>
          <t>EE 苏州比斯特</t>
        </is>
      </c>
      <c r="F2088" s="84" t="n">
        <v>4</v>
      </c>
      <c r="G2088" s="84" t="inlineStr">
        <is>
          <t>奥特莱斯</t>
        </is>
      </c>
      <c r="H2088" s="84" t="inlineStr">
        <is>
          <t>EEYWG24E02</t>
        </is>
      </c>
      <c r="I2088" s="84" t="n">
        <v>699</v>
      </c>
      <c r="J2088" s="84" t="n">
        <v>699</v>
      </c>
      <c r="K2088" s="85" t="n">
        <v>1</v>
      </c>
      <c r="L2088" s="85" t="n">
        <v>489</v>
      </c>
    </row>
    <row r="2089" ht="12.75" customHeight="1" s="103">
      <c r="A2089" s="78">
        <f>MID(H2089,3,2)</f>
        <v/>
      </c>
      <c r="B2089" s="84" t="inlineStr">
        <is>
          <t>B331</t>
        </is>
      </c>
      <c r="C2089" s="84" t="inlineStr">
        <is>
          <t>上海区域</t>
        </is>
      </c>
      <c r="D2089" s="84" t="inlineStr">
        <is>
          <t>CN0Q</t>
        </is>
      </c>
      <c r="E2089" s="80" t="inlineStr">
        <is>
          <t>EE 苏州比斯特</t>
        </is>
      </c>
      <c r="F2089" s="84" t="n">
        <v>4</v>
      </c>
      <c r="G2089" s="84" t="inlineStr">
        <is>
          <t>奥特莱斯</t>
        </is>
      </c>
      <c r="H2089" s="84" t="inlineStr">
        <is>
          <t>EEYWG24E03</t>
        </is>
      </c>
      <c r="I2089" s="84" t="n">
        <v>699</v>
      </c>
      <c r="J2089" s="84" t="n">
        <v>699</v>
      </c>
      <c r="K2089" s="85" t="n"/>
      <c r="L2089" s="85" t="n"/>
    </row>
    <row r="2090" ht="12.75" customHeight="1" s="103">
      <c r="A2090" s="78">
        <f>MID(H2090,3,2)</f>
        <v/>
      </c>
      <c r="B2090" s="84" t="inlineStr">
        <is>
          <t>B331</t>
        </is>
      </c>
      <c r="C2090" s="84" t="inlineStr">
        <is>
          <t>上海区域</t>
        </is>
      </c>
      <c r="D2090" s="84" t="inlineStr">
        <is>
          <t>CN0Q</t>
        </is>
      </c>
      <c r="E2090" s="80" t="inlineStr">
        <is>
          <t>EE 苏州比斯特</t>
        </is>
      </c>
      <c r="F2090" s="84" t="n">
        <v>4</v>
      </c>
      <c r="G2090" s="84" t="inlineStr">
        <is>
          <t>奥特莱斯</t>
        </is>
      </c>
      <c r="H2090" s="84" t="inlineStr">
        <is>
          <t>EEYWG24E03</t>
        </is>
      </c>
      <c r="I2090" s="84" t="n">
        <v>699</v>
      </c>
      <c r="J2090" s="84" t="n">
        <v>699</v>
      </c>
      <c r="K2090" s="85" t="n"/>
      <c r="L2090" s="85" t="n"/>
    </row>
    <row r="2091" ht="12.75" customHeight="1" s="103">
      <c r="A2091" s="78">
        <f>MID(H2091,3,2)</f>
        <v/>
      </c>
      <c r="B2091" s="84" t="inlineStr">
        <is>
          <t>B331</t>
        </is>
      </c>
      <c r="C2091" s="84" t="inlineStr">
        <is>
          <t>上海区域</t>
        </is>
      </c>
      <c r="D2091" s="84" t="inlineStr">
        <is>
          <t>CN0Q</t>
        </is>
      </c>
      <c r="E2091" s="80" t="inlineStr">
        <is>
          <t>EE 苏州比斯特</t>
        </is>
      </c>
      <c r="F2091" s="84" t="n">
        <v>4</v>
      </c>
      <c r="G2091" s="84" t="inlineStr">
        <is>
          <t>奥特莱斯</t>
        </is>
      </c>
      <c r="H2091" s="84" t="inlineStr">
        <is>
          <t>EEYWG24E03</t>
        </is>
      </c>
      <c r="I2091" s="84" t="n">
        <v>699</v>
      </c>
      <c r="J2091" s="84" t="n">
        <v>699</v>
      </c>
      <c r="K2091" s="85" t="n"/>
      <c r="L2091" s="85" t="n"/>
    </row>
    <row r="2092" ht="12.75" customHeight="1" s="103">
      <c r="A2092" s="78">
        <f>MID(H2092,3,2)</f>
        <v/>
      </c>
      <c r="B2092" s="84" t="inlineStr">
        <is>
          <t>B331</t>
        </is>
      </c>
      <c r="C2092" s="84" t="inlineStr">
        <is>
          <t>上海区域</t>
        </is>
      </c>
      <c r="D2092" s="84" t="inlineStr">
        <is>
          <t>CN0Q</t>
        </is>
      </c>
      <c r="E2092" s="80" t="inlineStr">
        <is>
          <t>EE 苏州比斯特</t>
        </is>
      </c>
      <c r="F2092" s="84" t="n">
        <v>4</v>
      </c>
      <c r="G2092" s="84" t="inlineStr">
        <is>
          <t>奥特莱斯</t>
        </is>
      </c>
      <c r="H2092" s="84" t="inlineStr">
        <is>
          <t>EEYWG24E03</t>
        </is>
      </c>
      <c r="I2092" s="84" t="n">
        <v>699</v>
      </c>
      <c r="J2092" s="84" t="n">
        <v>699</v>
      </c>
      <c r="K2092" s="85" t="n"/>
      <c r="L2092" s="85" t="n"/>
    </row>
    <row r="2093" ht="12.75" customHeight="1" s="103">
      <c r="A2093" s="78">
        <f>MID(H2093,3,2)</f>
        <v/>
      </c>
      <c r="B2093" s="84" t="inlineStr">
        <is>
          <t>B331</t>
        </is>
      </c>
      <c r="C2093" s="84" t="inlineStr">
        <is>
          <t>上海区域</t>
        </is>
      </c>
      <c r="D2093" s="84" t="inlineStr">
        <is>
          <t>CN0Q</t>
        </is>
      </c>
      <c r="E2093" s="80" t="inlineStr">
        <is>
          <t>EE 苏州比斯特</t>
        </is>
      </c>
      <c r="F2093" s="84" t="n">
        <v>4</v>
      </c>
      <c r="G2093" s="84" t="inlineStr">
        <is>
          <t>奥特莱斯</t>
        </is>
      </c>
      <c r="H2093" s="84" t="inlineStr">
        <is>
          <t>EEYWG24E03</t>
        </is>
      </c>
      <c r="I2093" s="84" t="n">
        <v>699</v>
      </c>
      <c r="J2093" s="84" t="n">
        <v>699</v>
      </c>
      <c r="K2093" s="85" t="n"/>
      <c r="L2093" s="85" t="n"/>
    </row>
    <row r="2094" ht="12.75" customHeight="1" s="103">
      <c r="A2094" s="78">
        <f>MID(H2094,3,2)</f>
        <v/>
      </c>
      <c r="B2094" s="84" t="inlineStr">
        <is>
          <t>B331</t>
        </is>
      </c>
      <c r="C2094" s="84" t="inlineStr">
        <is>
          <t>上海区域</t>
        </is>
      </c>
      <c r="D2094" s="84" t="inlineStr">
        <is>
          <t>CN0Q</t>
        </is>
      </c>
      <c r="E2094" s="80" t="inlineStr">
        <is>
          <t>EE 苏州比斯特</t>
        </is>
      </c>
      <c r="F2094" s="84" t="n">
        <v>4</v>
      </c>
      <c r="G2094" s="84" t="inlineStr">
        <is>
          <t>奥特莱斯</t>
        </is>
      </c>
      <c r="H2094" s="84" t="inlineStr">
        <is>
          <t>EEYWG24E03</t>
        </is>
      </c>
      <c r="I2094" s="84" t="n">
        <v>699</v>
      </c>
      <c r="J2094" s="84" t="n">
        <v>699</v>
      </c>
      <c r="K2094" s="85" t="n"/>
      <c r="L2094" s="85" t="n"/>
    </row>
    <row r="2095" ht="12.75" customHeight="1" s="103">
      <c r="A2095" s="78">
        <f>MID(H2095,3,2)</f>
        <v/>
      </c>
      <c r="B2095" s="84" t="inlineStr">
        <is>
          <t>B331</t>
        </is>
      </c>
      <c r="C2095" s="84" t="inlineStr">
        <is>
          <t>上海区域</t>
        </is>
      </c>
      <c r="D2095" s="84" t="inlineStr">
        <is>
          <t>CN0Q</t>
        </is>
      </c>
      <c r="E2095" s="80" t="inlineStr">
        <is>
          <t>EE 苏州比斯特</t>
        </is>
      </c>
      <c r="F2095" s="84" t="n">
        <v>4</v>
      </c>
      <c r="G2095" s="84" t="inlineStr">
        <is>
          <t>奥特莱斯</t>
        </is>
      </c>
      <c r="H2095" s="84" t="inlineStr">
        <is>
          <t>EEYWG25E01</t>
        </is>
      </c>
      <c r="I2095" s="84" t="n">
        <v>699</v>
      </c>
      <c r="J2095" s="84" t="n">
        <v>699</v>
      </c>
      <c r="K2095" s="85" t="n">
        <v>2</v>
      </c>
      <c r="L2095" s="85" t="n">
        <v>935</v>
      </c>
    </row>
    <row r="2096" ht="12.75" customHeight="1" s="103">
      <c r="A2096" s="78">
        <f>MID(H2096,3,2)</f>
        <v/>
      </c>
      <c r="B2096" s="84" t="inlineStr">
        <is>
          <t>B331</t>
        </is>
      </c>
      <c r="C2096" s="84" t="inlineStr">
        <is>
          <t>上海区域</t>
        </is>
      </c>
      <c r="D2096" s="84" t="inlineStr">
        <is>
          <t>CN0Q</t>
        </is>
      </c>
      <c r="E2096" s="80" t="inlineStr">
        <is>
          <t>EE 苏州比斯特</t>
        </is>
      </c>
      <c r="F2096" s="84" t="n">
        <v>4</v>
      </c>
      <c r="G2096" s="84" t="inlineStr">
        <is>
          <t>奥特莱斯</t>
        </is>
      </c>
      <c r="H2096" s="84" t="inlineStr">
        <is>
          <t>EEYWG25E01</t>
        </is>
      </c>
      <c r="I2096" s="84" t="n">
        <v>699</v>
      </c>
      <c r="J2096" s="84" t="n">
        <v>699</v>
      </c>
      <c r="K2096" s="85" t="n"/>
      <c r="L2096" s="85" t="n"/>
    </row>
    <row r="2097" ht="12.75" customHeight="1" s="103">
      <c r="A2097" s="78">
        <f>MID(H2097,3,2)</f>
        <v/>
      </c>
      <c r="B2097" s="84" t="inlineStr">
        <is>
          <t>B331</t>
        </is>
      </c>
      <c r="C2097" s="84" t="inlineStr">
        <is>
          <t>上海区域</t>
        </is>
      </c>
      <c r="D2097" s="84" t="inlineStr">
        <is>
          <t>CN0Q</t>
        </is>
      </c>
      <c r="E2097" s="80" t="inlineStr">
        <is>
          <t>EE 苏州比斯特</t>
        </is>
      </c>
      <c r="F2097" s="84" t="n">
        <v>4</v>
      </c>
      <c r="G2097" s="84" t="inlineStr">
        <is>
          <t>奥特莱斯</t>
        </is>
      </c>
      <c r="H2097" s="84" t="inlineStr">
        <is>
          <t>EEYWG25E01</t>
        </is>
      </c>
      <c r="I2097" s="84" t="n">
        <v>699</v>
      </c>
      <c r="J2097" s="84" t="n">
        <v>699</v>
      </c>
      <c r="K2097" s="85" t="n">
        <v>2</v>
      </c>
      <c r="L2097" s="85" t="n">
        <v>489</v>
      </c>
    </row>
    <row r="2098" ht="12.75" customHeight="1" s="103">
      <c r="A2098" s="78">
        <f>MID(H2098,3,2)</f>
        <v/>
      </c>
      <c r="B2098" s="84" t="inlineStr">
        <is>
          <t>B331</t>
        </is>
      </c>
      <c r="C2098" s="84" t="inlineStr">
        <is>
          <t>上海区域</t>
        </is>
      </c>
      <c r="D2098" s="84" t="inlineStr">
        <is>
          <t>CN0Q</t>
        </is>
      </c>
      <c r="E2098" s="80" t="inlineStr">
        <is>
          <t>EE 苏州比斯特</t>
        </is>
      </c>
      <c r="F2098" s="84" t="n">
        <v>4</v>
      </c>
      <c r="G2098" s="84" t="inlineStr">
        <is>
          <t>奥特莱斯</t>
        </is>
      </c>
      <c r="H2098" s="84" t="inlineStr">
        <is>
          <t>EEYWG25E01</t>
        </is>
      </c>
      <c r="I2098" s="84" t="n">
        <v>699</v>
      </c>
      <c r="J2098" s="84" t="n">
        <v>699</v>
      </c>
      <c r="K2098" s="85" t="n">
        <v>6</v>
      </c>
      <c r="L2098" s="86" t="n">
        <v>1927</v>
      </c>
    </row>
    <row r="2099" ht="12.75" customHeight="1" s="103">
      <c r="A2099" s="78">
        <f>MID(H2099,3,2)</f>
        <v/>
      </c>
      <c r="B2099" s="84" t="inlineStr">
        <is>
          <t>B331</t>
        </is>
      </c>
      <c r="C2099" s="84" t="inlineStr">
        <is>
          <t>上海区域</t>
        </is>
      </c>
      <c r="D2099" s="84" t="inlineStr">
        <is>
          <t>CN0Q</t>
        </is>
      </c>
      <c r="E2099" s="80" t="inlineStr">
        <is>
          <t>EE 苏州比斯特</t>
        </is>
      </c>
      <c r="F2099" s="84" t="n">
        <v>4</v>
      </c>
      <c r="G2099" s="84" t="inlineStr">
        <is>
          <t>奥特莱斯</t>
        </is>
      </c>
      <c r="H2099" s="84" t="inlineStr">
        <is>
          <t>EEYWG25E01</t>
        </is>
      </c>
      <c r="I2099" s="84" t="n">
        <v>699</v>
      </c>
      <c r="J2099" s="84" t="n">
        <v>699</v>
      </c>
      <c r="K2099" s="85" t="n">
        <v>4</v>
      </c>
      <c r="L2099" s="86" t="n">
        <v>1603</v>
      </c>
    </row>
    <row r="2100" ht="12.75" customHeight="1" s="103">
      <c r="A2100" s="78">
        <f>MID(H2100,3,2)</f>
        <v/>
      </c>
      <c r="B2100" s="84" t="inlineStr">
        <is>
          <t>B331</t>
        </is>
      </c>
      <c r="C2100" s="84" t="inlineStr">
        <is>
          <t>上海区域</t>
        </is>
      </c>
      <c r="D2100" s="84" t="inlineStr">
        <is>
          <t>CN0Q</t>
        </is>
      </c>
      <c r="E2100" s="80" t="inlineStr">
        <is>
          <t>EE 苏州比斯特</t>
        </is>
      </c>
      <c r="F2100" s="84" t="n">
        <v>4</v>
      </c>
      <c r="G2100" s="84" t="inlineStr">
        <is>
          <t>奥特莱斯</t>
        </is>
      </c>
      <c r="H2100" s="84" t="inlineStr">
        <is>
          <t>EEYWG25E01</t>
        </is>
      </c>
      <c r="I2100" s="84" t="n">
        <v>699</v>
      </c>
      <c r="J2100" s="84" t="n">
        <v>699</v>
      </c>
      <c r="K2100" s="85" t="n">
        <v>1</v>
      </c>
      <c r="L2100" s="85" t="n">
        <v>443</v>
      </c>
    </row>
    <row r="2101" ht="12.75" customHeight="1" s="103">
      <c r="A2101" s="78">
        <f>MID(H2101,3,2)</f>
        <v/>
      </c>
      <c r="B2101" s="84" t="inlineStr">
        <is>
          <t>B331</t>
        </is>
      </c>
      <c r="C2101" s="84" t="inlineStr">
        <is>
          <t>上海区域</t>
        </is>
      </c>
      <c r="D2101" s="84" t="inlineStr">
        <is>
          <t>CN0Q</t>
        </is>
      </c>
      <c r="E2101" s="80" t="inlineStr">
        <is>
          <t>EE 苏州比斯特</t>
        </is>
      </c>
      <c r="F2101" s="84" t="n">
        <v>4</v>
      </c>
      <c r="G2101" s="84" t="inlineStr">
        <is>
          <t>奥特莱斯</t>
        </is>
      </c>
      <c r="H2101" s="84" t="inlineStr">
        <is>
          <t>EEYWG25E01</t>
        </is>
      </c>
      <c r="I2101" s="84" t="n">
        <v>699</v>
      </c>
      <c r="J2101" s="84" t="n">
        <v>699</v>
      </c>
      <c r="K2101" s="85" t="n">
        <v>4</v>
      </c>
      <c r="L2101" s="86" t="n">
        <v>1821</v>
      </c>
    </row>
    <row r="2102" ht="12.75" customHeight="1" s="103">
      <c r="A2102" s="78">
        <f>MID(H2102,3,2)</f>
        <v/>
      </c>
      <c r="B2102" s="84" t="inlineStr">
        <is>
          <t>B331</t>
        </is>
      </c>
      <c r="C2102" s="84" t="inlineStr">
        <is>
          <t>上海区域</t>
        </is>
      </c>
      <c r="D2102" s="84" t="inlineStr">
        <is>
          <t>CN0Q</t>
        </is>
      </c>
      <c r="E2102" s="80" t="inlineStr">
        <is>
          <t>EE 苏州比斯特</t>
        </is>
      </c>
      <c r="F2102" s="84" t="n">
        <v>4</v>
      </c>
      <c r="G2102" s="84" t="inlineStr">
        <is>
          <t>奥特莱斯</t>
        </is>
      </c>
      <c r="H2102" s="84" t="inlineStr">
        <is>
          <t>EEYWG25E01</t>
        </is>
      </c>
      <c r="I2102" s="84" t="n">
        <v>699</v>
      </c>
      <c r="J2102" s="84" t="n">
        <v>699</v>
      </c>
      <c r="K2102" s="85" t="n">
        <v>5</v>
      </c>
      <c r="L2102" s="86" t="n">
        <v>2274</v>
      </c>
    </row>
    <row r="2103" ht="12.75" customHeight="1" s="103">
      <c r="A2103" s="78">
        <f>MID(H2103,3,2)</f>
        <v/>
      </c>
      <c r="B2103" s="84" t="inlineStr">
        <is>
          <t>B331</t>
        </is>
      </c>
      <c r="C2103" s="84" t="inlineStr">
        <is>
          <t>上海区域</t>
        </is>
      </c>
      <c r="D2103" s="84" t="inlineStr">
        <is>
          <t>CN0Q</t>
        </is>
      </c>
      <c r="E2103" s="80" t="inlineStr">
        <is>
          <t>EE 苏州比斯特</t>
        </is>
      </c>
      <c r="F2103" s="84" t="n">
        <v>4</v>
      </c>
      <c r="G2103" s="84" t="inlineStr">
        <is>
          <t>奥特莱斯</t>
        </is>
      </c>
      <c r="H2103" s="84" t="inlineStr">
        <is>
          <t>EEYWG25E01</t>
        </is>
      </c>
      <c r="I2103" s="84" t="n">
        <v>699</v>
      </c>
      <c r="J2103" s="84" t="n">
        <v>699</v>
      </c>
      <c r="K2103" s="85" t="n">
        <v>1</v>
      </c>
      <c r="L2103" s="85" t="n"/>
    </row>
    <row r="2104" ht="12.75" customHeight="1" s="103">
      <c r="A2104" s="78">
        <f>MID(H2104,3,2)</f>
        <v/>
      </c>
      <c r="B2104" s="84" t="inlineStr">
        <is>
          <t>B331</t>
        </is>
      </c>
      <c r="C2104" s="84" t="inlineStr">
        <is>
          <t>上海区域</t>
        </is>
      </c>
      <c r="D2104" s="84" t="inlineStr">
        <is>
          <t>CN0Q</t>
        </is>
      </c>
      <c r="E2104" s="80" t="inlineStr">
        <is>
          <t>EE 苏州比斯特</t>
        </is>
      </c>
      <c r="F2104" s="84" t="n">
        <v>4</v>
      </c>
      <c r="G2104" s="84" t="inlineStr">
        <is>
          <t>奥特莱斯</t>
        </is>
      </c>
      <c r="H2104" s="84" t="inlineStr">
        <is>
          <t>EEYWG25E01</t>
        </is>
      </c>
      <c r="I2104" s="84" t="n">
        <v>699</v>
      </c>
      <c r="J2104" s="84" t="n">
        <v>699</v>
      </c>
      <c r="K2104" s="85" t="n">
        <v>6</v>
      </c>
      <c r="L2104" s="86" t="n">
        <v>1819</v>
      </c>
    </row>
    <row r="2105" ht="12.75" customHeight="1" s="103">
      <c r="A2105" s="78">
        <f>MID(H2105,3,2)</f>
        <v/>
      </c>
      <c r="B2105" s="84" t="inlineStr">
        <is>
          <t>B331</t>
        </is>
      </c>
      <c r="C2105" s="84" t="inlineStr">
        <is>
          <t>上海区域</t>
        </is>
      </c>
      <c r="D2105" s="84" t="inlineStr">
        <is>
          <t>CN0Q</t>
        </is>
      </c>
      <c r="E2105" s="80" t="inlineStr">
        <is>
          <t>EE 苏州比斯特</t>
        </is>
      </c>
      <c r="F2105" s="84" t="n">
        <v>4</v>
      </c>
      <c r="G2105" s="84" t="inlineStr">
        <is>
          <t>奥特莱斯</t>
        </is>
      </c>
      <c r="H2105" s="84" t="inlineStr">
        <is>
          <t>EEYWG25E01</t>
        </is>
      </c>
      <c r="I2105" s="84" t="n">
        <v>699</v>
      </c>
      <c r="J2105" s="84" t="n">
        <v>699</v>
      </c>
      <c r="K2105" s="85" t="n">
        <v>3</v>
      </c>
      <c r="L2105" s="86" t="n">
        <v>1402</v>
      </c>
    </row>
    <row r="2106" ht="12.75" customHeight="1" s="103">
      <c r="A2106" s="78">
        <f>MID(H2106,3,2)</f>
        <v/>
      </c>
      <c r="B2106" s="84" t="inlineStr">
        <is>
          <t>B331</t>
        </is>
      </c>
      <c r="C2106" s="84" t="inlineStr">
        <is>
          <t>上海区域</t>
        </is>
      </c>
      <c r="D2106" s="84" t="inlineStr">
        <is>
          <t>CN0Q</t>
        </is>
      </c>
      <c r="E2106" s="80" t="inlineStr">
        <is>
          <t>EE 苏州比斯特</t>
        </is>
      </c>
      <c r="F2106" s="84" t="n">
        <v>4</v>
      </c>
      <c r="G2106" s="84" t="inlineStr">
        <is>
          <t>奥特莱斯</t>
        </is>
      </c>
      <c r="H2106" s="84" t="inlineStr">
        <is>
          <t>EEYWG25E01</t>
        </is>
      </c>
      <c r="I2106" s="84" t="n">
        <v>699</v>
      </c>
      <c r="J2106" s="84" t="n">
        <v>699</v>
      </c>
      <c r="K2106" s="85" t="n">
        <v>1</v>
      </c>
      <c r="L2106" s="85" t="n">
        <v>0</v>
      </c>
    </row>
    <row r="2107" ht="12.75" customHeight="1" s="103">
      <c r="A2107" s="78">
        <f>MID(H2107,3,2)</f>
        <v/>
      </c>
      <c r="B2107" s="84" t="inlineStr">
        <is>
          <t>B331</t>
        </is>
      </c>
      <c r="C2107" s="84" t="inlineStr">
        <is>
          <t>上海区域</t>
        </is>
      </c>
      <c r="D2107" s="84" t="inlineStr">
        <is>
          <t>CN0Q</t>
        </is>
      </c>
      <c r="E2107" s="80" t="inlineStr">
        <is>
          <t>EE 苏州比斯特</t>
        </is>
      </c>
      <c r="F2107" s="84" t="n">
        <v>4</v>
      </c>
      <c r="G2107" s="84" t="inlineStr">
        <is>
          <t>奥特莱斯</t>
        </is>
      </c>
      <c r="H2107" s="84" t="inlineStr">
        <is>
          <t>EEYWG25E02</t>
        </is>
      </c>
      <c r="I2107" s="84" t="n">
        <v>699</v>
      </c>
      <c r="J2107" s="84" t="n">
        <v>699</v>
      </c>
      <c r="K2107" s="85" t="n">
        <v>2</v>
      </c>
      <c r="L2107" s="85" t="n"/>
    </row>
    <row r="2108" ht="12.75" customHeight="1" s="103">
      <c r="A2108" s="78">
        <f>MID(H2108,3,2)</f>
        <v/>
      </c>
      <c r="B2108" s="84" t="inlineStr">
        <is>
          <t>B331</t>
        </is>
      </c>
      <c r="C2108" s="84" t="inlineStr">
        <is>
          <t>上海区域</t>
        </is>
      </c>
      <c r="D2108" s="84" t="inlineStr">
        <is>
          <t>CN0Q</t>
        </is>
      </c>
      <c r="E2108" s="80" t="inlineStr">
        <is>
          <t>EE 苏州比斯特</t>
        </is>
      </c>
      <c r="F2108" s="84" t="n">
        <v>4</v>
      </c>
      <c r="G2108" s="84" t="inlineStr">
        <is>
          <t>奥特莱斯</t>
        </is>
      </c>
      <c r="H2108" s="84" t="inlineStr">
        <is>
          <t>EEYWG25E02</t>
        </is>
      </c>
      <c r="I2108" s="84" t="n">
        <v>699</v>
      </c>
      <c r="J2108" s="84" t="n">
        <v>699</v>
      </c>
      <c r="K2108" s="85" t="n">
        <v>5</v>
      </c>
      <c r="L2108" s="86" t="n">
        <v>1409</v>
      </c>
    </row>
    <row r="2109" ht="12.75" customHeight="1" s="103">
      <c r="A2109" s="78">
        <f>MID(H2109,3,2)</f>
        <v/>
      </c>
      <c r="B2109" s="84" t="inlineStr">
        <is>
          <t>B331</t>
        </is>
      </c>
      <c r="C2109" s="84" t="inlineStr">
        <is>
          <t>上海区域</t>
        </is>
      </c>
      <c r="D2109" s="84" t="inlineStr">
        <is>
          <t>CN0Q</t>
        </is>
      </c>
      <c r="E2109" s="80" t="inlineStr">
        <is>
          <t>EE 苏州比斯特</t>
        </is>
      </c>
      <c r="F2109" s="84" t="n">
        <v>4</v>
      </c>
      <c r="G2109" s="84" t="inlineStr">
        <is>
          <t>奥特莱斯</t>
        </is>
      </c>
      <c r="H2109" s="84" t="inlineStr">
        <is>
          <t>EEYWG25E02</t>
        </is>
      </c>
      <c r="I2109" s="84" t="n">
        <v>699</v>
      </c>
      <c r="J2109" s="84" t="n">
        <v>699</v>
      </c>
      <c r="K2109" s="85" t="n">
        <v>1</v>
      </c>
      <c r="L2109" s="85" t="n"/>
    </row>
    <row r="2110" ht="12.75" customHeight="1" s="103">
      <c r="A2110" s="78">
        <f>MID(H2110,3,2)</f>
        <v/>
      </c>
      <c r="B2110" s="84" t="inlineStr">
        <is>
          <t>B331</t>
        </is>
      </c>
      <c r="C2110" s="84" t="inlineStr">
        <is>
          <t>上海区域</t>
        </is>
      </c>
      <c r="D2110" s="84" t="inlineStr">
        <is>
          <t>CN0Q</t>
        </is>
      </c>
      <c r="E2110" s="80" t="inlineStr">
        <is>
          <t>EE 苏州比斯特</t>
        </is>
      </c>
      <c r="F2110" s="84" t="n">
        <v>4</v>
      </c>
      <c r="G2110" s="84" t="inlineStr">
        <is>
          <t>奥特莱斯</t>
        </is>
      </c>
      <c r="H2110" s="84" t="inlineStr">
        <is>
          <t>EEYWG25E02</t>
        </is>
      </c>
      <c r="I2110" s="84" t="n">
        <v>699</v>
      </c>
      <c r="J2110" s="84" t="n">
        <v>699</v>
      </c>
      <c r="K2110" s="85" t="n">
        <v>2</v>
      </c>
      <c r="L2110" s="85" t="n">
        <v>489</v>
      </c>
    </row>
    <row r="2111" ht="12.75" customHeight="1" s="103">
      <c r="A2111" s="78">
        <f>MID(H2111,3,2)</f>
        <v/>
      </c>
      <c r="B2111" s="84" t="inlineStr">
        <is>
          <t>B331</t>
        </is>
      </c>
      <c r="C2111" s="84" t="inlineStr">
        <is>
          <t>上海区域</t>
        </is>
      </c>
      <c r="D2111" s="84" t="inlineStr">
        <is>
          <t>CN0Q</t>
        </is>
      </c>
      <c r="E2111" s="80" t="inlineStr">
        <is>
          <t>EE 苏州比斯特</t>
        </is>
      </c>
      <c r="F2111" s="84" t="n">
        <v>4</v>
      </c>
      <c r="G2111" s="84" t="inlineStr">
        <is>
          <t>奥特莱斯</t>
        </is>
      </c>
      <c r="H2111" s="84" t="inlineStr">
        <is>
          <t>EEYWG25E02</t>
        </is>
      </c>
      <c r="I2111" s="84" t="n">
        <v>699</v>
      </c>
      <c r="J2111" s="84" t="n">
        <v>699</v>
      </c>
      <c r="K2111" s="85" t="n"/>
      <c r="L2111" s="85" t="n"/>
    </row>
    <row r="2112" ht="12.75" customHeight="1" s="103">
      <c r="A2112" s="78">
        <f>MID(H2112,3,2)</f>
        <v/>
      </c>
      <c r="B2112" s="84" t="inlineStr">
        <is>
          <t>B331</t>
        </is>
      </c>
      <c r="C2112" s="84" t="inlineStr">
        <is>
          <t>上海区域</t>
        </is>
      </c>
      <c r="D2112" s="84" t="inlineStr">
        <is>
          <t>CN0Q</t>
        </is>
      </c>
      <c r="E2112" s="80" t="inlineStr">
        <is>
          <t>EE 苏州比斯特</t>
        </is>
      </c>
      <c r="F2112" s="84" t="n">
        <v>4</v>
      </c>
      <c r="G2112" s="84" t="inlineStr">
        <is>
          <t>奥特莱斯</t>
        </is>
      </c>
      <c r="H2112" s="84" t="inlineStr">
        <is>
          <t>EEYWG25E02</t>
        </is>
      </c>
      <c r="I2112" s="84" t="n">
        <v>699</v>
      </c>
      <c r="J2112" s="84" t="n">
        <v>699</v>
      </c>
      <c r="K2112" s="85" t="n">
        <v>1</v>
      </c>
      <c r="L2112" s="85" t="n"/>
    </row>
    <row r="2113" ht="12.75" customHeight="1" s="103">
      <c r="A2113" s="78">
        <f>MID(H2113,3,2)</f>
        <v/>
      </c>
      <c r="B2113" s="84" t="inlineStr">
        <is>
          <t>B331</t>
        </is>
      </c>
      <c r="C2113" s="84" t="inlineStr">
        <is>
          <t>上海区域</t>
        </is>
      </c>
      <c r="D2113" s="84" t="inlineStr">
        <is>
          <t>CN0Q</t>
        </is>
      </c>
      <c r="E2113" s="80" t="inlineStr">
        <is>
          <t>EE 苏州比斯特</t>
        </is>
      </c>
      <c r="F2113" s="84" t="n">
        <v>4</v>
      </c>
      <c r="G2113" s="84" t="inlineStr">
        <is>
          <t>奥特莱斯</t>
        </is>
      </c>
      <c r="H2113" s="84" t="inlineStr">
        <is>
          <t>EEYWG25E03</t>
        </is>
      </c>
      <c r="I2113" s="84" t="n">
        <v>599</v>
      </c>
      <c r="J2113" s="84" t="n">
        <v>599</v>
      </c>
      <c r="K2113" s="85" t="n">
        <v>9</v>
      </c>
      <c r="L2113" s="86" t="n">
        <v>1556</v>
      </c>
    </row>
    <row r="2114" ht="12.75" customHeight="1" s="103">
      <c r="A2114" s="78">
        <f>MID(H2114,3,2)</f>
        <v/>
      </c>
      <c r="B2114" s="84" t="inlineStr">
        <is>
          <t>B331</t>
        </is>
      </c>
      <c r="C2114" s="84" t="inlineStr">
        <is>
          <t>上海区域</t>
        </is>
      </c>
      <c r="D2114" s="84" t="inlineStr">
        <is>
          <t>CN0Q</t>
        </is>
      </c>
      <c r="E2114" s="80" t="inlineStr">
        <is>
          <t>EE 苏州比斯特</t>
        </is>
      </c>
      <c r="F2114" s="84" t="n">
        <v>4</v>
      </c>
      <c r="G2114" s="84" t="inlineStr">
        <is>
          <t>奥特莱斯</t>
        </is>
      </c>
      <c r="H2114" s="84" t="inlineStr">
        <is>
          <t>EEYWG25E03</t>
        </is>
      </c>
      <c r="I2114" s="84" t="n">
        <v>599</v>
      </c>
      <c r="J2114" s="84" t="n">
        <v>599</v>
      </c>
      <c r="K2114" s="85" t="n">
        <v>6</v>
      </c>
      <c r="L2114" s="86" t="n">
        <v>1572</v>
      </c>
    </row>
    <row r="2115" ht="12.75" customHeight="1" s="103">
      <c r="A2115" s="78">
        <f>MID(H2115,3,2)</f>
        <v/>
      </c>
      <c r="B2115" s="84" t="inlineStr">
        <is>
          <t>B331</t>
        </is>
      </c>
      <c r="C2115" s="84" t="inlineStr">
        <is>
          <t>上海区域</t>
        </is>
      </c>
      <c r="D2115" s="84" t="inlineStr">
        <is>
          <t>CN0Q</t>
        </is>
      </c>
      <c r="E2115" s="80" t="inlineStr">
        <is>
          <t>EE 苏州比斯特</t>
        </is>
      </c>
      <c r="F2115" s="84" t="n">
        <v>4</v>
      </c>
      <c r="G2115" s="84" t="inlineStr">
        <is>
          <t>奥特莱斯</t>
        </is>
      </c>
      <c r="H2115" s="84" t="inlineStr">
        <is>
          <t>EEYWG25E03</t>
        </is>
      </c>
      <c r="I2115" s="84" t="n">
        <v>599</v>
      </c>
      <c r="J2115" s="84" t="n">
        <v>599</v>
      </c>
      <c r="K2115" s="85" t="n"/>
      <c r="L2115" s="85" t="n"/>
    </row>
    <row r="2116" ht="12.75" customHeight="1" s="103">
      <c r="A2116" s="78">
        <f>MID(H2116,3,2)</f>
        <v/>
      </c>
      <c r="B2116" s="84" t="inlineStr">
        <is>
          <t>B331</t>
        </is>
      </c>
      <c r="C2116" s="84" t="inlineStr">
        <is>
          <t>上海区域</t>
        </is>
      </c>
      <c r="D2116" s="84" t="inlineStr">
        <is>
          <t>CN0Q</t>
        </is>
      </c>
      <c r="E2116" s="80" t="inlineStr">
        <is>
          <t>EE 苏州比斯特</t>
        </is>
      </c>
      <c r="F2116" s="84" t="n">
        <v>4</v>
      </c>
      <c r="G2116" s="84" t="inlineStr">
        <is>
          <t>奥特莱斯</t>
        </is>
      </c>
      <c r="H2116" s="84" t="inlineStr">
        <is>
          <t>EEYWG25E03</t>
        </is>
      </c>
      <c r="I2116" s="84" t="n">
        <v>599</v>
      </c>
      <c r="J2116" s="84" t="n">
        <v>599</v>
      </c>
      <c r="K2116" s="85" t="n">
        <v>17</v>
      </c>
      <c r="L2116" s="86" t="n">
        <v>4034</v>
      </c>
    </row>
    <row r="2117" ht="12.75" customHeight="1" s="103">
      <c r="A2117" s="78">
        <f>MID(H2117,3,2)</f>
        <v/>
      </c>
      <c r="B2117" s="84" t="inlineStr">
        <is>
          <t>B331</t>
        </is>
      </c>
      <c r="C2117" s="84" t="inlineStr">
        <is>
          <t>上海区域</t>
        </is>
      </c>
      <c r="D2117" s="84" t="inlineStr">
        <is>
          <t>CN0Q</t>
        </is>
      </c>
      <c r="E2117" s="80" t="inlineStr">
        <is>
          <t>EE 苏州比斯特</t>
        </is>
      </c>
      <c r="F2117" s="84" t="n">
        <v>4</v>
      </c>
      <c r="G2117" s="84" t="inlineStr">
        <is>
          <t>奥特莱斯</t>
        </is>
      </c>
      <c r="H2117" s="84" t="inlineStr">
        <is>
          <t>EEYWG25E03</t>
        </is>
      </c>
      <c r="I2117" s="84" t="n">
        <v>599</v>
      </c>
      <c r="J2117" s="84" t="n">
        <v>599</v>
      </c>
      <c r="K2117" s="85" t="n">
        <v>12</v>
      </c>
      <c r="L2117" s="86" t="n">
        <v>2899</v>
      </c>
    </row>
    <row r="2118" ht="12.75" customHeight="1" s="103">
      <c r="A2118" s="78">
        <f>MID(H2118,3,2)</f>
        <v/>
      </c>
      <c r="B2118" s="84" t="inlineStr">
        <is>
          <t>B331</t>
        </is>
      </c>
      <c r="C2118" s="84" t="inlineStr">
        <is>
          <t>上海区域</t>
        </is>
      </c>
      <c r="D2118" s="84" t="inlineStr">
        <is>
          <t>CN0Q</t>
        </is>
      </c>
      <c r="E2118" s="80" t="inlineStr">
        <is>
          <t>EE 苏州比斯特</t>
        </is>
      </c>
      <c r="F2118" s="84" t="n">
        <v>4</v>
      </c>
      <c r="G2118" s="84" t="inlineStr">
        <is>
          <t>奥特莱斯</t>
        </is>
      </c>
      <c r="H2118" s="84" t="inlineStr">
        <is>
          <t>EEYWG25E03</t>
        </is>
      </c>
      <c r="I2118" s="84" t="n">
        <v>599</v>
      </c>
      <c r="J2118" s="84" t="n">
        <v>599</v>
      </c>
      <c r="K2118" s="85" t="n">
        <v>6</v>
      </c>
      <c r="L2118" s="86" t="n">
        <v>1360</v>
      </c>
    </row>
    <row r="2119" ht="12.75" customHeight="1" s="103">
      <c r="A2119" s="78">
        <f>MID(H2119,3,2)</f>
        <v/>
      </c>
      <c r="B2119" s="84" t="inlineStr">
        <is>
          <t>B331</t>
        </is>
      </c>
      <c r="C2119" s="84" t="inlineStr">
        <is>
          <t>上海区域</t>
        </is>
      </c>
      <c r="D2119" s="84" t="inlineStr">
        <is>
          <t>CN0Q</t>
        </is>
      </c>
      <c r="E2119" s="80" t="inlineStr">
        <is>
          <t>EE 苏州比斯特</t>
        </is>
      </c>
      <c r="F2119" s="84" t="n">
        <v>4</v>
      </c>
      <c r="G2119" s="84" t="inlineStr">
        <is>
          <t>奥特莱斯</t>
        </is>
      </c>
      <c r="H2119" s="84" t="inlineStr">
        <is>
          <t>EEYWG25E03</t>
        </is>
      </c>
      <c r="I2119" s="84" t="n">
        <v>599</v>
      </c>
      <c r="J2119" s="84" t="n">
        <v>599</v>
      </c>
      <c r="K2119" s="85" t="n">
        <v>9</v>
      </c>
      <c r="L2119" s="86" t="n">
        <v>3150</v>
      </c>
    </row>
    <row r="2120" ht="12.75" customHeight="1" s="103">
      <c r="A2120" s="78">
        <f>MID(H2120,3,2)</f>
        <v/>
      </c>
      <c r="B2120" s="84" t="inlineStr">
        <is>
          <t>B331</t>
        </is>
      </c>
      <c r="C2120" s="84" t="inlineStr">
        <is>
          <t>上海区域</t>
        </is>
      </c>
      <c r="D2120" s="84" t="inlineStr">
        <is>
          <t>CN0Q</t>
        </is>
      </c>
      <c r="E2120" s="80" t="inlineStr">
        <is>
          <t>EE 苏州比斯特</t>
        </is>
      </c>
      <c r="F2120" s="84" t="n">
        <v>4</v>
      </c>
      <c r="G2120" s="84" t="inlineStr">
        <is>
          <t>奥特莱斯</t>
        </is>
      </c>
      <c r="H2120" s="84" t="inlineStr">
        <is>
          <t>EEYWG25E03</t>
        </is>
      </c>
      <c r="I2120" s="84" t="n">
        <v>599</v>
      </c>
      <c r="J2120" s="84" t="n">
        <v>599</v>
      </c>
      <c r="K2120" s="85" t="n">
        <v>5</v>
      </c>
      <c r="L2120" s="86" t="n">
        <v>1644</v>
      </c>
    </row>
    <row r="2121" ht="12.75" customHeight="1" s="103">
      <c r="A2121" s="78">
        <f>MID(H2121,3,2)</f>
        <v/>
      </c>
      <c r="B2121" s="84" t="inlineStr">
        <is>
          <t>B331</t>
        </is>
      </c>
      <c r="C2121" s="84" t="inlineStr">
        <is>
          <t>上海区域</t>
        </is>
      </c>
      <c r="D2121" s="84" t="inlineStr">
        <is>
          <t>CN0Q</t>
        </is>
      </c>
      <c r="E2121" s="80" t="inlineStr">
        <is>
          <t>EE 苏州比斯特</t>
        </is>
      </c>
      <c r="F2121" s="84" t="n">
        <v>4</v>
      </c>
      <c r="G2121" s="84" t="inlineStr">
        <is>
          <t>奥特莱斯</t>
        </is>
      </c>
      <c r="H2121" s="84" t="inlineStr">
        <is>
          <t>EEYWG25E03</t>
        </is>
      </c>
      <c r="I2121" s="84" t="n">
        <v>599</v>
      </c>
      <c r="J2121" s="84" t="n">
        <v>599</v>
      </c>
      <c r="K2121" s="85" t="n">
        <v>3</v>
      </c>
      <c r="L2121" s="85" t="n">
        <v>805</v>
      </c>
    </row>
    <row r="2122" ht="12.75" customHeight="1" s="103">
      <c r="A2122" s="78">
        <f>MID(H2122,3,2)</f>
        <v/>
      </c>
      <c r="B2122" s="84" t="inlineStr">
        <is>
          <t>B331</t>
        </is>
      </c>
      <c r="C2122" s="84" t="inlineStr">
        <is>
          <t>上海区域</t>
        </is>
      </c>
      <c r="D2122" s="84" t="inlineStr">
        <is>
          <t>CN0Q</t>
        </is>
      </c>
      <c r="E2122" s="80" t="inlineStr">
        <is>
          <t>EE 苏州比斯特</t>
        </is>
      </c>
      <c r="F2122" s="84" t="n">
        <v>4</v>
      </c>
      <c r="G2122" s="84" t="inlineStr">
        <is>
          <t>奥特莱斯</t>
        </is>
      </c>
      <c r="H2122" s="84" t="inlineStr">
        <is>
          <t>EEYWG25E03</t>
        </is>
      </c>
      <c r="I2122" s="84" t="n">
        <v>599</v>
      </c>
      <c r="J2122" s="84" t="n">
        <v>599</v>
      </c>
      <c r="K2122" s="85" t="n">
        <v>5</v>
      </c>
      <c r="L2122" s="85" t="n">
        <v>812</v>
      </c>
    </row>
    <row r="2123" ht="12.75" customHeight="1" s="103">
      <c r="A2123" s="78">
        <f>MID(H2123,3,2)</f>
        <v/>
      </c>
      <c r="B2123" s="84" t="inlineStr">
        <is>
          <t>B331</t>
        </is>
      </c>
      <c r="C2123" s="84" t="inlineStr">
        <is>
          <t>上海区域</t>
        </is>
      </c>
      <c r="D2123" s="84" t="inlineStr">
        <is>
          <t>CN0Q</t>
        </is>
      </c>
      <c r="E2123" s="80" t="inlineStr">
        <is>
          <t>EE 苏州比斯特</t>
        </is>
      </c>
      <c r="F2123" s="84" t="n">
        <v>4</v>
      </c>
      <c r="G2123" s="84" t="inlineStr">
        <is>
          <t>奥特莱斯</t>
        </is>
      </c>
      <c r="H2123" s="84" t="inlineStr">
        <is>
          <t>EEYWG25E03</t>
        </is>
      </c>
      <c r="I2123" s="84" t="n">
        <v>599</v>
      </c>
      <c r="J2123" s="84" t="n">
        <v>599</v>
      </c>
      <c r="K2123" s="85" t="n">
        <v>2</v>
      </c>
      <c r="L2123" s="85" t="n">
        <v>419</v>
      </c>
    </row>
    <row r="2124" ht="12.75" customHeight="1" s="103">
      <c r="A2124" s="78">
        <f>MID(H2124,3,2)</f>
        <v/>
      </c>
      <c r="B2124" s="84" t="inlineStr">
        <is>
          <t>B331</t>
        </is>
      </c>
      <c r="C2124" s="84" t="inlineStr">
        <is>
          <t>上海区域</t>
        </is>
      </c>
      <c r="D2124" s="84" t="inlineStr">
        <is>
          <t>CN0Q</t>
        </is>
      </c>
      <c r="E2124" s="80" t="inlineStr">
        <is>
          <t>EE 苏州比斯特</t>
        </is>
      </c>
      <c r="F2124" s="84" t="n">
        <v>4</v>
      </c>
      <c r="G2124" s="84" t="inlineStr">
        <is>
          <t>奥特莱斯</t>
        </is>
      </c>
      <c r="H2124" s="84" t="inlineStr">
        <is>
          <t>EEYWG25E03</t>
        </is>
      </c>
      <c r="I2124" s="84" t="n">
        <v>599</v>
      </c>
      <c r="J2124" s="84" t="n">
        <v>599</v>
      </c>
      <c r="K2124" s="85" t="n">
        <v>1</v>
      </c>
      <c r="L2124" s="85" t="n">
        <v>387</v>
      </c>
    </row>
    <row r="2125" ht="12.75" customHeight="1" s="103">
      <c r="A2125" s="78">
        <f>MID(H2125,3,2)</f>
        <v/>
      </c>
      <c r="B2125" s="84" t="inlineStr">
        <is>
          <t>B331</t>
        </is>
      </c>
      <c r="C2125" s="84" t="inlineStr">
        <is>
          <t>上海区域</t>
        </is>
      </c>
      <c r="D2125" s="84" t="inlineStr">
        <is>
          <t>CN0Q</t>
        </is>
      </c>
      <c r="E2125" s="80" t="inlineStr">
        <is>
          <t>EE 苏州比斯特</t>
        </is>
      </c>
      <c r="F2125" s="84" t="n">
        <v>4</v>
      </c>
      <c r="G2125" s="84" t="inlineStr">
        <is>
          <t>奥特莱斯</t>
        </is>
      </c>
      <c r="H2125" s="84" t="inlineStr">
        <is>
          <t>EEYWG25E1G</t>
        </is>
      </c>
      <c r="I2125" s="84" t="n">
        <v>899</v>
      </c>
      <c r="J2125" s="84" t="n">
        <v>899</v>
      </c>
      <c r="K2125" s="85" t="n">
        <v>2</v>
      </c>
      <c r="L2125" s="85" t="n"/>
    </row>
    <row r="2126" ht="12.75" customHeight="1" s="103">
      <c r="A2126" s="78">
        <f>MID(H2126,3,2)</f>
        <v/>
      </c>
      <c r="B2126" s="84" t="inlineStr">
        <is>
          <t>B331</t>
        </is>
      </c>
      <c r="C2126" s="84" t="inlineStr">
        <is>
          <t>上海区域</t>
        </is>
      </c>
      <c r="D2126" s="84" t="inlineStr">
        <is>
          <t>CN0Q</t>
        </is>
      </c>
      <c r="E2126" s="80" t="inlineStr">
        <is>
          <t>EE 苏州比斯特</t>
        </is>
      </c>
      <c r="F2126" s="84" t="n">
        <v>4</v>
      </c>
      <c r="G2126" s="84" t="inlineStr">
        <is>
          <t>奥特莱斯</t>
        </is>
      </c>
      <c r="H2126" s="84" t="inlineStr">
        <is>
          <t>EEYWG25E1G</t>
        </is>
      </c>
      <c r="I2126" s="84" t="n">
        <v>899</v>
      </c>
      <c r="J2126" s="84" t="n">
        <v>899</v>
      </c>
      <c r="K2126" s="85" t="n">
        <v>3</v>
      </c>
      <c r="L2126" s="85" t="n">
        <v>581</v>
      </c>
    </row>
    <row r="2127" ht="12.75" customHeight="1" s="103">
      <c r="A2127" s="78">
        <f>MID(H2127,3,2)</f>
        <v/>
      </c>
      <c r="B2127" s="84" t="inlineStr">
        <is>
          <t>B331</t>
        </is>
      </c>
      <c r="C2127" s="84" t="inlineStr">
        <is>
          <t>上海区域</t>
        </is>
      </c>
      <c r="D2127" s="84" t="inlineStr">
        <is>
          <t>CN0Q</t>
        </is>
      </c>
      <c r="E2127" s="80" t="inlineStr">
        <is>
          <t>EE 苏州比斯特</t>
        </is>
      </c>
      <c r="F2127" s="84" t="n">
        <v>4</v>
      </c>
      <c r="G2127" s="84" t="inlineStr">
        <is>
          <t>奥特莱斯</t>
        </is>
      </c>
      <c r="H2127" s="84" t="inlineStr">
        <is>
          <t>EEYWG25E1G</t>
        </is>
      </c>
      <c r="I2127" s="84" t="n">
        <v>899</v>
      </c>
      <c r="J2127" s="84" t="n">
        <v>899</v>
      </c>
      <c r="K2127" s="85" t="n">
        <v>6</v>
      </c>
      <c r="L2127" s="86" t="n">
        <v>2303</v>
      </c>
    </row>
    <row r="2128" ht="12.75" customHeight="1" s="103">
      <c r="A2128" s="78">
        <f>MID(H2128,3,2)</f>
        <v/>
      </c>
      <c r="B2128" s="84" t="inlineStr">
        <is>
          <t>B331</t>
        </is>
      </c>
      <c r="C2128" s="84" t="inlineStr">
        <is>
          <t>上海区域</t>
        </is>
      </c>
      <c r="D2128" s="84" t="inlineStr">
        <is>
          <t>CN0Q</t>
        </is>
      </c>
      <c r="E2128" s="80" t="inlineStr">
        <is>
          <t>EE 苏州比斯特</t>
        </is>
      </c>
      <c r="F2128" s="84" t="n">
        <v>4</v>
      </c>
      <c r="G2128" s="84" t="inlineStr">
        <is>
          <t>奥特莱斯</t>
        </is>
      </c>
      <c r="H2128" s="84" t="inlineStr">
        <is>
          <t>EEYWG25E1G</t>
        </is>
      </c>
      <c r="I2128" s="84" t="n">
        <v>899</v>
      </c>
      <c r="J2128" s="84" t="n">
        <v>899</v>
      </c>
      <c r="K2128" s="85" t="n">
        <v>1</v>
      </c>
      <c r="L2128" s="85" t="n">
        <v>573</v>
      </c>
    </row>
    <row r="2129" ht="12.75" customHeight="1" s="103">
      <c r="A2129" s="78">
        <f>MID(H2129,3,2)</f>
        <v/>
      </c>
      <c r="B2129" s="84" t="inlineStr">
        <is>
          <t>B331</t>
        </is>
      </c>
      <c r="C2129" s="84" t="inlineStr">
        <is>
          <t>上海区域</t>
        </is>
      </c>
      <c r="D2129" s="84" t="inlineStr">
        <is>
          <t>CN0Q</t>
        </is>
      </c>
      <c r="E2129" s="80" t="inlineStr">
        <is>
          <t>EE 苏州比斯特</t>
        </is>
      </c>
      <c r="F2129" s="84" t="n">
        <v>4</v>
      </c>
      <c r="G2129" s="84" t="inlineStr">
        <is>
          <t>奥特莱斯</t>
        </is>
      </c>
      <c r="H2129" s="84" t="inlineStr">
        <is>
          <t>EEYWG25E1G</t>
        </is>
      </c>
      <c r="I2129" s="84" t="n">
        <v>899</v>
      </c>
      <c r="J2129" s="84" t="n">
        <v>899</v>
      </c>
      <c r="K2129" s="85" t="n">
        <v>2</v>
      </c>
      <c r="L2129" s="86" t="n">
        <v>1199</v>
      </c>
    </row>
    <row r="2130" ht="12.75" customHeight="1" s="103">
      <c r="A2130" s="78">
        <f>MID(H2130,3,2)</f>
        <v/>
      </c>
      <c r="B2130" s="84" t="inlineStr">
        <is>
          <t>B331</t>
        </is>
      </c>
      <c r="C2130" s="84" t="inlineStr">
        <is>
          <t>上海区域</t>
        </is>
      </c>
      <c r="D2130" s="84" t="inlineStr">
        <is>
          <t>CN0Q</t>
        </is>
      </c>
      <c r="E2130" s="80" t="inlineStr">
        <is>
          <t>EE 苏州比斯特</t>
        </is>
      </c>
      <c r="F2130" s="84" t="n">
        <v>4</v>
      </c>
      <c r="G2130" s="84" t="inlineStr">
        <is>
          <t>奥特莱斯</t>
        </is>
      </c>
      <c r="H2130" s="84" t="inlineStr">
        <is>
          <t>EEYWG25E1G</t>
        </is>
      </c>
      <c r="I2130" s="84" t="n">
        <v>899</v>
      </c>
      <c r="J2130" s="84" t="n">
        <v>899</v>
      </c>
      <c r="K2130" s="85" t="n">
        <v>1</v>
      </c>
      <c r="L2130" s="85" t="n"/>
    </row>
    <row r="2131" ht="12.75" customHeight="1" s="103">
      <c r="A2131" s="78">
        <f>MID(H2131,3,2)</f>
        <v/>
      </c>
      <c r="B2131" s="84" t="inlineStr">
        <is>
          <t>B331</t>
        </is>
      </c>
      <c r="C2131" s="84" t="inlineStr">
        <is>
          <t>上海区域</t>
        </is>
      </c>
      <c r="D2131" s="84" t="inlineStr">
        <is>
          <t>CN0Q</t>
        </is>
      </c>
      <c r="E2131" s="80" t="inlineStr">
        <is>
          <t>EE 苏州比斯特</t>
        </is>
      </c>
      <c r="F2131" s="84" t="n">
        <v>4</v>
      </c>
      <c r="G2131" s="84" t="inlineStr">
        <is>
          <t>奥特莱斯</t>
        </is>
      </c>
      <c r="H2131" s="84" t="inlineStr">
        <is>
          <t>EEYWG25E1G</t>
        </is>
      </c>
      <c r="I2131" s="84" t="n">
        <v>899</v>
      </c>
      <c r="J2131" s="84" t="n">
        <v>899</v>
      </c>
      <c r="K2131" s="85" t="n">
        <v>1</v>
      </c>
      <c r="L2131" s="85" t="n">
        <v>568</v>
      </c>
    </row>
    <row r="2132" ht="12.75" customHeight="1" s="103">
      <c r="A2132" s="78">
        <f>MID(H2132,3,2)</f>
        <v/>
      </c>
      <c r="B2132" s="84" t="inlineStr">
        <is>
          <t>B331</t>
        </is>
      </c>
      <c r="C2132" s="84" t="inlineStr">
        <is>
          <t>上海区域</t>
        </is>
      </c>
      <c r="D2132" s="84" t="inlineStr">
        <is>
          <t>CN0Q</t>
        </is>
      </c>
      <c r="E2132" s="80" t="inlineStr">
        <is>
          <t>EE 苏州比斯特</t>
        </is>
      </c>
      <c r="F2132" s="84" t="n">
        <v>4</v>
      </c>
      <c r="G2132" s="84" t="inlineStr">
        <is>
          <t>奥特莱斯</t>
        </is>
      </c>
      <c r="H2132" s="84" t="inlineStr">
        <is>
          <t>EEYWG25E1G</t>
        </is>
      </c>
      <c r="I2132" s="84" t="n">
        <v>899</v>
      </c>
      <c r="J2132" s="84" t="n">
        <v>899</v>
      </c>
      <c r="K2132" s="85" t="n">
        <v>1</v>
      </c>
      <c r="L2132" s="85" t="n"/>
    </row>
    <row r="2133" ht="12.75" customHeight="1" s="103">
      <c r="A2133" s="78">
        <f>MID(H2133,3,2)</f>
        <v/>
      </c>
      <c r="B2133" s="84" t="inlineStr">
        <is>
          <t>B331</t>
        </is>
      </c>
      <c r="C2133" s="84" t="inlineStr">
        <is>
          <t>上海区域</t>
        </is>
      </c>
      <c r="D2133" s="84" t="inlineStr">
        <is>
          <t>CN0Q</t>
        </is>
      </c>
      <c r="E2133" s="80" t="inlineStr">
        <is>
          <t>EE 苏州比斯特</t>
        </is>
      </c>
      <c r="F2133" s="84" t="n">
        <v>4</v>
      </c>
      <c r="G2133" s="84" t="inlineStr">
        <is>
          <t>奥特莱斯</t>
        </is>
      </c>
      <c r="H2133" s="84" t="inlineStr">
        <is>
          <t>EEYWG25E1G</t>
        </is>
      </c>
      <c r="I2133" s="84" t="n">
        <v>899</v>
      </c>
      <c r="J2133" s="84" t="n">
        <v>899</v>
      </c>
      <c r="K2133" s="85" t="n">
        <v>3</v>
      </c>
      <c r="L2133" s="86" t="n">
        <v>1148</v>
      </c>
    </row>
    <row r="2134" ht="12.75" customHeight="1" s="103">
      <c r="A2134" s="78">
        <f>MID(H2134,3,2)</f>
        <v/>
      </c>
      <c r="B2134" s="84" t="inlineStr">
        <is>
          <t>B331</t>
        </is>
      </c>
      <c r="C2134" s="84" t="inlineStr">
        <is>
          <t>上海区域</t>
        </is>
      </c>
      <c r="D2134" s="84" t="inlineStr">
        <is>
          <t>CN0Q</t>
        </is>
      </c>
      <c r="E2134" s="80" t="inlineStr">
        <is>
          <t>EE 苏州比斯特</t>
        </is>
      </c>
      <c r="F2134" s="84" t="n">
        <v>4</v>
      </c>
      <c r="G2134" s="84" t="inlineStr">
        <is>
          <t>奥特莱斯</t>
        </is>
      </c>
      <c r="H2134" s="84" t="inlineStr">
        <is>
          <t>EEYWG25E1G</t>
        </is>
      </c>
      <c r="I2134" s="84" t="n">
        <v>899</v>
      </c>
      <c r="J2134" s="84" t="n">
        <v>899</v>
      </c>
      <c r="K2134" s="85" t="n">
        <v>1</v>
      </c>
      <c r="L2134" s="85" t="n">
        <v>579</v>
      </c>
    </row>
    <row r="2135" ht="12.75" customHeight="1" s="103">
      <c r="A2135" s="78">
        <f>MID(H2135,3,2)</f>
        <v/>
      </c>
      <c r="B2135" s="84" t="inlineStr">
        <is>
          <t>B331</t>
        </is>
      </c>
      <c r="C2135" s="84" t="inlineStr">
        <is>
          <t>上海区域</t>
        </is>
      </c>
      <c r="D2135" s="84" t="inlineStr">
        <is>
          <t>CN0Q</t>
        </is>
      </c>
      <c r="E2135" s="80" t="inlineStr">
        <is>
          <t>EE 苏州比斯特</t>
        </is>
      </c>
      <c r="F2135" s="84" t="n">
        <v>4</v>
      </c>
      <c r="G2135" s="84" t="inlineStr">
        <is>
          <t>奥特莱斯</t>
        </is>
      </c>
      <c r="H2135" s="84" t="inlineStr">
        <is>
          <t>EEYWG25E1G</t>
        </is>
      </c>
      <c r="I2135" s="84" t="n">
        <v>899</v>
      </c>
      <c r="J2135" s="84" t="n">
        <v>899</v>
      </c>
      <c r="K2135" s="85" t="n">
        <v>2</v>
      </c>
      <c r="L2135" s="86" t="n">
        <v>1146</v>
      </c>
    </row>
    <row r="2136" ht="12.75" customHeight="1" s="103">
      <c r="A2136" s="78">
        <f>MID(H2136,3,2)</f>
        <v/>
      </c>
      <c r="B2136" s="84" t="inlineStr">
        <is>
          <t>B331</t>
        </is>
      </c>
      <c r="C2136" s="84" t="inlineStr">
        <is>
          <t>上海区域</t>
        </is>
      </c>
      <c r="D2136" s="84" t="inlineStr">
        <is>
          <t>CN0Q</t>
        </is>
      </c>
      <c r="E2136" s="80" t="inlineStr">
        <is>
          <t>EE 苏州比斯特</t>
        </is>
      </c>
      <c r="F2136" s="84" t="n">
        <v>4</v>
      </c>
      <c r="G2136" s="84" t="inlineStr">
        <is>
          <t>奥特莱斯</t>
        </is>
      </c>
      <c r="H2136" s="84" t="inlineStr">
        <is>
          <t>EEYWG25E1G</t>
        </is>
      </c>
      <c r="I2136" s="84" t="n">
        <v>899</v>
      </c>
      <c r="J2136" s="84" t="n">
        <v>899</v>
      </c>
      <c r="K2136" s="85" t="n">
        <v>3</v>
      </c>
      <c r="L2136" s="86" t="n">
        <v>1259</v>
      </c>
    </row>
    <row r="2137" ht="12.75" customHeight="1" s="103">
      <c r="A2137" s="78">
        <f>MID(H2137,3,2)</f>
        <v/>
      </c>
      <c r="B2137" s="84" t="inlineStr">
        <is>
          <t>B331</t>
        </is>
      </c>
      <c r="C2137" s="84" t="inlineStr">
        <is>
          <t>上海区域</t>
        </is>
      </c>
      <c r="D2137" s="84" t="inlineStr">
        <is>
          <t>CN0Q</t>
        </is>
      </c>
      <c r="E2137" s="80" t="inlineStr">
        <is>
          <t>EE 苏州比斯特</t>
        </is>
      </c>
      <c r="F2137" s="84" t="n">
        <v>4</v>
      </c>
      <c r="G2137" s="84" t="inlineStr">
        <is>
          <t>奥特莱斯</t>
        </is>
      </c>
      <c r="H2137" s="84" t="inlineStr">
        <is>
          <t>EEYWG25E1G</t>
        </is>
      </c>
      <c r="I2137" s="84" t="n">
        <v>899</v>
      </c>
      <c r="J2137" s="84" t="n">
        <v>899</v>
      </c>
      <c r="K2137" s="85" t="n">
        <v>2</v>
      </c>
      <c r="L2137" s="85" t="n">
        <v>590</v>
      </c>
    </row>
    <row r="2138" ht="12.75" customHeight="1" s="103">
      <c r="A2138" s="78">
        <f>MID(H2138,3,2)</f>
        <v/>
      </c>
      <c r="B2138" s="84" t="inlineStr">
        <is>
          <t>B331</t>
        </is>
      </c>
      <c r="C2138" s="84" t="inlineStr">
        <is>
          <t>上海区域</t>
        </is>
      </c>
      <c r="D2138" s="84" t="inlineStr">
        <is>
          <t>CN0Q</t>
        </is>
      </c>
      <c r="E2138" s="80" t="inlineStr">
        <is>
          <t>EE 苏州比斯特</t>
        </is>
      </c>
      <c r="F2138" s="84" t="n">
        <v>4</v>
      </c>
      <c r="G2138" s="84" t="inlineStr">
        <is>
          <t>奥特莱斯</t>
        </is>
      </c>
      <c r="H2138" s="84" t="inlineStr">
        <is>
          <t>EEYWG25E1G</t>
        </is>
      </c>
      <c r="I2138" s="84" t="n">
        <v>899</v>
      </c>
      <c r="J2138" s="84" t="n">
        <v>899</v>
      </c>
      <c r="K2138" s="85" t="n">
        <v>5</v>
      </c>
      <c r="L2138" s="86" t="n">
        <v>2344</v>
      </c>
    </row>
    <row r="2139" ht="12.75" customHeight="1" s="103">
      <c r="A2139" s="78">
        <f>MID(H2139,3,2)</f>
        <v/>
      </c>
      <c r="B2139" s="84" t="inlineStr">
        <is>
          <t>B331</t>
        </is>
      </c>
      <c r="C2139" s="84" t="inlineStr">
        <is>
          <t>上海区域</t>
        </is>
      </c>
      <c r="D2139" s="84" t="inlineStr">
        <is>
          <t>CN0Q</t>
        </is>
      </c>
      <c r="E2139" s="80" t="inlineStr">
        <is>
          <t>EE 苏州比斯特</t>
        </is>
      </c>
      <c r="F2139" s="84" t="n">
        <v>4</v>
      </c>
      <c r="G2139" s="84" t="inlineStr">
        <is>
          <t>奥特莱斯</t>
        </is>
      </c>
      <c r="H2139" s="84" t="inlineStr">
        <is>
          <t>EEYWG25E1G</t>
        </is>
      </c>
      <c r="I2139" s="84" t="n">
        <v>899</v>
      </c>
      <c r="J2139" s="84" t="n">
        <v>899</v>
      </c>
      <c r="K2139" s="85" t="n">
        <v>2</v>
      </c>
      <c r="L2139" s="85" t="n">
        <v>270</v>
      </c>
    </row>
    <row r="2140" ht="12.75" customHeight="1" s="103">
      <c r="A2140" s="78">
        <f>MID(H2140,3,2)</f>
        <v/>
      </c>
      <c r="B2140" s="84" t="inlineStr">
        <is>
          <t>B331</t>
        </is>
      </c>
      <c r="C2140" s="84" t="inlineStr">
        <is>
          <t>上海区域</t>
        </is>
      </c>
      <c r="D2140" s="84" t="inlineStr">
        <is>
          <t>CN0Q</t>
        </is>
      </c>
      <c r="E2140" s="80" t="inlineStr">
        <is>
          <t>EE 苏州比斯特</t>
        </is>
      </c>
      <c r="F2140" s="84" t="n">
        <v>4</v>
      </c>
      <c r="G2140" s="84" t="inlineStr">
        <is>
          <t>奥特莱斯</t>
        </is>
      </c>
      <c r="H2140" s="84" t="inlineStr">
        <is>
          <t>EEYWG25E1G</t>
        </is>
      </c>
      <c r="I2140" s="84" t="n">
        <v>899</v>
      </c>
      <c r="J2140" s="84" t="n">
        <v>899</v>
      </c>
      <c r="K2140" s="85" t="n"/>
      <c r="L2140" s="85" t="n"/>
    </row>
    <row r="2141" ht="12.75" customHeight="1" s="103">
      <c r="A2141" s="78">
        <f>MID(H2141,3,2)</f>
        <v/>
      </c>
      <c r="B2141" s="84" t="inlineStr">
        <is>
          <t>B331</t>
        </is>
      </c>
      <c r="C2141" s="84" t="inlineStr">
        <is>
          <t>上海区域</t>
        </is>
      </c>
      <c r="D2141" s="84" t="inlineStr">
        <is>
          <t>CN0Q</t>
        </is>
      </c>
      <c r="E2141" s="80" t="inlineStr">
        <is>
          <t>EE 苏州比斯特</t>
        </is>
      </c>
      <c r="F2141" s="84" t="n">
        <v>4</v>
      </c>
      <c r="G2141" s="84" t="inlineStr">
        <is>
          <t>奥特莱斯</t>
        </is>
      </c>
      <c r="H2141" s="84" t="inlineStr">
        <is>
          <t>EEYWG25E2G</t>
        </is>
      </c>
      <c r="I2141" s="84" t="n">
        <v>899</v>
      </c>
      <c r="J2141" s="84" t="n">
        <v>899</v>
      </c>
      <c r="K2141" s="85" t="n">
        <v>1</v>
      </c>
      <c r="L2141" s="85" t="n">
        <v>569</v>
      </c>
    </row>
    <row r="2142" ht="12.75" customHeight="1" s="103">
      <c r="A2142" s="78">
        <f>MID(H2142,3,2)</f>
        <v/>
      </c>
      <c r="B2142" s="84" t="inlineStr">
        <is>
          <t>B331</t>
        </is>
      </c>
      <c r="C2142" s="84" t="inlineStr">
        <is>
          <t>上海区域</t>
        </is>
      </c>
      <c r="D2142" s="84" t="inlineStr">
        <is>
          <t>CN0Q</t>
        </is>
      </c>
      <c r="E2142" s="80" t="inlineStr">
        <is>
          <t>EE 苏州比斯特</t>
        </is>
      </c>
      <c r="F2142" s="84" t="n">
        <v>4</v>
      </c>
      <c r="G2142" s="84" t="inlineStr">
        <is>
          <t>奥特莱斯</t>
        </is>
      </c>
      <c r="H2142" s="84" t="inlineStr">
        <is>
          <t>EEYWG25E2G</t>
        </is>
      </c>
      <c r="I2142" s="84" t="n">
        <v>899</v>
      </c>
      <c r="J2142" s="84" t="n">
        <v>899</v>
      </c>
      <c r="K2142" s="85" t="n">
        <v>3</v>
      </c>
      <c r="L2142" s="86" t="n">
        <v>1196</v>
      </c>
    </row>
    <row r="2143" ht="12.75" customHeight="1" s="103">
      <c r="A2143" s="78">
        <f>MID(H2143,3,2)</f>
        <v/>
      </c>
      <c r="B2143" s="84" t="inlineStr">
        <is>
          <t>B331</t>
        </is>
      </c>
      <c r="C2143" s="84" t="inlineStr">
        <is>
          <t>上海区域</t>
        </is>
      </c>
      <c r="D2143" s="84" t="inlineStr">
        <is>
          <t>CN0Q</t>
        </is>
      </c>
      <c r="E2143" s="80" t="inlineStr">
        <is>
          <t>EE 苏州比斯特</t>
        </is>
      </c>
      <c r="F2143" s="84" t="n">
        <v>4</v>
      </c>
      <c r="G2143" s="84" t="inlineStr">
        <is>
          <t>奥特莱斯</t>
        </is>
      </c>
      <c r="H2143" s="84" t="inlineStr">
        <is>
          <t>EEYWG25E2G</t>
        </is>
      </c>
      <c r="I2143" s="84" t="n">
        <v>899</v>
      </c>
      <c r="J2143" s="84" t="n">
        <v>899</v>
      </c>
      <c r="K2143" s="85" t="n">
        <v>4</v>
      </c>
      <c r="L2143" s="86" t="n">
        <v>1206</v>
      </c>
    </row>
    <row r="2144" ht="12.75" customHeight="1" s="103">
      <c r="A2144" s="78">
        <f>MID(H2144,3,2)</f>
        <v/>
      </c>
      <c r="B2144" s="84" t="inlineStr">
        <is>
          <t>B331</t>
        </is>
      </c>
      <c r="C2144" s="84" t="inlineStr">
        <is>
          <t>上海区域</t>
        </is>
      </c>
      <c r="D2144" s="84" t="inlineStr">
        <is>
          <t>CN0Q</t>
        </is>
      </c>
      <c r="E2144" s="80" t="inlineStr">
        <is>
          <t>EE 苏州比斯特</t>
        </is>
      </c>
      <c r="F2144" s="84" t="n">
        <v>4</v>
      </c>
      <c r="G2144" s="84" t="inlineStr">
        <is>
          <t>奥特莱斯</t>
        </is>
      </c>
      <c r="H2144" s="84" t="inlineStr">
        <is>
          <t>EEYWG25E2G</t>
        </is>
      </c>
      <c r="I2144" s="84" t="n">
        <v>899</v>
      </c>
      <c r="J2144" s="84" t="n">
        <v>899</v>
      </c>
      <c r="K2144" s="85" t="n">
        <v>3</v>
      </c>
      <c r="L2144" s="86" t="n">
        <v>1144</v>
      </c>
    </row>
    <row r="2145" ht="12.75" customHeight="1" s="103">
      <c r="A2145" s="78">
        <f>MID(H2145,3,2)</f>
        <v/>
      </c>
      <c r="B2145" s="84" t="inlineStr">
        <is>
          <t>B331</t>
        </is>
      </c>
      <c r="C2145" s="84" t="inlineStr">
        <is>
          <t>上海区域</t>
        </is>
      </c>
      <c r="D2145" s="84" t="inlineStr">
        <is>
          <t>CN0Q</t>
        </is>
      </c>
      <c r="E2145" s="80" t="inlineStr">
        <is>
          <t>EE 苏州比斯特</t>
        </is>
      </c>
      <c r="F2145" s="84" t="n">
        <v>4</v>
      </c>
      <c r="G2145" s="84" t="inlineStr">
        <is>
          <t>奥特莱斯</t>
        </is>
      </c>
      <c r="H2145" s="84" t="inlineStr">
        <is>
          <t>EEYWG25E3G</t>
        </is>
      </c>
      <c r="I2145" s="84" t="n">
        <v>699</v>
      </c>
      <c r="J2145" s="84" t="n">
        <v>699</v>
      </c>
      <c r="K2145" s="85" t="n"/>
      <c r="L2145" s="85" t="n"/>
    </row>
    <row r="2146" ht="12.75" customHeight="1" s="103">
      <c r="A2146" s="78">
        <f>MID(H2146,3,2)</f>
        <v/>
      </c>
      <c r="B2146" s="84" t="inlineStr">
        <is>
          <t>B331</t>
        </is>
      </c>
      <c r="C2146" s="84" t="inlineStr">
        <is>
          <t>上海区域</t>
        </is>
      </c>
      <c r="D2146" s="84" t="inlineStr">
        <is>
          <t>CN0Q</t>
        </is>
      </c>
      <c r="E2146" s="80" t="inlineStr">
        <is>
          <t>EE 苏州比斯特</t>
        </is>
      </c>
      <c r="F2146" s="84" t="n">
        <v>4</v>
      </c>
      <c r="G2146" s="84" t="inlineStr">
        <is>
          <t>奥特莱斯</t>
        </is>
      </c>
      <c r="H2146" s="84" t="inlineStr">
        <is>
          <t>EEYWG25E3G</t>
        </is>
      </c>
      <c r="I2146" s="84" t="n">
        <v>699</v>
      </c>
      <c r="J2146" s="84" t="n">
        <v>699</v>
      </c>
      <c r="K2146" s="85" t="n"/>
      <c r="L2146" s="85" t="n"/>
    </row>
    <row r="2147" ht="12.75" customHeight="1" s="103">
      <c r="A2147" s="78">
        <f>MID(H2147,3,2)</f>
        <v/>
      </c>
      <c r="B2147" s="84" t="inlineStr">
        <is>
          <t>B331</t>
        </is>
      </c>
      <c r="C2147" s="84" t="inlineStr">
        <is>
          <t>上海区域</t>
        </is>
      </c>
      <c r="D2147" s="84" t="inlineStr">
        <is>
          <t>CN0Q</t>
        </is>
      </c>
      <c r="E2147" s="80" t="inlineStr">
        <is>
          <t>EE 苏州比斯特</t>
        </is>
      </c>
      <c r="F2147" s="84" t="n">
        <v>4</v>
      </c>
      <c r="G2147" s="84" t="inlineStr">
        <is>
          <t>奥特莱斯</t>
        </is>
      </c>
      <c r="H2147" s="84" t="inlineStr">
        <is>
          <t>EEYWG25E3G</t>
        </is>
      </c>
      <c r="I2147" s="84" t="n">
        <v>699</v>
      </c>
      <c r="J2147" s="84" t="n">
        <v>699</v>
      </c>
      <c r="K2147" s="85" t="n"/>
      <c r="L2147" s="85" t="n"/>
    </row>
    <row r="2148" ht="12.75" customHeight="1" s="103">
      <c r="A2148" s="78">
        <f>MID(H2148,3,2)</f>
        <v/>
      </c>
      <c r="B2148" s="84" t="inlineStr">
        <is>
          <t>B331</t>
        </is>
      </c>
      <c r="C2148" s="84" t="inlineStr">
        <is>
          <t>上海区域</t>
        </is>
      </c>
      <c r="D2148" s="84" t="inlineStr">
        <is>
          <t>CN0Q</t>
        </is>
      </c>
      <c r="E2148" s="80" t="inlineStr">
        <is>
          <t>EE 苏州比斯特</t>
        </is>
      </c>
      <c r="F2148" s="84" t="n">
        <v>4</v>
      </c>
      <c r="G2148" s="84" t="inlineStr">
        <is>
          <t>奥特莱斯</t>
        </is>
      </c>
      <c r="H2148" s="84" t="inlineStr">
        <is>
          <t>EEYWG25E3G</t>
        </is>
      </c>
      <c r="I2148" s="84" t="n">
        <v>699</v>
      </c>
      <c r="J2148" s="84" t="n">
        <v>699</v>
      </c>
      <c r="K2148" s="85" t="n"/>
      <c r="L2148" s="85" t="n"/>
    </row>
    <row r="2149" ht="12.75" customHeight="1" s="103">
      <c r="A2149" s="78">
        <f>MID(H2149,3,2)</f>
        <v/>
      </c>
      <c r="B2149" s="84" t="inlineStr">
        <is>
          <t>B331</t>
        </is>
      </c>
      <c r="C2149" s="84" t="inlineStr">
        <is>
          <t>上海区域</t>
        </is>
      </c>
      <c r="D2149" s="84" t="inlineStr">
        <is>
          <t>CN0Q</t>
        </is>
      </c>
      <c r="E2149" s="80" t="inlineStr">
        <is>
          <t>EE 苏州比斯特</t>
        </is>
      </c>
      <c r="F2149" s="84" t="n">
        <v>4</v>
      </c>
      <c r="G2149" s="84" t="inlineStr">
        <is>
          <t>奥特莱斯</t>
        </is>
      </c>
      <c r="H2149" s="84" t="inlineStr">
        <is>
          <t>EEYWG25E3G</t>
        </is>
      </c>
      <c r="I2149" s="84" t="n">
        <v>699</v>
      </c>
      <c r="J2149" s="84" t="n">
        <v>699</v>
      </c>
      <c r="K2149" s="85" t="n"/>
      <c r="L2149" s="85" t="n"/>
    </row>
    <row r="2150" ht="12.75" customHeight="1" s="103">
      <c r="A2150" s="78">
        <f>MID(H2150,3,2)</f>
        <v/>
      </c>
      <c r="B2150" s="84" t="inlineStr">
        <is>
          <t>B331</t>
        </is>
      </c>
      <c r="C2150" s="84" t="inlineStr">
        <is>
          <t>上海区域</t>
        </is>
      </c>
      <c r="D2150" s="84" t="inlineStr">
        <is>
          <t>CN0Q</t>
        </is>
      </c>
      <c r="E2150" s="80" t="inlineStr">
        <is>
          <t>EE 苏州比斯特</t>
        </is>
      </c>
      <c r="F2150" s="84" t="n">
        <v>4</v>
      </c>
      <c r="G2150" s="84" t="inlineStr">
        <is>
          <t>奥特莱斯</t>
        </is>
      </c>
      <c r="H2150" s="84" t="inlineStr">
        <is>
          <t>EEYWG25E3G</t>
        </is>
      </c>
      <c r="I2150" s="84" t="n">
        <v>699</v>
      </c>
      <c r="J2150" s="84" t="n">
        <v>699</v>
      </c>
      <c r="K2150" s="85" t="n"/>
      <c r="L2150" s="85" t="n"/>
    </row>
    <row r="2151" ht="12.75" customHeight="1" s="103">
      <c r="A2151" s="78">
        <f>MID(H2151,3,2)</f>
        <v/>
      </c>
      <c r="B2151" s="84" t="inlineStr">
        <is>
          <t>B331</t>
        </is>
      </c>
      <c r="C2151" s="84" t="inlineStr">
        <is>
          <t>上海区域</t>
        </is>
      </c>
      <c r="D2151" s="84" t="inlineStr">
        <is>
          <t>CN0Q</t>
        </is>
      </c>
      <c r="E2151" s="80" t="inlineStr">
        <is>
          <t>EE 苏州比斯特</t>
        </is>
      </c>
      <c r="F2151" s="84" t="n">
        <v>4</v>
      </c>
      <c r="G2151" s="84" t="inlineStr">
        <is>
          <t>奥特莱斯</t>
        </is>
      </c>
      <c r="H2151" s="84" t="inlineStr">
        <is>
          <t>EEYWG25E3G</t>
        </is>
      </c>
      <c r="I2151" s="84" t="n">
        <v>699</v>
      </c>
      <c r="J2151" s="84" t="n">
        <v>699</v>
      </c>
      <c r="K2151" s="85" t="n"/>
      <c r="L2151" s="85" t="n"/>
    </row>
    <row r="2152" ht="12.75" customHeight="1" s="103">
      <c r="A2152" s="78">
        <f>MID(H2152,3,2)</f>
        <v/>
      </c>
      <c r="B2152" s="84" t="inlineStr">
        <is>
          <t>B331</t>
        </is>
      </c>
      <c r="C2152" s="84" t="inlineStr">
        <is>
          <t>上海区域</t>
        </is>
      </c>
      <c r="D2152" s="84" t="inlineStr">
        <is>
          <t>CN0Q</t>
        </is>
      </c>
      <c r="E2152" s="80" t="inlineStr">
        <is>
          <t>EE 苏州比斯特</t>
        </is>
      </c>
      <c r="F2152" s="84" t="n">
        <v>4</v>
      </c>
      <c r="G2152" s="84" t="inlineStr">
        <is>
          <t>奥特莱斯</t>
        </is>
      </c>
      <c r="H2152" s="84" t="inlineStr">
        <is>
          <t>EEYWG25E3G</t>
        </is>
      </c>
      <c r="I2152" s="84" t="n">
        <v>699</v>
      </c>
      <c r="J2152" s="84" t="n">
        <v>699</v>
      </c>
      <c r="K2152" s="85" t="n"/>
      <c r="L2152" s="85" t="n"/>
    </row>
    <row r="2153" ht="12.75" customHeight="1" s="103">
      <c r="A2153" s="78">
        <f>MID(H2153,3,2)</f>
        <v/>
      </c>
      <c r="B2153" s="84" t="inlineStr">
        <is>
          <t>B331</t>
        </is>
      </c>
      <c r="C2153" s="84" t="inlineStr">
        <is>
          <t>上海区域</t>
        </is>
      </c>
      <c r="D2153" s="84" t="inlineStr">
        <is>
          <t>CN0Q</t>
        </is>
      </c>
      <c r="E2153" s="80" t="inlineStr">
        <is>
          <t>EE 苏州比斯特</t>
        </is>
      </c>
      <c r="F2153" s="84" t="n">
        <v>4</v>
      </c>
      <c r="G2153" s="84" t="inlineStr">
        <is>
          <t>奥特莱斯</t>
        </is>
      </c>
      <c r="H2153" s="84" t="inlineStr">
        <is>
          <t>EEYWG25E3G</t>
        </is>
      </c>
      <c r="I2153" s="84" t="n">
        <v>699</v>
      </c>
      <c r="J2153" s="84" t="n">
        <v>699</v>
      </c>
      <c r="K2153" s="85" t="n">
        <v>1</v>
      </c>
      <c r="L2153" s="85" t="n">
        <v>459</v>
      </c>
    </row>
    <row r="2154" ht="12.75" customHeight="1" s="103">
      <c r="A2154" s="78">
        <f>MID(H2154,3,2)</f>
        <v/>
      </c>
      <c r="B2154" s="84" t="inlineStr">
        <is>
          <t>B331</t>
        </is>
      </c>
      <c r="C2154" s="84" t="inlineStr">
        <is>
          <t>上海区域</t>
        </is>
      </c>
      <c r="D2154" s="84" t="inlineStr">
        <is>
          <t>CN0Q</t>
        </is>
      </c>
      <c r="E2154" s="80" t="inlineStr">
        <is>
          <t>EE 苏州比斯特</t>
        </is>
      </c>
      <c r="F2154" s="84" t="n">
        <v>4</v>
      </c>
      <c r="G2154" s="84" t="inlineStr">
        <is>
          <t>奥特莱斯</t>
        </is>
      </c>
      <c r="H2154" s="84" t="inlineStr">
        <is>
          <t>EEYWG25E3G</t>
        </is>
      </c>
      <c r="I2154" s="84" t="n">
        <v>699</v>
      </c>
      <c r="J2154" s="84" t="n">
        <v>699</v>
      </c>
      <c r="K2154" s="85" t="n"/>
      <c r="L2154" s="85" t="n"/>
    </row>
    <row r="2155" ht="12.75" customHeight="1" s="103">
      <c r="A2155" s="78">
        <f>MID(H2155,3,2)</f>
        <v/>
      </c>
      <c r="B2155" s="84" t="inlineStr">
        <is>
          <t>B331</t>
        </is>
      </c>
      <c r="C2155" s="84" t="inlineStr">
        <is>
          <t>上海区域</t>
        </is>
      </c>
      <c r="D2155" s="84" t="inlineStr">
        <is>
          <t>CN0Q</t>
        </is>
      </c>
      <c r="E2155" s="80" t="inlineStr">
        <is>
          <t>EE 苏州比斯特</t>
        </is>
      </c>
      <c r="F2155" s="84" t="n">
        <v>4</v>
      </c>
      <c r="G2155" s="84" t="inlineStr">
        <is>
          <t>奥特莱斯</t>
        </is>
      </c>
      <c r="H2155" s="84" t="inlineStr">
        <is>
          <t>EEYWG25E3G</t>
        </is>
      </c>
      <c r="I2155" s="84" t="n">
        <v>699</v>
      </c>
      <c r="J2155" s="84" t="n">
        <v>699</v>
      </c>
      <c r="K2155" s="85" t="n"/>
      <c r="L2155" s="85" t="n"/>
    </row>
    <row r="2156" ht="12.75" customHeight="1" s="103">
      <c r="A2156" s="78">
        <f>MID(H2156,3,2)</f>
        <v/>
      </c>
      <c r="B2156" s="84" t="inlineStr">
        <is>
          <t>B331</t>
        </is>
      </c>
      <c r="C2156" s="84" t="inlineStr">
        <is>
          <t>上海区域</t>
        </is>
      </c>
      <c r="D2156" s="84" t="inlineStr">
        <is>
          <t>CN0Q</t>
        </is>
      </c>
      <c r="E2156" s="80" t="inlineStr">
        <is>
          <t>EE 苏州比斯特</t>
        </is>
      </c>
      <c r="F2156" s="84" t="n">
        <v>4</v>
      </c>
      <c r="G2156" s="84" t="inlineStr">
        <is>
          <t>奥特莱斯</t>
        </is>
      </c>
      <c r="H2156" s="84" t="inlineStr">
        <is>
          <t>EEYWG25E3G</t>
        </is>
      </c>
      <c r="I2156" s="84" t="n">
        <v>699</v>
      </c>
      <c r="J2156" s="84" t="n">
        <v>699</v>
      </c>
      <c r="K2156" s="85" t="n"/>
      <c r="L2156" s="85" t="n"/>
    </row>
    <row r="2157" ht="12.75" customHeight="1" s="103">
      <c r="A2157" s="78">
        <f>MID(H2157,3,2)</f>
        <v/>
      </c>
      <c r="B2157" s="84" t="inlineStr">
        <is>
          <t>B331</t>
        </is>
      </c>
      <c r="C2157" s="84" t="inlineStr">
        <is>
          <t>上海区域</t>
        </is>
      </c>
      <c r="D2157" s="84" t="inlineStr">
        <is>
          <t>CN0Q</t>
        </is>
      </c>
      <c r="E2157" s="80" t="inlineStr">
        <is>
          <t>EE 苏州比斯特</t>
        </is>
      </c>
      <c r="F2157" s="84" t="n">
        <v>4</v>
      </c>
      <c r="G2157" s="84" t="inlineStr">
        <is>
          <t>奥特莱斯</t>
        </is>
      </c>
      <c r="H2157" s="84" t="inlineStr">
        <is>
          <t>EEYWG26B01</t>
        </is>
      </c>
      <c r="I2157" s="84" t="n">
        <v>799</v>
      </c>
      <c r="J2157" s="84" t="n">
        <v>899</v>
      </c>
      <c r="K2157" s="85" t="n"/>
      <c r="L2157" s="85" t="n"/>
    </row>
    <row r="2158" ht="12.75" customHeight="1" s="103">
      <c r="A2158" s="78">
        <f>MID(H2158,3,2)</f>
        <v/>
      </c>
      <c r="B2158" s="84" t="inlineStr">
        <is>
          <t>B331</t>
        </is>
      </c>
      <c r="C2158" s="84" t="inlineStr">
        <is>
          <t>上海区域</t>
        </is>
      </c>
      <c r="D2158" s="84" t="inlineStr">
        <is>
          <t>CN0Q</t>
        </is>
      </c>
      <c r="E2158" s="80" t="inlineStr">
        <is>
          <t>EE 苏州比斯特</t>
        </is>
      </c>
      <c r="F2158" s="84" t="n">
        <v>4</v>
      </c>
      <c r="G2158" s="84" t="inlineStr">
        <is>
          <t>奥特莱斯</t>
        </is>
      </c>
      <c r="H2158" s="84" t="inlineStr">
        <is>
          <t>EEYWG26B01</t>
        </is>
      </c>
      <c r="I2158" s="84" t="n">
        <v>799</v>
      </c>
      <c r="J2158" s="84" t="n">
        <v>899</v>
      </c>
      <c r="K2158" s="85" t="n"/>
      <c r="L2158" s="85" t="n"/>
    </row>
    <row r="2159" ht="12.75" customHeight="1" s="103">
      <c r="A2159" s="78">
        <f>MID(H2159,3,2)</f>
        <v/>
      </c>
      <c r="B2159" s="84" t="inlineStr">
        <is>
          <t>B331</t>
        </is>
      </c>
      <c r="C2159" s="84" t="inlineStr">
        <is>
          <t>上海区域</t>
        </is>
      </c>
      <c r="D2159" s="84" t="inlineStr">
        <is>
          <t>CN0Q</t>
        </is>
      </c>
      <c r="E2159" s="80" t="inlineStr">
        <is>
          <t>EE 苏州比斯特</t>
        </is>
      </c>
      <c r="F2159" s="84" t="n">
        <v>4</v>
      </c>
      <c r="G2159" s="84" t="inlineStr">
        <is>
          <t>奥特莱斯</t>
        </is>
      </c>
      <c r="H2159" s="84" t="inlineStr">
        <is>
          <t>EEYWG26B01</t>
        </is>
      </c>
      <c r="I2159" s="84" t="n">
        <v>799</v>
      </c>
      <c r="J2159" s="84" t="n">
        <v>899</v>
      </c>
      <c r="K2159" s="85" t="n"/>
      <c r="L2159" s="85" t="n"/>
    </row>
    <row r="2160" ht="12.75" customHeight="1" s="103">
      <c r="A2160" s="78">
        <f>MID(H2160,3,2)</f>
        <v/>
      </c>
      <c r="B2160" s="84" t="inlineStr">
        <is>
          <t>B331</t>
        </is>
      </c>
      <c r="C2160" s="84" t="inlineStr">
        <is>
          <t>上海区域</t>
        </is>
      </c>
      <c r="D2160" s="84" t="inlineStr">
        <is>
          <t>CN0Q</t>
        </is>
      </c>
      <c r="E2160" s="80" t="inlineStr">
        <is>
          <t>EE 苏州比斯特</t>
        </is>
      </c>
      <c r="F2160" s="84" t="n">
        <v>4</v>
      </c>
      <c r="G2160" s="84" t="inlineStr">
        <is>
          <t>奥特莱斯</t>
        </is>
      </c>
      <c r="H2160" s="84" t="inlineStr">
        <is>
          <t>EEYWG37E01</t>
        </is>
      </c>
      <c r="I2160" s="84" t="n">
        <v>799</v>
      </c>
      <c r="J2160" s="84" t="n">
        <v>799</v>
      </c>
      <c r="K2160" s="85" t="n">
        <v>2</v>
      </c>
      <c r="L2160" s="86" t="n">
        <v>1314</v>
      </c>
    </row>
    <row r="2161" ht="12.75" customHeight="1" s="103">
      <c r="A2161" s="78">
        <f>MID(H2161,3,2)</f>
        <v/>
      </c>
      <c r="B2161" s="84" t="inlineStr">
        <is>
          <t>B331</t>
        </is>
      </c>
      <c r="C2161" s="84" t="inlineStr">
        <is>
          <t>上海区域</t>
        </is>
      </c>
      <c r="D2161" s="84" t="inlineStr">
        <is>
          <t>CN0Q</t>
        </is>
      </c>
      <c r="E2161" s="80" t="inlineStr">
        <is>
          <t>EE 苏州比斯特</t>
        </is>
      </c>
      <c r="F2161" s="84" t="n">
        <v>4</v>
      </c>
      <c r="G2161" s="84" t="inlineStr">
        <is>
          <t>奥特莱斯</t>
        </is>
      </c>
      <c r="H2161" s="84" t="inlineStr">
        <is>
          <t>EEYWG37E01</t>
        </is>
      </c>
      <c r="I2161" s="84" t="n">
        <v>799</v>
      </c>
      <c r="J2161" s="84" t="n">
        <v>799</v>
      </c>
      <c r="K2161" s="85" t="n">
        <v>3</v>
      </c>
      <c r="L2161" s="86" t="n">
        <v>1525</v>
      </c>
    </row>
    <row r="2162" ht="12.75" customHeight="1" s="103">
      <c r="A2162" s="78">
        <f>MID(H2162,3,2)</f>
        <v/>
      </c>
      <c r="B2162" s="84" t="inlineStr">
        <is>
          <t>B331</t>
        </is>
      </c>
      <c r="C2162" s="84" t="inlineStr">
        <is>
          <t>上海区域</t>
        </is>
      </c>
      <c r="D2162" s="84" t="inlineStr">
        <is>
          <t>CN0Q</t>
        </is>
      </c>
      <c r="E2162" s="80" t="inlineStr">
        <is>
          <t>EE 苏州比斯特</t>
        </is>
      </c>
      <c r="F2162" s="84" t="n">
        <v>4</v>
      </c>
      <c r="G2162" s="84" t="inlineStr">
        <is>
          <t>奥特莱斯</t>
        </is>
      </c>
      <c r="H2162" s="84" t="inlineStr">
        <is>
          <t>EEYWG37E01</t>
        </is>
      </c>
      <c r="I2162" s="84" t="n">
        <v>799</v>
      </c>
      <c r="J2162" s="84" t="n">
        <v>799</v>
      </c>
      <c r="K2162" s="85" t="n">
        <v>2</v>
      </c>
      <c r="L2162" s="86" t="n">
        <v>1065</v>
      </c>
    </row>
    <row r="2163" ht="12.75" customHeight="1" s="103">
      <c r="A2163" s="78">
        <f>MID(H2163,3,2)</f>
        <v/>
      </c>
      <c r="B2163" s="84" t="inlineStr">
        <is>
          <t>B331</t>
        </is>
      </c>
      <c r="C2163" s="84" t="inlineStr">
        <is>
          <t>上海区域</t>
        </is>
      </c>
      <c r="D2163" s="84" t="inlineStr">
        <is>
          <t>CN0Q</t>
        </is>
      </c>
      <c r="E2163" s="80" t="inlineStr">
        <is>
          <t>EE 苏州比斯特</t>
        </is>
      </c>
      <c r="F2163" s="84" t="n">
        <v>4</v>
      </c>
      <c r="G2163" s="84" t="inlineStr">
        <is>
          <t>奥特莱斯</t>
        </is>
      </c>
      <c r="H2163" s="84" t="inlineStr">
        <is>
          <t>EEYWG37E01</t>
        </is>
      </c>
      <c r="I2163" s="84" t="n">
        <v>799</v>
      </c>
      <c r="J2163" s="84" t="n">
        <v>799</v>
      </c>
      <c r="K2163" s="85" t="n">
        <v>3</v>
      </c>
      <c r="L2163" s="86" t="n">
        <v>1335</v>
      </c>
    </row>
    <row r="2164" ht="12.75" customHeight="1" s="103">
      <c r="A2164" s="78">
        <f>MID(H2164,3,2)</f>
        <v/>
      </c>
      <c r="B2164" s="84" t="inlineStr">
        <is>
          <t>B331</t>
        </is>
      </c>
      <c r="C2164" s="84" t="inlineStr">
        <is>
          <t>上海区域</t>
        </is>
      </c>
      <c r="D2164" s="84" t="inlineStr">
        <is>
          <t>CN0Q</t>
        </is>
      </c>
      <c r="E2164" s="80" t="inlineStr">
        <is>
          <t>EE 苏州比斯特</t>
        </is>
      </c>
      <c r="F2164" s="84" t="n">
        <v>4</v>
      </c>
      <c r="G2164" s="84" t="inlineStr">
        <is>
          <t>奥特莱斯</t>
        </is>
      </c>
      <c r="H2164" s="84" t="inlineStr">
        <is>
          <t>EEYWG37E01</t>
        </is>
      </c>
      <c r="I2164" s="84" t="n">
        <v>799</v>
      </c>
      <c r="J2164" s="84" t="n">
        <v>799</v>
      </c>
      <c r="K2164" s="85" t="n">
        <v>4</v>
      </c>
      <c r="L2164" s="86" t="n">
        <v>1036</v>
      </c>
    </row>
    <row r="2165" ht="12.75" customHeight="1" s="103">
      <c r="A2165" s="78">
        <f>MID(H2165,3,2)</f>
        <v/>
      </c>
      <c r="B2165" s="84" t="inlineStr">
        <is>
          <t>B331</t>
        </is>
      </c>
      <c r="C2165" s="84" t="inlineStr">
        <is>
          <t>上海区域</t>
        </is>
      </c>
      <c r="D2165" s="84" t="inlineStr">
        <is>
          <t>CN0Q</t>
        </is>
      </c>
      <c r="E2165" s="80" t="inlineStr">
        <is>
          <t>EE 苏州比斯特</t>
        </is>
      </c>
      <c r="F2165" s="84" t="n">
        <v>4</v>
      </c>
      <c r="G2165" s="84" t="inlineStr">
        <is>
          <t>奥特莱斯</t>
        </is>
      </c>
      <c r="H2165" s="84" t="inlineStr">
        <is>
          <t>EEYWG37E01</t>
        </is>
      </c>
      <c r="I2165" s="84" t="n">
        <v>799</v>
      </c>
      <c r="J2165" s="84" t="n">
        <v>799</v>
      </c>
      <c r="K2165" s="85" t="n">
        <v>2</v>
      </c>
      <c r="L2165" s="86" t="n">
        <v>1022</v>
      </c>
    </row>
    <row r="2166" ht="12.75" customHeight="1" s="103">
      <c r="A2166" s="78">
        <f>MID(H2166,3,2)</f>
        <v/>
      </c>
      <c r="B2166" s="84" t="inlineStr">
        <is>
          <t>B331</t>
        </is>
      </c>
      <c r="C2166" s="84" t="inlineStr">
        <is>
          <t>上海区域</t>
        </is>
      </c>
      <c r="D2166" s="84" t="inlineStr">
        <is>
          <t>CN0Q</t>
        </is>
      </c>
      <c r="E2166" s="80" t="inlineStr">
        <is>
          <t>EE 苏州比斯特</t>
        </is>
      </c>
      <c r="F2166" s="84" t="n">
        <v>4</v>
      </c>
      <c r="G2166" s="84" t="inlineStr">
        <is>
          <t>奥特莱斯</t>
        </is>
      </c>
      <c r="H2166" s="84" t="inlineStr">
        <is>
          <t>EEYWG37E01</t>
        </is>
      </c>
      <c r="I2166" s="84" t="n">
        <v>799</v>
      </c>
      <c r="J2166" s="84" t="n">
        <v>799</v>
      </c>
      <c r="K2166" s="85" t="n">
        <v>3</v>
      </c>
      <c r="L2166" s="86" t="n">
        <v>1599</v>
      </c>
    </row>
    <row r="2167" ht="12.75" customHeight="1" s="103">
      <c r="A2167" s="78">
        <f>MID(H2167,3,2)</f>
        <v/>
      </c>
      <c r="B2167" s="84" t="inlineStr">
        <is>
          <t>B331</t>
        </is>
      </c>
      <c r="C2167" s="84" t="inlineStr">
        <is>
          <t>上海区域</t>
        </is>
      </c>
      <c r="D2167" s="84" t="inlineStr">
        <is>
          <t>CN0Q</t>
        </is>
      </c>
      <c r="E2167" s="80" t="inlineStr">
        <is>
          <t>EE 苏州比斯特</t>
        </is>
      </c>
      <c r="F2167" s="84" t="n">
        <v>4</v>
      </c>
      <c r="G2167" s="84" t="inlineStr">
        <is>
          <t>奥特莱斯</t>
        </is>
      </c>
      <c r="H2167" s="84" t="inlineStr">
        <is>
          <t>EEYWG37E01</t>
        </is>
      </c>
      <c r="I2167" s="84" t="n">
        <v>799</v>
      </c>
      <c r="J2167" s="84" t="n">
        <v>799</v>
      </c>
      <c r="K2167" s="85" t="n">
        <v>4</v>
      </c>
      <c r="L2167" s="86" t="n">
        <v>2140</v>
      </c>
    </row>
    <row r="2168" ht="12.75" customHeight="1" s="103">
      <c r="A2168" s="78">
        <f>MID(H2168,3,2)</f>
        <v/>
      </c>
      <c r="B2168" s="84" t="inlineStr">
        <is>
          <t>B331</t>
        </is>
      </c>
      <c r="C2168" s="84" t="inlineStr">
        <is>
          <t>上海区域</t>
        </is>
      </c>
      <c r="D2168" s="84" t="inlineStr">
        <is>
          <t>CN0Q</t>
        </is>
      </c>
      <c r="E2168" s="80" t="inlineStr">
        <is>
          <t>EE 苏州比斯特</t>
        </is>
      </c>
      <c r="F2168" s="84" t="n">
        <v>4</v>
      </c>
      <c r="G2168" s="84" t="inlineStr">
        <is>
          <t>奥特莱斯</t>
        </is>
      </c>
      <c r="H2168" s="84" t="inlineStr">
        <is>
          <t>EEYWG37E01</t>
        </is>
      </c>
      <c r="I2168" s="84" t="n">
        <v>799</v>
      </c>
      <c r="J2168" s="84" t="n">
        <v>799</v>
      </c>
      <c r="K2168" s="85" t="n">
        <v>2</v>
      </c>
      <c r="L2168" s="86" t="n">
        <v>1063</v>
      </c>
    </row>
    <row r="2169" ht="12.75" customHeight="1" s="103">
      <c r="A2169" s="78">
        <f>MID(H2169,3,2)</f>
        <v/>
      </c>
      <c r="B2169" s="84" t="inlineStr">
        <is>
          <t>B331</t>
        </is>
      </c>
      <c r="C2169" s="84" t="inlineStr">
        <is>
          <t>上海区域</t>
        </is>
      </c>
      <c r="D2169" s="84" t="inlineStr">
        <is>
          <t>CN0Q</t>
        </is>
      </c>
      <c r="E2169" s="80" t="inlineStr">
        <is>
          <t>EE 苏州比斯特</t>
        </is>
      </c>
      <c r="F2169" s="84" t="n">
        <v>4</v>
      </c>
      <c r="G2169" s="84" t="inlineStr">
        <is>
          <t>奥特莱斯</t>
        </is>
      </c>
      <c r="H2169" s="84" t="inlineStr">
        <is>
          <t>EEYWG37E01</t>
        </is>
      </c>
      <c r="I2169" s="84" t="n">
        <v>799</v>
      </c>
      <c r="J2169" s="84" t="n">
        <v>799</v>
      </c>
      <c r="K2169" s="85" t="n">
        <v>4</v>
      </c>
      <c r="L2169" s="86" t="n">
        <v>2369</v>
      </c>
    </row>
    <row r="2170" ht="12.75" customHeight="1" s="103">
      <c r="A2170" s="78">
        <f>MID(H2170,3,2)</f>
        <v/>
      </c>
      <c r="B2170" s="84" t="inlineStr">
        <is>
          <t>B331</t>
        </is>
      </c>
      <c r="C2170" s="84" t="inlineStr">
        <is>
          <t>上海区域</t>
        </is>
      </c>
      <c r="D2170" s="84" t="inlineStr">
        <is>
          <t>CN0Q</t>
        </is>
      </c>
      <c r="E2170" s="80" t="inlineStr">
        <is>
          <t>EE 苏州比斯特</t>
        </is>
      </c>
      <c r="F2170" s="84" t="n">
        <v>4</v>
      </c>
      <c r="G2170" s="84" t="inlineStr">
        <is>
          <t>奥特莱斯</t>
        </is>
      </c>
      <c r="H2170" s="84" t="inlineStr">
        <is>
          <t>EEYWG37E01</t>
        </is>
      </c>
      <c r="I2170" s="84" t="n">
        <v>799</v>
      </c>
      <c r="J2170" s="84" t="n">
        <v>799</v>
      </c>
      <c r="K2170" s="85" t="n">
        <v>3</v>
      </c>
      <c r="L2170" s="86" t="n">
        <v>1015</v>
      </c>
    </row>
    <row r="2171" ht="12.75" customHeight="1" s="103">
      <c r="A2171" s="78">
        <f>MID(H2171,3,2)</f>
        <v/>
      </c>
      <c r="B2171" s="84" t="inlineStr">
        <is>
          <t>B331</t>
        </is>
      </c>
      <c r="C2171" s="84" t="inlineStr">
        <is>
          <t>上海区域</t>
        </is>
      </c>
      <c r="D2171" s="84" t="inlineStr">
        <is>
          <t>CN0Q</t>
        </is>
      </c>
      <c r="E2171" s="80" t="inlineStr">
        <is>
          <t>EE 苏州比斯特</t>
        </is>
      </c>
      <c r="F2171" s="84" t="n">
        <v>4</v>
      </c>
      <c r="G2171" s="84" t="inlineStr">
        <is>
          <t>奥特莱斯</t>
        </is>
      </c>
      <c r="H2171" s="84" t="inlineStr">
        <is>
          <t>EEYWG37E01</t>
        </is>
      </c>
      <c r="I2171" s="84" t="n">
        <v>799</v>
      </c>
      <c r="J2171" s="84" t="n">
        <v>799</v>
      </c>
      <c r="K2171" s="85" t="n">
        <v>3</v>
      </c>
      <c r="L2171" s="86" t="n">
        <v>1573</v>
      </c>
    </row>
    <row r="2172" ht="12.75" customHeight="1" s="103">
      <c r="A2172" s="78">
        <f>MID(H2172,3,2)</f>
        <v/>
      </c>
      <c r="B2172" s="84" t="inlineStr">
        <is>
          <t>B331</t>
        </is>
      </c>
      <c r="C2172" s="84" t="inlineStr">
        <is>
          <t>上海区域</t>
        </is>
      </c>
      <c r="D2172" s="84" t="inlineStr">
        <is>
          <t>CN0Q</t>
        </is>
      </c>
      <c r="E2172" s="80" t="inlineStr">
        <is>
          <t>EE 苏州比斯特</t>
        </is>
      </c>
      <c r="F2172" s="84" t="n">
        <v>4</v>
      </c>
      <c r="G2172" s="84" t="inlineStr">
        <is>
          <t>奥特莱斯</t>
        </is>
      </c>
      <c r="H2172" s="84" t="inlineStr">
        <is>
          <t>EEYWG37E01</t>
        </is>
      </c>
      <c r="I2172" s="84" t="n">
        <v>799</v>
      </c>
      <c r="J2172" s="84" t="n">
        <v>799</v>
      </c>
      <c r="K2172" s="85" t="n">
        <v>2</v>
      </c>
      <c r="L2172" s="85" t="n">
        <v>713</v>
      </c>
    </row>
    <row r="2173" ht="12.75" customHeight="1" s="103">
      <c r="A2173" s="78">
        <f>MID(H2173,3,2)</f>
        <v/>
      </c>
      <c r="B2173" s="84" t="inlineStr">
        <is>
          <t>B331</t>
        </is>
      </c>
      <c r="C2173" s="84" t="inlineStr">
        <is>
          <t>上海区域</t>
        </is>
      </c>
      <c r="D2173" s="84" t="inlineStr">
        <is>
          <t>CN0Q</t>
        </is>
      </c>
      <c r="E2173" s="80" t="inlineStr">
        <is>
          <t>EE 苏州比斯特</t>
        </is>
      </c>
      <c r="F2173" s="84" t="n">
        <v>4</v>
      </c>
      <c r="G2173" s="84" t="inlineStr">
        <is>
          <t>奥特莱斯</t>
        </is>
      </c>
      <c r="H2173" s="84" t="inlineStr">
        <is>
          <t>EEYWG37E01</t>
        </is>
      </c>
      <c r="I2173" s="84" t="n">
        <v>799</v>
      </c>
      <c r="J2173" s="84" t="n">
        <v>799</v>
      </c>
      <c r="K2173" s="85" t="n">
        <v>3</v>
      </c>
      <c r="L2173" s="86" t="n">
        <v>1625</v>
      </c>
    </row>
    <row r="2174" ht="12.75" customHeight="1" s="103">
      <c r="A2174" s="78">
        <f>MID(H2174,3,2)</f>
        <v/>
      </c>
      <c r="B2174" s="84" t="inlineStr">
        <is>
          <t>B331</t>
        </is>
      </c>
      <c r="C2174" s="84" t="inlineStr">
        <is>
          <t>上海区域</t>
        </is>
      </c>
      <c r="D2174" s="84" t="inlineStr">
        <is>
          <t>CN0Q</t>
        </is>
      </c>
      <c r="E2174" s="80" t="inlineStr">
        <is>
          <t>EE 苏州比斯特</t>
        </is>
      </c>
      <c r="F2174" s="84" t="n">
        <v>4</v>
      </c>
      <c r="G2174" s="84" t="inlineStr">
        <is>
          <t>奥特莱斯</t>
        </is>
      </c>
      <c r="H2174" s="84" t="inlineStr">
        <is>
          <t>EEYWG37E01</t>
        </is>
      </c>
      <c r="I2174" s="84" t="n">
        <v>799</v>
      </c>
      <c r="J2174" s="84" t="n">
        <v>799</v>
      </c>
      <c r="K2174" s="85" t="n">
        <v>1</v>
      </c>
      <c r="L2174" s="85" t="n">
        <v>514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📋 작성 가이드">
    <outlinePr summaryBelow="1" summaryRight="1"/>
    <pageSetUpPr/>
  </sheetPr>
  <dimension ref="A1:D23"/>
  <sheetViews>
    <sheetView workbookViewId="0">
      <selection activeCell="A1" sqref="A1:D1"/>
    </sheetView>
  </sheetViews>
  <sheetFormatPr baseColWidth="8" defaultColWidth="13.7142857142857" defaultRowHeight="18" customHeight="1"/>
  <cols>
    <col width="17.7142857142857" customWidth="1" style="103" min="1" max="1"/>
    <col width="29.7142857142857" customWidth="1" style="103" min="2" max="2"/>
    <col width="38.7142857142857" customWidth="1" style="103" min="3" max="3"/>
    <col width="22.7142857142857" customWidth="1" style="103" min="4" max="4"/>
  </cols>
  <sheetData>
    <row r="1" ht="42" customHeight="1" s="103">
      <c r="A1" s="62" t="inlineStr">
        <is>
          <t>VMD 데이터 입력 양식 — 작성 가이드</t>
        </is>
      </c>
    </row>
    <row r="2" ht="14.25" customHeight="1" s="103">
      <c r="A2" s="36" t="n"/>
      <c r="B2" s="36" t="n"/>
      <c r="C2" s="36" t="n"/>
      <c r="D2" s="36" t="n"/>
    </row>
    <row r="3" ht="27.75" customHeight="1" s="103">
      <c r="A3" s="63" t="inlineStr">
        <is>
          <t>📦 진열 데이터 탭 — 4개 컬럼</t>
        </is>
      </c>
    </row>
    <row r="4" ht="21.75" customHeight="1" s="103">
      <c r="A4" s="64" t="inlineStr">
        <is>
          <t>컬럼</t>
        </is>
      </c>
      <c r="B4" s="65" t="inlineStr">
        <is>
          <t>입력 방식</t>
        </is>
      </c>
      <c r="C4" s="65" t="inlineStr">
        <is>
          <t>규칙</t>
        </is>
      </c>
      <c r="D4" s="65" t="inlineStr">
        <is>
          <t>예시</t>
        </is>
      </c>
    </row>
    <row r="5" ht="21.75" customHeight="1" s="103">
      <c r="A5" s="66" t="inlineStr">
        <is>
          <t>집기 ID</t>
        </is>
      </c>
      <c r="B5" s="67" t="inlineStr">
        <is>
          <t>수동</t>
        </is>
      </c>
      <c r="C5" s="67" t="inlineStr">
        <is>
          <t>F001~F016 / H001~H009 / T001~T003 / M001~M008</t>
        </is>
      </c>
      <c r="D5" s="67" t="inlineStr">
        <is>
          <t>F001</t>
        </is>
      </c>
    </row>
    <row r="6" ht="21.75" customHeight="1" s="103">
      <c r="A6" s="68" t="inlineStr">
        <is>
          <t>집기 종류</t>
        </is>
      </c>
      <c r="B6" s="69" t="inlineStr">
        <is>
          <t>드롭다운</t>
        </is>
      </c>
      <c r="C6" s="69" t="inlineStr">
        <is>
          <t>FACE / TABLE / HANGER / MQ</t>
        </is>
      </c>
      <c r="D6" s="69" t="inlineStr">
        <is>
          <t>FACE</t>
        </is>
      </c>
    </row>
    <row r="7" ht="21.75" customHeight="1" s="103">
      <c r="A7" s="66" t="inlineStr">
        <is>
          <t>바코드</t>
        </is>
      </c>
      <c r="B7" s="67" t="inlineStr">
        <is>
          <t>스캔</t>
        </is>
      </c>
      <c r="C7" s="67" t="inlineStr">
        <is>
          <t>15자리 EE로 시작, 공백 없이</t>
        </is>
      </c>
      <c r="D7" s="67" t="inlineStr">
        <is>
          <t>EEYWG24E0150165</t>
        </is>
      </c>
    </row>
    <row r="8" ht="21.75" customHeight="1" s="103">
      <c r="A8" s="68" t="inlineStr">
        <is>
          <t>진열수량</t>
        </is>
      </c>
      <c r="B8" s="69" t="inlineStr">
        <is>
          <t>직접 카운트</t>
        </is>
      </c>
      <c r="C8" s="69" t="inlineStr">
        <is>
          <t>해당 집기에 진열된 실물 개수</t>
        </is>
      </c>
      <c r="D8" s="70" t="n">
        <v>2</v>
      </c>
    </row>
    <row r="9" ht="14.25" customHeight="1" s="103">
      <c r="A9" s="36" t="n"/>
      <c r="B9" s="36" t="n"/>
      <c r="C9" s="36" t="n"/>
      <c r="D9" s="36" t="n"/>
    </row>
    <row r="10" ht="27.75" customHeight="1" s="103">
      <c r="A10" s="71" t="inlineStr">
        <is>
          <t>💰 판매 실적 탭 — 회사 양식</t>
        </is>
      </c>
    </row>
    <row r="11" ht="21.75" customHeight="1" s="103">
      <c r="A11" s="64" t="inlineStr">
        <is>
          <t>컬럼</t>
        </is>
      </c>
      <c r="B11" s="65" t="inlineStr">
        <is>
          <t>내용</t>
        </is>
      </c>
      <c r="C11" s="65" t="inlineStr">
        <is>
          <t>규칙</t>
        </is>
      </c>
      <c r="D11" s="65" t="inlineStr">
        <is>
          <t>예시</t>
        </is>
      </c>
    </row>
    <row r="12" ht="21.75" customHeight="1" s="103">
      <c r="A12" s="66" t="inlineStr">
        <is>
          <t>款号 ★</t>
        </is>
      </c>
      <c r="B12" s="67" t="inlineStr">
        <is>
          <t>스타일번호 (매칭 키)</t>
        </is>
      </c>
      <c r="C12" s="67" t="inlineStr">
        <is>
          <t>바코드 앞 10자와 자동 매칭</t>
        </is>
      </c>
      <c r="D12" s="67" t="inlineStr">
        <is>
          <t>EETJG24E01</t>
        </is>
      </c>
    </row>
    <row r="13" ht="21.75" customHeight="1" s="103">
      <c r="A13" s="68" t="inlineStr">
        <is>
          <t>销售数量 ★</t>
        </is>
      </c>
      <c r="B13" s="69" t="inlineStr">
        <is>
          <t>판매수량</t>
        </is>
      </c>
      <c r="C13" s="69" t="inlineStr">
        <is>
          <t>숫자만, 미판매=0</t>
        </is>
      </c>
      <c r="D13" s="70" t="n">
        <v>7</v>
      </c>
    </row>
    <row r="14" ht="21.75" customHeight="1" s="103">
      <c r="A14" s="66" t="inlineStr">
        <is>
          <t>销售额 ★</t>
        </is>
      </c>
      <c r="B14" s="67" t="inlineStr">
        <is>
          <t>매출 (CNY)</t>
        </is>
      </c>
      <c r="C14" s="67" t="inlineStr">
        <is>
          <t>숫자만, 쉼표 없이</t>
        </is>
      </c>
      <c r="D14" s="72" t="n">
        <v>3076</v>
      </c>
    </row>
    <row r="15" ht="21.75" customHeight="1" s="103">
      <c r="A15" s="68" t="inlineStr">
        <is>
          <t>决定销售价</t>
        </is>
      </c>
      <c r="B15" s="69" t="inlineStr">
        <is>
          <t>결정단가</t>
        </is>
      </c>
      <c r="C15" s="69" t="inlineStr">
        <is>
          <t>단가는 여기서 자동 참조</t>
        </is>
      </c>
      <c r="D15" s="70" t="n">
        <v>699</v>
      </c>
    </row>
    <row r="16" ht="21.75" customHeight="1" s="103">
      <c r="A16" s="66" t="inlineStr">
        <is>
          <t>나머지</t>
        </is>
      </c>
      <c r="B16" s="67" t="inlineStr">
        <is>
          <t>회사 ERP 그대로</t>
        </is>
      </c>
      <c r="C16" s="67" t="inlineStr">
        <is>
          <t>복붙해도 됨</t>
        </is>
      </c>
      <c r="D16" s="67" t="inlineStr">
        <is>
          <t>B331, CMCF…</t>
        </is>
      </c>
    </row>
    <row r="17" ht="14.25" customHeight="1" s="103">
      <c r="A17" s="36" t="n"/>
      <c r="B17" s="36" t="n"/>
      <c r="C17" s="36" t="n"/>
      <c r="D17" s="36" t="n"/>
    </row>
    <row r="18" ht="27.75" customHeight="1" s="103">
      <c r="A18" s="73" t="inlineStr">
        <is>
          <t>🔗 두 탭 연결 구조</t>
        </is>
      </c>
    </row>
    <row r="19" ht="21.75" customHeight="1" s="103">
      <c r="A19" s="64" t="inlineStr">
        <is>
          <t>항목</t>
        </is>
      </c>
      <c r="B19" s="65" t="inlineStr">
        <is>
          <t>설명</t>
        </is>
      </c>
      <c r="C19" s="65" t="n"/>
      <c r="D19" s="65" t="n"/>
    </row>
    <row r="20" ht="21.75" customHeight="1" s="103">
      <c r="A20" s="66" t="inlineStr">
        <is>
          <t>매칭 키</t>
        </is>
      </c>
      <c r="B20" s="67" t="inlineStr">
        <is>
          <t>바코드 앞 10자리 = 款号</t>
        </is>
      </c>
      <c r="C20" s="67" t="n"/>
      <c r="D20" s="67" t="n"/>
    </row>
    <row r="21" ht="21.75" customHeight="1" s="103">
      <c r="A21" s="68" t="inlineStr">
        <is>
          <t>예시</t>
        </is>
      </c>
      <c r="B21" s="69" t="inlineStr">
        <is>
          <t>EEYWG24E01|50|165 → EEYWG24E01</t>
        </is>
      </c>
      <c r="C21" s="69" t="n"/>
      <c r="D21" s="69" t="n"/>
    </row>
    <row r="22" ht="21.75" customHeight="1" s="103">
      <c r="A22" s="66" t="inlineStr">
        <is>
          <t>단가 참조</t>
        </is>
      </c>
      <c r="B22" s="67" t="inlineStr">
        <is>
          <t>款号 → 판매 실적 탭의 决定销售价 자동 참조</t>
        </is>
      </c>
      <c r="C22" s="67" t="n"/>
      <c r="D22" s="67" t="n"/>
    </row>
    <row r="23" ht="21.75" customHeight="1" s="103">
      <c r="A23" s="68" t="inlineStr">
        <is>
          <t>업데이트 주기</t>
        </is>
      </c>
      <c r="B23" s="69" t="inlineStr">
        <is>
          <t>진열탭 고정 / 판매탭 매주 교체</t>
        </is>
      </c>
      <c r="C23" s="69" t="n"/>
      <c r="D23" s="69" t="n"/>
    </row>
  </sheetData>
  <mergeCells count="4">
    <mergeCell ref="A1:D1"/>
    <mergeCell ref="A18:D18"/>
    <mergeCell ref="A3:D3"/>
    <mergeCell ref="A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✅ 유효값">
    <outlinePr summaryBelow="1" summaryRight="1"/>
    <pageSetUpPr/>
  </sheetPr>
  <dimension ref="A1:H60"/>
  <sheetViews>
    <sheetView workbookViewId="0">
      <selection activeCell="K9" sqref="K9"/>
    </sheetView>
  </sheetViews>
  <sheetFormatPr baseColWidth="8" defaultColWidth="13.7142857142857" defaultRowHeight="18" customHeight="1"/>
  <cols>
    <col width="13.7142857142857" customWidth="1" style="103" min="1" max="1"/>
    <col width="22.7142857142857" customWidth="1" style="103" min="2" max="2"/>
    <col width="17.7142857142857" customWidth="1" style="103" min="3" max="3"/>
    <col width="16.7142857142857" customWidth="1" style="103" min="4" max="4"/>
    <col width="13.7142857142857" customWidth="1" style="103" min="5" max="5"/>
    <col width="22.7142857142857" customWidth="1" style="103" min="6" max="6"/>
    <col width="17.7142857142857" customWidth="1" style="103" min="7" max="7"/>
    <col width="14.7142857142857" customWidth="1" style="103" min="8" max="8"/>
  </cols>
  <sheetData>
    <row r="1" ht="42" customHeight="1" s="103">
      <c r="A1" s="34" t="inlineStr">
        <is>
          <t>✅  유효값 &amp; 매핑표 (수정 금지)</t>
        </is>
      </c>
      <c r="H1" s="36" t="n"/>
    </row>
    <row r="2" ht="14.25" customHeight="1" s="103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25.5" customHeight="1" s="103">
      <c r="A3" s="63" t="inlineStr">
        <is>
          <t>스타일코드(2자) → 카테고리 · 품목 매핑</t>
        </is>
      </c>
      <c r="H3" s="36" t="n"/>
    </row>
    <row r="4" ht="14.25" customHeight="1" s="103">
      <c r="A4" s="38" t="inlineStr">
        <is>
          <t>스타일코드</t>
        </is>
      </c>
      <c r="B4" s="39" t="inlineStr">
        <is>
          <t>카테고리</t>
        </is>
      </c>
      <c r="C4" s="39" t="inlineStr">
        <is>
          <t>품목</t>
        </is>
      </c>
      <c r="D4" s="36" t="n"/>
      <c r="E4" s="38" t="inlineStr">
        <is>
          <t>스타일코드</t>
        </is>
      </c>
      <c r="F4" s="39" t="inlineStr">
        <is>
          <t>카테고리</t>
        </is>
      </c>
      <c r="G4" s="39" t="inlineStr">
        <is>
          <t>품목</t>
        </is>
      </c>
      <c r="H4" s="36" t="n"/>
    </row>
    <row r="5" ht="18.75" customHeight="1" s="103">
      <c r="A5" s="40" t="inlineStr">
        <is>
          <t>AB</t>
        </is>
      </c>
      <c r="B5" s="41" t="inlineStr">
        <is>
          <t>액세서리 ACC</t>
        </is>
      </c>
      <c r="C5" s="41" t="inlineStr">
        <is>
          <t>皮带</t>
        </is>
      </c>
      <c r="D5" s="42" t="n"/>
      <c r="E5" s="43" t="inlineStr">
        <is>
          <t>OM</t>
        </is>
      </c>
      <c r="F5" s="44" t="inlineStr">
        <is>
          <t>원피스 连衣裙</t>
        </is>
      </c>
      <c r="G5" s="45" t="inlineStr">
        <is>
          <t>针织连衣裙</t>
        </is>
      </c>
    </row>
    <row r="6" ht="18.75" customHeight="1" s="103">
      <c r="A6" s="40" t="inlineStr">
        <is>
          <t>AC</t>
        </is>
      </c>
      <c r="B6" s="41" t="inlineStr">
        <is>
          <t>액세서리 ACC</t>
        </is>
      </c>
      <c r="C6" s="41" t="inlineStr">
        <is>
          <t>帽子</t>
        </is>
      </c>
      <c r="D6" s="46" t="n"/>
      <c r="E6" s="43" t="inlineStr">
        <is>
          <t>OW</t>
        </is>
      </c>
      <c r="F6" s="44" t="inlineStr">
        <is>
          <t>원피스 连衣裙</t>
        </is>
      </c>
      <c r="G6" s="44" t="inlineStr">
        <is>
          <t>梭织连衣裙</t>
        </is>
      </c>
    </row>
    <row r="7" ht="18.75" customHeight="1" s="103">
      <c r="A7" s="47" t="inlineStr">
        <is>
          <t>ACC</t>
        </is>
      </c>
      <c r="B7" s="48" t="n"/>
      <c r="C7" s="48" t="n"/>
      <c r="D7" s="52" t="n"/>
      <c r="E7" s="50" t="inlineStr">
        <is>
          <t>RA</t>
        </is>
      </c>
      <c r="F7" s="51" t="inlineStr">
        <is>
          <t>상의 上衣</t>
        </is>
      </c>
      <c r="G7" s="51" t="inlineStr">
        <is>
          <t>T恤（短）</t>
        </is>
      </c>
    </row>
    <row r="8" ht="18.75" customHeight="1" s="103">
      <c r="A8" s="40" t="inlineStr">
        <is>
          <t>AG</t>
        </is>
      </c>
      <c r="B8" s="41" t="inlineStr">
        <is>
          <t>액세서리 ACC</t>
        </is>
      </c>
      <c r="C8" s="41" t="inlineStr">
        <is>
          <t>手套</t>
        </is>
      </c>
      <c r="D8" s="46" t="n"/>
      <c r="E8" s="50" t="inlineStr">
        <is>
          <t>RN</t>
        </is>
      </c>
      <c r="F8" s="51" t="inlineStr">
        <is>
          <t>상의 上衣</t>
        </is>
      </c>
      <c r="G8" s="51" t="inlineStr">
        <is>
          <t>针织背心</t>
        </is>
      </c>
      <c r="H8" s="52" t="n"/>
    </row>
    <row r="9" ht="18.75" customHeight="1" s="103">
      <c r="A9" s="40" t="inlineStr">
        <is>
          <t>AK</t>
        </is>
      </c>
      <c r="B9" s="41" t="inlineStr">
        <is>
          <t>액세서리 ACC</t>
        </is>
      </c>
      <c r="C9" s="41" t="inlineStr">
        <is>
          <t>包</t>
        </is>
      </c>
      <c r="D9" s="52" t="n"/>
      <c r="E9" s="50" t="inlineStr">
        <is>
          <t>RS</t>
        </is>
      </c>
      <c r="F9" s="51" t="inlineStr">
        <is>
          <t>상의 上衣</t>
        </is>
      </c>
      <c r="G9" s="51" t="inlineStr">
        <is>
          <t>条纹短袖T恤</t>
        </is>
      </c>
      <c r="H9" s="52" t="n"/>
    </row>
    <row r="10" ht="18.75" customHeight="1" s="103">
      <c r="A10" s="40" t="inlineStr">
        <is>
          <t>AM</t>
        </is>
      </c>
      <c r="B10" s="41" t="inlineStr">
        <is>
          <t>액세서리 ACC</t>
        </is>
      </c>
      <c r="C10" s="41" t="inlineStr">
        <is>
          <t>围巾</t>
        </is>
      </c>
      <c r="D10" s="46" t="n"/>
      <c r="E10" s="53" t="inlineStr">
        <is>
          <t>SK</t>
        </is>
      </c>
      <c r="F10" s="54" t="inlineStr">
        <is>
          <t>하의 下衣</t>
        </is>
      </c>
      <c r="G10" s="54" t="inlineStr">
        <is>
          <t>毛织半裙</t>
        </is>
      </c>
    </row>
    <row r="11" ht="18.75" customHeight="1" s="103">
      <c r="A11" s="40" t="inlineStr">
        <is>
          <t>AN</t>
        </is>
      </c>
      <c r="B11" s="41" t="inlineStr">
        <is>
          <t>액세서리 ACC</t>
        </is>
      </c>
      <c r="C11" s="41" t="inlineStr">
        <is>
          <t>领带</t>
        </is>
      </c>
      <c r="D11" s="46" t="n"/>
      <c r="E11" s="53" t="inlineStr">
        <is>
          <t>TA</t>
        </is>
      </c>
      <c r="F11" s="54" t="inlineStr">
        <is>
          <t>하의 下衣</t>
        </is>
      </c>
      <c r="G11" s="54" t="inlineStr">
        <is>
          <t>亚麻阔腿裤</t>
        </is>
      </c>
    </row>
    <row r="12" ht="18.75" customHeight="1" s="103">
      <c r="A12" s="40" t="inlineStr">
        <is>
          <t>AP</t>
        </is>
      </c>
      <c r="B12" s="41" t="inlineStr">
        <is>
          <t>액세서리 ACC</t>
        </is>
      </c>
      <c r="C12" s="41" t="inlineStr">
        <is>
          <t>皮鞋</t>
        </is>
      </c>
      <c r="D12" s="46" t="n"/>
      <c r="E12" s="53" t="inlineStr">
        <is>
          <t>TC</t>
        </is>
      </c>
      <c r="F12" s="54" t="inlineStr">
        <is>
          <t>하의 下衣</t>
        </is>
      </c>
      <c r="G12" s="54" t="inlineStr">
        <is>
          <t>棉质裤子</t>
        </is>
      </c>
    </row>
    <row r="13" ht="18.75" customHeight="1" s="103">
      <c r="A13" s="40" t="inlineStr">
        <is>
          <t>AS</t>
        </is>
      </c>
      <c r="B13" s="41" t="inlineStr">
        <is>
          <t>액세서리 ACC</t>
        </is>
      </c>
      <c r="C13" s="41" t="inlineStr">
        <is>
          <t>丝巾</t>
        </is>
      </c>
      <c r="D13" s="52" t="n"/>
      <c r="E13" s="53" t="inlineStr">
        <is>
          <t>TH</t>
        </is>
      </c>
      <c r="F13" s="54" t="inlineStr">
        <is>
          <t>하의 下衣</t>
        </is>
      </c>
      <c r="G13" s="54" t="inlineStr">
        <is>
          <t>短裤</t>
        </is>
      </c>
      <c r="H13" s="52" t="n"/>
    </row>
    <row r="14" ht="18.75" customHeight="1" s="103">
      <c r="A14" s="40" t="inlineStr">
        <is>
          <t>AU</t>
        </is>
      </c>
      <c r="B14" s="41" t="inlineStr">
        <is>
          <t>액세서리 ACC</t>
        </is>
      </c>
      <c r="C14" s="41" t="inlineStr">
        <is>
          <t>ACC</t>
        </is>
      </c>
      <c r="D14" s="52" t="n"/>
      <c r="E14" s="53" t="inlineStr">
        <is>
          <t>TJ</t>
        </is>
      </c>
      <c r="F14" s="54" t="inlineStr">
        <is>
          <t>하의 下衣</t>
        </is>
      </c>
      <c r="G14" s="54" t="inlineStr">
        <is>
          <t>牛仔裤</t>
        </is>
      </c>
      <c r="H14" s="52" t="n"/>
    </row>
    <row r="15" ht="18.75" customHeight="1" s="103">
      <c r="A15" s="40" t="inlineStr">
        <is>
          <t>AW</t>
        </is>
      </c>
      <c r="B15" s="41" t="inlineStr">
        <is>
          <t>액세서리 ACC</t>
        </is>
      </c>
      <c r="C15" s="41" t="inlineStr">
        <is>
          <t>徽章胸针</t>
        </is>
      </c>
      <c r="D15" s="46" t="n"/>
      <c r="E15" s="53" t="inlineStr">
        <is>
          <t>TK</t>
        </is>
      </c>
      <c r="F15" s="54" t="inlineStr">
        <is>
          <t>하의 下衣</t>
        </is>
      </c>
      <c r="G15" s="54" t="inlineStr">
        <is>
          <t>针织短裤</t>
        </is>
      </c>
    </row>
    <row r="16" ht="18.75" customHeight="1" s="103">
      <c r="A16" s="40" t="inlineStr">
        <is>
          <t>AY</t>
        </is>
      </c>
      <c r="B16" s="41" t="inlineStr">
        <is>
          <t>액세서리 ACC</t>
        </is>
      </c>
      <c r="C16" s="41" t="inlineStr">
        <is>
          <t>袜子</t>
        </is>
      </c>
      <c r="D16" s="46" t="n"/>
      <c r="E16" s="53" t="inlineStr">
        <is>
          <t>TM</t>
        </is>
      </c>
      <c r="F16" s="54" t="inlineStr">
        <is>
          <t>하의 下衣</t>
        </is>
      </c>
      <c r="G16" s="54" t="inlineStr">
        <is>
          <t>针织裤</t>
        </is>
      </c>
    </row>
    <row r="17" ht="18.75" customHeight="1" s="103">
      <c r="A17" s="55" t="inlineStr">
        <is>
          <t>BW</t>
        </is>
      </c>
      <c r="B17" s="51" t="inlineStr">
        <is>
          <t>상의 上衣</t>
        </is>
      </c>
      <c r="C17" s="51" t="inlineStr">
        <is>
          <t>雪纺衬衫</t>
        </is>
      </c>
      <c r="D17" s="46" t="n"/>
      <c r="E17" s="50" t="inlineStr">
        <is>
          <t>VJ</t>
        </is>
      </c>
      <c r="F17" s="51" t="inlineStr">
        <is>
          <t>상의 上衣</t>
        </is>
      </c>
      <c r="G17" s="51" t="inlineStr">
        <is>
          <t>牛仔马甲</t>
        </is>
      </c>
    </row>
    <row r="18" ht="18.75" customHeight="1" s="103">
      <c r="A18" s="40" t="inlineStr">
        <is>
          <t>CF</t>
        </is>
      </c>
      <c r="B18" s="41" t="inlineStr">
        <is>
          <t>액세서리 ACC</t>
        </is>
      </c>
      <c r="C18" s="41" t="inlineStr">
        <is>
          <t>挂饰，手包</t>
        </is>
      </c>
      <c r="D18" s="46" t="n"/>
      <c r="E18" s="50" t="inlineStr">
        <is>
          <t>VK</t>
        </is>
      </c>
      <c r="F18" s="51" t="inlineStr">
        <is>
          <t>상의 上衣</t>
        </is>
      </c>
      <c r="G18" s="51" t="inlineStr">
        <is>
          <t>毛衫背心</t>
        </is>
      </c>
    </row>
    <row r="19" ht="18.75" customHeight="1" s="103">
      <c r="A19" s="55" t="inlineStr">
        <is>
          <t>CK</t>
        </is>
      </c>
      <c r="B19" s="51" t="inlineStr">
        <is>
          <t>상의 上衣</t>
        </is>
      </c>
      <c r="C19" s="51" t="inlineStr">
        <is>
          <t>针织开衫</t>
        </is>
      </c>
      <c r="D19" s="52" t="n"/>
      <c r="E19" s="50" t="inlineStr">
        <is>
          <t>VW</t>
        </is>
      </c>
      <c r="F19" s="51" t="inlineStr">
        <is>
          <t>상의 上衣</t>
        </is>
      </c>
      <c r="G19" s="51" t="inlineStr">
        <is>
          <t>梭织背心</t>
        </is>
      </c>
    </row>
    <row r="20" ht="18.75" customHeight="1" s="103">
      <c r="A20" s="55" t="inlineStr">
        <is>
          <t>HW</t>
        </is>
      </c>
      <c r="B20" s="51" t="inlineStr">
        <is>
          <t>상의 上衣</t>
        </is>
      </c>
      <c r="C20" s="51" t="inlineStr">
        <is>
          <t>POLO衫</t>
        </is>
      </c>
      <c r="D20" s="46" t="n"/>
      <c r="E20" s="53" t="inlineStr">
        <is>
          <t>WH</t>
        </is>
      </c>
      <c r="F20" s="54" t="inlineStr">
        <is>
          <t>하의 下衣</t>
        </is>
      </c>
      <c r="G20" s="54" t="inlineStr">
        <is>
          <t>梭织半裙</t>
        </is>
      </c>
    </row>
    <row r="21" ht="18.75" customHeight="1" s="103">
      <c r="A21" s="55" t="inlineStr">
        <is>
          <t>JA</t>
        </is>
      </c>
      <c r="B21" s="51" t="inlineStr">
        <is>
          <t>상의 上衣</t>
        </is>
      </c>
      <c r="C21" s="51" t="inlineStr">
        <is>
          <t>变形外套</t>
        </is>
      </c>
      <c r="D21" s="46" t="n"/>
      <c r="E21" s="53" t="inlineStr">
        <is>
          <t>WJ</t>
        </is>
      </c>
      <c r="F21" s="54" t="inlineStr">
        <is>
          <t>하의 下衣</t>
        </is>
      </c>
      <c r="G21" s="54" t="inlineStr">
        <is>
          <t>牛仔裙</t>
        </is>
      </c>
    </row>
    <row r="22" ht="18.75" customHeight="1" s="103">
      <c r="A22" s="55" t="inlineStr">
        <is>
          <t>JD</t>
        </is>
      </c>
      <c r="B22" s="51" t="inlineStr">
        <is>
          <t>상의 上衣</t>
        </is>
      </c>
      <c r="C22" s="51" t="inlineStr">
        <is>
          <t>羽绒服</t>
        </is>
      </c>
      <c r="D22" s="46" t="n"/>
      <c r="E22" s="53" t="inlineStr">
        <is>
          <t>WM</t>
        </is>
      </c>
      <c r="F22" s="54" t="inlineStr">
        <is>
          <t>하의 下衣</t>
        </is>
      </c>
      <c r="G22" s="54" t="inlineStr">
        <is>
          <t>针织半裙</t>
        </is>
      </c>
    </row>
    <row r="23" ht="18.75" customHeight="1" s="103">
      <c r="A23" s="55" t="inlineStr">
        <is>
          <t>JH</t>
        </is>
      </c>
      <c r="B23" s="51" t="inlineStr">
        <is>
          <t>상의 上衣</t>
        </is>
      </c>
      <c r="C23" s="51" t="inlineStr">
        <is>
          <t>皮草</t>
        </is>
      </c>
      <c r="D23" s="46" t="n"/>
      <c r="E23" s="50" t="inlineStr">
        <is>
          <t>WR</t>
        </is>
      </c>
      <c r="F23" s="51" t="inlineStr">
        <is>
          <t>상의 上衣</t>
        </is>
      </c>
      <c r="G23" s="51" t="inlineStr">
        <is>
          <t>圆领内衣</t>
        </is>
      </c>
    </row>
    <row r="24" ht="18.75" customHeight="1" s="103">
      <c r="A24" s="55" t="inlineStr">
        <is>
          <t>JJ</t>
        </is>
      </c>
      <c r="B24" s="51" t="inlineStr">
        <is>
          <t>상의 上衣</t>
        </is>
      </c>
      <c r="C24" s="51" t="inlineStr">
        <is>
          <t>牛仔夹克</t>
        </is>
      </c>
      <c r="D24" s="52" t="n"/>
      <c r="E24" s="50" t="inlineStr">
        <is>
          <t>YA</t>
        </is>
      </c>
      <c r="F24" s="51" t="inlineStr">
        <is>
          <t>상의 上衣</t>
        </is>
      </c>
      <c r="G24" s="51" t="inlineStr">
        <is>
          <t>变形衬衫</t>
        </is>
      </c>
      <c r="H24" s="52" t="n"/>
    </row>
    <row r="25" ht="18.75" customHeight="1" s="103">
      <c r="A25" s="55" t="inlineStr">
        <is>
          <t>JK</t>
        </is>
      </c>
      <c r="B25" s="51" t="inlineStr">
        <is>
          <t>상의 上衣</t>
        </is>
      </c>
      <c r="C25" s="51" t="inlineStr">
        <is>
          <t>夹克</t>
        </is>
      </c>
      <c r="D25" s="46" t="n"/>
      <c r="E25" s="50" t="inlineStr">
        <is>
          <t>YC</t>
        </is>
      </c>
      <c r="F25" s="51" t="inlineStr">
        <is>
          <t>상의 上衣</t>
        </is>
      </c>
      <c r="G25" s="51" t="inlineStr">
        <is>
          <t>格子衬衫</t>
        </is>
      </c>
    </row>
    <row r="26" ht="18.75" customHeight="1" s="103">
      <c r="A26" s="55" t="inlineStr">
        <is>
          <t>JL</t>
        </is>
      </c>
      <c r="B26" s="51" t="inlineStr">
        <is>
          <t>상의 上衣</t>
        </is>
      </c>
      <c r="C26" s="51" t="inlineStr">
        <is>
          <t>皮夹克</t>
        </is>
      </c>
      <c r="D26" s="46" t="n"/>
      <c r="E26" s="50" t="inlineStr">
        <is>
          <t>YJ</t>
        </is>
      </c>
      <c r="F26" s="51" t="inlineStr">
        <is>
          <t>상의 上衣</t>
        </is>
      </c>
      <c r="G26" s="51" t="inlineStr">
        <is>
          <t>牛仔衬衫</t>
        </is>
      </c>
    </row>
    <row r="27" ht="18.75" customHeight="1" s="103">
      <c r="A27" s="55" t="inlineStr">
        <is>
          <t>JP</t>
        </is>
      </c>
      <c r="B27" s="51" t="inlineStr">
        <is>
          <t>상의 上衣</t>
        </is>
      </c>
      <c r="C27" s="51" t="inlineStr">
        <is>
          <t>棉服</t>
        </is>
      </c>
      <c r="D27" s="46" t="n"/>
      <c r="E27" s="50" t="inlineStr">
        <is>
          <t>YP</t>
        </is>
      </c>
      <c r="F27" s="51" t="inlineStr">
        <is>
          <t>상의 上衣</t>
        </is>
      </c>
      <c r="G27" s="51" t="inlineStr">
        <is>
          <t>牛仔衬衫</t>
        </is>
      </c>
      <c r="H27" s="52" t="n"/>
    </row>
    <row r="28" ht="18.75" customHeight="1" s="103">
      <c r="A28" s="55" t="inlineStr">
        <is>
          <t>JT</t>
        </is>
      </c>
      <c r="B28" s="51" t="inlineStr">
        <is>
          <t>상의 上衣</t>
        </is>
      </c>
      <c r="C28" s="51" t="inlineStr">
        <is>
          <t>风衣</t>
        </is>
      </c>
      <c r="D28" s="46" t="n"/>
      <c r="E28" s="50" t="inlineStr">
        <is>
          <t>YS</t>
        </is>
      </c>
      <c r="F28" s="51" t="inlineStr">
        <is>
          <t>상의 上衣</t>
        </is>
      </c>
      <c r="G28" s="51" t="inlineStr">
        <is>
          <t>条纹衬衣</t>
        </is>
      </c>
    </row>
    <row r="29" ht="18.75" customHeight="1" s="103">
      <c r="A29" s="55" t="inlineStr">
        <is>
          <t>JW</t>
        </is>
      </c>
      <c r="B29" s="51" t="inlineStr">
        <is>
          <t>상의 上衣</t>
        </is>
      </c>
      <c r="C29" s="51" t="inlineStr">
        <is>
          <t>毛呢外套</t>
        </is>
      </c>
      <c r="D29" s="46" t="n"/>
      <c r="E29" s="50" t="inlineStr">
        <is>
          <t>YW</t>
        </is>
      </c>
      <c r="F29" s="51" t="inlineStr">
        <is>
          <t>상의 上衣</t>
        </is>
      </c>
      <c r="G29" s="51" t="inlineStr">
        <is>
          <t>纯色衬衣</t>
        </is>
      </c>
    </row>
    <row r="30" ht="18.75" customHeight="1" s="103">
      <c r="A30" s="55" t="inlineStr">
        <is>
          <t>KW</t>
        </is>
      </c>
      <c r="B30" s="51" t="inlineStr">
        <is>
          <t>상의 上衣</t>
        </is>
      </c>
      <c r="C30" s="51" t="inlineStr">
        <is>
          <t>毛衣（套头）</t>
        </is>
      </c>
      <c r="D30" s="46" t="n"/>
      <c r="E30" s="56" t="inlineStr">
        <is>
          <t>item</t>
        </is>
      </c>
      <c r="F30" s="48" t="n"/>
      <c r="G30" s="48" t="n"/>
      <c r="H30" s="36" t="n"/>
    </row>
    <row r="31" ht="18.75" customHeight="1" s="103">
      <c r="A31" s="55" t="inlineStr">
        <is>
          <t>LA</t>
        </is>
      </c>
      <c r="B31" s="51" t="inlineStr">
        <is>
          <t>상의 上衣</t>
        </is>
      </c>
      <c r="C31" s="51" t="inlineStr">
        <is>
          <t>T恤（长）</t>
        </is>
      </c>
      <c r="D31" s="46" t="n"/>
      <c r="E31" s="56" t="inlineStr">
        <is>
          <t>内搭</t>
        </is>
      </c>
      <c r="F31" s="48" t="n"/>
      <c r="G31" s="48" t="n"/>
      <c r="H31" s="36" t="n"/>
    </row>
    <row r="32" ht="18.75" customHeight="1" s="103">
      <c r="A32" s="57" t="inlineStr">
        <is>
          <t>LS</t>
        </is>
      </c>
      <c r="B32" s="58" t="inlineStr">
        <is>
          <t>无</t>
        </is>
      </c>
      <c r="C32" s="58" t="inlineStr">
        <is>
          <t>无</t>
        </is>
      </c>
      <c r="D32" s="46" t="n"/>
      <c r="E32" s="56" t="inlineStr">
        <is>
          <t>外套</t>
        </is>
      </c>
      <c r="F32" s="48" t="n"/>
      <c r="G32" s="48" t="n"/>
      <c r="H32" s="36" t="n"/>
    </row>
    <row r="33" ht="18.75" customHeight="1" s="103">
      <c r="A33" s="55" t="inlineStr">
        <is>
          <t>MT</t>
        </is>
      </c>
      <c r="B33" s="51" t="inlineStr">
        <is>
          <t>상의 上衣</t>
        </is>
      </c>
      <c r="C33" s="51" t="inlineStr">
        <is>
          <t>卫衣</t>
        </is>
      </c>
      <c r="D33" s="46" t="n"/>
      <c r="E33" s="56" t="inlineStr">
        <is>
          <t>廓形</t>
        </is>
      </c>
      <c r="F33" s="48" t="n"/>
      <c r="G33" s="48" t="n"/>
      <c r="H33" s="36" t="n"/>
    </row>
    <row r="34" ht="18.75" customHeight="1" s="103">
      <c r="A34" s="57" t="inlineStr">
        <is>
          <t>MZ</t>
        </is>
      </c>
      <c r="B34" s="58" t="inlineStr">
        <is>
          <t>无</t>
        </is>
      </c>
      <c r="C34" s="58" t="inlineStr">
        <is>
          <t>无</t>
        </is>
      </c>
      <c r="D34" s="46" t="n"/>
      <c r="E34" s="56" t="inlineStr">
        <is>
          <t>牛仔</t>
        </is>
      </c>
      <c r="F34" s="48" t="n"/>
      <c r="G34" s="48" t="n"/>
      <c r="H34" s="36" t="n"/>
    </row>
    <row r="35" ht="18.75" customHeight="1" s="103">
      <c r="A35" s="59" t="inlineStr">
        <is>
          <t>OJ</t>
        </is>
      </c>
      <c r="B35" s="44" t="inlineStr">
        <is>
          <t>원피스 连衣裙</t>
        </is>
      </c>
      <c r="C35" s="44" t="inlineStr">
        <is>
          <t>牛仔连衣裙</t>
        </is>
      </c>
      <c r="D35" s="52" t="n"/>
      <c r="E35" s="56" t="inlineStr">
        <is>
          <t>连衣裙</t>
        </is>
      </c>
      <c r="F35" s="48" t="n"/>
      <c r="G35" s="48" t="n"/>
      <c r="H35" s="36" t="n"/>
    </row>
    <row r="36" ht="18.75" customHeight="1" s="103">
      <c r="A36" s="59" t="inlineStr">
        <is>
          <t>OK</t>
        </is>
      </c>
      <c r="B36" s="44" t="inlineStr">
        <is>
          <t>원피스 连衣裙</t>
        </is>
      </c>
      <c r="C36" s="44" t="inlineStr">
        <is>
          <t>毛衫裙</t>
        </is>
      </c>
      <c r="D36" s="46" t="n"/>
      <c r="E36" s="56" t="inlineStr">
        <is>
          <t>针织</t>
        </is>
      </c>
      <c r="F36" s="48" t="n"/>
      <c r="G36" s="48" t="n"/>
      <c r="H36" s="36" t="n"/>
    </row>
    <row r="37" ht="14.25" customHeight="1" s="103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 ht="14.25" customHeight="1" s="103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 ht="25.5" customHeight="1" s="103">
      <c r="A39" s="63" t="inlineStr">
        <is>
          <t>컬러코드(2자리) → 컬러명 매핑</t>
        </is>
      </c>
      <c r="H39" s="36" t="n"/>
    </row>
    <row r="40" ht="14.25" customHeight="1" s="103">
      <c r="A40" s="38" t="inlineStr">
        <is>
          <t>컬러코드</t>
        </is>
      </c>
      <c r="B40" s="39" t="inlineStr">
        <is>
          <t>컬러명</t>
        </is>
      </c>
      <c r="C40" s="36" t="n"/>
      <c r="D40" s="36" t="n"/>
      <c r="E40" s="38" t="inlineStr">
        <is>
          <t>컬러코드</t>
        </is>
      </c>
      <c r="F40" s="39" t="inlineStr">
        <is>
          <t>컬러명</t>
        </is>
      </c>
      <c r="G40" s="36" t="n"/>
      <c r="H40" s="36" t="n"/>
    </row>
    <row r="41" ht="14.25" customHeight="1" s="103">
      <c r="A41" s="47" t="n">
        <v>1</v>
      </c>
      <c r="B41" s="48" t="inlineStr">
        <is>
          <t>(01)M/Indigo</t>
        </is>
      </c>
      <c r="C41" s="36" t="n"/>
      <c r="D41" s="36" t="n"/>
      <c r="E41" s="47" t="n">
        <v>49</v>
      </c>
      <c r="F41" s="48" t="inlineStr">
        <is>
          <t>(49)Khaki</t>
        </is>
      </c>
      <c r="G41" s="36" t="n"/>
      <c r="H41" s="36" t="n"/>
    </row>
    <row r="42" ht="14.25" customHeight="1" s="103">
      <c r="A42" s="60" t="n">
        <v>15</v>
      </c>
      <c r="B42" s="61" t="inlineStr">
        <is>
          <t>(15)Grey</t>
        </is>
      </c>
      <c r="C42" s="36" t="n"/>
      <c r="D42" s="36" t="n"/>
      <c r="E42" s="60" t="n">
        <v>50</v>
      </c>
      <c r="F42" s="61" t="inlineStr">
        <is>
          <t>(50)Blue</t>
        </is>
      </c>
      <c r="G42" s="36" t="n"/>
      <c r="H42" s="36" t="n"/>
    </row>
    <row r="43" ht="14.25" customHeight="1" s="103">
      <c r="A43" s="47" t="n">
        <v>16</v>
      </c>
      <c r="B43" s="48" t="inlineStr">
        <is>
          <t>(16)L/Grey</t>
        </is>
      </c>
      <c r="C43" s="36" t="n"/>
      <c r="D43" s="36" t="n"/>
      <c r="E43" s="47" t="n">
        <v>51</v>
      </c>
      <c r="F43" s="48" t="inlineStr">
        <is>
          <t>(51)L/Blue</t>
        </is>
      </c>
      <c r="G43" s="36" t="n"/>
      <c r="H43" s="36" t="n"/>
    </row>
    <row r="44" ht="14.25" customHeight="1" s="103">
      <c r="A44" s="60" t="n">
        <v>17</v>
      </c>
      <c r="B44" s="61" t="inlineStr">
        <is>
          <t>(17)D/Grey</t>
        </is>
      </c>
      <c r="C44" s="36" t="n"/>
      <c r="D44" s="36" t="n"/>
      <c r="E44" s="60" t="n">
        <v>52</v>
      </c>
      <c r="F44" s="61" t="inlineStr">
        <is>
          <t>(52)D/Blue</t>
        </is>
      </c>
      <c r="G44" s="36" t="n"/>
      <c r="H44" s="36" t="n"/>
    </row>
    <row r="45" ht="14.25" customHeight="1" s="103">
      <c r="A45" s="47" t="n">
        <v>18</v>
      </c>
      <c r="B45" s="48" t="inlineStr">
        <is>
          <t>(18)M/Grey</t>
        </is>
      </c>
      <c r="C45" s="36" t="n"/>
      <c r="D45" s="36" t="n"/>
      <c r="E45" s="47" t="n">
        <v>55</v>
      </c>
      <c r="F45" s="48" t="inlineStr">
        <is>
          <t>(55)Indigo</t>
        </is>
      </c>
      <c r="G45" s="36" t="n"/>
      <c r="H45" s="36" t="n"/>
    </row>
    <row r="46" ht="14.25" customHeight="1" s="103">
      <c r="A46" s="60" t="n">
        <v>19</v>
      </c>
      <c r="B46" s="61" t="inlineStr">
        <is>
          <t>(19)Black</t>
        </is>
      </c>
      <c r="C46" s="36" t="n"/>
      <c r="D46" s="36" t="n"/>
      <c r="E46" s="60" t="n">
        <v>56</v>
      </c>
      <c r="F46" s="61" t="inlineStr">
        <is>
          <t>(56)L/Indigo</t>
        </is>
      </c>
      <c r="G46" s="36" t="n"/>
      <c r="H46" s="36" t="n"/>
    </row>
    <row r="47" ht="14.25" customHeight="1" s="103">
      <c r="A47" s="47" t="n">
        <v>20</v>
      </c>
      <c r="B47" s="48" t="inlineStr">
        <is>
          <t>(20)Red</t>
        </is>
      </c>
      <c r="C47" s="36" t="n"/>
      <c r="D47" s="36" t="n"/>
      <c r="E47" s="47" t="n">
        <v>57</v>
      </c>
      <c r="F47" s="48" t="inlineStr">
        <is>
          <t>(57)D/Indigo</t>
        </is>
      </c>
      <c r="G47" s="36" t="n"/>
      <c r="H47" s="36" t="n"/>
    </row>
    <row r="48" ht="14.25" customHeight="1" s="103">
      <c r="A48" s="60" t="n">
        <v>25</v>
      </c>
      <c r="B48" s="61" t="inlineStr">
        <is>
          <t>(25)Pink</t>
        </is>
      </c>
      <c r="C48" s="36" t="n"/>
      <c r="D48" s="36" t="n"/>
      <c r="E48" s="60" t="n">
        <v>59</v>
      </c>
      <c r="F48" s="61" t="inlineStr">
        <is>
          <t>(59)Navy</t>
        </is>
      </c>
      <c r="G48" s="36" t="n"/>
      <c r="H48" s="36" t="n"/>
    </row>
    <row r="49" ht="14.25" customHeight="1" s="103">
      <c r="A49" s="47" t="n">
        <v>26</v>
      </c>
      <c r="B49" s="48" t="inlineStr">
        <is>
          <t>(26)L/Pink</t>
        </is>
      </c>
      <c r="C49" s="36" t="n"/>
      <c r="D49" s="36" t="n"/>
      <c r="E49" s="47" t="n">
        <v>62</v>
      </c>
      <c r="F49" s="48" t="inlineStr">
        <is>
          <t>(62)Hunter</t>
        </is>
      </c>
      <c r="G49" s="36" t="n"/>
      <c r="H49" s="36" t="n"/>
    </row>
    <row r="50" ht="14.25" customHeight="1" s="103">
      <c r="A50" s="60" t="n">
        <v>27</v>
      </c>
      <c r="B50" s="61" t="inlineStr">
        <is>
          <t>(27)D/Pink</t>
        </is>
      </c>
      <c r="C50" s="36" t="n"/>
      <c r="D50" s="36" t="n"/>
      <c r="E50" s="60" t="n">
        <v>64</v>
      </c>
      <c r="F50" s="61" t="inlineStr">
        <is>
          <t>(64)Cream</t>
        </is>
      </c>
      <c r="G50" s="36" t="n"/>
      <c r="H50" s="36" t="n"/>
    </row>
    <row r="51" ht="14.25" customHeight="1" s="103">
      <c r="A51" s="47" t="n">
        <v>30</v>
      </c>
      <c r="B51" s="48" t="inlineStr">
        <is>
          <t>(30)Yellow</t>
        </is>
      </c>
      <c r="C51" s="36" t="n"/>
      <c r="D51" s="36" t="n"/>
      <c r="E51" s="47" t="n">
        <v>70</v>
      </c>
      <c r="F51" s="48" t="inlineStr">
        <is>
          <t>(70)Violet</t>
        </is>
      </c>
      <c r="G51" s="36" t="n"/>
      <c r="H51" s="36" t="n"/>
    </row>
    <row r="52" ht="14.25" customHeight="1" s="103">
      <c r="A52" s="60" t="n">
        <v>31</v>
      </c>
      <c r="B52" s="61" t="inlineStr">
        <is>
          <t>(31)L/Yellow</t>
        </is>
      </c>
      <c r="C52" s="36" t="n"/>
      <c r="D52" s="36" t="n"/>
      <c r="E52" s="60" t="n">
        <v>75</v>
      </c>
      <c r="F52" s="61" t="inlineStr">
        <is>
          <t>(75)Purple</t>
        </is>
      </c>
      <c r="G52" s="36" t="n"/>
      <c r="H52" s="36" t="n"/>
    </row>
    <row r="53" ht="14.25" customHeight="1" s="103">
      <c r="A53" s="47" t="n">
        <v>32</v>
      </c>
      <c r="B53" s="48" t="inlineStr">
        <is>
          <t>(32)Mustard Yellow</t>
        </is>
      </c>
      <c r="C53" s="36" t="n"/>
      <c r="D53" s="36" t="n"/>
      <c r="E53" s="47" t="n">
        <v>79</v>
      </c>
      <c r="F53" s="48" t="inlineStr">
        <is>
          <t>(79)Olive Green</t>
        </is>
      </c>
      <c r="G53" s="36" t="n"/>
      <c r="H53" s="36" t="n"/>
    </row>
    <row r="54" ht="14.25" customHeight="1" s="103">
      <c r="A54" s="60" t="n">
        <v>35</v>
      </c>
      <c r="B54" s="61" t="inlineStr">
        <is>
          <t>(35)Beige</t>
        </is>
      </c>
      <c r="C54" s="36" t="n"/>
      <c r="D54" s="36" t="n"/>
      <c r="E54" s="60" t="n">
        <v>84</v>
      </c>
      <c r="F54" s="61" t="inlineStr">
        <is>
          <t>(84)Mint</t>
        </is>
      </c>
      <c r="G54" s="36" t="n"/>
      <c r="H54" s="36" t="n"/>
    </row>
    <row r="55" ht="14.25" customHeight="1" s="103">
      <c r="A55" s="47" t="n">
        <v>36</v>
      </c>
      <c r="B55" s="48" t="inlineStr">
        <is>
          <t>(36)L/Beige</t>
        </is>
      </c>
      <c r="C55" s="36" t="n"/>
      <c r="D55" s="36" t="n"/>
      <c r="E55" s="47" t="n">
        <v>85</v>
      </c>
      <c r="F55" s="48" t="inlineStr">
        <is>
          <t>(85)Brown</t>
        </is>
      </c>
      <c r="G55" s="36" t="n"/>
      <c r="H55" s="36" t="n"/>
    </row>
    <row r="56" ht="14.25" customHeight="1" s="103">
      <c r="A56" s="60" t="n">
        <v>37</v>
      </c>
      <c r="B56" s="61" t="inlineStr">
        <is>
          <t>(37)D/Beige</t>
        </is>
      </c>
      <c r="C56" s="36" t="n"/>
      <c r="D56" s="36" t="n"/>
      <c r="E56" s="60" t="n">
        <v>86</v>
      </c>
      <c r="F56" s="61" t="inlineStr">
        <is>
          <t>(86)Light Brown</t>
        </is>
      </c>
      <c r="G56" s="36" t="n"/>
      <c r="H56" s="36" t="n"/>
    </row>
    <row r="57" ht="14.25" customHeight="1" s="103">
      <c r="A57" s="47" t="n">
        <v>39</v>
      </c>
      <c r="B57" s="48" t="inlineStr">
        <is>
          <t>(39)Ivory</t>
        </is>
      </c>
      <c r="C57" s="36" t="n"/>
      <c r="D57" s="36" t="n"/>
      <c r="E57" s="47" t="n">
        <v>88</v>
      </c>
      <c r="F57" s="48" t="inlineStr">
        <is>
          <t>(88)Lavender</t>
        </is>
      </c>
      <c r="G57" s="36" t="n"/>
      <c r="H57" s="36" t="n"/>
    </row>
    <row r="58" ht="14.25" customHeight="1" s="103">
      <c r="A58" s="60" t="n">
        <v>40</v>
      </c>
      <c r="B58" s="61" t="inlineStr">
        <is>
          <t>(40)Green</t>
        </is>
      </c>
      <c r="C58" s="36" t="n"/>
      <c r="D58" s="36" t="n"/>
      <c r="E58" s="60" t="n">
        <v>92</v>
      </c>
      <c r="F58" s="61" t="inlineStr">
        <is>
          <t>(92)Gold</t>
        </is>
      </c>
      <c r="G58" s="36" t="n"/>
      <c r="H58" s="36" t="n"/>
    </row>
    <row r="59" ht="14.25" customHeight="1" s="103">
      <c r="A59" s="47" t="n">
        <v>41</v>
      </c>
      <c r="B59" s="48" t="inlineStr">
        <is>
          <t>(41)L/Green</t>
        </is>
      </c>
      <c r="C59" s="36" t="n"/>
      <c r="D59" s="36" t="n"/>
      <c r="E59" s="47" t="n">
        <v>95</v>
      </c>
      <c r="F59" s="48" t="inlineStr">
        <is>
          <t>(95)Twotone</t>
        </is>
      </c>
      <c r="G59" s="36" t="n"/>
      <c r="H59" s="36" t="n"/>
    </row>
    <row r="60" ht="14.25" customHeight="1" s="103">
      <c r="A60" s="60" t="n">
        <v>42</v>
      </c>
      <c r="B60" s="61" t="inlineStr">
        <is>
          <t>(42)M/Green</t>
        </is>
      </c>
      <c r="C60" s="36" t="n"/>
      <c r="D60" s="36" t="n"/>
      <c r="E60" s="60" t="n">
        <v>99</v>
      </c>
      <c r="F60" s="61" t="inlineStr">
        <is>
          <t>(99)Mix</t>
        </is>
      </c>
      <c r="G60" s="36" t="n"/>
      <c r="H60" s="36" t="n"/>
    </row>
  </sheetData>
  <mergeCells count="3">
    <mergeCell ref="A3:G3"/>
    <mergeCell ref="A39:G39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LAYOUT0514">
    <outlinePr summaryBelow="1" summaryRight="1"/>
    <pageSetUpPr/>
  </sheetPr>
  <dimension ref="A1:Z555"/>
  <sheetViews>
    <sheetView zoomScale="70" zoomScaleNormal="70" workbookViewId="0">
      <selection activeCell="T20" sqref="T20"/>
    </sheetView>
  </sheetViews>
  <sheetFormatPr baseColWidth="8" defaultColWidth="9" defaultRowHeight="14.25"/>
  <cols>
    <col width="4" customWidth="1" style="31" min="1" max="1"/>
    <col width="6.42857142857143" customWidth="1" style="22" min="2" max="2"/>
    <col width="24.7142857142857" customWidth="1" style="31" min="3" max="3"/>
    <col width="9.142857142857141" customWidth="1" style="31" min="4" max="4"/>
    <col width="9.71428571428571" customWidth="1" style="31" min="5" max="5"/>
    <col width="20.8571428571429" customWidth="1" style="31" min="6" max="8"/>
    <col width="13.2857142857143" customWidth="1" style="31" min="9" max="9"/>
    <col width="8.71428571428571" customWidth="1" style="31" min="10" max="10"/>
    <col width="13.7142857142857" customWidth="1" style="31" min="11" max="11"/>
    <col width="8.857142857142859" customWidth="1" style="31" min="12" max="12"/>
    <col width="9.428571428571431" customWidth="1" style="31" min="13" max="14"/>
    <col width="14.4285714285714" customWidth="1" style="31" min="15" max="15"/>
    <col width="12.5714285714286" customWidth="1" style="31" min="16" max="16"/>
    <col width="13" customWidth="1" style="31" min="17" max="17"/>
    <col width="13.7142857142857" customWidth="1" style="31" min="18" max="26"/>
  </cols>
  <sheetData>
    <row r="1" ht="33" customFormat="1" customHeight="1" s="19">
      <c r="A1" s="23" t="n"/>
      <c r="B1" s="24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>
        <f>SUM(L3:L555)</f>
        <v/>
      </c>
      <c r="M1" s="23" t="n"/>
      <c r="N1" s="23">
        <f>SUM(N3:N555)</f>
        <v/>
      </c>
      <c r="O1" s="23" t="n"/>
      <c r="P1" s="23">
        <f>SUM(P3:P555)</f>
        <v/>
      </c>
      <c r="Q1" s="23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33" customFormat="1" customHeight="1" s="20">
      <c r="A2" s="24" t="n"/>
      <c r="B2" s="24" t="inlineStr">
        <is>
          <t>id</t>
        </is>
      </c>
      <c r="C2" s="24" t="inlineStr">
        <is>
          <t>name</t>
        </is>
      </c>
      <c r="D2" s="24" t="inlineStr">
        <is>
          <t>kind</t>
        </is>
      </c>
      <c r="E2" s="24" t="inlineStr">
        <is>
          <t>zone</t>
        </is>
      </c>
      <c r="F2" s="24" t="inlineStr">
        <is>
          <t>스타일번호 Style No.</t>
        </is>
      </c>
      <c r="G2" s="24" t="inlineStr">
        <is>
          <t>스타일번호 Style No.</t>
        </is>
      </c>
      <c r="H2" s="24" t="inlineStr">
        <is>
          <t>스타일명 Style 名称</t>
        </is>
      </c>
      <c r="I2" s="24" t="inlineStr">
        <is>
          <t>카테고리品类划分</t>
        </is>
      </c>
      <c r="J2" s="24" t="inlineStr">
        <is>
          <t>컬러 Color</t>
        </is>
      </c>
      <c r="K2" s="24" t="inlineStr">
        <is>
          <t>컬러 Color</t>
        </is>
      </c>
      <c r="L2" s="24" t="inlineStr">
        <is>
          <t>陈列数量</t>
        </is>
      </c>
      <c r="M2" s="24" t="inlineStr">
        <is>
          <t>单价</t>
        </is>
      </c>
      <c r="N2" s="24" t="inlineStr">
        <is>
          <t>销售数量
판매수량</t>
        </is>
      </c>
      <c r="O2" s="24" t="inlineStr">
        <is>
          <t>TIPS</t>
        </is>
      </c>
      <c r="P2" s="24" t="inlineStr">
        <is>
          <t>총매출</t>
        </is>
      </c>
      <c r="Q2" s="24" t="inlineStr">
        <is>
          <t>스타일명 名称备注</t>
        </is>
      </c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31" t="n">
        <v>1</v>
      </c>
      <c r="B3" s="22" t="inlineStr">
        <is>
          <t>F001</t>
        </is>
      </c>
      <c r="C3" s="31" t="inlineStr">
        <is>
          <t>FACE 001</t>
        </is>
      </c>
      <c r="D3" s="31">
        <f>LEFT(C3,4)</f>
        <v/>
      </c>
      <c r="E3" s="29" t="inlineStr">
        <is>
          <t>여성존</t>
        </is>
      </c>
      <c r="F3" s="31" t="inlineStr">
        <is>
          <t>EEVWG24E0159165</t>
        </is>
      </c>
      <c r="G3" s="31">
        <f>LEFT(F3,10)</f>
        <v/>
      </c>
      <c r="H3" s="31">
        <f>MID(G3,3,2)</f>
        <v/>
      </c>
      <c r="I3" s="31">
        <f>VLOOKUP(H3,color!E:G,2,0)</f>
        <v/>
      </c>
      <c r="J3" s="31" t="n">
        <v>59</v>
      </c>
      <c r="K3" s="31">
        <f>VLOOKUP(J3,color!A:C,2,0)</f>
        <v/>
      </c>
      <c r="L3" s="31" t="n">
        <v>1</v>
      </c>
      <c r="M3" s="31">
        <f>VLOOKUP(F3,'卖场库存0422-0512'!M:R,5,0)</f>
        <v/>
      </c>
      <c r="N3" s="31">
        <f>VLOOKUP(F3,'卖场库存0422-0512'!M:S,6,0)</f>
        <v/>
      </c>
      <c r="O3" s="31" t="inlineStr">
        <is>
          <t>Sleeve out</t>
        </is>
      </c>
      <c r="P3" s="31">
        <f>VLOOKUP(F3,'卖场库存0422-0512'!M:S,7,0)</f>
        <v/>
      </c>
      <c r="Q3" s="31">
        <f>VLOOKUP(H3,color!E:G,3,0)</f>
        <v/>
      </c>
    </row>
    <row r="4">
      <c r="A4" s="31" t="n">
        <v>2</v>
      </c>
      <c r="B4" s="22" t="inlineStr">
        <is>
          <t>F001</t>
        </is>
      </c>
      <c r="C4" s="31" t="inlineStr">
        <is>
          <t>FACE 001</t>
        </is>
      </c>
      <c r="D4" s="31">
        <f>LEFT(C4,4)</f>
        <v/>
      </c>
      <c r="E4" s="29" t="inlineStr">
        <is>
          <t>여성존</t>
        </is>
      </c>
      <c r="F4" s="31" t="inlineStr">
        <is>
          <t>EEVWG24E0139165</t>
        </is>
      </c>
      <c r="G4" s="31">
        <f>LEFT(F4,10)</f>
        <v/>
      </c>
      <c r="H4" s="31">
        <f>MID(G4,3,2)</f>
        <v/>
      </c>
      <c r="I4" s="31">
        <f>VLOOKUP(H4,color!E:G,2,0)</f>
        <v/>
      </c>
      <c r="J4" s="31" t="n">
        <v>39</v>
      </c>
      <c r="K4" s="31">
        <f>VLOOKUP(J4,color!A:C,2,0)</f>
        <v/>
      </c>
      <c r="L4" s="31" t="n">
        <v>1</v>
      </c>
      <c r="M4" s="31">
        <f>VLOOKUP(F4,'卖场库存0422-0512'!M:R,5,0)</f>
        <v/>
      </c>
      <c r="N4" s="31">
        <f>VLOOKUP(F4,'卖场库存0422-0512'!M:S,6,0)</f>
        <v/>
      </c>
      <c r="O4" s="31" t="inlineStr">
        <is>
          <t>Sleeve out</t>
        </is>
      </c>
      <c r="P4" s="30">
        <f>VLOOKUP(F4,'卖场库存0422-0512'!M:S,7,0)</f>
        <v/>
      </c>
      <c r="Q4" s="31">
        <f>VLOOKUP(H4,color!E:G,3,0)</f>
        <v/>
      </c>
    </row>
    <row r="5">
      <c r="A5" s="31" t="n">
        <v>3</v>
      </c>
      <c r="B5" s="22" t="inlineStr">
        <is>
          <t>F001</t>
        </is>
      </c>
      <c r="C5" s="31" t="inlineStr">
        <is>
          <t>FACE 001</t>
        </is>
      </c>
      <c r="D5" s="31">
        <f>LEFT(C5,4)</f>
        <v/>
      </c>
      <c r="E5" s="29" t="inlineStr">
        <is>
          <t>여성존</t>
        </is>
      </c>
      <c r="F5" s="31" t="inlineStr">
        <is>
          <t>EEYWG25E0339160</t>
        </is>
      </c>
      <c r="G5" s="31">
        <f>LEFT(F5,10)</f>
        <v/>
      </c>
      <c r="H5" s="31">
        <f>MID(G5,3,2)</f>
        <v/>
      </c>
      <c r="I5" s="31">
        <f>VLOOKUP(H5,color!E:G,2,0)</f>
        <v/>
      </c>
      <c r="J5" s="31" t="n">
        <v>39</v>
      </c>
      <c r="K5" s="31">
        <f>VLOOKUP(J5,color!A:C,2,0)</f>
        <v/>
      </c>
      <c r="L5" s="31" t="n">
        <v>1</v>
      </c>
      <c r="M5" s="31">
        <f>VLOOKUP(F5,'卖场库存0422-0512'!M:R,5,0)</f>
        <v/>
      </c>
      <c r="N5" s="31">
        <f>VLOOKUP(F5,'卖场库存0422-0512'!M:S,6,0)</f>
        <v/>
      </c>
      <c r="O5" s="31" t="inlineStr">
        <is>
          <t>Sleeve out</t>
        </is>
      </c>
      <c r="P5" s="30">
        <f>VLOOKUP(F5,'卖场库存0422-0512'!M:S,7,0)</f>
        <v/>
      </c>
      <c r="Q5" s="31">
        <f>VLOOKUP(H5,color!E:G,3,0)</f>
        <v/>
      </c>
    </row>
    <row r="6">
      <c r="A6" s="31" t="n">
        <v>4</v>
      </c>
      <c r="B6" s="22" t="inlineStr">
        <is>
          <t>F001</t>
        </is>
      </c>
      <c r="C6" s="31" t="inlineStr">
        <is>
          <t>FACE 001</t>
        </is>
      </c>
      <c r="D6" s="31">
        <f>LEFT(C6,4)</f>
        <v/>
      </c>
      <c r="E6" s="29" t="inlineStr">
        <is>
          <t>여성존</t>
        </is>
      </c>
      <c r="F6" s="31" t="inlineStr">
        <is>
          <t>EEWHG24E0239160</t>
        </is>
      </c>
      <c r="G6" s="31">
        <f>LEFT(F6,10)</f>
        <v/>
      </c>
      <c r="H6" s="31">
        <f>MID(G6,3,2)</f>
        <v/>
      </c>
      <c r="I6" s="31">
        <f>VLOOKUP(H6,color!E:G,2,0)</f>
        <v/>
      </c>
      <c r="J6" s="31" t="n">
        <v>39</v>
      </c>
      <c r="K6" s="31">
        <f>VLOOKUP(J6,color!A:C,2,0)</f>
        <v/>
      </c>
      <c r="L6" s="31" t="n">
        <v>1</v>
      </c>
      <c r="M6" s="31">
        <f>VLOOKUP(F6,'卖场库存0422-0512'!M:R,5,0)</f>
        <v/>
      </c>
      <c r="N6" s="31">
        <f>VLOOKUP(F6,'卖场库存0422-0512'!M:S,6,0)</f>
        <v/>
      </c>
      <c r="O6" s="31" t="inlineStr">
        <is>
          <t>Sleeve out</t>
        </is>
      </c>
      <c r="P6" s="30">
        <f>VLOOKUP(F6,'卖场库存0422-0512'!M:S,7,0)</f>
        <v/>
      </c>
      <c r="Q6" s="31">
        <f>VLOOKUP(H6,color!E:G,3,0)</f>
        <v/>
      </c>
    </row>
    <row r="7">
      <c r="A7" s="31" t="n">
        <v>5</v>
      </c>
      <c r="B7" s="22" t="inlineStr">
        <is>
          <t>F001</t>
        </is>
      </c>
      <c r="C7" s="31" t="inlineStr">
        <is>
          <t>FACE 001</t>
        </is>
      </c>
      <c r="D7" s="31">
        <f>LEFT(C7,4)</f>
        <v/>
      </c>
      <c r="E7" s="29" t="inlineStr">
        <is>
          <t>여성존</t>
        </is>
      </c>
      <c r="F7" s="31" t="inlineStr">
        <is>
          <t>EERAG24E0439170</t>
        </is>
      </c>
      <c r="G7" s="31">
        <f>LEFT(F7,10)</f>
        <v/>
      </c>
      <c r="H7" s="31">
        <f>MID(G7,3,2)</f>
        <v/>
      </c>
      <c r="I7" s="31">
        <f>VLOOKUP(H7,color!E:G,2,0)</f>
        <v/>
      </c>
      <c r="J7" s="31" t="n">
        <v>39</v>
      </c>
      <c r="K7" s="31">
        <f>VLOOKUP(J7,color!A:C,2,0)</f>
        <v/>
      </c>
      <c r="L7" s="31" t="n">
        <v>1</v>
      </c>
      <c r="M7" s="31">
        <f>VLOOKUP(F7,'卖场库存0422-0512'!M:R,5,0)</f>
        <v/>
      </c>
      <c r="N7" s="31">
        <f>VLOOKUP(F7,'卖场库存0422-0512'!M:S,6,0)</f>
        <v/>
      </c>
      <c r="O7" s="31" t="inlineStr">
        <is>
          <t>Sleeve out</t>
        </is>
      </c>
      <c r="P7" s="30">
        <f>VLOOKUP(F7,'卖场库存0422-0512'!M:S,7,0)</f>
        <v/>
      </c>
      <c r="Q7" s="31">
        <f>VLOOKUP(H7,color!E:G,3,0)</f>
        <v/>
      </c>
    </row>
    <row r="8">
      <c r="A8" s="31" t="n">
        <v>6</v>
      </c>
      <c r="B8" s="22" t="inlineStr">
        <is>
          <t>F001</t>
        </is>
      </c>
      <c r="C8" s="31" t="inlineStr">
        <is>
          <t>FACE 001</t>
        </is>
      </c>
      <c r="D8" s="31">
        <f>LEFT(C8,4)</f>
        <v/>
      </c>
      <c r="E8" s="29" t="inlineStr">
        <is>
          <t>여성존</t>
        </is>
      </c>
      <c r="F8" s="31" t="inlineStr">
        <is>
          <t>EEYWG25E0159165</t>
        </is>
      </c>
      <c r="G8" s="31">
        <f>LEFT(F8,10)</f>
        <v/>
      </c>
      <c r="H8" s="31">
        <f>MID(G8,3,2)</f>
        <v/>
      </c>
      <c r="I8" s="31">
        <f>VLOOKUP(H8,color!E:G,2,0)</f>
        <v/>
      </c>
      <c r="J8" s="31" t="n">
        <v>59</v>
      </c>
      <c r="K8" s="31">
        <f>VLOOKUP(J8,color!A:C,2,0)</f>
        <v/>
      </c>
      <c r="L8" s="31" t="n">
        <v>1</v>
      </c>
      <c r="M8" s="31">
        <f>VLOOKUP(F8,'卖场库存0422-0512'!M:R,5,0)</f>
        <v/>
      </c>
      <c r="N8" s="31">
        <f>VLOOKUP(F8,'卖场库存0422-0512'!M:S,6,0)</f>
        <v/>
      </c>
      <c r="O8" s="31" t="inlineStr">
        <is>
          <t>Sleeve out</t>
        </is>
      </c>
      <c r="P8" s="30">
        <f>VLOOKUP(F8,'卖场库存0422-0512'!M:S,7,0)</f>
        <v/>
      </c>
      <c r="Q8" s="31">
        <f>VLOOKUP(H8,color!E:G,3,0)</f>
        <v/>
      </c>
    </row>
    <row r="9">
      <c r="A9" s="31" t="n">
        <v>7</v>
      </c>
      <c r="B9" s="22" t="inlineStr">
        <is>
          <t>F001</t>
        </is>
      </c>
      <c r="C9" s="31" t="inlineStr">
        <is>
          <t>FACE 001</t>
        </is>
      </c>
      <c r="D9" s="31">
        <f>LEFT(C9,4)</f>
        <v/>
      </c>
      <c r="E9" s="29" t="inlineStr">
        <is>
          <t>여성존</t>
        </is>
      </c>
      <c r="F9" s="31" t="inlineStr">
        <is>
          <t>EETAG24E0259165</t>
        </is>
      </c>
      <c r="G9" s="31">
        <f>LEFT(F9,10)</f>
        <v/>
      </c>
      <c r="H9" s="31">
        <f>MID(G9,3,2)</f>
        <v/>
      </c>
      <c r="I9" s="31">
        <f>VLOOKUP(H9,color!E:G,2,0)</f>
        <v/>
      </c>
      <c r="J9" s="31" t="n">
        <v>59</v>
      </c>
      <c r="K9" s="31">
        <f>VLOOKUP(J9,color!A:C,2,0)</f>
        <v/>
      </c>
      <c r="L9" s="31" t="n">
        <v>1</v>
      </c>
      <c r="M9" s="31">
        <f>VLOOKUP(F9,'卖场库存0422-0512'!M:R,5,0)</f>
        <v/>
      </c>
      <c r="N9" s="31">
        <f>VLOOKUP(F9,'卖场库存0422-0512'!M:S,6,0)</f>
        <v/>
      </c>
      <c r="O9" s="31" t="inlineStr">
        <is>
          <t>Sleeve out</t>
        </is>
      </c>
      <c r="P9" s="30">
        <f>VLOOKUP(F9,'卖场库存0422-0512'!M:S,7,0)</f>
        <v/>
      </c>
      <c r="Q9" s="31">
        <f>VLOOKUP(H9,color!E:G,3,0)</f>
        <v/>
      </c>
    </row>
    <row r="10">
      <c r="A10" s="31" t="n">
        <v>8</v>
      </c>
      <c r="B10" s="22" t="inlineStr">
        <is>
          <t>F001</t>
        </is>
      </c>
      <c r="C10" s="31" t="inlineStr">
        <is>
          <t>FACE 001</t>
        </is>
      </c>
      <c r="D10" s="31">
        <f>LEFT(C10,4)</f>
        <v/>
      </c>
      <c r="E10" s="29" t="inlineStr">
        <is>
          <t>여성존</t>
        </is>
      </c>
      <c r="F10" s="31" t="inlineStr">
        <is>
          <t>EEYWG25E0139160</t>
        </is>
      </c>
      <c r="G10" s="31">
        <f>LEFT(F10,10)</f>
        <v/>
      </c>
      <c r="H10" s="31">
        <f>MID(G10,3,2)</f>
        <v/>
      </c>
      <c r="I10" s="31">
        <f>VLOOKUP(H10,color!E:G,2,0)</f>
        <v/>
      </c>
      <c r="J10" s="31" t="n">
        <v>39</v>
      </c>
      <c r="K10" s="31">
        <f>VLOOKUP(J10,color!A:C,2,0)</f>
        <v/>
      </c>
      <c r="L10" s="31" t="n">
        <v>1</v>
      </c>
      <c r="M10" s="31">
        <f>VLOOKUP(F10,'卖场库存0422-0512'!M:R,5,0)</f>
        <v/>
      </c>
      <c r="N10" s="31">
        <f>VLOOKUP(F10,'卖场库存0422-0512'!M:S,6,0)</f>
        <v/>
      </c>
      <c r="O10" s="31" t="inlineStr">
        <is>
          <t>Sleeve out</t>
        </is>
      </c>
      <c r="P10" s="30">
        <f>VLOOKUP(F10,'卖场库存0422-0512'!M:S,7,0)</f>
        <v/>
      </c>
      <c r="Q10" s="31">
        <f>VLOOKUP(H10,color!E:G,3,0)</f>
        <v/>
      </c>
    </row>
    <row r="11">
      <c r="A11" s="31" t="n">
        <v>9</v>
      </c>
      <c r="B11" s="22" t="inlineStr">
        <is>
          <t>F001</t>
        </is>
      </c>
      <c r="C11" s="31" t="inlineStr">
        <is>
          <t>FACE 001</t>
        </is>
      </c>
      <c r="D11" s="31">
        <f>LEFT(C11,4)</f>
        <v/>
      </c>
      <c r="E11" s="29" t="inlineStr">
        <is>
          <t>여성존</t>
        </is>
      </c>
      <c r="F11" s="31" t="inlineStr">
        <is>
          <t>EEWHG25B0839160</t>
        </is>
      </c>
      <c r="G11" s="31">
        <f>LEFT(F12,10)</f>
        <v/>
      </c>
      <c r="H11" s="31">
        <f>MID(G11,3,2)</f>
        <v/>
      </c>
      <c r="I11" s="31">
        <f>VLOOKUP(H11,color!E:G,2,0)</f>
        <v/>
      </c>
      <c r="J11" s="31" t="n">
        <v>39</v>
      </c>
      <c r="K11" s="31">
        <f>VLOOKUP(J11,color!A:C,2,0)</f>
        <v/>
      </c>
      <c r="L11" s="31" t="n">
        <v>1</v>
      </c>
      <c r="M11" s="31">
        <f>VLOOKUP(F11,'卖场库存0422-0512'!M:R,5,0)</f>
        <v/>
      </c>
      <c r="N11" s="31">
        <f>VLOOKUP(F11,'卖场库存0422-0512'!M:S,6,0)</f>
        <v/>
      </c>
      <c r="O11" s="31" t="inlineStr">
        <is>
          <t>Sleeve out</t>
        </is>
      </c>
      <c r="P11" s="30">
        <f>VLOOKUP(F11,'卖场库存0422-0512'!M:S,7,0)</f>
        <v/>
      </c>
      <c r="Q11" s="31">
        <f>VLOOKUP(H11,color!E:G,3,0)</f>
        <v/>
      </c>
    </row>
    <row r="12">
      <c r="A12" s="31" t="n">
        <v>10</v>
      </c>
      <c r="B12" s="22" t="inlineStr">
        <is>
          <t>F001</t>
        </is>
      </c>
      <c r="C12" s="31" t="inlineStr">
        <is>
          <t>FACE 001</t>
        </is>
      </c>
      <c r="D12" s="31">
        <f>LEFT(C12,4)</f>
        <v/>
      </c>
      <c r="E12" s="29" t="inlineStr">
        <is>
          <t>여성존</t>
        </is>
      </c>
      <c r="F12" s="31" t="inlineStr">
        <is>
          <t>EEYWG25E0339165</t>
        </is>
      </c>
      <c r="G12" s="31">
        <f>LEFT(F13,10)</f>
        <v/>
      </c>
      <c r="H12" s="31">
        <f>MID(G12,3,2)</f>
        <v/>
      </c>
      <c r="I12" s="31">
        <f>VLOOKUP(H12,color!E:G,2,0)</f>
        <v/>
      </c>
      <c r="J12" s="31" t="n">
        <v>39</v>
      </c>
      <c r="K12" s="31">
        <f>VLOOKUP(J12,color!A:C,2,0)</f>
        <v/>
      </c>
      <c r="L12" s="31" t="n">
        <v>1</v>
      </c>
      <c r="M12" s="31">
        <f>VLOOKUP(F12,'卖场库存0422-0512'!M:R,5,0)</f>
        <v/>
      </c>
      <c r="N12" s="31">
        <f>VLOOKUP(F12,'卖场库存0422-0512'!M:S,6,0)</f>
        <v/>
      </c>
      <c r="O12" s="31" t="inlineStr">
        <is>
          <t>Sleeve out</t>
        </is>
      </c>
      <c r="P12" s="30">
        <f>VLOOKUP(F12,'卖场库存0422-0512'!M:S,7,0)</f>
        <v/>
      </c>
      <c r="Q12" s="31">
        <f>VLOOKUP(H12,color!E:G,3,0)</f>
        <v/>
      </c>
    </row>
    <row r="13">
      <c r="A13" s="31" t="n">
        <v>11</v>
      </c>
      <c r="B13" s="22" t="inlineStr">
        <is>
          <t>F001</t>
        </is>
      </c>
      <c r="C13" s="31" t="inlineStr">
        <is>
          <t>FACE 001</t>
        </is>
      </c>
      <c r="D13" s="31">
        <f>LEFT(C13,4)</f>
        <v/>
      </c>
      <c r="E13" s="29" t="inlineStr">
        <is>
          <t>여성존</t>
        </is>
      </c>
      <c r="F13" s="31" t="inlineStr">
        <is>
          <t>EEWHG24E0239165</t>
        </is>
      </c>
      <c r="G13" s="31">
        <f>LEFT(F14,10)</f>
        <v/>
      </c>
      <c r="H13" s="31">
        <f>MID(G13,3,2)</f>
        <v/>
      </c>
      <c r="I13" s="31">
        <f>VLOOKUP(H13,color!E:G,2,0)</f>
        <v/>
      </c>
      <c r="J13" s="31" t="n">
        <v>39</v>
      </c>
      <c r="K13" s="31">
        <f>VLOOKUP(J13,color!A:C,2,0)</f>
        <v/>
      </c>
      <c r="L13" s="31" t="n">
        <v>1</v>
      </c>
      <c r="M13" s="31">
        <f>VLOOKUP(F13,'卖场库存0422-0512'!M:R,5,0)</f>
        <v/>
      </c>
      <c r="N13" s="31">
        <f>VLOOKUP(F13,'卖场库存0422-0512'!M:S,6,0)</f>
        <v/>
      </c>
      <c r="O13" s="31" t="inlineStr">
        <is>
          <t>Sleeve out</t>
        </is>
      </c>
      <c r="P13" s="30">
        <f>VLOOKUP(F13,'卖场库存0422-0512'!M:S,7,0)</f>
        <v/>
      </c>
      <c r="Q13" s="31">
        <f>VLOOKUP(H13,color!E:G,3,0)</f>
        <v/>
      </c>
    </row>
    <row r="14">
      <c r="A14" s="31" t="n">
        <v>12</v>
      </c>
      <c r="B14" s="22" t="inlineStr">
        <is>
          <t>F001</t>
        </is>
      </c>
      <c r="C14" s="31" t="inlineStr">
        <is>
          <t>FACE 001</t>
        </is>
      </c>
      <c r="D14" s="31">
        <f>LEFT(C14,4)</f>
        <v/>
      </c>
      <c r="E14" s="29" t="inlineStr">
        <is>
          <t>여성존</t>
        </is>
      </c>
      <c r="F14" s="31" t="inlineStr">
        <is>
          <t>EEYWG25E0339165</t>
        </is>
      </c>
      <c r="G14" s="31">
        <f>LEFT(F14,10)</f>
        <v/>
      </c>
      <c r="H14" s="31">
        <f>MID(G14,3,2)</f>
        <v/>
      </c>
      <c r="I14" s="31">
        <f>VLOOKUP(H14,color!E:G,2,0)</f>
        <v/>
      </c>
      <c r="J14" s="31" t="n">
        <v>39</v>
      </c>
      <c r="K14" s="31">
        <f>VLOOKUP(J14,color!A:C,2,0)</f>
        <v/>
      </c>
      <c r="L14" s="31" t="n">
        <v>1</v>
      </c>
      <c r="M14" s="31">
        <f>VLOOKUP(F14,'卖场库存0422-0512'!M:R,5,0)</f>
        <v/>
      </c>
      <c r="N14" s="31">
        <f>VLOOKUP(F14,'卖场库存0422-0512'!M:S,6,0)</f>
        <v/>
      </c>
      <c r="O14" s="31" t="inlineStr">
        <is>
          <t>Sleeve out</t>
        </is>
      </c>
      <c r="P14" s="30">
        <f>VLOOKUP(F14,'卖场库存0422-0512'!M:S,7,0)</f>
        <v/>
      </c>
      <c r="Q14" s="31">
        <f>VLOOKUP(H14,color!E:G,3,0)</f>
        <v/>
      </c>
    </row>
    <row r="15">
      <c r="A15" s="31" t="n">
        <v>13</v>
      </c>
      <c r="B15" s="22" t="inlineStr">
        <is>
          <t>F001</t>
        </is>
      </c>
      <c r="C15" s="31" t="inlineStr">
        <is>
          <t>FACE 001</t>
        </is>
      </c>
      <c r="D15" s="31">
        <f>LEFT(C15,4)</f>
        <v/>
      </c>
      <c r="E15" s="29" t="inlineStr">
        <is>
          <t>여성존</t>
        </is>
      </c>
      <c r="F15" s="31" t="inlineStr">
        <is>
          <t>EEWHG24E0239165</t>
        </is>
      </c>
      <c r="G15" s="31">
        <f>LEFT(F15,10)</f>
        <v/>
      </c>
      <c r="H15" s="31">
        <f>MID(G15,3,2)</f>
        <v/>
      </c>
      <c r="I15" s="31">
        <f>VLOOKUP(H15,color!E:G,2,0)</f>
        <v/>
      </c>
      <c r="J15" s="31" t="n">
        <v>39</v>
      </c>
      <c r="K15" s="31">
        <f>VLOOKUP(J15,color!A:C,2,0)</f>
        <v/>
      </c>
      <c r="L15" s="31" t="n">
        <v>1</v>
      </c>
      <c r="M15" s="31">
        <f>VLOOKUP(F15,'卖场库存0422-0512'!M:R,5,0)</f>
        <v/>
      </c>
      <c r="N15" s="31">
        <f>VLOOKUP(F15,'卖场库存0422-0512'!M:S,6,0)</f>
        <v/>
      </c>
      <c r="O15" s="31" t="inlineStr">
        <is>
          <t>Sleeve out</t>
        </is>
      </c>
      <c r="P15" s="30">
        <f>VLOOKUP(F15,'卖场库存0422-0512'!M:S,7,0)</f>
        <v/>
      </c>
      <c r="Q15" s="31">
        <f>VLOOKUP(H15,color!E:G,3,0)</f>
        <v/>
      </c>
    </row>
    <row r="16">
      <c r="A16" s="31" t="n">
        <v>14</v>
      </c>
      <c r="B16" s="22" t="inlineStr">
        <is>
          <t>F002</t>
        </is>
      </c>
      <c r="C16" s="31" t="inlineStr">
        <is>
          <t>FACE 002</t>
        </is>
      </c>
      <c r="D16" s="31">
        <f>LEFT(C16,4)</f>
        <v/>
      </c>
      <c r="E16" s="29" t="inlineStr">
        <is>
          <t>여성존</t>
        </is>
      </c>
      <c r="F16" s="31" t="inlineStr">
        <is>
          <t>EEVWG24E0159160</t>
        </is>
      </c>
      <c r="G16" s="31">
        <f>LEFT(F16,10)</f>
        <v/>
      </c>
      <c r="H16" s="31">
        <f>MID(G16,3,2)</f>
        <v/>
      </c>
      <c r="I16" s="31">
        <f>VLOOKUP(H16,color!E:G,2,0)</f>
        <v/>
      </c>
      <c r="J16" s="31" t="n">
        <v>59</v>
      </c>
      <c r="K16" s="31">
        <f>VLOOKUP(J16,color!A:C,2,0)</f>
        <v/>
      </c>
      <c r="L16" s="31" t="n">
        <v>1</v>
      </c>
      <c r="M16" s="31">
        <f>VLOOKUP(F16,'卖场库存0422-0512'!M:R,5,0)</f>
        <v/>
      </c>
      <c r="N16" s="31">
        <f>VLOOKUP(F16,'卖场库存0422-0512'!M:S,6,0)</f>
        <v/>
      </c>
      <c r="O16" s="31" t="inlineStr">
        <is>
          <t>Face out</t>
        </is>
      </c>
      <c r="P16" s="30">
        <f>VLOOKUP(F16,'卖场库存0422-0512'!M:S,7,0)</f>
        <v/>
      </c>
      <c r="Q16" s="31">
        <f>VLOOKUP(H16,color!E:G,3,0)</f>
        <v/>
      </c>
    </row>
    <row r="17">
      <c r="A17" s="31" t="n">
        <v>15</v>
      </c>
      <c r="B17" s="22" t="inlineStr">
        <is>
          <t>F002</t>
        </is>
      </c>
      <c r="C17" s="31" t="inlineStr">
        <is>
          <t>FACE 002</t>
        </is>
      </c>
      <c r="D17" s="31">
        <f>LEFT(C17,4)</f>
        <v/>
      </c>
      <c r="E17" s="29" t="inlineStr">
        <is>
          <t>여성존</t>
        </is>
      </c>
      <c r="F17" s="31" t="inlineStr">
        <is>
          <t>EERAG24E0439160</t>
        </is>
      </c>
      <c r="G17" s="31">
        <f>LEFT(F17,10)</f>
        <v/>
      </c>
      <c r="H17" s="31">
        <f>MID(G17,3,2)</f>
        <v/>
      </c>
      <c r="I17" s="31">
        <f>VLOOKUP(H17,color!E:G,2,0)</f>
        <v/>
      </c>
      <c r="J17" s="31" t="n">
        <v>39</v>
      </c>
      <c r="K17" s="31">
        <f>VLOOKUP(J17,color!A:C,2,0)</f>
        <v/>
      </c>
      <c r="L17" s="31" t="n">
        <v>1</v>
      </c>
      <c r="M17" s="31">
        <f>VLOOKUP(F17,'卖场库存0422-0512'!M:R,5,0)</f>
        <v/>
      </c>
      <c r="N17" s="31">
        <f>VLOOKUP(F17,'卖场库存0422-0512'!M:S,6,0)</f>
        <v/>
      </c>
      <c r="O17" s="31" t="inlineStr">
        <is>
          <t>Face out</t>
        </is>
      </c>
      <c r="P17" s="30">
        <f>VLOOKUP(F17,'卖场库存0422-0512'!M:S,7,0)</f>
        <v/>
      </c>
      <c r="Q17" s="31">
        <f>VLOOKUP(H17,color!E:G,3,0)</f>
        <v/>
      </c>
    </row>
    <row r="18">
      <c r="A18" s="31" t="n">
        <v>16</v>
      </c>
      <c r="B18" s="22" t="inlineStr">
        <is>
          <t>F002</t>
        </is>
      </c>
      <c r="C18" s="31" t="inlineStr">
        <is>
          <t>FACE 002</t>
        </is>
      </c>
      <c r="D18" s="31">
        <f>LEFT(C18,4)</f>
        <v/>
      </c>
      <c r="E18" s="29" t="inlineStr">
        <is>
          <t>여성존</t>
        </is>
      </c>
      <c r="F18" s="31" t="inlineStr">
        <is>
          <t>EEWHG23B0250160</t>
        </is>
      </c>
      <c r="G18" s="31">
        <f>LEFT(F18,10)</f>
        <v/>
      </c>
      <c r="H18" s="31">
        <f>MID(G18,3,2)</f>
        <v/>
      </c>
      <c r="I18" s="31">
        <f>VLOOKUP(H18,color!E:G,2,0)</f>
        <v/>
      </c>
      <c r="J18" s="31" t="n">
        <v>50</v>
      </c>
      <c r="K18" s="31">
        <f>VLOOKUP(J18,color!A:C,2,0)</f>
        <v/>
      </c>
      <c r="L18" s="31" t="n">
        <v>1</v>
      </c>
      <c r="M18" s="31">
        <f>VLOOKUP(F18,'卖场库存0422-0512'!M:R,5,0)</f>
        <v/>
      </c>
      <c r="N18" s="31">
        <f>VLOOKUP(F18,'卖场库存0422-0512'!M:S,6,0)</f>
        <v/>
      </c>
      <c r="O18" s="31" t="inlineStr">
        <is>
          <t>Face out</t>
        </is>
      </c>
      <c r="P18" s="30">
        <f>VLOOKUP(F18,'卖场库存0422-0512'!M:S,7,0)</f>
        <v/>
      </c>
      <c r="Q18" s="31">
        <f>VLOOKUP(H18,color!E:G,3,0)</f>
        <v/>
      </c>
    </row>
    <row r="19">
      <c r="A19" s="31" t="n">
        <v>17</v>
      </c>
      <c r="B19" s="22" t="inlineStr">
        <is>
          <t>F002</t>
        </is>
      </c>
      <c r="C19" s="31" t="inlineStr">
        <is>
          <t>FACE 002</t>
        </is>
      </c>
      <c r="D19" s="31">
        <f>LEFT(C19,4)</f>
        <v/>
      </c>
      <c r="E19" s="29" t="inlineStr">
        <is>
          <t>여성존</t>
        </is>
      </c>
      <c r="F19" s="31" t="inlineStr">
        <is>
          <t>EECKG23B0359170</t>
        </is>
      </c>
      <c r="G19" s="31">
        <f>LEFT(F19,10)</f>
        <v/>
      </c>
      <c r="H19" s="31">
        <f>MID(G19,3,2)</f>
        <v/>
      </c>
      <c r="I19" s="31">
        <f>VLOOKUP(H19,color!E:G,2,0)</f>
        <v/>
      </c>
      <c r="J19" s="31" t="n">
        <v>59</v>
      </c>
      <c r="K19" s="31">
        <f>VLOOKUP(J19,color!A:C,2,0)</f>
        <v/>
      </c>
      <c r="L19" s="31" t="n">
        <v>1</v>
      </c>
      <c r="M19" s="31">
        <f>VLOOKUP(F19,'卖场库存0422-0512'!M:R,5,0)</f>
        <v/>
      </c>
      <c r="N19" s="31">
        <f>VLOOKUP(F19,'卖场库存0422-0512'!M:S,6,0)</f>
        <v/>
      </c>
      <c r="O19" s="31" t="inlineStr">
        <is>
          <t>Face out</t>
        </is>
      </c>
      <c r="P19" s="30">
        <f>VLOOKUP(F19,'卖场库存0422-0512'!M:S,7,0)</f>
        <v/>
      </c>
      <c r="Q19" s="31">
        <f>VLOOKUP(H19,color!E:G,3,0)</f>
        <v/>
      </c>
    </row>
    <row r="20">
      <c r="A20" s="31" t="n">
        <v>18</v>
      </c>
      <c r="B20" s="22" t="inlineStr">
        <is>
          <t>F002</t>
        </is>
      </c>
      <c r="C20" s="31" t="inlineStr">
        <is>
          <t>FACE 002</t>
        </is>
      </c>
      <c r="D20" s="31">
        <f>LEFT(C20,4)</f>
        <v/>
      </c>
      <c r="E20" s="29" t="inlineStr">
        <is>
          <t>여성존</t>
        </is>
      </c>
      <c r="F20" s="31" t="inlineStr">
        <is>
          <t>EEKWG25E0259170</t>
        </is>
      </c>
      <c r="G20" s="31">
        <f>LEFT(F20,10)</f>
        <v/>
      </c>
      <c r="H20" s="31">
        <f>MID(G20,3,2)</f>
        <v/>
      </c>
      <c r="I20" s="31">
        <f>VLOOKUP(H20,color!E:G,2,0)</f>
        <v/>
      </c>
      <c r="J20" s="31" t="n">
        <v>59</v>
      </c>
      <c r="K20" s="31">
        <f>VLOOKUP(J20,color!A:C,2,0)</f>
        <v/>
      </c>
      <c r="L20" s="31" t="n">
        <v>1</v>
      </c>
      <c r="M20" s="31">
        <f>VLOOKUP(F20,'卖场库存0422-0512'!M:R,5,0)</f>
        <v/>
      </c>
      <c r="N20" s="31">
        <f>VLOOKUP(F20,'卖场库存0422-0512'!M:S,6,0)</f>
        <v/>
      </c>
      <c r="O20" s="31" t="inlineStr">
        <is>
          <t>Face out</t>
        </is>
      </c>
      <c r="P20" s="30">
        <f>VLOOKUP(F20,'卖场库存0422-0512'!M:S,7,0)</f>
        <v/>
      </c>
      <c r="Q20" s="31">
        <f>VLOOKUP(H20,color!E:G,3,0)</f>
        <v/>
      </c>
    </row>
    <row r="21">
      <c r="A21" s="31" t="n">
        <v>19</v>
      </c>
      <c r="B21" s="22" t="inlineStr">
        <is>
          <t>F002</t>
        </is>
      </c>
      <c r="C21" s="31" t="inlineStr">
        <is>
          <t>FACE 002</t>
        </is>
      </c>
      <c r="D21" s="31">
        <f>LEFT(C21,4)</f>
        <v/>
      </c>
      <c r="E21" s="29" t="inlineStr">
        <is>
          <t>여성존</t>
        </is>
      </c>
      <c r="F21" s="31" t="inlineStr">
        <is>
          <t>EETJG24E0157028</t>
        </is>
      </c>
      <c r="G21" s="31">
        <f>LEFT(F21,10)</f>
        <v/>
      </c>
      <c r="H21" s="31">
        <f>MID(G21,3,2)</f>
        <v/>
      </c>
      <c r="I21" s="31">
        <f>VLOOKUP(H21,color!E:G,2,0)</f>
        <v/>
      </c>
      <c r="J21" s="31" t="n">
        <v>57</v>
      </c>
      <c r="K21" s="31">
        <f>VLOOKUP(J21,color!A:C,2,0)</f>
        <v/>
      </c>
      <c r="L21" s="31" t="n">
        <v>1</v>
      </c>
      <c r="M21" s="31">
        <f>VLOOKUP(F21,'卖场库存0422-0512'!M:R,5,0)</f>
        <v/>
      </c>
      <c r="N21" s="31">
        <f>VLOOKUP(F21,'卖场库存0422-0512'!M:S,6,0)</f>
        <v/>
      </c>
      <c r="O21" s="31" t="inlineStr">
        <is>
          <t>Face out</t>
        </is>
      </c>
      <c r="P21" s="30">
        <f>VLOOKUP(F21,'卖场库存0422-0512'!M:S,7,0)</f>
        <v/>
      </c>
      <c r="Q21" s="31">
        <f>VLOOKUP(H21,color!E:G,3,0)</f>
        <v/>
      </c>
    </row>
    <row r="22">
      <c r="A22" s="31" t="n">
        <v>20</v>
      </c>
      <c r="B22" s="22" t="inlineStr">
        <is>
          <t>F002</t>
        </is>
      </c>
      <c r="C22" s="31" t="inlineStr">
        <is>
          <t>FACE 002</t>
        </is>
      </c>
      <c r="D22" s="31">
        <f>LEFT(C22,4)</f>
        <v/>
      </c>
      <c r="E22" s="29" t="inlineStr">
        <is>
          <t>여성존</t>
        </is>
      </c>
      <c r="F22" s="31" t="inlineStr">
        <is>
          <t>EEKWG25E0259160</t>
        </is>
      </c>
      <c r="G22" s="31">
        <f>LEFT(F22,10)</f>
        <v/>
      </c>
      <c r="H22" s="31">
        <f>MID(G22,3,2)</f>
        <v/>
      </c>
      <c r="I22" s="31">
        <f>VLOOKUP(H22,color!E:G,2,0)</f>
        <v/>
      </c>
      <c r="J22" s="31" t="n">
        <v>59</v>
      </c>
      <c r="K22" s="31">
        <f>VLOOKUP(J22,color!A:C,2,0)</f>
        <v/>
      </c>
      <c r="L22" s="31" t="n">
        <v>1</v>
      </c>
      <c r="M22" s="31">
        <f>VLOOKUP(F22,'卖场库存0422-0512'!M:R,5,0)</f>
        <v/>
      </c>
      <c r="N22" s="31">
        <f>VLOOKUP(F22,'卖场库存0422-0512'!M:S,6,0)</f>
        <v/>
      </c>
      <c r="O22" s="31" t="inlineStr">
        <is>
          <t>Sleeve out</t>
        </is>
      </c>
      <c r="P22" s="30">
        <f>VLOOKUP(F22,'卖场库存0422-0512'!M:S,7,0)</f>
        <v/>
      </c>
      <c r="Q22" s="31">
        <f>VLOOKUP(H22,color!E:G,3,0)</f>
        <v/>
      </c>
    </row>
    <row r="23">
      <c r="A23" s="31" t="n">
        <v>21</v>
      </c>
      <c r="B23" s="22" t="inlineStr">
        <is>
          <t>F002</t>
        </is>
      </c>
      <c r="C23" s="31" t="inlineStr">
        <is>
          <t>FACE 002</t>
        </is>
      </c>
      <c r="D23" s="31">
        <f>LEFT(C23,4)</f>
        <v/>
      </c>
      <c r="E23" s="29" t="inlineStr">
        <is>
          <t>여성존</t>
        </is>
      </c>
      <c r="F23" s="31" t="inlineStr">
        <is>
          <t>EETAG24E0259160</t>
        </is>
      </c>
      <c r="G23" s="31">
        <f>LEFT(F23,10)</f>
        <v/>
      </c>
      <c r="H23" s="31">
        <f>MID(G23,3,2)</f>
        <v/>
      </c>
      <c r="I23" s="31">
        <f>VLOOKUP(H23,color!E:G,2,0)</f>
        <v/>
      </c>
      <c r="J23" s="31" t="n">
        <v>59</v>
      </c>
      <c r="K23" s="31">
        <f>VLOOKUP(J23,color!A:C,2,0)</f>
        <v/>
      </c>
      <c r="L23" s="31" t="n">
        <v>1</v>
      </c>
      <c r="M23" s="31">
        <f>VLOOKUP(F23,'卖场库存0422-0512'!M:R,5,0)</f>
        <v/>
      </c>
      <c r="N23" s="31">
        <f>VLOOKUP(F23,'卖场库存0422-0512'!M:S,6,0)</f>
        <v/>
      </c>
      <c r="O23" s="31" t="inlineStr">
        <is>
          <t>Sleeve out</t>
        </is>
      </c>
      <c r="P23" s="30">
        <f>VLOOKUP(F23,'卖场库存0422-0512'!M:S,7,0)</f>
        <v/>
      </c>
      <c r="Q23" s="31">
        <f>VLOOKUP(H23,color!E:G,3,0)</f>
        <v/>
      </c>
    </row>
    <row r="24">
      <c r="A24" s="31" t="n">
        <v>22</v>
      </c>
      <c r="B24" s="22" t="inlineStr">
        <is>
          <t>F002</t>
        </is>
      </c>
      <c r="C24" s="31" t="inlineStr">
        <is>
          <t>FACE 002</t>
        </is>
      </c>
      <c r="D24" s="31">
        <f>LEFT(C24,4)</f>
        <v/>
      </c>
      <c r="E24" s="29" t="inlineStr">
        <is>
          <t>여성존</t>
        </is>
      </c>
      <c r="F24" s="31" t="inlineStr">
        <is>
          <t>EETAG24E0259165</t>
        </is>
      </c>
      <c r="G24" s="31">
        <f>LEFT(F24,10)</f>
        <v/>
      </c>
      <c r="H24" s="31">
        <f>MID(G24,3,2)</f>
        <v/>
      </c>
      <c r="I24" s="31">
        <f>VLOOKUP(H24,color!E:G,2,0)</f>
        <v/>
      </c>
      <c r="J24" s="31" t="n">
        <v>59</v>
      </c>
      <c r="K24" s="31">
        <f>VLOOKUP(J24,color!A:C,2,0)</f>
        <v/>
      </c>
      <c r="L24" s="31" t="n">
        <v>1</v>
      </c>
      <c r="M24" s="31">
        <f>VLOOKUP(F24,'卖场库存0422-0512'!M:R,5,0)</f>
        <v/>
      </c>
      <c r="N24" s="31">
        <f>VLOOKUP(F24,'卖场库存0422-0512'!M:S,6,0)</f>
        <v/>
      </c>
      <c r="O24" s="31" t="inlineStr">
        <is>
          <t>Sleeve out</t>
        </is>
      </c>
      <c r="P24" s="30">
        <f>VLOOKUP(F24,'卖场库存0422-0512'!M:S,7,0)</f>
        <v/>
      </c>
      <c r="Q24" s="31">
        <f>VLOOKUP(H24,color!E:G,3,0)</f>
        <v/>
      </c>
    </row>
    <row r="25">
      <c r="A25" s="31" t="n">
        <v>23</v>
      </c>
      <c r="B25" s="22" t="inlineStr">
        <is>
          <t>F002</t>
        </is>
      </c>
      <c r="C25" s="31" t="inlineStr">
        <is>
          <t>FACE 002</t>
        </is>
      </c>
      <c r="D25" s="31">
        <f>LEFT(C25,4)</f>
        <v/>
      </c>
      <c r="E25" s="29" t="inlineStr">
        <is>
          <t>여성존</t>
        </is>
      </c>
      <c r="F25" s="31" t="inlineStr">
        <is>
          <t>EEKWG25E0159165</t>
        </is>
      </c>
      <c r="G25" s="31">
        <f>LEFT(F25,10)</f>
        <v/>
      </c>
      <c r="H25" s="31">
        <f>MID(G25,3,2)</f>
        <v/>
      </c>
      <c r="I25" s="31">
        <f>VLOOKUP(H25,color!E:G,2,0)</f>
        <v/>
      </c>
      <c r="J25" s="31" t="n">
        <v>59</v>
      </c>
      <c r="K25" s="31">
        <f>VLOOKUP(J25,color!A:C,2,0)</f>
        <v/>
      </c>
      <c r="L25" s="31" t="n">
        <v>1</v>
      </c>
      <c r="M25" s="31">
        <f>VLOOKUP(F25,'卖场库存0422-0512'!M:R,5,0)</f>
        <v/>
      </c>
      <c r="N25" s="31">
        <f>VLOOKUP(F25,'卖场库存0422-0512'!M:S,6,0)</f>
        <v/>
      </c>
      <c r="O25" s="31" t="inlineStr">
        <is>
          <t>Sleeve out</t>
        </is>
      </c>
      <c r="P25" s="30">
        <f>VLOOKUP(F25,'卖场库存0422-0512'!M:S,7,0)</f>
        <v/>
      </c>
      <c r="Q25" s="31">
        <f>VLOOKUP(H25,color!E:G,3,0)</f>
        <v/>
      </c>
    </row>
    <row r="26">
      <c r="A26" s="31" t="n">
        <v>24</v>
      </c>
      <c r="B26" s="22" t="inlineStr">
        <is>
          <t>F002</t>
        </is>
      </c>
      <c r="C26" s="31" t="inlineStr">
        <is>
          <t>FACE 002</t>
        </is>
      </c>
      <c r="D26" s="31">
        <f>LEFT(C26,4)</f>
        <v/>
      </c>
      <c r="E26" s="29" t="inlineStr">
        <is>
          <t>여성존</t>
        </is>
      </c>
      <c r="F26" s="31" t="inlineStr">
        <is>
          <t>EEKWG25E0159160</t>
        </is>
      </c>
      <c r="G26" s="31">
        <f>LEFT(F26,10)</f>
        <v/>
      </c>
      <c r="H26" s="31">
        <f>MID(G26,3,2)</f>
        <v/>
      </c>
      <c r="I26" s="31">
        <f>VLOOKUP(H26,color!E:G,2,0)</f>
        <v/>
      </c>
      <c r="J26" s="31" t="n">
        <v>59</v>
      </c>
      <c r="K26" s="31">
        <f>VLOOKUP(J26,color!A:C,2,0)</f>
        <v/>
      </c>
      <c r="L26" s="31" t="n">
        <v>1</v>
      </c>
      <c r="M26" s="31">
        <f>VLOOKUP(F26,'卖场库存0422-0512'!M:R,5,0)</f>
        <v/>
      </c>
      <c r="N26" s="31">
        <f>VLOOKUP(F26,'卖场库存0422-0512'!M:S,6,0)</f>
        <v/>
      </c>
      <c r="O26" s="31" t="inlineStr">
        <is>
          <t>Sleeve out</t>
        </is>
      </c>
      <c r="P26" s="30">
        <f>VLOOKUP(F26,'卖场库存0422-0512'!M:S,7,0)</f>
        <v/>
      </c>
      <c r="Q26" s="31">
        <f>VLOOKUP(H26,color!E:G,3,0)</f>
        <v/>
      </c>
    </row>
    <row r="27">
      <c r="A27" s="31" t="n">
        <v>25</v>
      </c>
      <c r="B27" s="22" t="inlineStr">
        <is>
          <t>F002</t>
        </is>
      </c>
      <c r="C27" s="31" t="inlineStr">
        <is>
          <t>FACE 002</t>
        </is>
      </c>
      <c r="D27" s="31">
        <f>LEFT(C27,4)</f>
        <v/>
      </c>
      <c r="E27" s="29" t="inlineStr">
        <is>
          <t>여성존</t>
        </is>
      </c>
      <c r="F27" s="31" t="inlineStr">
        <is>
          <t>EEJAG23E0139170</t>
        </is>
      </c>
      <c r="G27" s="31">
        <f>LEFT(F27,10)</f>
        <v/>
      </c>
      <c r="H27" s="31">
        <f>MID(G27,3,2)</f>
        <v/>
      </c>
      <c r="I27" s="31">
        <f>VLOOKUP(H27,color!E:G,2,0)</f>
        <v/>
      </c>
      <c r="J27" s="31" t="n">
        <v>39</v>
      </c>
      <c r="K27" s="31">
        <f>VLOOKUP(J27,color!A:C,2,0)</f>
        <v/>
      </c>
      <c r="L27" s="31" t="n">
        <v>1</v>
      </c>
      <c r="M27" s="31">
        <f>VLOOKUP(F27,'卖场库存0422-0512'!M:R,5,0)</f>
        <v/>
      </c>
      <c r="N27" s="31">
        <f>VLOOKUP(F27,'卖场库存0422-0512'!M:S,6,0)</f>
        <v/>
      </c>
      <c r="O27" s="31" t="inlineStr">
        <is>
          <t>Sleeve out</t>
        </is>
      </c>
      <c r="P27" s="30">
        <f>VLOOKUP(F27,'卖场库存0422-0512'!M:S,7,0)</f>
        <v/>
      </c>
      <c r="Q27" s="31">
        <f>VLOOKUP(H27,color!E:G,3,0)</f>
        <v/>
      </c>
    </row>
    <row r="28">
      <c r="A28" s="31" t="n">
        <v>26</v>
      </c>
      <c r="B28" s="22" t="inlineStr">
        <is>
          <t>F002</t>
        </is>
      </c>
      <c r="C28" s="31" t="inlineStr">
        <is>
          <t>FACE 002</t>
        </is>
      </c>
      <c r="D28" s="31">
        <f>LEFT(C28,4)</f>
        <v/>
      </c>
      <c r="E28" s="29" t="inlineStr">
        <is>
          <t>여성존</t>
        </is>
      </c>
      <c r="F28" s="31" t="inlineStr">
        <is>
          <t>EEJAG23E0139160</t>
        </is>
      </c>
      <c r="G28" s="31">
        <f>LEFT(F28,10)</f>
        <v/>
      </c>
      <c r="H28" s="31">
        <f>MID(G28,3,2)</f>
        <v/>
      </c>
      <c r="I28" s="31">
        <f>VLOOKUP(H28,color!E:G,2,0)</f>
        <v/>
      </c>
      <c r="J28" s="31" t="n">
        <v>39</v>
      </c>
      <c r="K28" s="31">
        <f>VLOOKUP(J28,color!A:C,2,0)</f>
        <v/>
      </c>
      <c r="L28" s="31" t="n">
        <v>1</v>
      </c>
      <c r="M28" s="31">
        <f>VLOOKUP(F28,'卖场库存0422-0512'!M:R,5,0)</f>
        <v/>
      </c>
      <c r="N28" s="31">
        <f>VLOOKUP(F28,'卖场库存0422-0512'!M:S,6,0)</f>
        <v/>
      </c>
      <c r="O28" s="31" t="inlineStr">
        <is>
          <t>Sleeve out</t>
        </is>
      </c>
      <c r="P28" s="30">
        <f>VLOOKUP(F28,'卖场库存0422-0512'!M:S,7,0)</f>
        <v/>
      </c>
      <c r="Q28" s="31">
        <f>VLOOKUP(H28,color!E:G,3,0)</f>
        <v/>
      </c>
    </row>
    <row r="29">
      <c r="A29" s="31" t="n">
        <v>27</v>
      </c>
      <c r="B29" s="22" t="inlineStr">
        <is>
          <t>F002</t>
        </is>
      </c>
      <c r="C29" s="31" t="inlineStr">
        <is>
          <t>FACE 002</t>
        </is>
      </c>
      <c r="D29" s="31">
        <f>LEFT(C29,4)</f>
        <v/>
      </c>
      <c r="E29" s="29" t="inlineStr">
        <is>
          <t>여성존</t>
        </is>
      </c>
      <c r="F29" s="31" t="inlineStr">
        <is>
          <t>EEOWG25B0439160</t>
        </is>
      </c>
      <c r="G29" s="31">
        <f>LEFT(F29,10)</f>
        <v/>
      </c>
      <c r="H29" s="31">
        <f>MID(G29,3,2)</f>
        <v/>
      </c>
      <c r="I29" s="31">
        <f>VLOOKUP(H29,color!E:G,2,0)</f>
        <v/>
      </c>
      <c r="J29" s="31" t="n">
        <v>39</v>
      </c>
      <c r="K29" s="31">
        <f>VLOOKUP(J29,color!A:C,2,0)</f>
        <v/>
      </c>
      <c r="L29" s="31" t="n">
        <v>1</v>
      </c>
      <c r="M29" s="31">
        <f>VLOOKUP(F29,'卖场库存0422-0512'!M:R,5,0)</f>
        <v/>
      </c>
      <c r="N29" s="31">
        <f>VLOOKUP(F29,'卖场库存0422-0512'!M:S,6,0)</f>
        <v/>
      </c>
      <c r="O29" s="31" t="inlineStr">
        <is>
          <t>Sleeve out</t>
        </is>
      </c>
      <c r="P29" s="30">
        <f>VLOOKUP(F29,'卖场库存0422-0512'!M:S,7,0)</f>
        <v/>
      </c>
      <c r="Q29" s="31">
        <f>VLOOKUP(H29,color!E:G,3,0)</f>
        <v/>
      </c>
    </row>
    <row r="30">
      <c r="A30" s="31" t="n">
        <v>28</v>
      </c>
      <c r="B30" s="22" t="inlineStr">
        <is>
          <t>F002</t>
        </is>
      </c>
      <c r="C30" s="31" t="inlineStr">
        <is>
          <t>FACE 002</t>
        </is>
      </c>
      <c r="D30" s="31">
        <f>LEFT(C30,4)</f>
        <v/>
      </c>
      <c r="E30" s="29" t="inlineStr">
        <is>
          <t>여성존</t>
        </is>
      </c>
      <c r="F30" s="31" t="inlineStr">
        <is>
          <t>EEOWG25B0439165</t>
        </is>
      </c>
      <c r="G30" s="31">
        <f>LEFT(F30,10)</f>
        <v/>
      </c>
      <c r="H30" s="31">
        <f>MID(G30,3,2)</f>
        <v/>
      </c>
      <c r="I30" s="31">
        <f>VLOOKUP(H30,color!E:G,2,0)</f>
        <v/>
      </c>
      <c r="J30" s="31" t="n">
        <v>39</v>
      </c>
      <c r="K30" s="31">
        <f>VLOOKUP(J30,color!A:C,2,0)</f>
        <v/>
      </c>
      <c r="L30" s="31" t="n">
        <v>1</v>
      </c>
      <c r="M30" s="31">
        <f>VLOOKUP(F30,'卖场库存0422-0512'!M:R,5,0)</f>
        <v/>
      </c>
      <c r="N30" s="31">
        <f>VLOOKUP(F30,'卖场库存0422-0512'!M:S,6,0)</f>
        <v/>
      </c>
      <c r="O30" s="31" t="inlineStr">
        <is>
          <t>Sleeve out</t>
        </is>
      </c>
      <c r="P30" s="30">
        <f>VLOOKUP(F30,'卖场库存0422-0512'!M:S,7,0)</f>
        <v/>
      </c>
      <c r="Q30" s="31">
        <f>VLOOKUP(H30,color!E:G,3,0)</f>
        <v/>
      </c>
    </row>
    <row r="31">
      <c r="A31" s="31" t="n">
        <v>29</v>
      </c>
      <c r="B31" s="22" t="inlineStr">
        <is>
          <t>F002</t>
        </is>
      </c>
      <c r="C31" s="31" t="inlineStr">
        <is>
          <t>FACE 002</t>
        </is>
      </c>
      <c r="D31" s="31">
        <f>LEFT(C31,4)</f>
        <v/>
      </c>
      <c r="E31" s="29" t="inlineStr">
        <is>
          <t>여성존</t>
        </is>
      </c>
      <c r="F31" s="31" t="inlineStr">
        <is>
          <t>EEOWG25E0259165</t>
        </is>
      </c>
      <c r="G31" s="31">
        <f>LEFT(F31,10)</f>
        <v/>
      </c>
      <c r="H31" s="31">
        <f>MID(G31,3,2)</f>
        <v/>
      </c>
      <c r="I31" s="31">
        <f>VLOOKUP(H31,color!E:G,2,0)</f>
        <v/>
      </c>
      <c r="J31" s="31" t="n">
        <v>59</v>
      </c>
      <c r="K31" s="31">
        <f>VLOOKUP(J31,color!A:C,2,0)</f>
        <v/>
      </c>
      <c r="L31" s="31" t="n">
        <v>1</v>
      </c>
      <c r="M31" s="31">
        <f>VLOOKUP(F31,'卖场库存0422-0512'!M:R,5,0)</f>
        <v/>
      </c>
      <c r="N31" s="31">
        <f>VLOOKUP(F31,'卖场库存0422-0512'!M:S,6,0)</f>
        <v/>
      </c>
      <c r="O31" s="31" t="inlineStr">
        <is>
          <t>Sleeve out</t>
        </is>
      </c>
      <c r="P31" s="30">
        <f>VLOOKUP(F31,'卖场库存0422-0512'!M:S,7,0)</f>
        <v/>
      </c>
      <c r="Q31" s="31">
        <f>VLOOKUP(H31,color!E:G,3,0)</f>
        <v/>
      </c>
    </row>
    <row r="32">
      <c r="A32" s="31" t="n">
        <v>30</v>
      </c>
      <c r="B32" s="22" t="inlineStr">
        <is>
          <t>F002</t>
        </is>
      </c>
      <c r="C32" s="31" t="inlineStr">
        <is>
          <t>FACE 002</t>
        </is>
      </c>
      <c r="D32" s="31">
        <f>LEFT(C32,4)</f>
        <v/>
      </c>
      <c r="E32" s="29" t="inlineStr">
        <is>
          <t>여성존</t>
        </is>
      </c>
      <c r="F32" s="31" t="inlineStr">
        <is>
          <t>EEOWG25E0259160</t>
        </is>
      </c>
      <c r="G32" s="31">
        <f>LEFT(F32,10)</f>
        <v/>
      </c>
      <c r="H32" s="31">
        <f>MID(G32,3,2)</f>
        <v/>
      </c>
      <c r="I32" s="31">
        <f>VLOOKUP(H32,color!E:G,2,0)</f>
        <v/>
      </c>
      <c r="J32" s="31" t="n">
        <v>59</v>
      </c>
      <c r="K32" s="31">
        <f>VLOOKUP(J32,color!A:C,2,0)</f>
        <v/>
      </c>
      <c r="L32" s="31" t="n">
        <v>1</v>
      </c>
      <c r="M32" s="31">
        <f>VLOOKUP(F32,'卖场库存0422-0512'!M:R,5,0)</f>
        <v/>
      </c>
      <c r="N32" s="31">
        <f>VLOOKUP(F32,'卖场库存0422-0512'!M:S,6,0)</f>
        <v/>
      </c>
      <c r="O32" s="31" t="inlineStr">
        <is>
          <t>Sleeve out</t>
        </is>
      </c>
      <c r="P32" s="30">
        <f>VLOOKUP(F32,'卖场库存0422-0512'!M:S,7,0)</f>
        <v/>
      </c>
      <c r="Q32" s="31">
        <f>VLOOKUP(H32,color!E:G,3,0)</f>
        <v/>
      </c>
    </row>
    <row r="33">
      <c r="A33" s="31" t="n">
        <v>31</v>
      </c>
      <c r="B33" s="22" t="inlineStr">
        <is>
          <t>F002</t>
        </is>
      </c>
      <c r="C33" s="31" t="inlineStr">
        <is>
          <t>FACE 002</t>
        </is>
      </c>
      <c r="D33" s="31">
        <f>LEFT(C33,4)</f>
        <v/>
      </c>
      <c r="E33" s="29" t="inlineStr">
        <is>
          <t>여성존</t>
        </is>
      </c>
      <c r="F33" s="31" t="inlineStr">
        <is>
          <t>EEWHG25E0139155</t>
        </is>
      </c>
      <c r="G33" s="31">
        <f>LEFT(F33,10)</f>
        <v/>
      </c>
      <c r="H33" s="31">
        <f>MID(G33,3,2)</f>
        <v/>
      </c>
      <c r="I33" s="31">
        <f>VLOOKUP(H33,color!E:G,2,0)</f>
        <v/>
      </c>
      <c r="J33" s="31" t="n">
        <v>39</v>
      </c>
      <c r="K33" s="31">
        <f>VLOOKUP(J33,color!A:C,2,0)</f>
        <v/>
      </c>
      <c r="L33" s="31" t="n">
        <v>1</v>
      </c>
      <c r="M33" s="31">
        <f>VLOOKUP(F33,'卖场库存0422-0512'!M:R,5,0)</f>
        <v/>
      </c>
      <c r="N33" s="31">
        <f>VLOOKUP(F33,'卖场库存0422-0512'!M:S,6,0)</f>
        <v/>
      </c>
      <c r="O33" s="31" t="inlineStr">
        <is>
          <t>Sleeve out</t>
        </is>
      </c>
      <c r="P33" s="30">
        <f>VLOOKUP(F33,'卖场库存0422-0512'!M:S,7,0)</f>
        <v/>
      </c>
      <c r="Q33" s="31">
        <f>VLOOKUP(H33,color!E:G,3,0)</f>
        <v/>
      </c>
    </row>
    <row r="34">
      <c r="A34" s="31" t="n">
        <v>32</v>
      </c>
      <c r="B34" s="22" t="inlineStr">
        <is>
          <t>F002</t>
        </is>
      </c>
      <c r="C34" s="31" t="inlineStr">
        <is>
          <t>FACE 002</t>
        </is>
      </c>
      <c r="D34" s="31">
        <f>LEFT(C34,4)</f>
        <v/>
      </c>
      <c r="E34" s="29" t="inlineStr">
        <is>
          <t>여성존</t>
        </is>
      </c>
      <c r="F34" s="31" t="inlineStr">
        <is>
          <t>EEHWG25B0139165</t>
        </is>
      </c>
      <c r="G34" s="31">
        <f>LEFT(F34,10)</f>
        <v/>
      </c>
      <c r="H34" s="31">
        <f>MID(G34,3,2)</f>
        <v/>
      </c>
      <c r="I34" s="31">
        <f>VLOOKUP(H34,color!E:G,2,0)</f>
        <v/>
      </c>
      <c r="J34" s="31" t="n">
        <v>39</v>
      </c>
      <c r="K34" s="31">
        <f>VLOOKUP(J34,color!A:C,2,0)</f>
        <v/>
      </c>
      <c r="L34" s="31" t="n">
        <v>1</v>
      </c>
      <c r="M34" s="31">
        <f>VLOOKUP(F34,'卖场库存0422-0512'!M:R,5,0)</f>
        <v/>
      </c>
      <c r="N34" s="31">
        <f>VLOOKUP(F34,'卖场库存0422-0512'!M:S,6,0)</f>
        <v/>
      </c>
      <c r="O34" s="31" t="inlineStr">
        <is>
          <t>Sleeve out</t>
        </is>
      </c>
      <c r="P34" s="30">
        <f>VLOOKUP(F34,'卖场库存0422-0512'!M:S,7,0)</f>
        <v/>
      </c>
      <c r="Q34" s="31">
        <f>VLOOKUP(H34,color!E:G,3,0)</f>
        <v/>
      </c>
    </row>
    <row r="35">
      <c r="A35" s="31" t="n">
        <v>33</v>
      </c>
      <c r="B35" s="22" t="inlineStr">
        <is>
          <t>F002</t>
        </is>
      </c>
      <c r="C35" s="31" t="inlineStr">
        <is>
          <t>FACE 002</t>
        </is>
      </c>
      <c r="D35" s="31">
        <f>LEFT(C35,4)</f>
        <v/>
      </c>
      <c r="E35" s="29" t="inlineStr">
        <is>
          <t>여성존</t>
        </is>
      </c>
      <c r="F35" s="31" t="inlineStr">
        <is>
          <t>EEHWG25B0139160</t>
        </is>
      </c>
      <c r="G35" s="31">
        <f>LEFT(F35,10)</f>
        <v/>
      </c>
      <c r="H35" s="31">
        <f>MID(G35,3,2)</f>
        <v/>
      </c>
      <c r="I35" s="31">
        <f>VLOOKUP(H35,color!E:G,2,0)</f>
        <v/>
      </c>
      <c r="J35" s="31" t="n">
        <v>39</v>
      </c>
      <c r="K35" s="31">
        <f>VLOOKUP(J35,color!A:C,2,0)</f>
        <v/>
      </c>
      <c r="L35" s="31" t="n">
        <v>1</v>
      </c>
      <c r="M35" s="31">
        <f>VLOOKUP(F35,'卖场库存0422-0512'!M:R,5,0)</f>
        <v/>
      </c>
      <c r="N35" s="31">
        <f>VLOOKUP(F35,'卖场库存0422-0512'!M:S,6,0)</f>
        <v/>
      </c>
      <c r="O35" s="31" t="inlineStr">
        <is>
          <t>Sleeve out</t>
        </is>
      </c>
      <c r="P35" s="30">
        <f>VLOOKUP(F35,'卖场库存0422-0512'!M:S,7,0)</f>
        <v/>
      </c>
      <c r="Q35" s="31">
        <f>VLOOKUP(H35,color!E:G,3,0)</f>
        <v/>
      </c>
    </row>
    <row r="36">
      <c r="A36" s="31" t="n">
        <v>34</v>
      </c>
      <c r="B36" s="22" t="inlineStr">
        <is>
          <t>F003</t>
        </is>
      </c>
      <c r="C36" s="31" t="inlineStr">
        <is>
          <t>FACE 003</t>
        </is>
      </c>
      <c r="D36" s="31">
        <f>LEFT(C36,4)</f>
        <v/>
      </c>
      <c r="E36" s="29" t="inlineStr">
        <is>
          <t>여성존</t>
        </is>
      </c>
      <c r="F36" s="31" t="inlineStr">
        <is>
          <t>EEWHG25B0839160</t>
        </is>
      </c>
      <c r="G36" s="31">
        <f>LEFT(F36,10)</f>
        <v/>
      </c>
      <c r="H36" s="31">
        <f>MID(G36,3,2)</f>
        <v/>
      </c>
      <c r="I36" s="31">
        <f>VLOOKUP(H36,color!E:G,2,0)</f>
        <v/>
      </c>
      <c r="J36" s="31" t="n">
        <v>39</v>
      </c>
      <c r="K36" s="31">
        <f>VLOOKUP(J36,color!A:C,2,0)</f>
        <v/>
      </c>
      <c r="L36" s="31" t="n">
        <v>1</v>
      </c>
      <c r="M36" s="31">
        <f>VLOOKUP(F36,'卖场库存0422-0512'!M:R,5,0)</f>
        <v/>
      </c>
      <c r="N36" s="31">
        <f>VLOOKUP(F36,'卖场库存0422-0512'!M:S,6,0)</f>
        <v/>
      </c>
      <c r="O36" s="31" t="inlineStr">
        <is>
          <t>Face out</t>
        </is>
      </c>
      <c r="P36" s="30">
        <f>VLOOKUP(F36,'卖场库存0422-0512'!M:S,7,0)</f>
        <v/>
      </c>
      <c r="Q36" s="31">
        <f>VLOOKUP(H36,color!E:G,3,0)</f>
        <v/>
      </c>
    </row>
    <row r="37">
      <c r="A37" s="31" t="n">
        <v>35</v>
      </c>
      <c r="B37" s="22" t="inlineStr">
        <is>
          <t>F003</t>
        </is>
      </c>
      <c r="C37" s="31" t="inlineStr">
        <is>
          <t>FACE 003</t>
        </is>
      </c>
      <c r="D37" s="31">
        <f>LEFT(C37,4)</f>
        <v/>
      </c>
      <c r="E37" s="29" t="inlineStr">
        <is>
          <t>여성존</t>
        </is>
      </c>
      <c r="F37" s="31" t="inlineStr">
        <is>
          <t>EEWHG23E0139160</t>
        </is>
      </c>
      <c r="G37" s="31">
        <f>LEFT(F37,10)</f>
        <v/>
      </c>
      <c r="H37" s="31">
        <f>MID(G37,3,2)</f>
        <v/>
      </c>
      <c r="I37" s="31">
        <f>VLOOKUP(H37,color!E:G,2,0)</f>
        <v/>
      </c>
      <c r="J37" s="31" t="n">
        <v>39</v>
      </c>
      <c r="K37" s="31">
        <f>VLOOKUP(J37,color!A:C,2,0)</f>
        <v/>
      </c>
      <c r="L37" s="31" t="n">
        <v>1</v>
      </c>
      <c r="M37" s="31">
        <f>VLOOKUP(F37,'卖场库存0422-0512'!M:R,5,0)</f>
        <v/>
      </c>
      <c r="N37" s="31">
        <f>VLOOKUP(F37,'卖场库存0422-0512'!M:S,6,0)</f>
        <v/>
      </c>
      <c r="O37" s="31" t="inlineStr">
        <is>
          <t>Face out</t>
        </is>
      </c>
      <c r="P37" s="30">
        <f>VLOOKUP(F37,'卖场库存0422-0512'!M:S,7,0)</f>
        <v/>
      </c>
      <c r="Q37" s="31">
        <f>VLOOKUP(H37,color!E:G,3,0)</f>
        <v/>
      </c>
    </row>
    <row r="38">
      <c r="A38" s="31" t="n">
        <v>36</v>
      </c>
      <c r="B38" s="22" t="inlineStr">
        <is>
          <t>F003</t>
        </is>
      </c>
      <c r="C38" s="31" t="inlineStr">
        <is>
          <t>FACE 003</t>
        </is>
      </c>
      <c r="D38" s="31">
        <f>LEFT(C38,4)</f>
        <v/>
      </c>
      <c r="E38" s="29" t="inlineStr">
        <is>
          <t>여성존</t>
        </is>
      </c>
      <c r="F38" s="31" t="inlineStr">
        <is>
          <t>EEWHG24E5639160</t>
        </is>
      </c>
      <c r="G38" s="31">
        <f>LEFT(F38,10)</f>
        <v/>
      </c>
      <c r="H38" s="31">
        <f>MID(G38,3,2)</f>
        <v/>
      </c>
      <c r="I38" s="31">
        <f>VLOOKUP(H38,color!E:G,2,0)</f>
        <v/>
      </c>
      <c r="J38" s="31" t="n">
        <v>39</v>
      </c>
      <c r="K38" s="31">
        <f>VLOOKUP(J38,color!A:C,2,0)</f>
        <v/>
      </c>
      <c r="L38" s="31" t="n">
        <v>1</v>
      </c>
      <c r="M38" s="31">
        <f>VLOOKUP(F38,'卖场库存0422-0512'!M:R,5,0)</f>
        <v/>
      </c>
      <c r="N38" s="31">
        <f>VLOOKUP(F38,'卖场库存0422-0512'!M:S,6,0)</f>
        <v/>
      </c>
      <c r="O38" s="31" t="inlineStr">
        <is>
          <t>Face out</t>
        </is>
      </c>
      <c r="P38" s="30">
        <f>VLOOKUP(F38,'卖场库存0422-0512'!M:S,7,0)</f>
        <v/>
      </c>
      <c r="Q38" s="31">
        <f>VLOOKUP(H38,color!E:G,3,0)</f>
        <v/>
      </c>
    </row>
    <row r="39">
      <c r="A39" s="31" t="n">
        <v>37</v>
      </c>
      <c r="B39" s="22" t="inlineStr">
        <is>
          <t>F003</t>
        </is>
      </c>
      <c r="C39" s="31" t="inlineStr">
        <is>
          <t>FACE 003</t>
        </is>
      </c>
      <c r="D39" s="31">
        <f>LEFT(C39,4)</f>
        <v/>
      </c>
      <c r="E39" s="29" t="inlineStr">
        <is>
          <t>여성존</t>
        </is>
      </c>
      <c r="F39" s="31" t="inlineStr">
        <is>
          <t>EEVWG24E0139160</t>
        </is>
      </c>
      <c r="G39" s="31">
        <f>LEFT(F39,10)</f>
        <v/>
      </c>
      <c r="H39" s="31">
        <f>MID(G39,3,2)</f>
        <v/>
      </c>
      <c r="I39" s="31">
        <f>VLOOKUP(H39,color!E:G,2,0)</f>
        <v/>
      </c>
      <c r="J39" s="31" t="n">
        <v>39</v>
      </c>
      <c r="K39" s="31">
        <f>VLOOKUP(J39,color!A:C,2,0)</f>
        <v/>
      </c>
      <c r="L39" s="31" t="n">
        <v>1</v>
      </c>
      <c r="M39" s="31">
        <f>VLOOKUP(F39,'卖场库存0422-0512'!M:R,5,0)</f>
        <v/>
      </c>
      <c r="N39" s="31">
        <f>VLOOKUP(F39,'卖场库存0422-0512'!M:S,6,0)</f>
        <v/>
      </c>
      <c r="O39" s="31" t="inlineStr">
        <is>
          <t>Face out</t>
        </is>
      </c>
      <c r="P39" s="30">
        <f>VLOOKUP(F39,'卖场库存0422-0512'!M:S,7,0)</f>
        <v/>
      </c>
      <c r="Q39" s="31">
        <f>VLOOKUP(H39,color!E:G,3,0)</f>
        <v/>
      </c>
    </row>
    <row r="40">
      <c r="A40" s="31" t="n">
        <v>38</v>
      </c>
      <c r="B40" s="22" t="inlineStr">
        <is>
          <t>F003</t>
        </is>
      </c>
      <c r="C40" s="31" t="inlineStr">
        <is>
          <t>FACE 003</t>
        </is>
      </c>
      <c r="D40" s="31">
        <f>LEFT(C40,4)</f>
        <v/>
      </c>
      <c r="E40" s="29" t="inlineStr">
        <is>
          <t>여성존</t>
        </is>
      </c>
      <c r="F40" s="31" t="inlineStr">
        <is>
          <t>EETHG25E0439160</t>
        </is>
      </c>
      <c r="G40" s="31">
        <f>LEFT(F40,10)</f>
        <v/>
      </c>
      <c r="H40" s="31">
        <f>MID(G40,3,2)</f>
        <v/>
      </c>
      <c r="I40" s="31">
        <f>VLOOKUP(H40,color!E:G,2,0)</f>
        <v/>
      </c>
      <c r="J40" s="31" t="n">
        <v>39</v>
      </c>
      <c r="K40" s="31">
        <f>VLOOKUP(J40,color!A:C,2,0)</f>
        <v/>
      </c>
      <c r="L40" s="31" t="n">
        <v>1</v>
      </c>
      <c r="M40" s="31">
        <f>VLOOKUP(F40,'卖场库存0422-0512'!M:R,5,0)</f>
        <v/>
      </c>
      <c r="N40" s="31">
        <f>VLOOKUP(F40,'卖场库存0422-0512'!M:S,6,0)</f>
        <v/>
      </c>
      <c r="O40" s="31" t="inlineStr">
        <is>
          <t>Face out</t>
        </is>
      </c>
      <c r="P40" s="30">
        <f>VLOOKUP(F40,'卖场库存0422-0512'!M:S,7,0)</f>
        <v/>
      </c>
      <c r="Q40" s="31">
        <f>VLOOKUP(H40,color!E:G,3,0)</f>
        <v/>
      </c>
    </row>
    <row r="41">
      <c r="A41" s="31" t="n">
        <v>39</v>
      </c>
      <c r="B41" s="22" t="inlineStr">
        <is>
          <t>F003</t>
        </is>
      </c>
      <c r="C41" s="31" t="inlineStr">
        <is>
          <t>FACE 003</t>
        </is>
      </c>
      <c r="D41" s="31">
        <f>LEFT(C41,4)</f>
        <v/>
      </c>
      <c r="E41" s="29" t="inlineStr">
        <is>
          <t>여성존</t>
        </is>
      </c>
      <c r="F41" s="31" t="inlineStr">
        <is>
          <t>EEYWG25E0139165</t>
        </is>
      </c>
      <c r="G41" s="31">
        <f>LEFT(F41,10)</f>
        <v/>
      </c>
      <c r="H41" s="31">
        <f>MID(G41,3,2)</f>
        <v/>
      </c>
      <c r="I41" s="31">
        <f>VLOOKUP(H41,color!E:G,2,0)</f>
        <v/>
      </c>
      <c r="J41" s="31" t="n">
        <v>39</v>
      </c>
      <c r="K41" s="31">
        <f>VLOOKUP(J41,color!A:C,2,0)</f>
        <v/>
      </c>
      <c r="L41" s="31" t="n">
        <v>1</v>
      </c>
      <c r="M41" s="31">
        <f>VLOOKUP(F41,'卖场库存0422-0512'!M:R,5,0)</f>
        <v/>
      </c>
      <c r="N41" s="31">
        <f>VLOOKUP(F41,'卖场库存0422-0512'!M:S,6,0)</f>
        <v/>
      </c>
      <c r="O41" s="31" t="inlineStr">
        <is>
          <t>Face out</t>
        </is>
      </c>
      <c r="P41" s="30">
        <f>VLOOKUP(F41,'卖场库存0422-0512'!M:S,7,0)</f>
        <v/>
      </c>
      <c r="Q41" s="31">
        <f>VLOOKUP(H41,color!E:G,3,0)</f>
        <v/>
      </c>
    </row>
    <row r="42">
      <c r="A42" s="31" t="n">
        <v>40</v>
      </c>
      <c r="B42" s="22" t="inlineStr">
        <is>
          <t>F003</t>
        </is>
      </c>
      <c r="C42" s="31" t="inlineStr">
        <is>
          <t>FACE 003</t>
        </is>
      </c>
      <c r="D42" s="31">
        <f>LEFT(C42,4)</f>
        <v/>
      </c>
      <c r="E42" s="29" t="inlineStr">
        <is>
          <t>여성존</t>
        </is>
      </c>
      <c r="F42" s="31" t="inlineStr">
        <is>
          <t>EECKG24E0239170</t>
        </is>
      </c>
      <c r="G42" s="31">
        <f>LEFT(F42,10)</f>
        <v/>
      </c>
      <c r="H42" s="31">
        <f>MID(G42,3,2)</f>
        <v/>
      </c>
      <c r="I42" s="31">
        <f>VLOOKUP(H42,color!E:G,2,0)</f>
        <v/>
      </c>
      <c r="J42" s="31" t="n">
        <v>39</v>
      </c>
      <c r="K42" s="31">
        <f>VLOOKUP(J42,color!A:C,2,0)</f>
        <v/>
      </c>
      <c r="L42" s="31" t="n">
        <v>1</v>
      </c>
      <c r="M42" s="31">
        <f>VLOOKUP(F42,'卖场库存0422-0512'!M:R,5,0)</f>
        <v/>
      </c>
      <c r="N42" s="31">
        <f>VLOOKUP(F42,'卖场库存0422-0512'!M:S,6,0)</f>
        <v/>
      </c>
      <c r="O42" s="31" t="inlineStr">
        <is>
          <t>Sleeve out</t>
        </is>
      </c>
      <c r="P42" s="30">
        <f>VLOOKUP(F42,'卖场库存0422-0512'!M:S,7,0)</f>
        <v/>
      </c>
      <c r="Q42" s="31">
        <f>VLOOKUP(H42,color!E:G,3,0)</f>
        <v/>
      </c>
    </row>
    <row r="43">
      <c r="A43" s="31" t="n">
        <v>41</v>
      </c>
      <c r="B43" s="22" t="inlineStr">
        <is>
          <t>F003</t>
        </is>
      </c>
      <c r="C43" s="31" t="inlineStr">
        <is>
          <t>FACE 003</t>
        </is>
      </c>
      <c r="D43" s="31">
        <f>LEFT(C43,4)</f>
        <v/>
      </c>
      <c r="E43" s="29" t="inlineStr">
        <is>
          <t>여성존</t>
        </is>
      </c>
      <c r="F43" s="31" t="inlineStr">
        <is>
          <t>EECKG24E0239165</t>
        </is>
      </c>
      <c r="G43" s="31">
        <f>LEFT(F43,10)</f>
        <v/>
      </c>
      <c r="H43" s="31">
        <f>MID(G43,3,2)</f>
        <v/>
      </c>
      <c r="I43" s="31">
        <f>VLOOKUP(H43,color!E:G,2,0)</f>
        <v/>
      </c>
      <c r="J43" s="31" t="n">
        <v>39</v>
      </c>
      <c r="K43" s="31">
        <f>VLOOKUP(J43,color!A:C,2,0)</f>
        <v/>
      </c>
      <c r="L43" s="31" t="n">
        <v>1</v>
      </c>
      <c r="M43" s="31">
        <f>VLOOKUP(F43,'卖场库存0422-0512'!M:R,5,0)</f>
        <v/>
      </c>
      <c r="N43" s="31">
        <f>VLOOKUP(F43,'卖场库存0422-0512'!M:S,6,0)</f>
        <v/>
      </c>
      <c r="O43" s="31" t="inlineStr">
        <is>
          <t>Sleeve out</t>
        </is>
      </c>
      <c r="P43" s="30">
        <f>VLOOKUP(F43,'卖场库存0422-0512'!M:S,7,0)</f>
        <v/>
      </c>
      <c r="Q43" s="31">
        <f>VLOOKUP(H43,color!E:G,3,0)</f>
        <v/>
      </c>
    </row>
    <row r="44">
      <c r="A44" s="31" t="n">
        <v>42</v>
      </c>
      <c r="B44" s="22" t="inlineStr">
        <is>
          <t>F003</t>
        </is>
      </c>
      <c r="C44" s="31" t="inlineStr">
        <is>
          <t>FACE 003</t>
        </is>
      </c>
      <c r="D44" s="31">
        <f>LEFT(C44,4)</f>
        <v/>
      </c>
      <c r="E44" s="29" t="inlineStr">
        <is>
          <t>여성존</t>
        </is>
      </c>
      <c r="F44" s="31" t="inlineStr">
        <is>
          <t>EEWHG24E0159160</t>
        </is>
      </c>
      <c r="G44" s="31">
        <f>LEFT(F44,10)</f>
        <v/>
      </c>
      <c r="H44" s="31">
        <f>MID(G44,3,2)</f>
        <v/>
      </c>
      <c r="I44" s="31">
        <f>VLOOKUP(H44,color!E:G,2,0)</f>
        <v/>
      </c>
      <c r="J44" s="31" t="n">
        <v>59</v>
      </c>
      <c r="K44" s="31">
        <f>VLOOKUP(J44,color!A:C,2,0)</f>
        <v/>
      </c>
      <c r="L44" s="31" t="n">
        <v>1</v>
      </c>
      <c r="M44" s="31">
        <f>VLOOKUP(F44,'卖场库存0422-0512'!M:R,5,0)</f>
        <v/>
      </c>
      <c r="N44" s="31">
        <f>VLOOKUP(F44,'卖场库存0422-0512'!M:S,6,0)</f>
        <v/>
      </c>
      <c r="O44" s="31" t="inlineStr">
        <is>
          <t>Sleeve out</t>
        </is>
      </c>
      <c r="P44" s="30">
        <f>VLOOKUP(F44,'卖场库存0422-0512'!M:S,7,0)</f>
        <v/>
      </c>
      <c r="Q44" s="31">
        <f>VLOOKUP(H44,color!E:G,3,0)</f>
        <v/>
      </c>
    </row>
    <row r="45">
      <c r="A45" s="31" t="n">
        <v>43</v>
      </c>
      <c r="B45" s="22" t="inlineStr">
        <is>
          <t>F003</t>
        </is>
      </c>
      <c r="C45" s="31" t="inlineStr">
        <is>
          <t>FACE 003</t>
        </is>
      </c>
      <c r="D45" s="31">
        <f>LEFT(C45,4)</f>
        <v/>
      </c>
      <c r="E45" s="29" t="inlineStr">
        <is>
          <t>여성존</t>
        </is>
      </c>
      <c r="F45" s="31" t="inlineStr">
        <is>
          <t>EETHG25E0459165</t>
        </is>
      </c>
      <c r="G45" s="31">
        <f>LEFT(F45,10)</f>
        <v/>
      </c>
      <c r="H45" s="31">
        <f>MID(G45,3,2)</f>
        <v/>
      </c>
      <c r="I45" s="31">
        <f>VLOOKUP(H45,color!E:G,2,0)</f>
        <v/>
      </c>
      <c r="J45" s="31" t="n">
        <v>59</v>
      </c>
      <c r="K45" s="31">
        <f>VLOOKUP(J45,color!A:C,2,0)</f>
        <v/>
      </c>
      <c r="L45" s="31" t="n">
        <v>1</v>
      </c>
      <c r="M45" s="31">
        <f>VLOOKUP(F45,'卖场库存0422-0512'!M:R,5,0)</f>
        <v/>
      </c>
      <c r="N45" s="31">
        <f>VLOOKUP(F45,'卖场库存0422-0512'!M:S,6,0)</f>
        <v/>
      </c>
      <c r="O45" s="31" t="inlineStr">
        <is>
          <t>Sleeve out</t>
        </is>
      </c>
      <c r="P45" s="30">
        <f>VLOOKUP(F45,'卖场库存0422-0512'!M:S,7,0)</f>
        <v/>
      </c>
      <c r="Q45" s="31">
        <f>VLOOKUP(H45,color!E:G,3,0)</f>
        <v/>
      </c>
    </row>
    <row r="46">
      <c r="A46" s="31" t="n">
        <v>44</v>
      </c>
      <c r="B46" s="22" t="inlineStr">
        <is>
          <t>F003</t>
        </is>
      </c>
      <c r="C46" s="31" t="inlineStr">
        <is>
          <t>FACE 003</t>
        </is>
      </c>
      <c r="D46" s="31">
        <f>LEFT(C46,4)</f>
        <v/>
      </c>
      <c r="E46" s="29" t="inlineStr">
        <is>
          <t>여성존</t>
        </is>
      </c>
      <c r="F46" s="31" t="inlineStr">
        <is>
          <t>EETHG25E0459160</t>
        </is>
      </c>
      <c r="G46" s="31">
        <f>LEFT(F46,10)</f>
        <v/>
      </c>
      <c r="H46" s="31">
        <f>MID(G46,3,2)</f>
        <v/>
      </c>
      <c r="I46" s="31">
        <f>VLOOKUP(H46,color!E:G,2,0)</f>
        <v/>
      </c>
      <c r="J46" s="31" t="n">
        <v>59</v>
      </c>
      <c r="K46" s="31">
        <f>VLOOKUP(J46,color!A:C,2,0)</f>
        <v/>
      </c>
      <c r="L46" s="31" t="n">
        <v>1</v>
      </c>
      <c r="M46" s="31">
        <f>VLOOKUP(F46,'卖场库存0422-0512'!M:R,5,0)</f>
        <v/>
      </c>
      <c r="N46" s="31">
        <f>VLOOKUP(F46,'卖场库存0422-0512'!M:S,6,0)</f>
        <v/>
      </c>
      <c r="O46" s="31" t="inlineStr">
        <is>
          <t>Sleeve out</t>
        </is>
      </c>
      <c r="P46" s="30">
        <f>VLOOKUP(F46,'卖场库存0422-0512'!M:S,7,0)</f>
        <v/>
      </c>
      <c r="Q46" s="31">
        <f>VLOOKUP(H46,color!E:G,3,0)</f>
        <v/>
      </c>
    </row>
    <row r="47">
      <c r="A47" s="31" t="n">
        <v>45</v>
      </c>
      <c r="B47" s="22" t="inlineStr">
        <is>
          <t>F003</t>
        </is>
      </c>
      <c r="C47" s="31" t="inlineStr">
        <is>
          <t>FACE 003</t>
        </is>
      </c>
      <c r="D47" s="31">
        <f>LEFT(C47,4)</f>
        <v/>
      </c>
      <c r="E47" s="29" t="inlineStr">
        <is>
          <t>여성존</t>
        </is>
      </c>
      <c r="F47" s="31" t="inlineStr">
        <is>
          <t>EEYPG24E0101165</t>
        </is>
      </c>
      <c r="G47" s="31">
        <f>LEFT(F47,10)</f>
        <v/>
      </c>
      <c r="H47" s="31">
        <f>MID(G47,3,2)</f>
        <v/>
      </c>
      <c r="I47" s="31">
        <f>VLOOKUP(H47,color!E:G,2,0)</f>
        <v/>
      </c>
      <c r="J47" s="31" t="n">
        <v>1</v>
      </c>
      <c r="K47" s="31">
        <f>VLOOKUP(J47,color!A:C,2,0)</f>
        <v/>
      </c>
      <c r="L47" s="31" t="n">
        <v>1</v>
      </c>
      <c r="M47" s="31">
        <f>VLOOKUP(F47,'卖场库存0422-0512'!M:R,5,0)</f>
        <v/>
      </c>
      <c r="N47" s="31">
        <f>VLOOKUP(F47,'卖场库存0422-0512'!M:S,6,0)</f>
        <v/>
      </c>
      <c r="O47" s="31" t="inlineStr">
        <is>
          <t>Sleeve out</t>
        </is>
      </c>
      <c r="P47" s="30">
        <f>VLOOKUP(F47,'卖场库存0422-0512'!M:S,7,0)</f>
        <v/>
      </c>
      <c r="Q47" s="31">
        <f>VLOOKUP(H47,color!E:G,3,0)</f>
        <v/>
      </c>
    </row>
    <row r="48">
      <c r="A48" s="31" t="n">
        <v>46</v>
      </c>
      <c r="B48" s="22" t="inlineStr">
        <is>
          <t>F003</t>
        </is>
      </c>
      <c r="C48" s="31" t="inlineStr">
        <is>
          <t>FACE 003</t>
        </is>
      </c>
      <c r="D48" s="31">
        <f>LEFT(C48,4)</f>
        <v/>
      </c>
      <c r="E48" s="29" t="inlineStr">
        <is>
          <t>여성존</t>
        </is>
      </c>
      <c r="F48" s="31" t="inlineStr">
        <is>
          <t>EEYPG24E0101160</t>
        </is>
      </c>
      <c r="G48" s="31">
        <f>LEFT(F48,10)</f>
        <v/>
      </c>
      <c r="H48" s="31">
        <f>MID(G48,3,2)</f>
        <v/>
      </c>
      <c r="I48" s="31">
        <f>VLOOKUP(H48,color!E:G,2,0)</f>
        <v/>
      </c>
      <c r="J48" s="31" t="n">
        <v>1</v>
      </c>
      <c r="K48" s="31">
        <f>VLOOKUP(J48,color!A:C,2,0)</f>
        <v/>
      </c>
      <c r="L48" s="31" t="n">
        <v>1</v>
      </c>
      <c r="M48" s="31">
        <f>VLOOKUP(F48,'卖场库存0422-0512'!M:R,5,0)</f>
        <v/>
      </c>
      <c r="N48" s="31">
        <f>VLOOKUP(F48,'卖场库存0422-0512'!M:S,6,0)</f>
        <v/>
      </c>
      <c r="O48" s="31" t="inlineStr">
        <is>
          <t>Sleeve out</t>
        </is>
      </c>
      <c r="P48" s="30">
        <f>VLOOKUP(F48,'卖场库存0422-0512'!M:S,7,0)</f>
        <v/>
      </c>
      <c r="Q48" s="31">
        <f>VLOOKUP(H48,color!E:G,3,0)</f>
        <v/>
      </c>
    </row>
    <row r="49">
      <c r="A49" s="31" t="n">
        <v>47</v>
      </c>
      <c r="B49" s="22" t="inlineStr">
        <is>
          <t>F003</t>
        </is>
      </c>
      <c r="C49" s="31" t="inlineStr">
        <is>
          <t>FACE 003</t>
        </is>
      </c>
      <c r="D49" s="31">
        <f>LEFT(C49,4)</f>
        <v/>
      </c>
      <c r="E49" s="29" t="inlineStr">
        <is>
          <t>여성존</t>
        </is>
      </c>
      <c r="F49" s="31" t="inlineStr">
        <is>
          <t>EEVKG25B0339165</t>
        </is>
      </c>
      <c r="G49" s="31">
        <f>LEFT(F49,10)</f>
        <v/>
      </c>
      <c r="H49" s="31">
        <f>MID(G49,3,2)</f>
        <v/>
      </c>
      <c r="I49" s="31">
        <f>VLOOKUP(H49,color!E:G,2,0)</f>
        <v/>
      </c>
      <c r="J49" s="31" t="n">
        <v>39</v>
      </c>
      <c r="K49" s="31">
        <f>VLOOKUP(J49,color!A:C,2,0)</f>
        <v/>
      </c>
      <c r="L49" s="31" t="n">
        <v>1</v>
      </c>
      <c r="M49" s="31">
        <f>VLOOKUP(F49,'卖场库存0422-0512'!M:R,5,0)</f>
        <v/>
      </c>
      <c r="N49" s="31">
        <f>VLOOKUP(F49,'卖场库存0422-0512'!M:S,6,0)</f>
        <v/>
      </c>
      <c r="O49" s="31" t="inlineStr">
        <is>
          <t>Sleeve out</t>
        </is>
      </c>
      <c r="P49" s="30">
        <f>VLOOKUP(F49,'卖场库存0422-0512'!M:S,7,0)</f>
        <v/>
      </c>
      <c r="Q49" s="31">
        <f>VLOOKUP(H49,color!E:G,3,0)</f>
        <v/>
      </c>
    </row>
    <row r="50">
      <c r="A50" s="31" t="n">
        <v>48</v>
      </c>
      <c r="B50" s="22" t="inlineStr">
        <is>
          <t>F003</t>
        </is>
      </c>
      <c r="C50" s="31" t="inlineStr">
        <is>
          <t>FACE 003</t>
        </is>
      </c>
      <c r="D50" s="31">
        <f>LEFT(C50,4)</f>
        <v/>
      </c>
      <c r="E50" s="29" t="inlineStr">
        <is>
          <t>여성존</t>
        </is>
      </c>
      <c r="F50" s="31" t="inlineStr">
        <is>
          <t>EEOWG25E0239160</t>
        </is>
      </c>
      <c r="G50" s="31">
        <f>LEFT(F50,10)</f>
        <v/>
      </c>
      <c r="H50" s="31">
        <f>MID(G50,3,2)</f>
        <v/>
      </c>
      <c r="I50" s="31">
        <f>VLOOKUP(H50,color!E:G,2,0)</f>
        <v/>
      </c>
      <c r="J50" s="31" t="n">
        <v>39</v>
      </c>
      <c r="K50" s="31">
        <f>VLOOKUP(J50,color!A:C,2,0)</f>
        <v/>
      </c>
      <c r="L50" s="31" t="n">
        <v>1</v>
      </c>
      <c r="M50" s="31">
        <f>VLOOKUP(F50,'卖场库存0422-0512'!M:R,5,0)</f>
        <v/>
      </c>
      <c r="N50" s="31">
        <f>VLOOKUP(F50,'卖场库存0422-0512'!M:S,6,0)</f>
        <v/>
      </c>
      <c r="O50" s="31" t="inlineStr">
        <is>
          <t>Sleeve out</t>
        </is>
      </c>
      <c r="P50" s="30">
        <f>VLOOKUP(F50,'卖场库存0422-0512'!M:S,7,0)</f>
        <v/>
      </c>
      <c r="Q50" s="31">
        <f>VLOOKUP(H50,color!E:G,3,0)</f>
        <v/>
      </c>
    </row>
    <row r="51">
      <c r="A51" s="31" t="n">
        <v>49</v>
      </c>
      <c r="B51" s="22" t="inlineStr">
        <is>
          <t>F003</t>
        </is>
      </c>
      <c r="C51" s="31" t="inlineStr">
        <is>
          <t>FACE 003</t>
        </is>
      </c>
      <c r="D51" s="31">
        <f>LEFT(C51,4)</f>
        <v/>
      </c>
      <c r="E51" s="29" t="inlineStr">
        <is>
          <t>여성존</t>
        </is>
      </c>
      <c r="F51" s="31" t="inlineStr">
        <is>
          <t>EEOWG25E0239165</t>
        </is>
      </c>
      <c r="G51" s="31">
        <f>LEFT(F51,10)</f>
        <v/>
      </c>
      <c r="H51" s="31">
        <f>MID(G51,3,2)</f>
        <v/>
      </c>
      <c r="I51" s="31">
        <f>VLOOKUP(H51,color!E:G,2,0)</f>
        <v/>
      </c>
      <c r="J51" s="31" t="n">
        <v>39</v>
      </c>
      <c r="K51" s="31">
        <f>VLOOKUP(J51,color!A:C,2,0)</f>
        <v/>
      </c>
      <c r="L51" s="31" t="n">
        <v>1</v>
      </c>
      <c r="M51" s="31">
        <f>VLOOKUP(F51,'卖场库存0422-0512'!M:R,5,0)</f>
        <v/>
      </c>
      <c r="N51" s="31">
        <f>VLOOKUP(F51,'卖场库存0422-0512'!M:S,6,0)</f>
        <v/>
      </c>
      <c r="O51" s="31" t="inlineStr">
        <is>
          <t>Sleeve out</t>
        </is>
      </c>
      <c r="P51" s="30">
        <f>VLOOKUP(F51,'卖场库存0422-0512'!M:S,7,0)</f>
        <v/>
      </c>
      <c r="Q51" s="31">
        <f>VLOOKUP(H51,color!E:G,3,0)</f>
        <v/>
      </c>
    </row>
    <row r="52">
      <c r="A52" s="31" t="n">
        <v>50</v>
      </c>
      <c r="B52" s="22" t="inlineStr">
        <is>
          <t>F003</t>
        </is>
      </c>
      <c r="C52" s="31" t="inlineStr">
        <is>
          <t>FACE 003</t>
        </is>
      </c>
      <c r="D52" s="31">
        <f>LEFT(C52,4)</f>
        <v/>
      </c>
      <c r="E52" s="29" t="inlineStr">
        <is>
          <t>여성존</t>
        </is>
      </c>
      <c r="F52" s="31" t="inlineStr">
        <is>
          <t>EEWHG24E0259165</t>
        </is>
      </c>
      <c r="G52" s="31">
        <f>LEFT(F52,10)</f>
        <v/>
      </c>
      <c r="H52" s="31">
        <f>MID(G52,3,2)</f>
        <v/>
      </c>
      <c r="I52" s="31">
        <f>VLOOKUP(H52,color!E:G,2,0)</f>
        <v/>
      </c>
      <c r="J52" s="31" t="n">
        <v>59</v>
      </c>
      <c r="K52" s="31">
        <f>VLOOKUP(J52,color!A:C,2,0)</f>
        <v/>
      </c>
      <c r="L52" s="31" t="n">
        <v>1</v>
      </c>
      <c r="M52" s="31">
        <f>VLOOKUP(F52,'卖场库存0422-0512'!M:R,5,0)</f>
        <v/>
      </c>
      <c r="N52" s="31">
        <f>VLOOKUP(F52,'卖场库存0422-0512'!M:S,6,0)</f>
        <v/>
      </c>
      <c r="O52" s="31" t="inlineStr">
        <is>
          <t>Sleeve out</t>
        </is>
      </c>
      <c r="P52" s="30">
        <f>VLOOKUP(F52,'卖场库存0422-0512'!M:S,7,0)</f>
        <v/>
      </c>
      <c r="Q52" s="31">
        <f>VLOOKUP(H52,color!E:G,3,0)</f>
        <v/>
      </c>
    </row>
    <row r="53">
      <c r="A53" s="31" t="n">
        <v>51</v>
      </c>
      <c r="B53" s="22" t="inlineStr">
        <is>
          <t>F003</t>
        </is>
      </c>
      <c r="C53" s="31" t="inlineStr">
        <is>
          <t>FACE 003</t>
        </is>
      </c>
      <c r="D53" s="31">
        <f>LEFT(C53,4)</f>
        <v/>
      </c>
      <c r="E53" s="29" t="inlineStr">
        <is>
          <t>여성존</t>
        </is>
      </c>
      <c r="F53" s="31" t="inlineStr">
        <is>
          <t>EEWHG24E0259160</t>
        </is>
      </c>
      <c r="G53" s="31">
        <f>LEFT(F53,10)</f>
        <v/>
      </c>
      <c r="H53" s="31">
        <f>MID(G53,3,2)</f>
        <v/>
      </c>
      <c r="I53" s="31">
        <f>VLOOKUP(H53,color!E:G,2,0)</f>
        <v/>
      </c>
      <c r="J53" s="31" t="n">
        <v>59</v>
      </c>
      <c r="K53" s="31">
        <f>VLOOKUP(J53,color!A:C,2,0)</f>
        <v/>
      </c>
      <c r="L53" s="31" t="n">
        <v>1</v>
      </c>
      <c r="M53" s="31">
        <f>VLOOKUP(F53,'卖场库存0422-0512'!M:R,5,0)</f>
        <v/>
      </c>
      <c r="N53" s="31">
        <f>VLOOKUP(F53,'卖场库存0422-0512'!M:S,6,0)</f>
        <v/>
      </c>
      <c r="O53" s="31" t="inlineStr">
        <is>
          <t>Sleeve out</t>
        </is>
      </c>
      <c r="P53" s="30">
        <f>VLOOKUP(F53,'卖场库存0422-0512'!M:S,7,0)</f>
        <v/>
      </c>
      <c r="Q53" s="31">
        <f>VLOOKUP(H53,color!E:G,3,0)</f>
        <v/>
      </c>
    </row>
    <row r="54">
      <c r="A54" s="31" t="n">
        <v>52</v>
      </c>
      <c r="B54" s="22" t="inlineStr">
        <is>
          <t>F003</t>
        </is>
      </c>
      <c r="C54" s="31" t="inlineStr">
        <is>
          <t>FACE 003</t>
        </is>
      </c>
      <c r="D54" s="31">
        <f>LEFT(C54,4)</f>
        <v/>
      </c>
      <c r="E54" s="29" t="inlineStr">
        <is>
          <t>여성존</t>
        </is>
      </c>
      <c r="F54" s="31" t="inlineStr">
        <is>
          <t>EEOWG25B0599165</t>
        </is>
      </c>
      <c r="G54" s="31">
        <f>LEFT(F54,10)</f>
        <v/>
      </c>
      <c r="H54" s="31">
        <f>MID(G54,3,2)</f>
        <v/>
      </c>
      <c r="I54" s="31">
        <f>VLOOKUP(H54,color!E:G,2,0)</f>
        <v/>
      </c>
      <c r="J54" s="31" t="n">
        <v>99</v>
      </c>
      <c r="K54" s="31">
        <f>VLOOKUP(J54,color!A:C,2,0)</f>
        <v/>
      </c>
      <c r="L54" s="31" t="n">
        <v>1</v>
      </c>
      <c r="M54" s="31">
        <f>VLOOKUP(F54,'卖场库存0422-0512'!M:R,5,0)</f>
        <v/>
      </c>
      <c r="N54" s="31">
        <f>VLOOKUP(F54,'卖场库存0422-0512'!M:S,6,0)</f>
        <v/>
      </c>
      <c r="O54" s="31" t="inlineStr">
        <is>
          <t>Sleeve out</t>
        </is>
      </c>
      <c r="P54" s="30">
        <f>VLOOKUP(F54,'卖场库存0422-0512'!M:S,7,0)</f>
        <v/>
      </c>
      <c r="Q54" s="31">
        <f>VLOOKUP(H54,color!E:G,3,0)</f>
        <v/>
      </c>
    </row>
    <row r="55">
      <c r="A55" s="31" t="n">
        <v>53</v>
      </c>
      <c r="B55" s="22" t="inlineStr">
        <is>
          <t>F003</t>
        </is>
      </c>
      <c r="C55" s="31" t="inlineStr">
        <is>
          <t>FACE 003</t>
        </is>
      </c>
      <c r="D55" s="31">
        <f>LEFT(C55,4)</f>
        <v/>
      </c>
      <c r="E55" s="29" t="inlineStr">
        <is>
          <t>여성존</t>
        </is>
      </c>
      <c r="F55" s="31" t="inlineStr">
        <is>
          <t>EEOWG25B0599160</t>
        </is>
      </c>
      <c r="G55" s="31">
        <f>LEFT(F55,10)</f>
        <v/>
      </c>
      <c r="H55" s="31">
        <f>MID(G55,3,2)</f>
        <v/>
      </c>
      <c r="I55" s="31">
        <f>VLOOKUP(H55,color!E:G,2,0)</f>
        <v/>
      </c>
      <c r="J55" s="31" t="n">
        <v>99</v>
      </c>
      <c r="K55" s="31">
        <f>VLOOKUP(J55,color!A:C,2,0)</f>
        <v/>
      </c>
      <c r="L55" s="31" t="n">
        <v>1</v>
      </c>
      <c r="M55" s="31">
        <f>VLOOKUP(F55,'卖场库存0422-0512'!M:R,5,0)</f>
        <v/>
      </c>
      <c r="N55" s="31">
        <f>VLOOKUP(F55,'卖场库存0422-0512'!M:S,6,0)</f>
        <v/>
      </c>
      <c r="O55" s="31" t="inlineStr">
        <is>
          <t>Sleeve out</t>
        </is>
      </c>
      <c r="P55" s="30">
        <f>VLOOKUP(F55,'卖场库存0422-0512'!M:S,7,0)</f>
        <v/>
      </c>
      <c r="Q55" s="31">
        <f>VLOOKUP(H55,color!E:G,3,0)</f>
        <v/>
      </c>
    </row>
    <row r="56">
      <c r="A56" s="31" t="n">
        <v>54</v>
      </c>
      <c r="B56" s="22" t="inlineStr">
        <is>
          <t>F004</t>
        </is>
      </c>
      <c r="C56" s="31" t="inlineStr">
        <is>
          <t>FACE 004</t>
        </is>
      </c>
      <c r="D56" s="31">
        <f>LEFT(C56,4)</f>
        <v/>
      </c>
      <c r="E56" s="29" t="inlineStr">
        <is>
          <t>여성존</t>
        </is>
      </c>
      <c r="F56" s="31" t="inlineStr">
        <is>
          <t>EETCG24E0619170</t>
        </is>
      </c>
      <c r="G56" s="31">
        <f>LEFT(F56,10)</f>
        <v/>
      </c>
      <c r="H56" s="31">
        <f>MID(G56,3,2)</f>
        <v/>
      </c>
      <c r="I56" s="31">
        <f>VLOOKUP(H56,color!E:G,2,0)</f>
        <v/>
      </c>
      <c r="J56" s="31" t="n">
        <v>19</v>
      </c>
      <c r="K56" s="31">
        <f>VLOOKUP(J56,color!A:C,2,0)</f>
        <v/>
      </c>
      <c r="L56" s="31" t="n">
        <v>1</v>
      </c>
      <c r="M56" s="31">
        <f>VLOOKUP(F56,'卖场库存0422-0512'!M:R,5,0)</f>
        <v/>
      </c>
      <c r="N56" s="31">
        <f>VLOOKUP(F56,'卖场库存0422-0512'!M:S,6,0)</f>
        <v/>
      </c>
      <c r="O56" s="31" t="inlineStr">
        <is>
          <t>Face out</t>
        </is>
      </c>
      <c r="P56" s="30">
        <f>VLOOKUP(F56,'卖场库存0422-0512'!M:S,7,0)</f>
        <v/>
      </c>
      <c r="Q56" s="31">
        <f>VLOOKUP(H56,color!E:G,3,0)</f>
        <v/>
      </c>
    </row>
    <row r="57">
      <c r="A57" s="31" t="n">
        <v>55</v>
      </c>
      <c r="B57" s="22" t="inlineStr">
        <is>
          <t>F004</t>
        </is>
      </c>
      <c r="C57" s="31" t="inlineStr">
        <is>
          <t>FACE 004</t>
        </is>
      </c>
      <c r="D57" s="31">
        <f>LEFT(C57,4)</f>
        <v/>
      </c>
      <c r="E57" s="29" t="inlineStr">
        <is>
          <t>여성존</t>
        </is>
      </c>
      <c r="F57" s="31" t="inlineStr">
        <is>
          <t>EEWHG25B0699160</t>
        </is>
      </c>
      <c r="G57" s="31">
        <f>LEFT(F57,10)</f>
        <v/>
      </c>
      <c r="H57" s="31">
        <f>MID(G57,3,2)</f>
        <v/>
      </c>
      <c r="I57" s="31">
        <f>VLOOKUP(H57,color!E:G,2,0)</f>
        <v/>
      </c>
      <c r="J57" s="31" t="n">
        <v>99</v>
      </c>
      <c r="K57" s="31">
        <f>VLOOKUP(J57,color!A:C,2,0)</f>
        <v/>
      </c>
      <c r="L57" s="31" t="n">
        <v>1</v>
      </c>
      <c r="M57" s="31">
        <f>VLOOKUP(F57,'卖场库存0422-0512'!M:R,5,0)</f>
        <v/>
      </c>
      <c r="N57" s="31">
        <f>VLOOKUP(F57,'卖场库存0422-0512'!M:S,6,0)</f>
        <v/>
      </c>
      <c r="O57" s="31" t="inlineStr">
        <is>
          <t>Face out</t>
        </is>
      </c>
      <c r="P57" s="30">
        <f>VLOOKUP(F57,'卖场库存0422-0512'!M:S,7,0)</f>
        <v/>
      </c>
      <c r="Q57" s="31">
        <f>VLOOKUP(H57,color!E:G,3,0)</f>
        <v/>
      </c>
    </row>
    <row r="58">
      <c r="A58" s="31" t="n">
        <v>56</v>
      </c>
      <c r="B58" s="22" t="inlineStr">
        <is>
          <t>F004</t>
        </is>
      </c>
      <c r="C58" s="31" t="inlineStr">
        <is>
          <t>FACE 004</t>
        </is>
      </c>
      <c r="D58" s="31">
        <f>LEFT(C58,4)</f>
        <v/>
      </c>
      <c r="E58" s="29" t="inlineStr">
        <is>
          <t>여성존</t>
        </is>
      </c>
      <c r="F58" s="31" t="inlineStr">
        <is>
          <t>EEOWG25B0799170</t>
        </is>
      </c>
      <c r="G58" s="31">
        <f>LEFT(F58,10)</f>
        <v/>
      </c>
      <c r="H58" s="31">
        <f>MID(G58,3,2)</f>
        <v/>
      </c>
      <c r="I58" s="31">
        <f>VLOOKUP(H58,color!E:G,2,0)</f>
        <v/>
      </c>
      <c r="J58" s="31" t="n">
        <v>99</v>
      </c>
      <c r="K58" s="31">
        <f>VLOOKUP(J58,color!A:C,2,0)</f>
        <v/>
      </c>
      <c r="L58" s="31" t="n">
        <v>1</v>
      </c>
      <c r="M58" s="31">
        <f>VLOOKUP(F58,'卖场库存0422-0512'!M:R,5,0)</f>
        <v/>
      </c>
      <c r="N58" s="31">
        <f>VLOOKUP(F58,'卖场库存0422-0512'!M:S,6,0)</f>
        <v/>
      </c>
      <c r="O58" s="31" t="inlineStr">
        <is>
          <t>Face out</t>
        </is>
      </c>
      <c r="P58" s="30">
        <f>VLOOKUP(F58,'卖场库存0422-0512'!M:S,7,0)</f>
        <v/>
      </c>
      <c r="Q58" s="31">
        <f>VLOOKUP(H58,color!E:G,3,0)</f>
        <v/>
      </c>
    </row>
    <row r="59">
      <c r="A59" s="31" t="n">
        <v>57</v>
      </c>
      <c r="B59" s="22" t="inlineStr">
        <is>
          <t>F004</t>
        </is>
      </c>
      <c r="C59" s="31" t="inlineStr">
        <is>
          <t>FACE 004</t>
        </is>
      </c>
      <c r="D59" s="31">
        <f>LEFT(C59,4)</f>
        <v/>
      </c>
      <c r="E59" s="29" t="inlineStr">
        <is>
          <t>여성존</t>
        </is>
      </c>
      <c r="F59" s="31" t="inlineStr">
        <is>
          <t>EEYWG24E0139165</t>
        </is>
      </c>
      <c r="G59" s="31">
        <f>LEFT(F59,10)</f>
        <v/>
      </c>
      <c r="H59" s="31">
        <f>MID(G59,3,2)</f>
        <v/>
      </c>
      <c r="I59" s="31">
        <f>VLOOKUP(H59,color!E:G,2,0)</f>
        <v/>
      </c>
      <c r="J59" s="31" t="n">
        <v>39</v>
      </c>
      <c r="K59" s="31">
        <f>VLOOKUP(J59,color!A:C,2,0)</f>
        <v/>
      </c>
      <c r="L59" s="31" t="n">
        <v>1</v>
      </c>
      <c r="M59" s="31">
        <f>VLOOKUP(F59,'卖场库存0422-0512'!M:R,5,0)</f>
        <v/>
      </c>
      <c r="N59" s="31">
        <f>VLOOKUP(F59,'卖场库存0422-0512'!M:S,6,0)</f>
        <v/>
      </c>
      <c r="O59" s="31" t="inlineStr">
        <is>
          <t>Face out</t>
        </is>
      </c>
      <c r="P59" s="30">
        <f>VLOOKUP(F59,'卖场库存0422-0512'!M:S,7,0)</f>
        <v/>
      </c>
      <c r="Q59" s="31">
        <f>VLOOKUP(H59,color!E:G,3,0)</f>
        <v/>
      </c>
    </row>
    <row r="60">
      <c r="A60" s="31" t="n">
        <v>58</v>
      </c>
      <c r="B60" s="22" t="inlineStr">
        <is>
          <t>F004</t>
        </is>
      </c>
      <c r="C60" s="31" t="inlineStr">
        <is>
          <t>FACE 004</t>
        </is>
      </c>
      <c r="D60" s="31">
        <f>LEFT(C60,4)</f>
        <v/>
      </c>
      <c r="E60" s="29" t="inlineStr">
        <is>
          <t>여성존</t>
        </is>
      </c>
      <c r="F60" s="31" t="inlineStr">
        <is>
          <t>EEOWG25B0799165</t>
        </is>
      </c>
      <c r="G60" s="31">
        <f>LEFT(F60,10)</f>
        <v/>
      </c>
      <c r="H60" s="31">
        <f>MID(G60,3,2)</f>
        <v/>
      </c>
      <c r="I60" s="31">
        <f>VLOOKUP(H60,color!E:G,2,0)</f>
        <v/>
      </c>
      <c r="J60" s="31" t="n">
        <v>99</v>
      </c>
      <c r="K60" s="31">
        <f>VLOOKUP(J60,color!A:C,2,0)</f>
        <v/>
      </c>
      <c r="L60" s="31" t="n">
        <v>1</v>
      </c>
      <c r="M60" s="31">
        <f>VLOOKUP(F60,'卖场库存0422-0512'!M:R,5,0)</f>
        <v/>
      </c>
      <c r="N60" s="31">
        <f>VLOOKUP(F60,'卖场库存0422-0512'!M:S,6,0)</f>
        <v/>
      </c>
      <c r="O60" s="31" t="inlineStr">
        <is>
          <t>Face out</t>
        </is>
      </c>
      <c r="P60" s="30">
        <f>VLOOKUP(F60,'卖场库存0422-0512'!M:S,7,0)</f>
        <v/>
      </c>
      <c r="Q60" s="31">
        <f>VLOOKUP(H60,color!E:G,3,0)</f>
        <v/>
      </c>
    </row>
    <row r="61">
      <c r="A61" s="31" t="n">
        <v>59</v>
      </c>
      <c r="B61" s="22" t="inlineStr">
        <is>
          <t>F004</t>
        </is>
      </c>
      <c r="C61" s="31" t="inlineStr">
        <is>
          <t>FACE 004</t>
        </is>
      </c>
      <c r="D61" s="31">
        <f>LEFT(C61,4)</f>
        <v/>
      </c>
      <c r="E61" s="29" t="inlineStr">
        <is>
          <t>여성존</t>
        </is>
      </c>
      <c r="F61" s="31" t="inlineStr">
        <is>
          <t>EEOWG25E0139160</t>
        </is>
      </c>
      <c r="G61" s="31">
        <f>LEFT(F61,10)</f>
        <v/>
      </c>
      <c r="H61" s="31">
        <f>MID(G61,3,2)</f>
        <v/>
      </c>
      <c r="I61" s="31">
        <f>VLOOKUP(H61,color!E:G,2,0)</f>
        <v/>
      </c>
      <c r="J61" s="31" t="n">
        <v>39</v>
      </c>
      <c r="K61" s="31">
        <f>VLOOKUP(J61,color!A:C,2,0)</f>
        <v/>
      </c>
      <c r="L61" s="31" t="n">
        <v>1</v>
      </c>
      <c r="M61" s="31">
        <f>VLOOKUP(F61,'卖场库存0422-0512'!M:R,5,0)</f>
        <v/>
      </c>
      <c r="N61" s="31">
        <f>VLOOKUP(F61,'卖场库存0422-0512'!M:S,6,0)</f>
        <v/>
      </c>
      <c r="O61" s="31" t="inlineStr">
        <is>
          <t>Sleeve out</t>
        </is>
      </c>
      <c r="P61" s="30">
        <f>VLOOKUP(F61,'卖场库存0422-0512'!M:S,7,0)</f>
        <v/>
      </c>
      <c r="Q61" s="31">
        <f>VLOOKUP(H61,color!E:G,3,0)</f>
        <v/>
      </c>
    </row>
    <row r="62">
      <c r="A62" s="31" t="n">
        <v>60</v>
      </c>
      <c r="B62" s="22" t="inlineStr">
        <is>
          <t>F004</t>
        </is>
      </c>
      <c r="C62" s="31" t="inlineStr">
        <is>
          <t>FACE 004</t>
        </is>
      </c>
      <c r="D62" s="31">
        <f>LEFT(C62,4)</f>
        <v/>
      </c>
      <c r="E62" s="29" t="inlineStr">
        <is>
          <t>여성존</t>
        </is>
      </c>
      <c r="F62" s="31" t="inlineStr">
        <is>
          <t>EEOWG25E0139165</t>
        </is>
      </c>
      <c r="G62" s="31">
        <f>LEFT(F62,10)</f>
        <v/>
      </c>
      <c r="H62" s="31">
        <f>MID(G62,3,2)</f>
        <v/>
      </c>
      <c r="I62" s="31">
        <f>VLOOKUP(H62,color!E:G,2,0)</f>
        <v/>
      </c>
      <c r="J62" s="31" t="n">
        <v>39</v>
      </c>
      <c r="K62" s="31">
        <f>VLOOKUP(J62,color!A:C,2,0)</f>
        <v/>
      </c>
      <c r="L62" s="31" t="n">
        <v>1</v>
      </c>
      <c r="M62" s="31">
        <f>VLOOKUP(F62,'卖场库存0422-0512'!M:R,5,0)</f>
        <v/>
      </c>
      <c r="N62" s="31">
        <f>VLOOKUP(F62,'卖场库存0422-0512'!M:S,6,0)</f>
        <v/>
      </c>
      <c r="O62" s="31" t="inlineStr">
        <is>
          <t>Sleeve out</t>
        </is>
      </c>
      <c r="P62" s="30">
        <f>VLOOKUP(F62,'卖场库存0422-0512'!M:S,7,0)</f>
        <v/>
      </c>
      <c r="Q62" s="31">
        <f>VLOOKUP(H62,color!E:G,3,0)</f>
        <v/>
      </c>
    </row>
    <row r="63">
      <c r="A63" s="31" t="n">
        <v>61</v>
      </c>
      <c r="B63" s="22" t="inlineStr">
        <is>
          <t>F004</t>
        </is>
      </c>
      <c r="C63" s="31" t="inlineStr">
        <is>
          <t>FACE 004</t>
        </is>
      </c>
      <c r="D63" s="31">
        <f>LEFT(C63,4)</f>
        <v/>
      </c>
      <c r="E63" s="29" t="inlineStr">
        <is>
          <t>여성존</t>
        </is>
      </c>
      <c r="F63" s="31" t="inlineStr">
        <is>
          <t>EEWHG25E0119165</t>
        </is>
      </c>
      <c r="G63" s="31">
        <f>LEFT(F63,10)</f>
        <v/>
      </c>
      <c r="H63" s="31">
        <f>MID(G63,3,2)</f>
        <v/>
      </c>
      <c r="I63" s="31">
        <f>VLOOKUP(H63,color!E:G,2,0)</f>
        <v/>
      </c>
      <c r="J63" s="31" t="n">
        <v>19</v>
      </c>
      <c r="K63" s="31">
        <f>VLOOKUP(J63,color!A:C,2,0)</f>
        <v/>
      </c>
      <c r="L63" s="31" t="n">
        <v>1</v>
      </c>
      <c r="M63" s="31">
        <f>VLOOKUP(F63,'卖场库存0422-0512'!M:R,5,0)</f>
        <v/>
      </c>
      <c r="N63" s="31">
        <f>VLOOKUP(F63,'卖场库存0422-0512'!M:S,6,0)</f>
        <v/>
      </c>
      <c r="O63" s="31" t="inlineStr">
        <is>
          <t>Sleeve out</t>
        </is>
      </c>
      <c r="P63" s="30">
        <f>VLOOKUP(F63,'卖场库存0422-0512'!M:S,7,0)</f>
        <v/>
      </c>
      <c r="Q63" s="31">
        <f>VLOOKUP(H63,color!E:G,3,0)</f>
        <v/>
      </c>
    </row>
    <row r="64">
      <c r="A64" s="31" t="n">
        <v>62</v>
      </c>
      <c r="B64" s="22" t="inlineStr">
        <is>
          <t>F004</t>
        </is>
      </c>
      <c r="C64" s="31" t="inlineStr">
        <is>
          <t>FACE 004</t>
        </is>
      </c>
      <c r="D64" s="31">
        <f>LEFT(C64,4)</f>
        <v/>
      </c>
      <c r="E64" s="29" t="inlineStr">
        <is>
          <t>여성존</t>
        </is>
      </c>
      <c r="F64" s="31" t="inlineStr">
        <is>
          <t>EEWHG25E0119160</t>
        </is>
      </c>
      <c r="G64" s="31">
        <f>LEFT(F64,10)</f>
        <v/>
      </c>
      <c r="H64" s="31">
        <f>MID(G64,3,2)</f>
        <v/>
      </c>
      <c r="I64" s="31">
        <f>VLOOKUP(H64,color!E:G,2,0)</f>
        <v/>
      </c>
      <c r="J64" s="31" t="n">
        <v>19</v>
      </c>
      <c r="K64" s="31">
        <f>VLOOKUP(J64,color!A:C,2,0)</f>
        <v/>
      </c>
      <c r="L64" s="31" t="n">
        <v>1</v>
      </c>
      <c r="M64" s="31">
        <f>VLOOKUP(F64,'卖场库存0422-0512'!M:R,5,0)</f>
        <v/>
      </c>
      <c r="N64" s="31">
        <f>VLOOKUP(F64,'卖场库存0422-0512'!M:S,6,0)</f>
        <v/>
      </c>
      <c r="O64" s="31" t="inlineStr">
        <is>
          <t>Sleeve out</t>
        </is>
      </c>
      <c r="P64" s="30">
        <f>VLOOKUP(F64,'卖场库存0422-0512'!M:S,7,0)</f>
        <v/>
      </c>
      <c r="Q64" s="31">
        <f>VLOOKUP(H64,color!E:G,3,0)</f>
        <v/>
      </c>
    </row>
    <row r="65">
      <c r="A65" s="31" t="n">
        <v>63</v>
      </c>
      <c r="B65" s="22" t="inlineStr">
        <is>
          <t>F004</t>
        </is>
      </c>
      <c r="C65" s="31" t="inlineStr">
        <is>
          <t>FACE 004</t>
        </is>
      </c>
      <c r="D65" s="31">
        <f>LEFT(C65,4)</f>
        <v/>
      </c>
      <c r="E65" s="29" t="inlineStr">
        <is>
          <t>여성존</t>
        </is>
      </c>
      <c r="F65" s="31" t="inlineStr">
        <is>
          <t>EEOWG25Q9119160</t>
        </is>
      </c>
      <c r="G65" s="31">
        <f>LEFT(F65,10)</f>
        <v/>
      </c>
      <c r="H65" s="31">
        <f>MID(G65,3,2)</f>
        <v/>
      </c>
      <c r="I65" s="31">
        <f>VLOOKUP(H65,color!E:G,2,0)</f>
        <v/>
      </c>
      <c r="J65" s="31" t="n">
        <v>19</v>
      </c>
      <c r="K65" s="31">
        <f>VLOOKUP(J65,color!A:C,2,0)</f>
        <v/>
      </c>
      <c r="L65" s="31" t="n">
        <v>1</v>
      </c>
      <c r="M65" s="31">
        <f>VLOOKUP(F65,'卖场库存0422-0512'!M:R,5,0)</f>
        <v/>
      </c>
      <c r="N65" s="31">
        <f>VLOOKUP(F65,'卖场库存0422-0512'!M:S,6,0)</f>
        <v/>
      </c>
      <c r="O65" s="31" t="inlineStr">
        <is>
          <t>Sleeve out</t>
        </is>
      </c>
      <c r="P65" s="30">
        <f>VLOOKUP(F65,'卖场库存0422-0512'!M:S,7,0)</f>
        <v/>
      </c>
      <c r="Q65" s="31">
        <f>VLOOKUP(H65,color!E:G,3,0)</f>
        <v/>
      </c>
    </row>
    <row r="66">
      <c r="A66" s="31" t="n">
        <v>64</v>
      </c>
      <c r="B66" s="22" t="inlineStr">
        <is>
          <t>F004</t>
        </is>
      </c>
      <c r="C66" s="31" t="inlineStr">
        <is>
          <t>FACE 004</t>
        </is>
      </c>
      <c r="D66" s="31">
        <f>LEFT(C66,4)</f>
        <v/>
      </c>
      <c r="E66" s="29" t="inlineStr">
        <is>
          <t>여성존</t>
        </is>
      </c>
      <c r="F66" s="31" t="inlineStr">
        <is>
          <t>EEOWG25Q9119165</t>
        </is>
      </c>
      <c r="G66" s="31">
        <f>LEFT(F66,10)</f>
        <v/>
      </c>
      <c r="H66" s="31">
        <f>MID(G66,3,2)</f>
        <v/>
      </c>
      <c r="I66" s="31">
        <f>VLOOKUP(H66,color!E:G,2,0)</f>
        <v/>
      </c>
      <c r="J66" s="31" t="n">
        <v>19</v>
      </c>
      <c r="K66" s="31">
        <f>VLOOKUP(J66,color!A:C,2,0)</f>
        <v/>
      </c>
      <c r="L66" s="31" t="n">
        <v>1</v>
      </c>
      <c r="M66" s="31">
        <f>VLOOKUP(F66,'卖场库存0422-0512'!M:R,5,0)</f>
        <v/>
      </c>
      <c r="N66" s="31">
        <f>VLOOKUP(F66,'卖场库存0422-0512'!M:S,6,0)</f>
        <v/>
      </c>
      <c r="O66" s="31" t="inlineStr">
        <is>
          <t>Sleeve out</t>
        </is>
      </c>
      <c r="P66" s="30">
        <f>VLOOKUP(F66,'卖场库存0422-0512'!M:S,7,0)</f>
        <v/>
      </c>
      <c r="Q66" s="31">
        <f>VLOOKUP(H66,color!E:G,3,0)</f>
        <v/>
      </c>
    </row>
    <row r="67">
      <c r="A67" s="31" t="n">
        <v>65</v>
      </c>
      <c r="B67" s="22" t="inlineStr">
        <is>
          <t>F004</t>
        </is>
      </c>
      <c r="C67" s="31" t="inlineStr">
        <is>
          <t>FACE 004</t>
        </is>
      </c>
      <c r="D67" s="31">
        <f>LEFT(C67,4)</f>
        <v/>
      </c>
      <c r="E67" s="29" t="inlineStr">
        <is>
          <t>여성존</t>
        </is>
      </c>
      <c r="F67" s="31" t="inlineStr">
        <is>
          <t>EEKWG25E0139160</t>
        </is>
      </c>
      <c r="G67" s="31">
        <f>LEFT(F67,10)</f>
        <v/>
      </c>
      <c r="H67" s="31">
        <f>MID(G67,3,2)</f>
        <v/>
      </c>
      <c r="I67" s="31">
        <f>VLOOKUP(H67,color!E:G,2,0)</f>
        <v/>
      </c>
      <c r="J67" s="31" t="n">
        <v>39</v>
      </c>
      <c r="K67" s="31">
        <f>VLOOKUP(J67,color!A:C,2,0)</f>
        <v/>
      </c>
      <c r="L67" s="31" t="n">
        <v>1</v>
      </c>
      <c r="M67" s="31">
        <f>VLOOKUP(F67,'卖场库存0422-0512'!M:R,5,0)</f>
        <v/>
      </c>
      <c r="N67" s="31">
        <f>VLOOKUP(F67,'卖场库存0422-0512'!M:S,6,0)</f>
        <v/>
      </c>
      <c r="O67" s="31" t="inlineStr">
        <is>
          <t>Sleeve out</t>
        </is>
      </c>
      <c r="P67" s="30">
        <f>VLOOKUP(F67,'卖场库存0422-0512'!M:S,7,0)</f>
        <v/>
      </c>
      <c r="Q67" s="31">
        <f>VLOOKUP(H67,color!E:G,3,0)</f>
        <v/>
      </c>
    </row>
    <row r="68">
      <c r="A68" s="31" t="n">
        <v>66</v>
      </c>
      <c r="B68" s="22" t="inlineStr">
        <is>
          <t>F004</t>
        </is>
      </c>
      <c r="C68" s="31" t="inlineStr">
        <is>
          <t>FACE 004</t>
        </is>
      </c>
      <c r="D68" s="31">
        <f>LEFT(C68,4)</f>
        <v/>
      </c>
      <c r="E68" s="29" t="inlineStr">
        <is>
          <t>여성존</t>
        </is>
      </c>
      <c r="F68" s="31" t="inlineStr">
        <is>
          <t>EEVKG25B0299160</t>
        </is>
      </c>
      <c r="G68" s="31">
        <f>LEFT(F68,10)</f>
        <v/>
      </c>
      <c r="H68" s="31">
        <f>MID(G68,3,2)</f>
        <v/>
      </c>
      <c r="I68" s="31">
        <f>VLOOKUP(H68,color!E:G,2,0)</f>
        <v/>
      </c>
      <c r="J68" s="31" t="n">
        <v>99</v>
      </c>
      <c r="K68" s="31">
        <f>VLOOKUP(J68,color!A:C,2,0)</f>
        <v/>
      </c>
      <c r="L68" s="31" t="n">
        <v>1</v>
      </c>
      <c r="M68" s="31">
        <f>VLOOKUP(F68,'卖场库存0422-0512'!M:R,5,0)</f>
        <v/>
      </c>
      <c r="N68" s="31">
        <f>VLOOKUP(F68,'卖场库存0422-0512'!M:S,6,0)</f>
        <v/>
      </c>
      <c r="O68" s="31" t="inlineStr">
        <is>
          <t>Sleeve out</t>
        </is>
      </c>
      <c r="P68" s="30">
        <f>VLOOKUP(F68,'卖场库存0422-0512'!M:S,7,0)</f>
        <v/>
      </c>
      <c r="Q68" s="31">
        <f>VLOOKUP(H68,color!E:G,3,0)</f>
        <v/>
      </c>
    </row>
    <row r="69">
      <c r="A69" s="31" t="n">
        <v>67</v>
      </c>
      <c r="B69" s="22" t="inlineStr">
        <is>
          <t>F004</t>
        </is>
      </c>
      <c r="C69" s="31" t="inlineStr">
        <is>
          <t>FACE 004</t>
        </is>
      </c>
      <c r="D69" s="31">
        <f>LEFT(C69,4)</f>
        <v/>
      </c>
      <c r="E69" s="29" t="inlineStr">
        <is>
          <t>여성존</t>
        </is>
      </c>
      <c r="F69" s="31" t="inlineStr">
        <is>
          <t>EEVKG25B0299170</t>
        </is>
      </c>
      <c r="G69" s="31">
        <f>LEFT(F69,10)</f>
        <v/>
      </c>
      <c r="H69" s="31">
        <f>MID(G69,3,2)</f>
        <v/>
      </c>
      <c r="I69" s="31">
        <f>VLOOKUP(H69,color!E:G,2,0)</f>
        <v/>
      </c>
      <c r="J69" s="31" t="n">
        <v>99</v>
      </c>
      <c r="K69" s="31">
        <f>VLOOKUP(J69,color!A:C,2,0)</f>
        <v/>
      </c>
      <c r="L69" s="31" t="n">
        <v>1</v>
      </c>
      <c r="M69" s="31">
        <f>VLOOKUP(F69,'卖场库存0422-0512'!M:R,5,0)</f>
        <v/>
      </c>
      <c r="N69" s="31">
        <f>VLOOKUP(F69,'卖场库存0422-0512'!M:S,6,0)</f>
        <v/>
      </c>
      <c r="O69" s="31" t="inlineStr">
        <is>
          <t>Sleeve out</t>
        </is>
      </c>
      <c r="P69" s="30">
        <f>VLOOKUP(F69,'卖场库存0422-0512'!M:S,7,0)</f>
        <v/>
      </c>
      <c r="Q69" s="31">
        <f>VLOOKUP(H69,color!E:G,3,0)</f>
        <v/>
      </c>
    </row>
    <row r="70">
      <c r="A70" s="31" t="n">
        <v>68</v>
      </c>
      <c r="B70" s="22" t="inlineStr">
        <is>
          <t>F004</t>
        </is>
      </c>
      <c r="C70" s="31" t="inlineStr">
        <is>
          <t>FACE 004</t>
        </is>
      </c>
      <c r="D70" s="31">
        <f>LEFT(C70,4)</f>
        <v/>
      </c>
      <c r="E70" s="29" t="inlineStr">
        <is>
          <t>여성존</t>
        </is>
      </c>
      <c r="F70" s="31" t="inlineStr">
        <is>
          <t>EEVWG25B0119165</t>
        </is>
      </c>
      <c r="G70" s="31">
        <f>LEFT(F70,10)</f>
        <v/>
      </c>
      <c r="H70" s="31">
        <f>MID(G70,3,2)</f>
        <v/>
      </c>
      <c r="I70" s="31">
        <f>VLOOKUP(H70,color!E:G,2,0)</f>
        <v/>
      </c>
      <c r="J70" s="31" t="n">
        <v>19</v>
      </c>
      <c r="K70" s="31">
        <f>VLOOKUP(J70,color!A:C,2,0)</f>
        <v/>
      </c>
      <c r="L70" s="31" t="n">
        <v>1</v>
      </c>
      <c r="M70" s="31">
        <f>VLOOKUP(F70,'卖场库存0422-0512'!M:R,5,0)</f>
        <v/>
      </c>
      <c r="N70" s="31">
        <f>VLOOKUP(F70,'卖场库存0422-0512'!M:S,6,0)</f>
        <v/>
      </c>
      <c r="O70" s="31" t="inlineStr">
        <is>
          <t>Sleeve out</t>
        </is>
      </c>
      <c r="P70" s="30">
        <f>VLOOKUP(F70,'卖场库存0422-0512'!M:S,7,0)</f>
        <v/>
      </c>
      <c r="Q70" s="31">
        <f>VLOOKUP(H70,color!E:G,3,0)</f>
        <v/>
      </c>
    </row>
    <row r="71">
      <c r="A71" s="31" t="n">
        <v>69</v>
      </c>
      <c r="B71" s="22" t="inlineStr">
        <is>
          <t>F004</t>
        </is>
      </c>
      <c r="C71" s="31" t="inlineStr">
        <is>
          <t>FACE 004</t>
        </is>
      </c>
      <c r="D71" s="31">
        <f>LEFT(C71,4)</f>
        <v/>
      </c>
      <c r="E71" s="29" t="inlineStr">
        <is>
          <t>여성존</t>
        </is>
      </c>
      <c r="F71" s="31" t="inlineStr">
        <is>
          <t>EEVWG25B0119165</t>
        </is>
      </c>
      <c r="G71" s="31">
        <f>LEFT(F71,10)</f>
        <v/>
      </c>
      <c r="H71" s="31">
        <f>MID(G71,3,2)</f>
        <v/>
      </c>
      <c r="I71" s="31">
        <f>VLOOKUP(H71,color!E:G,2,0)</f>
        <v/>
      </c>
      <c r="J71" s="31" t="n">
        <v>19</v>
      </c>
      <c r="K71" s="31">
        <f>VLOOKUP(J71,color!A:C,2,0)</f>
        <v/>
      </c>
      <c r="L71" s="31" t="n">
        <v>1</v>
      </c>
      <c r="M71" s="31">
        <f>VLOOKUP(F71,'卖场库存0422-0512'!M:R,5,0)</f>
        <v/>
      </c>
      <c r="N71" s="31">
        <f>VLOOKUP(F71,'卖场库存0422-0512'!M:S,6,0)</f>
        <v/>
      </c>
      <c r="O71" s="31" t="inlineStr">
        <is>
          <t>Sleeve out</t>
        </is>
      </c>
      <c r="P71" s="30">
        <f>VLOOKUP(F71,'卖场库存0422-0512'!M:S,7,0)</f>
        <v/>
      </c>
      <c r="Q71" s="31">
        <f>VLOOKUP(H71,color!E:G,3,0)</f>
        <v/>
      </c>
    </row>
    <row r="72">
      <c r="A72" s="31" t="n">
        <v>70</v>
      </c>
      <c r="B72" s="22" t="inlineStr">
        <is>
          <t>F005</t>
        </is>
      </c>
      <c r="C72" s="31" t="inlineStr">
        <is>
          <t>FACE 005</t>
        </is>
      </c>
      <c r="D72" s="31">
        <f>LEFT(C72,4)</f>
        <v/>
      </c>
      <c r="E72" s="29" t="inlineStr">
        <is>
          <t>여성존</t>
        </is>
      </c>
      <c r="F72" s="31" t="inlineStr">
        <is>
          <t>EERNG23E0118160</t>
        </is>
      </c>
      <c r="G72" s="31">
        <f>LEFT(F72,10)</f>
        <v/>
      </c>
      <c r="H72" s="31">
        <f>MID(G72,3,2)</f>
        <v/>
      </c>
      <c r="I72" s="31">
        <f>VLOOKUP(H72,color!E:G,2,0)</f>
        <v/>
      </c>
      <c r="J72" s="31" t="n">
        <v>18</v>
      </c>
      <c r="K72" s="31">
        <f>VLOOKUP(J72,color!A:C,2,0)</f>
        <v/>
      </c>
      <c r="L72" s="31" t="n">
        <v>1</v>
      </c>
      <c r="M72" s="31">
        <f>VLOOKUP(F72,'卖场库存0422-0512'!M:R,5,0)</f>
        <v/>
      </c>
      <c r="N72" s="31">
        <f>VLOOKUP(F72,'卖场库存0422-0512'!M:S,6,0)</f>
        <v/>
      </c>
      <c r="O72" s="31" t="inlineStr">
        <is>
          <t>Face out</t>
        </is>
      </c>
      <c r="P72" s="30">
        <f>VLOOKUP(F72,'卖场库存0422-0512'!M:S,7,0)</f>
        <v/>
      </c>
      <c r="Q72" s="31">
        <f>VLOOKUP(H72,color!E:G,3,0)</f>
        <v/>
      </c>
    </row>
    <row r="73">
      <c r="A73" s="31" t="n">
        <v>71</v>
      </c>
      <c r="B73" s="22" t="inlineStr">
        <is>
          <t>F005</t>
        </is>
      </c>
      <c r="C73" s="31" t="inlineStr">
        <is>
          <t>FACE 005</t>
        </is>
      </c>
      <c r="D73" s="31">
        <f>LEFT(C73,4)</f>
        <v/>
      </c>
      <c r="E73" s="29" t="inlineStr">
        <is>
          <t>여성존</t>
        </is>
      </c>
      <c r="F73" s="31" t="inlineStr">
        <is>
          <t>EEYWG24E0130165</t>
        </is>
      </c>
      <c r="G73" s="31">
        <f>LEFT(F73,10)</f>
        <v/>
      </c>
      <c r="H73" s="31">
        <f>MID(G73,3,2)</f>
        <v/>
      </c>
      <c r="I73" s="31">
        <f>VLOOKUP(H73,color!E:G,2,0)</f>
        <v/>
      </c>
      <c r="J73" s="31" t="n">
        <v>30</v>
      </c>
      <c r="K73" s="31">
        <f>VLOOKUP(J73,color!A:C,2,0)</f>
        <v/>
      </c>
      <c r="L73" s="31" t="n">
        <v>1</v>
      </c>
      <c r="M73" s="31">
        <f>VLOOKUP(F73,'卖场库存0422-0512'!M:R,5,0)</f>
        <v/>
      </c>
      <c r="N73" s="31">
        <f>VLOOKUP(F73,'卖场库存0422-0512'!M:S,6,0)</f>
        <v/>
      </c>
      <c r="O73" s="31" t="inlineStr">
        <is>
          <t>Face out</t>
        </is>
      </c>
      <c r="P73" s="30">
        <f>VLOOKUP(F73,'卖场库存0422-0512'!M:S,7,0)</f>
        <v/>
      </c>
      <c r="Q73" s="31">
        <f>VLOOKUP(H73,color!E:G,3,0)</f>
        <v/>
      </c>
    </row>
    <row r="74">
      <c r="A74" s="31" t="n">
        <v>72</v>
      </c>
      <c r="B74" s="22" t="inlineStr">
        <is>
          <t>F005</t>
        </is>
      </c>
      <c r="C74" s="31" t="inlineStr">
        <is>
          <t>FACE 005</t>
        </is>
      </c>
      <c r="D74" s="31">
        <f>LEFT(C74,4)</f>
        <v/>
      </c>
      <c r="E74" s="29" t="inlineStr">
        <is>
          <t>여성존</t>
        </is>
      </c>
      <c r="F74" s="31" t="inlineStr">
        <is>
          <t>EERNG23E0118170</t>
        </is>
      </c>
      <c r="G74" s="31">
        <f>LEFT(F74,10)</f>
        <v/>
      </c>
      <c r="H74" s="31">
        <f>MID(G74,3,2)</f>
        <v/>
      </c>
      <c r="I74" s="31">
        <f>VLOOKUP(H74,color!E:G,2,0)</f>
        <v/>
      </c>
      <c r="J74" s="31" t="n">
        <v>18</v>
      </c>
      <c r="K74" s="31">
        <f>VLOOKUP(J74,color!A:C,2,0)</f>
        <v/>
      </c>
      <c r="L74" s="31" t="n">
        <v>1</v>
      </c>
      <c r="M74" s="31">
        <f>VLOOKUP(F74,'卖场库存0422-0512'!M:R,5,0)</f>
        <v/>
      </c>
      <c r="N74" s="31">
        <f>VLOOKUP(F74,'卖场库存0422-0512'!M:S,6,0)</f>
        <v/>
      </c>
      <c r="O74" s="31" t="inlineStr">
        <is>
          <t>Face out</t>
        </is>
      </c>
      <c r="P74" s="30">
        <f>VLOOKUP(F74,'卖场库存0422-0512'!M:S,7,0)</f>
        <v/>
      </c>
      <c r="Q74" s="31">
        <f>VLOOKUP(H74,color!E:G,3,0)</f>
        <v/>
      </c>
    </row>
    <row r="75">
      <c r="A75" s="31" t="n">
        <v>73</v>
      </c>
      <c r="B75" s="22" t="inlineStr">
        <is>
          <t>F005</t>
        </is>
      </c>
      <c r="C75" s="31" t="inlineStr">
        <is>
          <t>FACE 005</t>
        </is>
      </c>
      <c r="D75" s="31">
        <f>LEFT(C75,4)</f>
        <v/>
      </c>
      <c r="E75" s="29" t="inlineStr">
        <is>
          <t>여성존</t>
        </is>
      </c>
      <c r="F75" s="31" t="inlineStr">
        <is>
          <t>EEYWG23E0126160</t>
        </is>
      </c>
      <c r="G75" s="31">
        <f>LEFT(F75,10)</f>
        <v/>
      </c>
      <c r="H75" s="31">
        <f>MID(G75,3,2)</f>
        <v/>
      </c>
      <c r="I75" s="31">
        <f>VLOOKUP(H75,color!E:G,2,0)</f>
        <v/>
      </c>
      <c r="J75" s="31" t="n">
        <v>26</v>
      </c>
      <c r="K75" s="31">
        <f>VLOOKUP(J75,color!A:C,2,0)</f>
        <v/>
      </c>
      <c r="L75" s="31" t="n">
        <v>1</v>
      </c>
      <c r="M75" s="31">
        <f>VLOOKUP(F75,'卖场库存0422-0512'!M:R,5,0)</f>
        <v/>
      </c>
      <c r="N75" s="31">
        <f>VLOOKUP(F75,'卖场库存0422-0512'!M:S,6,0)</f>
        <v/>
      </c>
      <c r="O75" s="31" t="inlineStr">
        <is>
          <t>Face out</t>
        </is>
      </c>
      <c r="P75" s="30">
        <f>VLOOKUP(F75,'卖场库存0422-0512'!M:S,7,0)</f>
        <v/>
      </c>
      <c r="Q75" s="31">
        <f>VLOOKUP(H75,color!E:G,3,0)</f>
        <v/>
      </c>
    </row>
    <row r="76">
      <c r="A76" s="31" t="n">
        <v>74</v>
      </c>
      <c r="B76" s="22" t="inlineStr">
        <is>
          <t>F005</t>
        </is>
      </c>
      <c r="C76" s="31" t="inlineStr">
        <is>
          <t>FACE 005</t>
        </is>
      </c>
      <c r="D76" s="31">
        <f>LEFT(C76,4)</f>
        <v/>
      </c>
      <c r="E76" s="29" t="inlineStr">
        <is>
          <t>여성존</t>
        </is>
      </c>
      <c r="F76" s="31" t="inlineStr">
        <is>
          <t>EEYWG23E0139160</t>
        </is>
      </c>
      <c r="G76" s="31">
        <f>LEFT(F76,10)</f>
        <v/>
      </c>
      <c r="H76" s="31">
        <f>MID(G76,3,2)</f>
        <v/>
      </c>
      <c r="I76" s="31">
        <f>VLOOKUP(H76,color!E:G,2,0)</f>
        <v/>
      </c>
      <c r="J76" s="31" t="n">
        <v>39</v>
      </c>
      <c r="K76" s="31">
        <f>VLOOKUP(J76,color!A:C,2,0)</f>
        <v/>
      </c>
      <c r="L76" s="31" t="n">
        <v>1</v>
      </c>
      <c r="M76" s="31">
        <f>VLOOKUP(F76,'卖场库存0422-0512'!M:R,5,0)</f>
        <v/>
      </c>
      <c r="N76" s="31">
        <f>VLOOKUP(F76,'卖场库存0422-0512'!M:S,6,0)</f>
        <v/>
      </c>
      <c r="O76" s="31" t="inlineStr">
        <is>
          <t>Face out</t>
        </is>
      </c>
      <c r="P76" s="30">
        <f>VLOOKUP(F76,'卖场库存0422-0512'!M:S,7,0)</f>
        <v/>
      </c>
      <c r="Q76" s="31">
        <f>VLOOKUP(H76,color!E:G,3,0)</f>
        <v/>
      </c>
    </row>
    <row r="77">
      <c r="A77" s="31" t="n">
        <v>75</v>
      </c>
      <c r="B77" s="22" t="inlineStr">
        <is>
          <t>F005</t>
        </is>
      </c>
      <c r="C77" s="31" t="inlineStr">
        <is>
          <t>FACE 005</t>
        </is>
      </c>
      <c r="D77" s="31">
        <f>LEFT(C77,4)</f>
        <v/>
      </c>
      <c r="E77" s="29" t="inlineStr">
        <is>
          <t>여성존</t>
        </is>
      </c>
      <c r="F77" s="31" t="inlineStr">
        <is>
          <t>EEYWG24E0142165</t>
        </is>
      </c>
      <c r="G77" s="31">
        <f>LEFT(F77,10)</f>
        <v/>
      </c>
      <c r="H77" s="31">
        <f>MID(G77,3,2)</f>
        <v/>
      </c>
      <c r="I77" s="31">
        <f>VLOOKUP(H77,color!E:G,2,0)</f>
        <v/>
      </c>
      <c r="J77" s="31" t="n">
        <v>42</v>
      </c>
      <c r="K77" s="31">
        <f>VLOOKUP(J77,color!A:C,2,0)</f>
        <v/>
      </c>
      <c r="L77" s="31" t="n">
        <v>1</v>
      </c>
      <c r="M77" s="31">
        <f>VLOOKUP(F77,'卖场库存0422-0512'!M:R,5,0)</f>
        <v/>
      </c>
      <c r="N77" s="31">
        <f>VLOOKUP(F77,'卖场库存0422-0512'!M:S,6,0)</f>
        <v/>
      </c>
      <c r="O77" s="31" t="inlineStr">
        <is>
          <t>Face out</t>
        </is>
      </c>
      <c r="P77" s="30">
        <f>VLOOKUP(F77,'卖场库存0422-0512'!M:S,7,0)</f>
        <v/>
      </c>
      <c r="Q77" s="31">
        <f>VLOOKUP(H77,color!E:G,3,0)</f>
        <v/>
      </c>
    </row>
    <row r="78">
      <c r="A78" s="31" t="n">
        <v>76</v>
      </c>
      <c r="B78" s="22" t="inlineStr">
        <is>
          <t>F005</t>
        </is>
      </c>
      <c r="C78" s="31" t="inlineStr">
        <is>
          <t>FACE 005</t>
        </is>
      </c>
      <c r="D78" s="31">
        <f>LEFT(C78,4)</f>
        <v/>
      </c>
      <c r="E78" s="29" t="inlineStr">
        <is>
          <t>여성존</t>
        </is>
      </c>
      <c r="F78" s="31" t="inlineStr">
        <is>
          <t>EEYWG23E0188165</t>
        </is>
      </c>
      <c r="G78" s="31">
        <f>LEFT(F78,10)</f>
        <v/>
      </c>
      <c r="H78" s="31">
        <f>MID(G78,3,2)</f>
        <v/>
      </c>
      <c r="I78" s="31">
        <f>VLOOKUP(H78,color!E:G,2,0)</f>
        <v/>
      </c>
      <c r="J78" s="31" t="n">
        <v>88</v>
      </c>
      <c r="K78" s="31">
        <f>VLOOKUP(J78,color!A:C,2,0)</f>
        <v/>
      </c>
      <c r="L78" s="31" t="n">
        <v>1</v>
      </c>
      <c r="M78" s="31">
        <f>VLOOKUP(F78,'卖场库存0422-0512'!M:R,5,0)</f>
        <v/>
      </c>
      <c r="N78" s="31">
        <f>VLOOKUP(F78,'卖场库存0422-0512'!M:S,6,0)</f>
        <v/>
      </c>
      <c r="O78" s="31" t="inlineStr">
        <is>
          <t>Sleeve out</t>
        </is>
      </c>
      <c r="P78" s="30">
        <f>VLOOKUP(F78,'卖场库存0422-0512'!M:S,7,0)</f>
        <v/>
      </c>
      <c r="Q78" s="31">
        <f>VLOOKUP(H78,color!E:G,3,0)</f>
        <v/>
      </c>
    </row>
    <row r="79">
      <c r="A79" s="31" t="n">
        <v>77</v>
      </c>
      <c r="B79" s="22" t="inlineStr">
        <is>
          <t>F005</t>
        </is>
      </c>
      <c r="C79" s="31" t="inlineStr">
        <is>
          <t>FACE 005</t>
        </is>
      </c>
      <c r="D79" s="31">
        <f>LEFT(C79,4)</f>
        <v/>
      </c>
      <c r="E79" s="29" t="inlineStr">
        <is>
          <t>여성존</t>
        </is>
      </c>
      <c r="F79" s="31" t="inlineStr">
        <is>
          <t>EERNG23E0139160</t>
        </is>
      </c>
      <c r="G79" s="31">
        <f>LEFT(F79,10)</f>
        <v/>
      </c>
      <c r="H79" s="31">
        <f>MID(G79,3,2)</f>
        <v/>
      </c>
      <c r="I79" s="31">
        <f>VLOOKUP(H79,color!E:G,2,0)</f>
        <v/>
      </c>
      <c r="J79" s="31" t="n">
        <v>39</v>
      </c>
      <c r="K79" s="31">
        <f>VLOOKUP(J79,color!A:C,2,0)</f>
        <v/>
      </c>
      <c r="L79" s="31" t="n">
        <v>1</v>
      </c>
      <c r="M79" s="31">
        <f>VLOOKUP(F79,'卖场库存0422-0512'!M:R,5,0)</f>
        <v/>
      </c>
      <c r="N79" s="31">
        <f>VLOOKUP(F79,'卖场库存0422-0512'!M:S,6,0)</f>
        <v/>
      </c>
      <c r="O79" s="31" t="inlineStr">
        <is>
          <t>Sleeve out</t>
        </is>
      </c>
      <c r="P79" s="30">
        <f>VLOOKUP(F79,'卖场库存0422-0512'!M:S,7,0)</f>
        <v/>
      </c>
      <c r="Q79" s="31">
        <f>VLOOKUP(H79,color!E:G,3,0)</f>
        <v/>
      </c>
    </row>
    <row r="80">
      <c r="A80" s="31" t="n">
        <v>78</v>
      </c>
      <c r="B80" s="22" t="inlineStr">
        <is>
          <t>F005</t>
        </is>
      </c>
      <c r="C80" s="31" t="inlineStr">
        <is>
          <t>FACE 005</t>
        </is>
      </c>
      <c r="D80" s="31">
        <f>LEFT(C80,4)</f>
        <v/>
      </c>
      <c r="E80" s="29" t="inlineStr">
        <is>
          <t>여성존</t>
        </is>
      </c>
      <c r="F80" s="31" t="inlineStr">
        <is>
          <t>EEYWG24E0150165</t>
        </is>
      </c>
      <c r="G80" s="31">
        <f>LEFT(F80,10)</f>
        <v/>
      </c>
      <c r="H80" s="31">
        <f>MID(G80,3,2)</f>
        <v/>
      </c>
      <c r="I80" s="31">
        <f>VLOOKUP(H80,color!E:G,2,0)</f>
        <v/>
      </c>
      <c r="J80" s="31" t="n">
        <v>50</v>
      </c>
      <c r="K80" s="31">
        <f>VLOOKUP(J80,color!A:C,2,0)</f>
        <v/>
      </c>
      <c r="L80" s="31" t="n">
        <v>1</v>
      </c>
      <c r="M80" s="31">
        <f>VLOOKUP(F80,'卖场库存0422-0512'!M:R,5,0)</f>
        <v/>
      </c>
      <c r="N80" s="31">
        <f>VLOOKUP(F80,'卖场库存0422-0512'!M:S,6,0)</f>
        <v/>
      </c>
      <c r="O80" s="31" t="inlineStr">
        <is>
          <t>Sleeve out</t>
        </is>
      </c>
      <c r="P80" s="30">
        <f>VLOOKUP(F80,'卖场库存0422-0512'!M:S,7,0)</f>
        <v/>
      </c>
      <c r="Q80" s="31">
        <f>VLOOKUP(H80,color!E:G,3,0)</f>
        <v/>
      </c>
    </row>
    <row r="81">
      <c r="A81" s="31" t="n">
        <v>79</v>
      </c>
      <c r="B81" s="22" t="inlineStr">
        <is>
          <t>F005</t>
        </is>
      </c>
      <c r="C81" s="31" t="inlineStr">
        <is>
          <t>FACE 005</t>
        </is>
      </c>
      <c r="D81" s="31">
        <f>LEFT(C81,4)</f>
        <v/>
      </c>
      <c r="E81" s="29" t="inlineStr">
        <is>
          <t>여성존</t>
        </is>
      </c>
      <c r="F81" s="31" t="inlineStr">
        <is>
          <t>EEYWG23E0151165</t>
        </is>
      </c>
      <c r="G81" s="31">
        <f>LEFT(F81,10)</f>
        <v/>
      </c>
      <c r="H81" s="31">
        <f>MID(G81,3,2)</f>
        <v/>
      </c>
      <c r="I81" s="31">
        <f>VLOOKUP(H81,color!E:G,2,0)</f>
        <v/>
      </c>
      <c r="J81" s="31" t="n">
        <v>51</v>
      </c>
      <c r="K81" s="31">
        <f>VLOOKUP(J81,color!A:C,2,0)</f>
        <v/>
      </c>
      <c r="L81" s="31" t="n">
        <v>1</v>
      </c>
      <c r="M81" s="31">
        <f>VLOOKUP(F81,'卖场库存0422-0512'!M:R,5,0)</f>
        <v/>
      </c>
      <c r="N81" s="31">
        <f>VLOOKUP(F81,'卖场库存0422-0512'!M:S,6,0)</f>
        <v/>
      </c>
      <c r="O81" s="31" t="inlineStr">
        <is>
          <t>Sleeve out</t>
        </is>
      </c>
      <c r="P81" s="30">
        <f>VLOOKUP(F81,'卖场库存0422-0512'!M:S,7,0)</f>
        <v/>
      </c>
      <c r="Q81" s="31">
        <f>VLOOKUP(H81,color!E:G,3,0)</f>
        <v/>
      </c>
    </row>
    <row r="82">
      <c r="A82" s="31" t="n">
        <v>80</v>
      </c>
      <c r="B82" s="22" t="inlineStr">
        <is>
          <t>F005</t>
        </is>
      </c>
      <c r="C82" s="31" t="inlineStr">
        <is>
          <t>FACE 005</t>
        </is>
      </c>
      <c r="D82" s="31">
        <f>LEFT(C82,4)</f>
        <v/>
      </c>
      <c r="E82" s="29" t="inlineStr">
        <is>
          <t>여성존</t>
        </is>
      </c>
      <c r="F82" s="31" t="inlineStr">
        <is>
          <t>EEYWG24E0188165</t>
        </is>
      </c>
      <c r="G82" s="31">
        <f>LEFT(F82,10)</f>
        <v/>
      </c>
      <c r="H82" s="31">
        <f>MID(G82,3,2)</f>
        <v/>
      </c>
      <c r="I82" s="31">
        <f>VLOOKUP(H82,color!E:G,2,0)</f>
        <v/>
      </c>
      <c r="J82" s="31" t="n">
        <v>88</v>
      </c>
      <c r="K82" s="31">
        <f>VLOOKUP(J82,color!A:C,2,0)</f>
        <v/>
      </c>
      <c r="L82" s="31" t="n">
        <v>1</v>
      </c>
      <c r="M82" s="31">
        <f>VLOOKUP(F82,'卖场库存0422-0512'!M:R,5,0)</f>
        <v/>
      </c>
      <c r="N82" s="31">
        <f>VLOOKUP(F82,'卖场库存0422-0512'!M:S,6,0)</f>
        <v/>
      </c>
      <c r="O82" s="31" t="inlineStr">
        <is>
          <t>Sleeve out</t>
        </is>
      </c>
      <c r="P82" s="30">
        <f>VLOOKUP(F82,'卖场库存0422-0512'!M:S,7,0)</f>
        <v/>
      </c>
      <c r="Q82" s="31">
        <f>VLOOKUP(H82,color!E:G,3,0)</f>
        <v/>
      </c>
    </row>
    <row r="83">
      <c r="A83" s="31" t="n">
        <v>81</v>
      </c>
      <c r="B83" s="22" t="inlineStr">
        <is>
          <t>F005</t>
        </is>
      </c>
      <c r="C83" s="31" t="inlineStr">
        <is>
          <t>FACE 005</t>
        </is>
      </c>
      <c r="D83" s="31">
        <f>LEFT(C83,4)</f>
        <v/>
      </c>
      <c r="E83" s="29" t="inlineStr">
        <is>
          <t>여성존</t>
        </is>
      </c>
      <c r="F83" s="31" t="inlineStr">
        <is>
          <t>EERNG23E0139160</t>
        </is>
      </c>
      <c r="G83" s="31">
        <f>LEFT(F83,10)</f>
        <v/>
      </c>
      <c r="H83" s="31">
        <f>MID(G83,3,2)</f>
        <v/>
      </c>
      <c r="I83" s="31">
        <f>VLOOKUP(H83,color!E:G,2,0)</f>
        <v/>
      </c>
      <c r="J83" s="31" t="n">
        <v>39</v>
      </c>
      <c r="K83" s="31">
        <f>VLOOKUP(J83,color!A:C,2,0)</f>
        <v/>
      </c>
      <c r="L83" s="31" t="n">
        <v>1</v>
      </c>
      <c r="M83" s="31">
        <f>VLOOKUP(F83,'卖场库存0422-0512'!M:R,5,0)</f>
        <v/>
      </c>
      <c r="N83" s="31">
        <f>VLOOKUP(F83,'卖场库存0422-0512'!M:S,6,0)</f>
        <v/>
      </c>
      <c r="O83" s="31" t="inlineStr">
        <is>
          <t>Sleeve out</t>
        </is>
      </c>
      <c r="P83" s="30">
        <f>VLOOKUP(F83,'卖场库存0422-0512'!M:S,7,0)</f>
        <v/>
      </c>
      <c r="Q83" s="31">
        <f>VLOOKUP(H83,color!E:G,3,0)</f>
        <v/>
      </c>
    </row>
    <row r="84">
      <c r="A84" s="31" t="n">
        <v>82</v>
      </c>
      <c r="B84" s="22" t="inlineStr">
        <is>
          <t>F005</t>
        </is>
      </c>
      <c r="C84" s="31" t="inlineStr">
        <is>
          <t>FACE 005</t>
        </is>
      </c>
      <c r="D84" s="31">
        <f>LEFT(C84,4)</f>
        <v/>
      </c>
      <c r="E84" s="29" t="inlineStr">
        <is>
          <t>여성존</t>
        </is>
      </c>
      <c r="F84" s="31" t="inlineStr">
        <is>
          <t>EERNG23E0139165</t>
        </is>
      </c>
      <c r="G84" s="31">
        <f>LEFT(F84,10)</f>
        <v/>
      </c>
      <c r="H84" s="31">
        <f>MID(G84,3,2)</f>
        <v/>
      </c>
      <c r="I84" s="31">
        <f>VLOOKUP(H84,color!E:G,2,0)</f>
        <v/>
      </c>
      <c r="J84" s="31" t="n">
        <v>39</v>
      </c>
      <c r="K84" s="31">
        <f>VLOOKUP(J84,color!A:C,2,0)</f>
        <v/>
      </c>
      <c r="L84" s="31" t="n">
        <v>1</v>
      </c>
      <c r="M84" s="31">
        <f>VLOOKUP(F84,'卖场库存0422-0512'!M:R,5,0)</f>
        <v/>
      </c>
      <c r="N84" s="31">
        <f>VLOOKUP(F84,'卖场库存0422-0512'!M:S,6,0)</f>
        <v/>
      </c>
      <c r="O84" s="31" t="inlineStr">
        <is>
          <t>Sleeve out</t>
        </is>
      </c>
      <c r="P84" s="30">
        <f>VLOOKUP(F84,'卖场库存0422-0512'!M:S,7,0)</f>
        <v/>
      </c>
      <c r="Q84" s="31">
        <f>VLOOKUP(H84,color!E:G,3,0)</f>
        <v/>
      </c>
    </row>
    <row r="85">
      <c r="A85" s="31" t="n">
        <v>83</v>
      </c>
      <c r="B85" s="22" t="inlineStr">
        <is>
          <t>F005</t>
        </is>
      </c>
      <c r="C85" s="31" t="inlineStr">
        <is>
          <t>FACE 005</t>
        </is>
      </c>
      <c r="D85" s="31">
        <f>LEFT(C85,4)</f>
        <v/>
      </c>
      <c r="E85" s="29" t="inlineStr">
        <is>
          <t>여성존</t>
        </is>
      </c>
      <c r="F85" s="31" t="inlineStr">
        <is>
          <t>EEYWG37E0185160</t>
        </is>
      </c>
      <c r="G85" s="31">
        <f>LEFT(F85,10)</f>
        <v/>
      </c>
      <c r="H85" s="31">
        <f>MID(G85,3,2)</f>
        <v/>
      </c>
      <c r="I85" s="31">
        <f>VLOOKUP(H85,color!E:G,2,0)</f>
        <v/>
      </c>
      <c r="J85" s="31" t="n">
        <v>85</v>
      </c>
      <c r="K85" s="31">
        <f>VLOOKUP(J85,color!A:C,2,0)</f>
        <v/>
      </c>
      <c r="L85" s="31" t="n">
        <v>1</v>
      </c>
      <c r="M85" s="31">
        <f>VLOOKUP(F85,'卖场库存0422-0512'!M:R,5,0)</f>
        <v/>
      </c>
      <c r="N85" s="31">
        <f>VLOOKUP(F85,'卖场库存0422-0512'!M:S,6,0)</f>
        <v/>
      </c>
      <c r="O85" s="31" t="inlineStr">
        <is>
          <t>Sleeve out</t>
        </is>
      </c>
      <c r="P85" s="30">
        <f>VLOOKUP(F85,'卖场库存0422-0512'!M:S,7,0)</f>
        <v/>
      </c>
      <c r="Q85" s="31">
        <f>VLOOKUP(H85,color!E:G,3,0)</f>
        <v/>
      </c>
    </row>
    <row r="86">
      <c r="A86" s="31" t="n">
        <v>84</v>
      </c>
      <c r="B86" s="22" t="inlineStr">
        <is>
          <t>F006</t>
        </is>
      </c>
      <c r="C86" s="31" t="inlineStr">
        <is>
          <t>FACE 006</t>
        </is>
      </c>
      <c r="D86" s="31">
        <f>LEFT(C86,4)</f>
        <v/>
      </c>
      <c r="E86" s="29" t="inlineStr">
        <is>
          <t>여성존</t>
        </is>
      </c>
      <c r="F86" s="31" t="inlineStr">
        <is>
          <t>EEWHG25E0339160</t>
        </is>
      </c>
      <c r="G86" s="31">
        <f>LEFT(F86,10)</f>
        <v/>
      </c>
      <c r="H86" s="31">
        <f>MID(G86,3,2)</f>
        <v/>
      </c>
      <c r="I86" s="31">
        <f>VLOOKUP(H86,color!E:G,2,0)</f>
        <v/>
      </c>
      <c r="J86" s="31" t="n">
        <v>39</v>
      </c>
      <c r="K86" s="31">
        <f>VLOOKUP(J86,color!A:C,2,0)</f>
        <v/>
      </c>
      <c r="L86" s="31" t="n">
        <v>1</v>
      </c>
      <c r="M86" s="31">
        <f>VLOOKUP(F86,'卖场库存0422-0512'!M:R,5,0)</f>
        <v/>
      </c>
      <c r="N86" s="31">
        <f>VLOOKUP(F86,'卖场库存0422-0512'!M:S,6,0)</f>
        <v/>
      </c>
      <c r="O86" s="31" t="inlineStr">
        <is>
          <t>Sleeve out</t>
        </is>
      </c>
      <c r="P86" s="30">
        <f>VLOOKUP(F86,'卖场库存0422-0512'!M:S,7,0)</f>
        <v/>
      </c>
      <c r="Q86" s="31">
        <f>VLOOKUP(H86,color!E:G,3,0)</f>
        <v/>
      </c>
    </row>
    <row r="87">
      <c r="A87" s="31" t="n">
        <v>85</v>
      </c>
      <c r="B87" s="22" t="inlineStr">
        <is>
          <t>F006</t>
        </is>
      </c>
      <c r="C87" s="31" t="inlineStr">
        <is>
          <t>FACE 006</t>
        </is>
      </c>
      <c r="D87" s="31">
        <f>LEFT(C87,4)</f>
        <v/>
      </c>
      <c r="E87" s="29" t="inlineStr">
        <is>
          <t>여성존</t>
        </is>
      </c>
      <c r="F87" s="31" t="inlineStr">
        <is>
          <t>EEYAG26B0439160</t>
        </is>
      </c>
      <c r="G87" s="31">
        <f>LEFT(F87,10)</f>
        <v/>
      </c>
      <c r="H87" s="31">
        <f>MID(G87,3,2)</f>
        <v/>
      </c>
      <c r="I87" s="31">
        <f>VLOOKUP(H87,color!E:G,2,0)</f>
        <v/>
      </c>
      <c r="J87" s="31" t="n">
        <v>39</v>
      </c>
      <c r="K87" s="31">
        <f>VLOOKUP(J87,color!A:C,2,0)</f>
        <v/>
      </c>
      <c r="L87" s="31" t="n">
        <v>1</v>
      </c>
      <c r="M87" s="31">
        <f>VLOOKUP(F87,'卖场库存0422-0512'!M:R,5,0)</f>
        <v/>
      </c>
      <c r="N87" s="31">
        <f>VLOOKUP(F87,'卖场库存0422-0512'!M:S,6,0)</f>
        <v/>
      </c>
      <c r="O87" s="31" t="inlineStr">
        <is>
          <t>Sleeve out</t>
        </is>
      </c>
      <c r="P87" s="30">
        <f>VLOOKUP(F87,'卖场库存0422-0512'!M:S,7,0)</f>
        <v/>
      </c>
      <c r="Q87" s="31">
        <f>VLOOKUP(H87,color!E:G,3,0)</f>
        <v/>
      </c>
    </row>
    <row r="88">
      <c r="A88" s="31" t="n">
        <v>86</v>
      </c>
      <c r="B88" s="22" t="inlineStr">
        <is>
          <t>F006</t>
        </is>
      </c>
      <c r="C88" s="31" t="inlineStr">
        <is>
          <t>FACE 006</t>
        </is>
      </c>
      <c r="D88" s="31">
        <f>LEFT(C88,4)</f>
        <v/>
      </c>
      <c r="E88" s="29" t="inlineStr">
        <is>
          <t>여성존</t>
        </is>
      </c>
      <c r="F88" s="31" t="inlineStr">
        <is>
          <t>EEYAG26B0439165</t>
        </is>
      </c>
      <c r="G88" s="31">
        <f>LEFT(F88,10)</f>
        <v/>
      </c>
      <c r="H88" s="31">
        <f>MID(G88,3,2)</f>
        <v/>
      </c>
      <c r="I88" s="31">
        <f>VLOOKUP(H88,color!E:G,2,0)</f>
        <v/>
      </c>
      <c r="J88" s="31" t="n">
        <v>39</v>
      </c>
      <c r="K88" s="31">
        <f>VLOOKUP(J88,color!A:C,2,0)</f>
        <v/>
      </c>
      <c r="L88" s="31" t="n">
        <v>1</v>
      </c>
      <c r="M88" s="31">
        <f>VLOOKUP(F88,'卖场库存0422-0512'!M:R,5,0)</f>
        <v/>
      </c>
      <c r="N88" s="31">
        <f>VLOOKUP(F88,'卖场库存0422-0512'!M:S,6,0)</f>
        <v/>
      </c>
      <c r="O88" s="31" t="inlineStr">
        <is>
          <t>Sleeve out</t>
        </is>
      </c>
      <c r="P88" s="30">
        <f>VLOOKUP(F88,'卖场库存0422-0512'!M:S,7,0)</f>
        <v/>
      </c>
      <c r="Q88" s="31">
        <f>VLOOKUP(H88,color!E:G,3,0)</f>
        <v/>
      </c>
    </row>
    <row r="89">
      <c r="A89" s="31" t="n">
        <v>87</v>
      </c>
      <c r="B89" s="22" t="inlineStr">
        <is>
          <t>F006</t>
        </is>
      </c>
      <c r="C89" s="31" t="inlineStr">
        <is>
          <t>FACE 006</t>
        </is>
      </c>
      <c r="D89" s="31">
        <f>LEFT(C89,4)</f>
        <v/>
      </c>
      <c r="E89" s="29" t="inlineStr">
        <is>
          <t>여성존</t>
        </is>
      </c>
      <c r="F89" s="31" t="inlineStr">
        <is>
          <t>EEWHG25E0339165</t>
        </is>
      </c>
      <c r="G89" s="31">
        <f>LEFT(F89,10)</f>
        <v/>
      </c>
      <c r="H89" s="31">
        <f>MID(G89,3,2)</f>
        <v/>
      </c>
      <c r="I89" s="31">
        <f>VLOOKUP(H89,color!E:G,2,0)</f>
        <v/>
      </c>
      <c r="J89" s="31" t="n">
        <v>39</v>
      </c>
      <c r="K89" s="31">
        <f>VLOOKUP(J89,color!A:C,2,0)</f>
        <v/>
      </c>
      <c r="L89" s="31" t="n">
        <v>1</v>
      </c>
      <c r="M89" s="31">
        <f>VLOOKUP(F89,'卖场库存0422-0512'!M:R,5,0)</f>
        <v/>
      </c>
      <c r="N89" s="31">
        <f>VLOOKUP(F89,'卖场库存0422-0512'!M:S,6,0)</f>
        <v/>
      </c>
      <c r="O89" s="31" t="inlineStr">
        <is>
          <t>Sleeve out</t>
        </is>
      </c>
      <c r="P89" s="30">
        <f>VLOOKUP(F89,'卖场库存0422-0512'!M:S,7,0)</f>
        <v/>
      </c>
      <c r="Q89" s="31">
        <f>VLOOKUP(H89,color!E:G,3,0)</f>
        <v/>
      </c>
    </row>
    <row r="90">
      <c r="A90" s="31" t="n">
        <v>88</v>
      </c>
      <c r="B90" s="22" t="inlineStr">
        <is>
          <t>F006</t>
        </is>
      </c>
      <c r="C90" s="31" t="inlineStr">
        <is>
          <t>FACE 006</t>
        </is>
      </c>
      <c r="D90" s="31">
        <f>LEFT(C90,4)</f>
        <v/>
      </c>
      <c r="E90" s="29" t="inlineStr">
        <is>
          <t>여성존</t>
        </is>
      </c>
      <c r="F90" s="31" t="inlineStr">
        <is>
          <t>EEWHG25E0351160</t>
        </is>
      </c>
      <c r="G90" s="31">
        <f>LEFT(F90,10)</f>
        <v/>
      </c>
      <c r="H90" s="31">
        <f>MID(G90,3,2)</f>
        <v/>
      </c>
      <c r="I90" s="31">
        <f>VLOOKUP(H90,color!E:G,2,0)</f>
        <v/>
      </c>
      <c r="J90" s="31" t="n">
        <v>51</v>
      </c>
      <c r="K90" s="31">
        <f>VLOOKUP(J90,color!A:C,2,0)</f>
        <v/>
      </c>
      <c r="L90" s="31" t="n">
        <v>1</v>
      </c>
      <c r="M90" s="31">
        <f>VLOOKUP(F90,'卖场库存0422-0512'!M:R,5,0)</f>
        <v/>
      </c>
      <c r="N90" s="31">
        <f>VLOOKUP(F90,'卖场库存0422-0512'!M:S,6,0)</f>
        <v/>
      </c>
      <c r="O90" s="31" t="inlineStr">
        <is>
          <t>Sleeve out</t>
        </is>
      </c>
      <c r="P90" s="30">
        <f>VLOOKUP(F90,'卖场库存0422-0512'!M:S,7,0)</f>
        <v/>
      </c>
      <c r="Q90" s="31">
        <f>VLOOKUP(H90,color!E:G,3,0)</f>
        <v/>
      </c>
    </row>
    <row r="91">
      <c r="A91" s="31" t="n">
        <v>89</v>
      </c>
      <c r="B91" s="22" t="inlineStr">
        <is>
          <t>F006</t>
        </is>
      </c>
      <c r="C91" s="31" t="inlineStr">
        <is>
          <t>FACE 006</t>
        </is>
      </c>
      <c r="D91" s="31">
        <f>LEFT(C91,4)</f>
        <v/>
      </c>
      <c r="E91" s="29" t="inlineStr">
        <is>
          <t>여성존</t>
        </is>
      </c>
      <c r="F91" s="31" t="inlineStr">
        <is>
          <t>EEWHG25E0351155</t>
        </is>
      </c>
      <c r="G91" s="31">
        <f>LEFT(F91,10)</f>
        <v/>
      </c>
      <c r="H91" s="31">
        <f>MID(G91,3,2)</f>
        <v/>
      </c>
      <c r="I91" s="31">
        <f>VLOOKUP(H91,color!E:G,2,0)</f>
        <v/>
      </c>
      <c r="J91" s="31" t="n">
        <v>51</v>
      </c>
      <c r="K91" s="31">
        <f>VLOOKUP(J91,color!A:C,2,0)</f>
        <v/>
      </c>
      <c r="L91" s="31" t="n">
        <v>1</v>
      </c>
      <c r="M91" s="31">
        <f>VLOOKUP(F91,'卖场库存0422-0512'!M:R,5,0)</f>
        <v/>
      </c>
      <c r="N91" s="31">
        <f>VLOOKUP(F91,'卖场库存0422-0512'!M:S,6,0)</f>
        <v/>
      </c>
      <c r="O91" s="31" t="inlineStr">
        <is>
          <t>Sleeve out</t>
        </is>
      </c>
      <c r="P91" s="30">
        <f>VLOOKUP(F91,'卖场库存0422-0512'!M:S,7,0)</f>
        <v/>
      </c>
      <c r="Q91" s="31">
        <f>VLOOKUP(H91,color!E:G,3,0)</f>
        <v/>
      </c>
    </row>
    <row r="92">
      <c r="A92" s="31" t="n">
        <v>90</v>
      </c>
      <c r="B92" s="22" t="inlineStr">
        <is>
          <t>F006</t>
        </is>
      </c>
      <c r="C92" s="31" t="inlineStr">
        <is>
          <t>FACE 006</t>
        </is>
      </c>
      <c r="D92" s="31">
        <f>LEFT(C92,4)</f>
        <v/>
      </c>
      <c r="E92" s="29" t="inlineStr">
        <is>
          <t>여성존</t>
        </is>
      </c>
      <c r="F92" s="31" t="inlineStr">
        <is>
          <t>EEVKG25E0130170</t>
        </is>
      </c>
      <c r="G92" s="31">
        <f>LEFT(F92,10)</f>
        <v/>
      </c>
      <c r="H92" s="31">
        <f>MID(G92,3,2)</f>
        <v/>
      </c>
      <c r="I92" s="31">
        <f>VLOOKUP(H92,color!E:G,2,0)</f>
        <v/>
      </c>
      <c r="J92" s="31" t="n">
        <v>30</v>
      </c>
      <c r="K92" s="31">
        <f>VLOOKUP(J92,color!A:C,2,0)</f>
        <v/>
      </c>
      <c r="L92" s="31" t="n">
        <v>1</v>
      </c>
      <c r="M92" s="31">
        <f>VLOOKUP(F92,'卖场库存0422-0512'!M:R,5,0)</f>
        <v/>
      </c>
      <c r="N92" s="31">
        <f>VLOOKUP(F92,'卖场库存0422-0512'!M:S,6,0)</f>
        <v/>
      </c>
      <c r="O92" s="31" t="inlineStr">
        <is>
          <t>Sleeve out</t>
        </is>
      </c>
      <c r="P92" s="30">
        <f>VLOOKUP(F92,'卖场库存0422-0512'!M:S,7,0)</f>
        <v/>
      </c>
      <c r="Q92" s="31">
        <f>VLOOKUP(H92,color!E:G,3,0)</f>
        <v/>
      </c>
    </row>
    <row r="93">
      <c r="A93" s="31" t="n">
        <v>91</v>
      </c>
      <c r="B93" s="22" t="inlineStr">
        <is>
          <t>F006</t>
        </is>
      </c>
      <c r="C93" s="31" t="inlineStr">
        <is>
          <t>FACE 006</t>
        </is>
      </c>
      <c r="D93" s="31">
        <f>LEFT(C93,4)</f>
        <v/>
      </c>
      <c r="E93" s="29" t="inlineStr">
        <is>
          <t>여성존</t>
        </is>
      </c>
      <c r="F93" s="31" t="inlineStr">
        <is>
          <t>EEVKG25E0130165</t>
        </is>
      </c>
      <c r="G93" s="31">
        <f>LEFT(F93,10)</f>
        <v/>
      </c>
      <c r="H93" s="31">
        <f>MID(G93,3,2)</f>
        <v/>
      </c>
      <c r="I93" s="31">
        <f>VLOOKUP(H93,color!E:G,2,0)</f>
        <v/>
      </c>
      <c r="J93" s="31" t="n">
        <v>30</v>
      </c>
      <c r="K93" s="31">
        <f>VLOOKUP(J93,color!A:C,2,0)</f>
        <v/>
      </c>
      <c r="L93" s="31" t="n">
        <v>1</v>
      </c>
      <c r="M93" s="31">
        <f>VLOOKUP(F93,'卖场库存0422-0512'!M:R,5,0)</f>
        <v/>
      </c>
      <c r="N93" s="31">
        <f>VLOOKUP(F93,'卖场库存0422-0512'!M:S,6,0)</f>
        <v/>
      </c>
      <c r="O93" s="31" t="inlineStr">
        <is>
          <t>Sleeve out</t>
        </is>
      </c>
      <c r="P93" s="30">
        <f>VLOOKUP(F93,'卖场库存0422-0512'!M:S,7,0)</f>
        <v/>
      </c>
      <c r="Q93" s="31">
        <f>VLOOKUP(H93,color!E:G,3,0)</f>
        <v/>
      </c>
    </row>
    <row r="94">
      <c r="A94" s="31" t="n">
        <v>92</v>
      </c>
      <c r="B94" s="22" t="inlineStr">
        <is>
          <t>F006</t>
        </is>
      </c>
      <c r="C94" s="31" t="inlineStr">
        <is>
          <t>FACE 006</t>
        </is>
      </c>
      <c r="D94" s="31">
        <f>LEFT(C94,4)</f>
        <v/>
      </c>
      <c r="E94" s="29" t="inlineStr">
        <is>
          <t>여성존</t>
        </is>
      </c>
      <c r="F94" s="31" t="inlineStr">
        <is>
          <t>EEYWG25E0330165</t>
        </is>
      </c>
      <c r="G94" s="31">
        <f>LEFT(F94,10)</f>
        <v/>
      </c>
      <c r="H94" s="31">
        <f>MID(G94,3,2)</f>
        <v/>
      </c>
      <c r="I94" s="31">
        <f>VLOOKUP(H94,color!E:G,2,0)</f>
        <v/>
      </c>
      <c r="J94" s="31" t="n">
        <v>30</v>
      </c>
      <c r="K94" s="31">
        <f>VLOOKUP(J94,color!A:C,2,0)</f>
        <v/>
      </c>
      <c r="L94" s="31" t="n">
        <v>1</v>
      </c>
      <c r="M94" s="31">
        <f>VLOOKUP(F94,'卖场库存0422-0512'!M:R,5,0)</f>
        <v/>
      </c>
      <c r="N94" s="31">
        <f>VLOOKUP(F94,'卖场库存0422-0512'!M:S,6,0)</f>
        <v/>
      </c>
      <c r="O94" s="31" t="inlineStr">
        <is>
          <t>Sleeve out</t>
        </is>
      </c>
      <c r="P94" s="30">
        <f>VLOOKUP(F94,'卖场库存0422-0512'!M:S,7,0)</f>
        <v/>
      </c>
      <c r="Q94" s="31">
        <f>VLOOKUP(H94,color!E:G,3,0)</f>
        <v/>
      </c>
    </row>
    <row r="95">
      <c r="A95" s="31" t="n">
        <v>93</v>
      </c>
      <c r="B95" s="22" t="inlineStr">
        <is>
          <t>F006</t>
        </is>
      </c>
      <c r="C95" s="31" t="inlineStr">
        <is>
          <t>FACE 006</t>
        </is>
      </c>
      <c r="D95" s="31">
        <f>LEFT(C95,4)</f>
        <v/>
      </c>
      <c r="E95" s="29" t="inlineStr">
        <is>
          <t>여성존</t>
        </is>
      </c>
      <c r="F95" s="31" t="inlineStr">
        <is>
          <t>EEYWG25E0330160</t>
        </is>
      </c>
      <c r="G95" s="31">
        <f>LEFT(F95,10)</f>
        <v/>
      </c>
      <c r="H95" s="31">
        <f>MID(G95,3,2)</f>
        <v/>
      </c>
      <c r="I95" s="31">
        <f>VLOOKUP(H95,color!E:G,2,0)</f>
        <v/>
      </c>
      <c r="J95" s="31" t="n">
        <v>30</v>
      </c>
      <c r="K95" s="31">
        <f>VLOOKUP(J95,color!A:C,2,0)</f>
        <v/>
      </c>
      <c r="L95" s="31" t="n">
        <v>1</v>
      </c>
      <c r="M95" s="31">
        <f>VLOOKUP(F95,'卖场库存0422-0512'!M:R,5,0)</f>
        <v/>
      </c>
      <c r="N95" s="31">
        <f>VLOOKUP(F95,'卖场库存0422-0512'!M:S,6,0)</f>
        <v/>
      </c>
      <c r="O95" s="31" t="inlineStr">
        <is>
          <t>Sleeve out</t>
        </is>
      </c>
      <c r="P95" s="30">
        <f>VLOOKUP(F95,'卖场库存0422-0512'!M:S,7,0)</f>
        <v/>
      </c>
      <c r="Q95" s="31">
        <f>VLOOKUP(H95,color!E:G,3,0)</f>
        <v/>
      </c>
    </row>
    <row r="96">
      <c r="A96" s="31" t="n">
        <v>94</v>
      </c>
      <c r="B96" s="22" t="inlineStr">
        <is>
          <t>F006</t>
        </is>
      </c>
      <c r="C96" s="31" t="inlineStr">
        <is>
          <t>FACE 006</t>
        </is>
      </c>
      <c r="D96" s="31">
        <f>LEFT(C96,4)</f>
        <v/>
      </c>
      <c r="E96" s="29" t="inlineStr">
        <is>
          <t>여성존</t>
        </is>
      </c>
      <c r="F96" s="31" t="inlineStr">
        <is>
          <t>EEWHG64S0339160</t>
        </is>
      </c>
      <c r="G96" s="31">
        <f>LEFT(F96,10)</f>
        <v/>
      </c>
      <c r="H96" s="31">
        <f>MID(G96,3,2)</f>
        <v/>
      </c>
      <c r="I96" s="31">
        <f>VLOOKUP(H96,color!E:G,2,0)</f>
        <v/>
      </c>
      <c r="J96" s="31" t="n">
        <v>39</v>
      </c>
      <c r="K96" s="31">
        <f>VLOOKUP(J96,color!A:C,2,0)</f>
        <v/>
      </c>
      <c r="L96" s="31" t="n">
        <v>1</v>
      </c>
      <c r="M96" s="31">
        <f>VLOOKUP(F96,'卖场库存0422-0512'!M:R,5,0)</f>
        <v/>
      </c>
      <c r="N96" s="31">
        <f>VLOOKUP(F96,'卖场库存0422-0512'!M:S,6,0)</f>
        <v/>
      </c>
      <c r="O96" s="31" t="inlineStr">
        <is>
          <t>Sleeve out</t>
        </is>
      </c>
      <c r="P96" s="30">
        <f>VLOOKUP(F96,'卖场库存0422-0512'!M:S,7,0)</f>
        <v/>
      </c>
      <c r="Q96" s="31">
        <f>VLOOKUP(H96,color!E:G,3,0)</f>
        <v/>
      </c>
    </row>
    <row r="97">
      <c r="A97" s="31" t="n">
        <v>95</v>
      </c>
      <c r="B97" s="22" t="inlineStr">
        <is>
          <t>F006</t>
        </is>
      </c>
      <c r="C97" s="31" t="inlineStr">
        <is>
          <t>FACE 006</t>
        </is>
      </c>
      <c r="D97" s="31">
        <f>LEFT(C97,4)</f>
        <v/>
      </c>
      <c r="E97" s="29" t="inlineStr">
        <is>
          <t>여성존</t>
        </is>
      </c>
      <c r="F97" s="31" t="inlineStr">
        <is>
          <t>EEWHG64S0339160</t>
        </is>
      </c>
      <c r="G97" s="31">
        <f>LEFT(F97,10)</f>
        <v/>
      </c>
      <c r="H97" s="31">
        <f>MID(G97,3,2)</f>
        <v/>
      </c>
      <c r="I97" s="31">
        <f>VLOOKUP(H97,color!E:G,2,0)</f>
        <v/>
      </c>
      <c r="J97" s="31" t="n">
        <v>39</v>
      </c>
      <c r="K97" s="31">
        <f>VLOOKUP(J97,color!A:C,2,0)</f>
        <v/>
      </c>
      <c r="L97" s="31" t="n">
        <v>1</v>
      </c>
      <c r="M97" s="31">
        <f>VLOOKUP(F97,'卖场库存0422-0512'!M:R,5,0)</f>
        <v/>
      </c>
      <c r="N97" s="31">
        <f>VLOOKUP(F97,'卖场库存0422-0512'!M:S,6,0)</f>
        <v/>
      </c>
      <c r="O97" s="31" t="inlineStr">
        <is>
          <t>Sleeve out</t>
        </is>
      </c>
      <c r="P97" s="30">
        <f>VLOOKUP(F97,'卖场库存0422-0512'!M:S,7,0)</f>
        <v/>
      </c>
      <c r="Q97" s="31">
        <f>VLOOKUP(H97,color!E:G,3,0)</f>
        <v/>
      </c>
    </row>
    <row r="98">
      <c r="A98" s="31" t="n">
        <v>96</v>
      </c>
      <c r="B98" s="22" t="inlineStr">
        <is>
          <t>F006</t>
        </is>
      </c>
      <c r="C98" s="31" t="inlineStr">
        <is>
          <t>FACE 006</t>
        </is>
      </c>
      <c r="D98" s="31">
        <f>LEFT(C98,4)</f>
        <v/>
      </c>
      <c r="E98" s="29" t="inlineStr">
        <is>
          <t>여성존</t>
        </is>
      </c>
      <c r="F98" s="31" t="inlineStr">
        <is>
          <t>EEOWG25B1332160</t>
        </is>
      </c>
      <c r="G98" s="31">
        <f>LEFT(F98,10)</f>
        <v/>
      </c>
      <c r="H98" s="31">
        <f>MID(G98,3,2)</f>
        <v/>
      </c>
      <c r="I98" s="31">
        <f>VLOOKUP(H98,color!E:G,2,0)</f>
        <v/>
      </c>
      <c r="J98" s="31" t="n">
        <v>32</v>
      </c>
      <c r="K98" s="31">
        <f>VLOOKUP(J98,color!A:C,2,0)</f>
        <v/>
      </c>
      <c r="L98" s="31" t="n">
        <v>1</v>
      </c>
      <c r="M98" s="31">
        <f>VLOOKUP(F98,'卖场库存0422-0512'!M:R,5,0)</f>
        <v/>
      </c>
      <c r="N98" s="31">
        <f>VLOOKUP(F98,'卖场库存0422-0512'!M:S,6,0)</f>
        <v/>
      </c>
      <c r="O98" s="31" t="inlineStr">
        <is>
          <t>Sleeve out</t>
        </is>
      </c>
      <c r="P98" s="30">
        <f>VLOOKUP(F98,'卖场库存0422-0512'!M:S,7,0)</f>
        <v/>
      </c>
      <c r="Q98" s="31">
        <f>VLOOKUP(H98,color!E:G,3,0)</f>
        <v/>
      </c>
    </row>
    <row r="99">
      <c r="A99" s="31" t="n">
        <v>97</v>
      </c>
      <c r="B99" s="22" t="inlineStr">
        <is>
          <t>F006</t>
        </is>
      </c>
      <c r="C99" s="31" t="inlineStr">
        <is>
          <t>FACE 006</t>
        </is>
      </c>
      <c r="D99" s="31">
        <f>LEFT(C99,4)</f>
        <v/>
      </c>
      <c r="E99" s="29" t="inlineStr">
        <is>
          <t>여성존</t>
        </is>
      </c>
      <c r="F99" s="31" t="inlineStr">
        <is>
          <t>EEOWG25B1332165</t>
        </is>
      </c>
      <c r="G99" s="31">
        <f>LEFT(F99,10)</f>
        <v/>
      </c>
      <c r="H99" s="31">
        <f>MID(G99,3,2)</f>
        <v/>
      </c>
      <c r="I99" s="31">
        <f>VLOOKUP(H99,color!E:G,2,0)</f>
        <v/>
      </c>
      <c r="J99" s="31" t="n">
        <v>32</v>
      </c>
      <c r="K99" s="31">
        <f>VLOOKUP(J99,color!A:C,2,0)</f>
        <v/>
      </c>
      <c r="L99" s="31" t="n">
        <v>1</v>
      </c>
      <c r="M99" s="31">
        <f>VLOOKUP(F99,'卖场库存0422-0512'!M:R,5,0)</f>
        <v/>
      </c>
      <c r="N99" s="31">
        <f>VLOOKUP(F99,'卖场库存0422-0512'!M:S,6,0)</f>
        <v/>
      </c>
      <c r="O99" s="31" t="inlineStr">
        <is>
          <t>Sleeve out</t>
        </is>
      </c>
      <c r="P99" s="30">
        <f>VLOOKUP(F99,'卖场库存0422-0512'!M:S,7,0)</f>
        <v/>
      </c>
      <c r="Q99" s="31">
        <f>VLOOKUP(H99,color!E:G,3,0)</f>
        <v/>
      </c>
    </row>
    <row r="100">
      <c r="A100" s="31" t="n">
        <v>98</v>
      </c>
      <c r="B100" s="22" t="inlineStr">
        <is>
          <t>F006</t>
        </is>
      </c>
      <c r="C100" s="31" t="inlineStr">
        <is>
          <t>FACE 006</t>
        </is>
      </c>
      <c r="D100" s="31">
        <f>LEFT(C100,4)</f>
        <v/>
      </c>
      <c r="E100" s="29" t="inlineStr">
        <is>
          <t>여성존</t>
        </is>
      </c>
      <c r="F100" s="31" t="inlineStr">
        <is>
          <t>EEYAG24B0239160</t>
        </is>
      </c>
      <c r="G100" s="31">
        <f>LEFT(F100,10)</f>
        <v/>
      </c>
      <c r="H100" s="31">
        <f>MID(G100,3,2)</f>
        <v/>
      </c>
      <c r="I100" s="31">
        <f>VLOOKUP(H100,color!E:G,2,0)</f>
        <v/>
      </c>
      <c r="J100" s="31" t="n">
        <v>39</v>
      </c>
      <c r="K100" s="31">
        <f>VLOOKUP(J100,color!A:C,2,0)</f>
        <v/>
      </c>
      <c r="L100" s="31" t="n">
        <v>1</v>
      </c>
      <c r="M100" s="31">
        <f>VLOOKUP(F100,'卖场库存0422-0512'!M:R,5,0)</f>
        <v/>
      </c>
      <c r="N100" s="31">
        <f>VLOOKUP(F100,'卖场库存0422-0512'!M:S,6,0)</f>
        <v/>
      </c>
      <c r="O100" s="31" t="inlineStr">
        <is>
          <t>Sleeve out</t>
        </is>
      </c>
      <c r="P100" s="30">
        <f>VLOOKUP(F100,'卖场库存0422-0512'!M:S,7,0)</f>
        <v/>
      </c>
      <c r="Q100" s="31">
        <f>VLOOKUP(H100,color!E:G,3,0)</f>
        <v/>
      </c>
    </row>
    <row r="101">
      <c r="A101" s="31" t="n">
        <v>99</v>
      </c>
      <c r="B101" s="22" t="inlineStr">
        <is>
          <t>F006</t>
        </is>
      </c>
      <c r="C101" s="31" t="inlineStr">
        <is>
          <t>FACE 006</t>
        </is>
      </c>
      <c r="D101" s="31">
        <f>LEFT(C101,4)</f>
        <v/>
      </c>
      <c r="E101" s="29" t="inlineStr">
        <is>
          <t>여성존</t>
        </is>
      </c>
      <c r="F101" s="31" t="inlineStr">
        <is>
          <t>EEYAG24B0239165</t>
        </is>
      </c>
      <c r="G101" s="31">
        <f>LEFT(F101,10)</f>
        <v/>
      </c>
      <c r="H101" s="31">
        <f>MID(G101,3,2)</f>
        <v/>
      </c>
      <c r="I101" s="31">
        <f>VLOOKUP(H101,color!E:G,2,0)</f>
        <v/>
      </c>
      <c r="J101" s="31" t="n">
        <v>39</v>
      </c>
      <c r="K101" s="31">
        <f>VLOOKUP(J101,color!A:C,2,0)</f>
        <v/>
      </c>
      <c r="L101" s="31" t="n">
        <v>1</v>
      </c>
      <c r="M101" s="31">
        <f>VLOOKUP(F101,'卖场库存0422-0512'!M:R,5,0)</f>
        <v/>
      </c>
      <c r="N101" s="31">
        <f>VLOOKUP(F101,'卖场库存0422-0512'!M:S,6,0)</f>
        <v/>
      </c>
      <c r="O101" s="31" t="inlineStr">
        <is>
          <t>Sleeve out</t>
        </is>
      </c>
      <c r="P101" s="30">
        <f>VLOOKUP(F101,'卖场库存0422-0512'!M:S,7,0)</f>
        <v/>
      </c>
      <c r="Q101" s="31">
        <f>VLOOKUP(H101,color!E:G,3,0)</f>
        <v/>
      </c>
    </row>
    <row r="102">
      <c r="A102" s="31" t="n">
        <v>100</v>
      </c>
      <c r="B102" s="22" t="inlineStr">
        <is>
          <t>F006</t>
        </is>
      </c>
      <c r="C102" s="31" t="inlineStr">
        <is>
          <t>FACE 006</t>
        </is>
      </c>
      <c r="D102" s="31">
        <f>LEFT(C102,4)</f>
        <v/>
      </c>
      <c r="E102" s="29" t="inlineStr">
        <is>
          <t>여성존</t>
        </is>
      </c>
      <c r="F102" s="31" t="inlineStr">
        <is>
          <t>EEWJG23B0157160</t>
        </is>
      </c>
      <c r="G102" s="31">
        <f>LEFT(F102,10)</f>
        <v/>
      </c>
      <c r="H102" s="31">
        <f>MID(G102,3,2)</f>
        <v/>
      </c>
      <c r="I102" s="31">
        <f>VLOOKUP(H102,color!E:G,2,0)</f>
        <v/>
      </c>
      <c r="J102" s="31" t="n">
        <v>57</v>
      </c>
      <c r="K102" s="31">
        <f>VLOOKUP(J102,color!A:C,2,0)</f>
        <v/>
      </c>
      <c r="L102" s="31" t="n">
        <v>1</v>
      </c>
      <c r="M102" s="31">
        <f>VLOOKUP(F102,'卖场库存0422-0512'!M:R,5,0)</f>
        <v/>
      </c>
      <c r="N102" s="31">
        <f>VLOOKUP(F102,'卖场库存0422-0512'!M:S,6,0)</f>
        <v/>
      </c>
      <c r="O102" s="31" t="inlineStr">
        <is>
          <t>Sleeve out</t>
        </is>
      </c>
      <c r="P102" s="30">
        <f>VLOOKUP(F102,'卖场库存0422-0512'!M:S,7,0)</f>
        <v/>
      </c>
      <c r="Q102" s="31">
        <f>VLOOKUP(H102,color!E:G,3,0)</f>
        <v/>
      </c>
    </row>
    <row r="103">
      <c r="A103" s="31" t="n">
        <v>101</v>
      </c>
      <c r="B103" s="22" t="inlineStr">
        <is>
          <t>F006</t>
        </is>
      </c>
      <c r="C103" s="31" t="inlineStr">
        <is>
          <t>FACE 006</t>
        </is>
      </c>
      <c r="D103" s="31">
        <f>LEFT(C103,4)</f>
        <v/>
      </c>
      <c r="E103" s="29" t="inlineStr">
        <is>
          <t>여성존</t>
        </is>
      </c>
      <c r="F103" s="31" t="inlineStr">
        <is>
          <t>EEWJG23B0157165</t>
        </is>
      </c>
      <c r="G103" s="31">
        <f>LEFT(F103,10)</f>
        <v/>
      </c>
      <c r="H103" s="31">
        <f>MID(G103,3,2)</f>
        <v/>
      </c>
      <c r="I103" s="31">
        <f>VLOOKUP(H103,color!E:G,2,0)</f>
        <v/>
      </c>
      <c r="J103" s="31" t="n">
        <v>57</v>
      </c>
      <c r="K103" s="31">
        <f>VLOOKUP(J103,color!A:C,2,0)</f>
        <v/>
      </c>
      <c r="L103" s="31" t="n">
        <v>1</v>
      </c>
      <c r="M103" s="31">
        <f>VLOOKUP(F103,'卖场库存0422-0512'!M:R,5,0)</f>
        <v/>
      </c>
      <c r="N103" s="31">
        <f>VLOOKUP(F103,'卖场库存0422-0512'!M:S,6,0)</f>
        <v/>
      </c>
      <c r="O103" s="31" t="inlineStr">
        <is>
          <t>Sleeve out</t>
        </is>
      </c>
      <c r="P103" s="30">
        <f>VLOOKUP(F103,'卖场库存0422-0512'!M:S,7,0)</f>
        <v/>
      </c>
      <c r="Q103" s="31">
        <f>VLOOKUP(H103,color!E:G,3,0)</f>
        <v/>
      </c>
    </row>
    <row r="104">
      <c r="A104" s="31" t="n">
        <v>102</v>
      </c>
      <c r="B104" s="22" t="inlineStr">
        <is>
          <t>F006</t>
        </is>
      </c>
      <c r="C104" s="31" t="inlineStr">
        <is>
          <t>FACE 006</t>
        </is>
      </c>
      <c r="D104" s="31">
        <f>LEFT(C104,4)</f>
        <v/>
      </c>
      <c r="E104" s="29" t="inlineStr">
        <is>
          <t>여성존</t>
        </is>
      </c>
      <c r="F104" s="31" t="inlineStr">
        <is>
          <t>EEOWG25B1351160</t>
        </is>
      </c>
      <c r="G104" s="31">
        <f>LEFT(F104,10)</f>
        <v/>
      </c>
      <c r="H104" s="31">
        <f>MID(G104,3,2)</f>
        <v/>
      </c>
      <c r="I104" s="31">
        <f>VLOOKUP(H104,color!E:G,2,0)</f>
        <v/>
      </c>
      <c r="J104" s="31" t="n">
        <v>51</v>
      </c>
      <c r="K104" s="31">
        <f>VLOOKUP(J104,color!A:C,2,0)</f>
        <v/>
      </c>
      <c r="L104" s="31" t="n">
        <v>1</v>
      </c>
      <c r="M104" s="31">
        <f>VLOOKUP(F104,'卖场库存0422-0512'!M:R,5,0)</f>
        <v/>
      </c>
      <c r="N104" s="31">
        <f>VLOOKUP(F104,'卖场库存0422-0512'!M:S,6,0)</f>
        <v/>
      </c>
      <c r="O104" s="31" t="inlineStr">
        <is>
          <t>Sleeve out</t>
        </is>
      </c>
      <c r="P104" s="30">
        <f>VLOOKUP(F104,'卖场库存0422-0512'!M:S,7,0)</f>
        <v/>
      </c>
      <c r="Q104" s="31">
        <f>VLOOKUP(H104,color!E:G,3,0)</f>
        <v/>
      </c>
    </row>
    <row r="105">
      <c r="A105" s="31" t="n">
        <v>103</v>
      </c>
      <c r="B105" s="22" t="inlineStr">
        <is>
          <t>F006</t>
        </is>
      </c>
      <c r="C105" s="31" t="inlineStr">
        <is>
          <t>FACE 006</t>
        </is>
      </c>
      <c r="D105" s="31">
        <f>LEFT(C105,4)</f>
        <v/>
      </c>
      <c r="E105" s="29" t="inlineStr">
        <is>
          <t>여성존</t>
        </is>
      </c>
      <c r="F105" s="31" t="inlineStr">
        <is>
          <t>EEOWG25B1351165</t>
        </is>
      </c>
      <c r="G105" s="31">
        <f>LEFT(F105,10)</f>
        <v/>
      </c>
      <c r="H105" s="31">
        <f>MID(G105,3,2)</f>
        <v/>
      </c>
      <c r="I105" s="31">
        <f>VLOOKUP(H105,color!E:G,2,0)</f>
        <v/>
      </c>
      <c r="J105" s="31" t="n">
        <v>51</v>
      </c>
      <c r="K105" s="31">
        <f>VLOOKUP(J105,color!A:C,2,0)</f>
        <v/>
      </c>
      <c r="L105" s="31" t="n">
        <v>1</v>
      </c>
      <c r="M105" s="31">
        <f>VLOOKUP(F105,'卖场库存0422-0512'!M:R,5,0)</f>
        <v/>
      </c>
      <c r="N105" s="31">
        <f>VLOOKUP(F105,'卖场库存0422-0512'!M:S,6,0)</f>
        <v/>
      </c>
      <c r="O105" s="31" t="inlineStr">
        <is>
          <t>Sleeve out</t>
        </is>
      </c>
      <c r="P105" s="30">
        <f>VLOOKUP(F105,'卖场库存0422-0512'!M:S,7,0)</f>
        <v/>
      </c>
      <c r="Q105" s="31">
        <f>VLOOKUP(H105,color!E:G,3,0)</f>
        <v/>
      </c>
    </row>
    <row r="106">
      <c r="A106" s="31" t="n">
        <v>104</v>
      </c>
      <c r="B106" s="22" t="inlineStr">
        <is>
          <t>F006</t>
        </is>
      </c>
      <c r="C106" s="31" t="inlineStr">
        <is>
          <t>FACE 006</t>
        </is>
      </c>
      <c r="D106" s="31">
        <f>LEFT(C106,4)</f>
        <v/>
      </c>
      <c r="E106" s="29" t="inlineStr">
        <is>
          <t>여성존</t>
        </is>
      </c>
      <c r="F106" s="31" t="inlineStr">
        <is>
          <t>EEOWG25Q9231170</t>
        </is>
      </c>
      <c r="G106" s="31">
        <f>LEFT(F106,10)</f>
        <v/>
      </c>
      <c r="H106" s="31">
        <f>MID(G106,3,2)</f>
        <v/>
      </c>
      <c r="I106" s="31">
        <f>VLOOKUP(H106,color!E:G,2,0)</f>
        <v/>
      </c>
      <c r="J106" s="31" t="n">
        <v>31</v>
      </c>
      <c r="K106" s="31">
        <f>VLOOKUP(J106,color!A:C,2,0)</f>
        <v/>
      </c>
      <c r="L106" s="31" t="n">
        <v>1</v>
      </c>
      <c r="M106" s="31">
        <f>VLOOKUP(F106,'卖场库存0422-0512'!M:R,5,0)</f>
        <v/>
      </c>
      <c r="N106" s="31">
        <f>VLOOKUP(F106,'卖场库存0422-0512'!M:S,6,0)</f>
        <v/>
      </c>
      <c r="P106" s="30">
        <f>VLOOKUP(F106,'卖场库存0422-0512'!M:S,7,0)</f>
        <v/>
      </c>
    </row>
    <row r="107">
      <c r="A107" s="31" t="n">
        <v>105</v>
      </c>
      <c r="B107" s="22" t="inlineStr">
        <is>
          <t>F007</t>
        </is>
      </c>
      <c r="C107" s="31" t="inlineStr">
        <is>
          <t>FACE 007</t>
        </is>
      </c>
      <c r="D107" s="31">
        <f>LEFT(C107,4)</f>
        <v/>
      </c>
      <c r="E107" s="29" t="inlineStr">
        <is>
          <t>여성존</t>
        </is>
      </c>
      <c r="F107" s="31" t="inlineStr">
        <is>
          <t>EEJAG24B0239160</t>
        </is>
      </c>
      <c r="G107" s="31">
        <f>LEFT(F107,10)</f>
        <v/>
      </c>
      <c r="H107" s="31">
        <f>MID(G107,3,2)</f>
        <v/>
      </c>
      <c r="I107" s="31">
        <f>VLOOKUP(H107,color!E:G,2,0)</f>
        <v/>
      </c>
      <c r="J107" s="31" t="n">
        <v>39</v>
      </c>
      <c r="K107" s="31">
        <f>VLOOKUP(J107,color!A:C,2,0)</f>
        <v/>
      </c>
      <c r="L107" s="31" t="n">
        <v>1</v>
      </c>
      <c r="M107" s="31">
        <f>VLOOKUP(F107,'卖场库存0422-0512'!M:R,5,0)</f>
        <v/>
      </c>
      <c r="N107" s="31">
        <f>VLOOKUP(F107,'卖场库存0422-0512'!M:S,6,0)</f>
        <v/>
      </c>
      <c r="O107" s="31" t="inlineStr">
        <is>
          <t>Face out</t>
        </is>
      </c>
      <c r="P107" s="30">
        <f>VLOOKUP(F107,'卖场库存0422-0512'!M:S,7,0)</f>
        <v/>
      </c>
      <c r="Q107" s="31">
        <f>VLOOKUP(H107,color!E:G,3,0)</f>
        <v/>
      </c>
    </row>
    <row r="108">
      <c r="A108" s="31" t="n">
        <v>106</v>
      </c>
      <c r="B108" s="22" t="inlineStr">
        <is>
          <t>F007</t>
        </is>
      </c>
      <c r="C108" s="31" t="inlineStr">
        <is>
          <t>FACE 007</t>
        </is>
      </c>
      <c r="D108" s="31">
        <f>LEFT(C108,4)</f>
        <v/>
      </c>
      <c r="E108" s="29" t="inlineStr">
        <is>
          <t>여성존</t>
        </is>
      </c>
      <c r="F108" s="31" t="inlineStr">
        <is>
          <t>EEOWG25Q9179160</t>
        </is>
      </c>
      <c r="G108" s="31">
        <f>LEFT(F108,10)</f>
        <v/>
      </c>
      <c r="H108" s="31">
        <f>MID(G108,3,2)</f>
        <v/>
      </c>
      <c r="I108" s="31">
        <f>VLOOKUP(H108,color!E:G,2,0)</f>
        <v/>
      </c>
      <c r="J108" s="31" t="n">
        <v>79</v>
      </c>
      <c r="K108" s="31">
        <f>VLOOKUP(J108,color!A:C,2,0)</f>
        <v/>
      </c>
      <c r="L108" s="31" t="n">
        <v>1</v>
      </c>
      <c r="M108" s="31">
        <f>VLOOKUP(F108,'卖场库存0422-0512'!M:R,5,0)</f>
        <v/>
      </c>
      <c r="N108" s="31">
        <f>VLOOKUP(F108,'卖场库存0422-0512'!M:S,6,0)</f>
        <v/>
      </c>
      <c r="O108" s="31" t="inlineStr">
        <is>
          <t>Face out</t>
        </is>
      </c>
      <c r="P108" s="30">
        <f>VLOOKUP(F108,'卖场库存0422-0512'!M:S,7,0)</f>
        <v/>
      </c>
      <c r="Q108" s="31">
        <f>VLOOKUP(H108,color!E:G,3,0)</f>
        <v/>
      </c>
    </row>
    <row r="109">
      <c r="A109" s="31" t="n">
        <v>107</v>
      </c>
      <c r="B109" s="22" t="inlineStr">
        <is>
          <t>F007</t>
        </is>
      </c>
      <c r="C109" s="31" t="inlineStr">
        <is>
          <t>FACE 007</t>
        </is>
      </c>
      <c r="D109" s="31">
        <f>LEFT(C109,4)</f>
        <v/>
      </c>
      <c r="E109" s="29" t="inlineStr">
        <is>
          <t>여성존</t>
        </is>
      </c>
      <c r="F109" s="31" t="inlineStr">
        <is>
          <t>EEOWG25Q9179165</t>
        </is>
      </c>
      <c r="G109" s="31">
        <f>LEFT(F109,10)</f>
        <v/>
      </c>
      <c r="H109" s="31">
        <f>MID(G109,3,2)</f>
        <v/>
      </c>
      <c r="I109" s="31">
        <f>VLOOKUP(H109,color!E:G,2,0)</f>
        <v/>
      </c>
      <c r="J109" s="31" t="n">
        <v>79</v>
      </c>
      <c r="K109" s="31">
        <f>VLOOKUP(J109,color!A:C,2,0)</f>
        <v/>
      </c>
      <c r="L109" s="31" t="n">
        <v>1</v>
      </c>
      <c r="M109" s="31">
        <f>VLOOKUP(F109,'卖场库存0422-0512'!M:R,5,0)</f>
        <v/>
      </c>
      <c r="N109" s="31">
        <f>VLOOKUP(F109,'卖场库存0422-0512'!M:S,6,0)</f>
        <v/>
      </c>
      <c r="O109" s="31" t="inlineStr">
        <is>
          <t>Face out</t>
        </is>
      </c>
      <c r="P109" s="30">
        <f>VLOOKUP(F109,'卖场库存0422-0512'!M:S,7,0)</f>
        <v/>
      </c>
      <c r="Q109" s="31">
        <f>VLOOKUP(H109,color!E:G,3,0)</f>
        <v/>
      </c>
    </row>
    <row r="110">
      <c r="A110" s="31" t="n">
        <v>108</v>
      </c>
      <c r="B110" s="22" t="inlineStr">
        <is>
          <t>F007</t>
        </is>
      </c>
      <c r="C110" s="31" t="inlineStr">
        <is>
          <t>FACE 007</t>
        </is>
      </c>
      <c r="D110" s="31">
        <f>LEFT(C110,4)</f>
        <v/>
      </c>
      <c r="E110" s="29" t="inlineStr">
        <is>
          <t>여성존</t>
        </is>
      </c>
      <c r="F110" s="31" t="inlineStr">
        <is>
          <t>EEYAG23B0339165</t>
        </is>
      </c>
      <c r="G110" s="31">
        <f>LEFT(F110,10)</f>
        <v/>
      </c>
      <c r="H110" s="31">
        <f>MID(G110,3,2)</f>
        <v/>
      </c>
      <c r="I110" s="31">
        <f>VLOOKUP(H110,color!E:G,2,0)</f>
        <v/>
      </c>
      <c r="J110" s="31" t="n">
        <v>39</v>
      </c>
      <c r="K110" s="31">
        <f>VLOOKUP(J110,color!A:C,2,0)</f>
        <v/>
      </c>
      <c r="L110" s="31" t="n">
        <v>1</v>
      </c>
      <c r="M110" s="31">
        <f>VLOOKUP(F110,'卖场库存0422-0512'!M:R,5,0)</f>
        <v/>
      </c>
      <c r="N110" s="31">
        <f>VLOOKUP(F110,'卖场库存0422-0512'!M:S,6,0)</f>
        <v/>
      </c>
      <c r="O110" s="31" t="inlineStr">
        <is>
          <t>Face out</t>
        </is>
      </c>
      <c r="P110" s="30">
        <f>VLOOKUP(F110,'卖场库存0422-0512'!M:S,7,0)</f>
        <v/>
      </c>
      <c r="Q110" s="31">
        <f>VLOOKUP(H110,color!E:G,3,0)</f>
        <v/>
      </c>
    </row>
    <row r="111">
      <c r="A111" s="31" t="n">
        <v>109</v>
      </c>
      <c r="B111" s="22" t="inlineStr">
        <is>
          <t>F007</t>
        </is>
      </c>
      <c r="C111" s="31" t="inlineStr">
        <is>
          <t>FACE 007</t>
        </is>
      </c>
      <c r="D111" s="31">
        <f>LEFT(C111,4)</f>
        <v/>
      </c>
      <c r="E111" s="29" t="inlineStr">
        <is>
          <t>여성존</t>
        </is>
      </c>
      <c r="F111" s="31" t="inlineStr">
        <is>
          <t>EEYAG25B0139165</t>
        </is>
      </c>
      <c r="G111" s="31">
        <f>LEFT(F111,10)</f>
        <v/>
      </c>
      <c r="H111" s="31">
        <f>MID(G111,3,2)</f>
        <v/>
      </c>
      <c r="I111" s="31">
        <f>VLOOKUP(H111,color!E:G,2,0)</f>
        <v/>
      </c>
      <c r="J111" s="31" t="n">
        <v>39</v>
      </c>
      <c r="K111" s="31">
        <f>VLOOKUP(J111,color!A:C,2,0)</f>
        <v/>
      </c>
      <c r="L111" s="31" t="n">
        <v>1</v>
      </c>
      <c r="M111" s="31">
        <f>VLOOKUP(F111,'卖场库存0422-0512'!M:R,5,0)</f>
        <v/>
      </c>
      <c r="N111" s="31">
        <f>VLOOKUP(F111,'卖场库存0422-0512'!M:S,6,0)</f>
        <v/>
      </c>
      <c r="O111" s="31" t="inlineStr">
        <is>
          <t>Face out</t>
        </is>
      </c>
      <c r="P111" s="30">
        <f>VLOOKUP(F111,'卖场库存0422-0512'!M:S,7,0)</f>
        <v/>
      </c>
      <c r="Q111" s="31">
        <f>VLOOKUP(H111,color!E:G,3,0)</f>
        <v/>
      </c>
    </row>
    <row r="112">
      <c r="A112" s="31" t="n">
        <v>110</v>
      </c>
      <c r="B112" s="22" t="inlineStr">
        <is>
          <t>F007</t>
        </is>
      </c>
      <c r="C112" s="31" t="inlineStr">
        <is>
          <t>FACE 007</t>
        </is>
      </c>
      <c r="D112" s="31">
        <f>LEFT(C112,4)</f>
        <v/>
      </c>
      <c r="E112" s="29" t="inlineStr">
        <is>
          <t>여성존</t>
        </is>
      </c>
      <c r="F112" s="31" t="inlineStr">
        <is>
          <t>EEJAG24B0239165</t>
        </is>
      </c>
      <c r="G112" s="31">
        <f>LEFT(F112,10)</f>
        <v/>
      </c>
      <c r="H112" s="31">
        <f>MID(G112,3,2)</f>
        <v/>
      </c>
      <c r="I112" s="31">
        <f>VLOOKUP(H112,color!E:G,2,0)</f>
        <v/>
      </c>
      <c r="J112" s="31" t="n">
        <v>39</v>
      </c>
      <c r="K112" s="31">
        <f>VLOOKUP(J112,color!A:C,2,0)</f>
        <v/>
      </c>
      <c r="L112" s="31" t="n">
        <v>1</v>
      </c>
      <c r="M112" s="31">
        <f>VLOOKUP(F112,'卖场库存0422-0512'!M:R,5,0)</f>
        <v/>
      </c>
      <c r="N112" s="31">
        <f>VLOOKUP(F112,'卖场库存0422-0512'!M:S,6,0)</f>
        <v/>
      </c>
      <c r="O112" s="31" t="inlineStr">
        <is>
          <t>Face out</t>
        </is>
      </c>
      <c r="P112" s="30">
        <f>VLOOKUP(F112,'卖场库存0422-0512'!M:S,7,0)</f>
        <v/>
      </c>
      <c r="Q112" s="31">
        <f>VLOOKUP(H112,color!E:G,3,0)</f>
        <v/>
      </c>
    </row>
    <row r="113">
      <c r="A113" s="31" t="n">
        <v>111</v>
      </c>
      <c r="B113" s="22" t="inlineStr">
        <is>
          <t>F007</t>
        </is>
      </c>
      <c r="C113" s="31" t="inlineStr">
        <is>
          <t>FACE 007</t>
        </is>
      </c>
      <c r="D113" s="31">
        <f>LEFT(C113,4)</f>
        <v/>
      </c>
      <c r="E113" s="29" t="inlineStr">
        <is>
          <t>여성존</t>
        </is>
      </c>
      <c r="F113" s="31" t="inlineStr">
        <is>
          <t>EECKG23B0464170</t>
        </is>
      </c>
      <c r="G113" s="31">
        <f>LEFT(F113,10)</f>
        <v/>
      </c>
      <c r="H113" s="31">
        <f>MID(G113,3,2)</f>
        <v/>
      </c>
      <c r="I113" s="31">
        <f>VLOOKUP(H113,color!E:G,2,0)</f>
        <v/>
      </c>
      <c r="J113" s="31" t="n">
        <v>64</v>
      </c>
      <c r="K113" s="31">
        <f>VLOOKUP(J113,color!A:C,2,0)</f>
        <v/>
      </c>
      <c r="L113" s="31" t="n">
        <v>1</v>
      </c>
      <c r="M113" s="31">
        <f>VLOOKUP(F113,'卖场库存0422-0512'!M:R,5,0)</f>
        <v/>
      </c>
      <c r="N113" s="31">
        <f>VLOOKUP(F113,'卖场库存0422-0512'!M:S,6,0)</f>
        <v/>
      </c>
      <c r="O113" s="31" t="inlineStr">
        <is>
          <t>Sleeve out</t>
        </is>
      </c>
      <c r="P113" s="30">
        <f>VLOOKUP(F113,'卖场库存0422-0512'!M:S,7,0)</f>
        <v/>
      </c>
      <c r="Q113" s="31">
        <f>VLOOKUP(H113,color!E:G,3,0)</f>
        <v/>
      </c>
    </row>
    <row r="114">
      <c r="A114" s="31" t="n">
        <v>112</v>
      </c>
      <c r="B114" s="22" t="inlineStr">
        <is>
          <t>F007</t>
        </is>
      </c>
      <c r="C114" s="31" t="inlineStr">
        <is>
          <t>FACE 007</t>
        </is>
      </c>
      <c r="D114" s="31">
        <f>LEFT(C114,4)</f>
        <v/>
      </c>
      <c r="E114" s="29" t="inlineStr">
        <is>
          <t>여성존</t>
        </is>
      </c>
      <c r="F114" s="31" t="inlineStr">
        <is>
          <t>EECKG23B0464160</t>
        </is>
      </c>
      <c r="G114" s="31">
        <f>LEFT(F114,10)</f>
        <v/>
      </c>
      <c r="H114" s="31">
        <f>MID(G114,3,2)</f>
        <v/>
      </c>
      <c r="I114" s="31">
        <f>VLOOKUP(H114,color!E:G,2,0)</f>
        <v/>
      </c>
      <c r="J114" s="31" t="n">
        <v>64</v>
      </c>
      <c r="K114" s="31">
        <f>VLOOKUP(J114,color!A:C,2,0)</f>
        <v/>
      </c>
      <c r="L114" s="31" t="n">
        <v>1</v>
      </c>
      <c r="M114" s="31">
        <f>VLOOKUP(F114,'卖场库存0422-0512'!M:R,5,0)</f>
        <v/>
      </c>
      <c r="N114" s="31">
        <f>VLOOKUP(F114,'卖场库存0422-0512'!M:S,6,0)</f>
        <v/>
      </c>
      <c r="O114" s="31" t="inlineStr">
        <is>
          <t>Sleeve out</t>
        </is>
      </c>
      <c r="P114" s="30">
        <f>VLOOKUP(F114,'卖场库存0422-0512'!M:S,7,0)</f>
        <v/>
      </c>
      <c r="Q114" s="31">
        <f>VLOOKUP(H114,color!E:G,3,0)</f>
        <v/>
      </c>
    </row>
    <row r="115">
      <c r="A115" s="31" t="n">
        <v>113</v>
      </c>
      <c r="B115" s="22" t="inlineStr">
        <is>
          <t>F007</t>
        </is>
      </c>
      <c r="C115" s="31" t="inlineStr">
        <is>
          <t>FACE 007</t>
        </is>
      </c>
      <c r="D115" s="31">
        <f>LEFT(C115,4)</f>
        <v/>
      </c>
      <c r="E115" s="29" t="inlineStr">
        <is>
          <t>여성존</t>
        </is>
      </c>
      <c r="F115" s="31" t="inlineStr">
        <is>
          <t>EETCG24E0641165</t>
        </is>
      </c>
      <c r="G115" s="31">
        <f>LEFT(F115,10)</f>
        <v/>
      </c>
      <c r="H115" s="31">
        <f>MID(G115,3,2)</f>
        <v/>
      </c>
      <c r="I115" s="31">
        <f>VLOOKUP(H115,color!E:G,2,0)</f>
        <v/>
      </c>
      <c r="J115" s="31" t="n">
        <v>41</v>
      </c>
      <c r="K115" s="31">
        <f>VLOOKUP(J115,color!A:C,2,0)</f>
        <v/>
      </c>
      <c r="L115" s="31" t="n">
        <v>1</v>
      </c>
      <c r="M115" s="31">
        <f>VLOOKUP(F115,'卖场库存0422-0512'!M:R,5,0)</f>
        <v/>
      </c>
      <c r="N115" s="31">
        <f>VLOOKUP(F115,'卖场库存0422-0512'!M:S,6,0)</f>
        <v/>
      </c>
      <c r="O115" s="31" t="inlineStr">
        <is>
          <t>Sleeve out</t>
        </is>
      </c>
      <c r="P115" s="30">
        <f>VLOOKUP(F115,'卖场库存0422-0512'!M:S,7,0)</f>
        <v/>
      </c>
      <c r="Q115" s="31">
        <f>VLOOKUP(H115,color!E:G,3,0)</f>
        <v/>
      </c>
    </row>
    <row r="116">
      <c r="A116" s="31" t="n">
        <v>114</v>
      </c>
      <c r="B116" s="22" t="inlineStr">
        <is>
          <t>F007</t>
        </is>
      </c>
      <c r="C116" s="31" t="inlineStr">
        <is>
          <t>FACE 007</t>
        </is>
      </c>
      <c r="D116" s="31">
        <f>LEFT(C116,4)</f>
        <v/>
      </c>
      <c r="E116" s="29" t="inlineStr">
        <is>
          <t>여성존</t>
        </is>
      </c>
      <c r="F116" s="31" t="inlineStr">
        <is>
          <t>EETCG24E0641155</t>
        </is>
      </c>
      <c r="G116" s="31">
        <f>LEFT(F116,10)</f>
        <v/>
      </c>
      <c r="H116" s="31">
        <f>MID(G116,3,2)</f>
        <v/>
      </c>
      <c r="I116" s="31">
        <f>VLOOKUP(H116,color!E:G,2,0)</f>
        <v/>
      </c>
      <c r="J116" s="31" t="n">
        <v>41</v>
      </c>
      <c r="K116" s="31">
        <f>VLOOKUP(J116,color!A:C,2,0)</f>
        <v/>
      </c>
      <c r="L116" s="31" t="n">
        <v>1</v>
      </c>
      <c r="M116" s="31">
        <f>VLOOKUP(F116,'卖场库存0422-0512'!M:R,5,0)</f>
        <v/>
      </c>
      <c r="N116" s="31">
        <f>VLOOKUP(F116,'卖场库存0422-0512'!M:S,6,0)</f>
        <v/>
      </c>
      <c r="O116" s="31" t="inlineStr">
        <is>
          <t>Sleeve out</t>
        </is>
      </c>
      <c r="P116" s="30">
        <f>VLOOKUP(F116,'卖场库存0422-0512'!M:S,7,0)</f>
        <v/>
      </c>
      <c r="Q116" s="31">
        <f>VLOOKUP(H116,color!E:G,3,0)</f>
        <v/>
      </c>
    </row>
    <row r="117">
      <c r="A117" s="31" t="n">
        <v>115</v>
      </c>
      <c r="B117" s="22" t="inlineStr">
        <is>
          <t>F007</t>
        </is>
      </c>
      <c r="C117" s="31" t="inlineStr">
        <is>
          <t>FACE 007</t>
        </is>
      </c>
      <c r="D117" s="31">
        <f>LEFT(C117,4)</f>
        <v/>
      </c>
      <c r="E117" s="29" t="inlineStr">
        <is>
          <t>여성존</t>
        </is>
      </c>
      <c r="F117" s="31" t="inlineStr">
        <is>
          <t>EEOWG25B0239160</t>
        </is>
      </c>
      <c r="G117" s="31">
        <f>LEFT(F117,10)</f>
        <v/>
      </c>
      <c r="H117" s="31">
        <f>MID(G117,3,2)</f>
        <v/>
      </c>
      <c r="I117" s="31">
        <f>VLOOKUP(H117,color!E:G,2,0)</f>
        <v/>
      </c>
      <c r="J117" s="31" t="n">
        <v>39</v>
      </c>
      <c r="K117" s="31">
        <f>VLOOKUP(J117,color!A:C,2,0)</f>
        <v/>
      </c>
      <c r="L117" s="31" t="n">
        <v>1</v>
      </c>
      <c r="M117" s="31">
        <f>VLOOKUP(F117,'卖场库存0422-0512'!M:R,5,0)</f>
        <v/>
      </c>
      <c r="N117" s="31">
        <f>VLOOKUP(F117,'卖场库存0422-0512'!M:S,6,0)</f>
        <v/>
      </c>
      <c r="O117" s="31" t="inlineStr">
        <is>
          <t>Sleeve out</t>
        </is>
      </c>
      <c r="P117" s="30">
        <f>VLOOKUP(F117,'卖场库存0422-0512'!M:S,7,0)</f>
        <v/>
      </c>
      <c r="Q117" s="31">
        <f>VLOOKUP(H117,color!E:G,3,0)</f>
        <v/>
      </c>
    </row>
    <row r="118">
      <c r="A118" s="31" t="n">
        <v>116</v>
      </c>
      <c r="B118" s="22" t="inlineStr">
        <is>
          <t>F007</t>
        </is>
      </c>
      <c r="C118" s="31" t="inlineStr">
        <is>
          <t>FACE 007</t>
        </is>
      </c>
      <c r="D118" s="31">
        <f>LEFT(C118,4)</f>
        <v/>
      </c>
      <c r="E118" s="29" t="inlineStr">
        <is>
          <t>여성존</t>
        </is>
      </c>
      <c r="F118" s="31" t="inlineStr">
        <is>
          <t>EEOWG25B0239165</t>
        </is>
      </c>
      <c r="G118" s="31">
        <f>LEFT(F118,10)</f>
        <v/>
      </c>
      <c r="H118" s="31">
        <f>MID(G118,3,2)</f>
        <v/>
      </c>
      <c r="I118" s="31">
        <f>VLOOKUP(H118,color!E:G,2,0)</f>
        <v/>
      </c>
      <c r="J118" s="31" t="n">
        <v>39</v>
      </c>
      <c r="K118" s="31">
        <f>VLOOKUP(J118,color!A:C,2,0)</f>
        <v/>
      </c>
      <c r="L118" s="31" t="n">
        <v>1</v>
      </c>
      <c r="M118" s="31">
        <f>VLOOKUP(F118,'卖场库存0422-0512'!M:R,5,0)</f>
        <v/>
      </c>
      <c r="N118" s="31">
        <f>VLOOKUP(F118,'卖场库存0422-0512'!M:S,6,0)</f>
        <v/>
      </c>
      <c r="O118" s="31" t="inlineStr">
        <is>
          <t>Sleeve out</t>
        </is>
      </c>
      <c r="P118" s="30">
        <f>VLOOKUP(F118,'卖场库存0422-0512'!M:S,7,0)</f>
        <v/>
      </c>
      <c r="Q118" s="31">
        <f>VLOOKUP(H118,color!E:G,3,0)</f>
        <v/>
      </c>
    </row>
    <row r="119">
      <c r="A119" s="31" t="n">
        <v>117</v>
      </c>
      <c r="B119" s="22" t="inlineStr">
        <is>
          <t>F007</t>
        </is>
      </c>
      <c r="C119" s="31" t="inlineStr">
        <is>
          <t>FACE 007</t>
        </is>
      </c>
      <c r="D119" s="31">
        <f>LEFT(C119,4)</f>
        <v/>
      </c>
      <c r="E119" s="29" t="inlineStr">
        <is>
          <t>여성존</t>
        </is>
      </c>
      <c r="F119" s="31" t="inlineStr">
        <is>
          <t>EEJAG24B0449170</t>
        </is>
      </c>
      <c r="G119" s="31">
        <f>LEFT(F119,10)</f>
        <v/>
      </c>
      <c r="H119" s="31">
        <f>MID(G119,3,2)</f>
        <v/>
      </c>
      <c r="I119" s="31">
        <f>VLOOKUP(H119,color!E:G,2,0)</f>
        <v/>
      </c>
      <c r="J119" s="31" t="n">
        <v>49</v>
      </c>
      <c r="K119" s="31">
        <f>VLOOKUP(J119,color!A:C,2,0)</f>
        <v/>
      </c>
      <c r="L119" s="31" t="n">
        <v>1</v>
      </c>
      <c r="M119" s="31">
        <f>VLOOKUP(F119,'卖场库存0422-0512'!M:R,5,0)</f>
        <v/>
      </c>
      <c r="N119" s="31">
        <f>VLOOKUP(F119,'卖场库存0422-0512'!M:S,6,0)</f>
        <v/>
      </c>
      <c r="O119" s="31" t="inlineStr">
        <is>
          <t>Sleeve out</t>
        </is>
      </c>
      <c r="P119" s="30">
        <f>VLOOKUP(F119,'卖场库存0422-0512'!M:S,7,0)</f>
        <v/>
      </c>
      <c r="Q119" s="31">
        <f>VLOOKUP(H119,color!E:G,3,0)</f>
        <v/>
      </c>
    </row>
    <row r="120">
      <c r="A120" s="31" t="n">
        <v>118</v>
      </c>
      <c r="B120" s="22" t="inlineStr">
        <is>
          <t>F007</t>
        </is>
      </c>
      <c r="C120" s="31" t="inlineStr">
        <is>
          <t>FACE 007</t>
        </is>
      </c>
      <c r="D120" s="31">
        <f>LEFT(C120,4)</f>
        <v/>
      </c>
      <c r="E120" s="29" t="inlineStr">
        <is>
          <t>여성존</t>
        </is>
      </c>
      <c r="F120" s="31" t="inlineStr">
        <is>
          <t>EETHG24E0349165</t>
        </is>
      </c>
      <c r="G120" s="31">
        <f>LEFT(F120,10)</f>
        <v/>
      </c>
      <c r="H120" s="31">
        <f>MID(G120,3,2)</f>
        <v/>
      </c>
      <c r="I120" s="31">
        <f>VLOOKUP(H120,color!E:G,2,0)</f>
        <v/>
      </c>
      <c r="J120" s="31" t="n">
        <v>49</v>
      </c>
      <c r="K120" s="31">
        <f>VLOOKUP(J120,color!A:C,2,0)</f>
        <v/>
      </c>
      <c r="L120" s="31" t="n">
        <v>1</v>
      </c>
      <c r="M120" s="31">
        <f>VLOOKUP(F120,'卖场库存0422-0512'!M:R,5,0)</f>
        <v/>
      </c>
      <c r="N120" s="31">
        <f>VLOOKUP(F120,'卖场库存0422-0512'!M:S,6,0)</f>
        <v/>
      </c>
      <c r="O120" s="31" t="inlineStr">
        <is>
          <t>Sleeve out</t>
        </is>
      </c>
      <c r="P120" s="30">
        <f>VLOOKUP(F120,'卖场库存0422-0512'!M:S,7,0)</f>
        <v/>
      </c>
      <c r="Q120" s="31">
        <f>VLOOKUP(H120,color!E:G,3,0)</f>
        <v/>
      </c>
    </row>
    <row r="121">
      <c r="A121" s="31" t="n">
        <v>119</v>
      </c>
      <c r="B121" s="22" t="inlineStr">
        <is>
          <t>F007</t>
        </is>
      </c>
      <c r="C121" s="31" t="inlineStr">
        <is>
          <t>FACE 007</t>
        </is>
      </c>
      <c r="D121" s="31">
        <f>LEFT(C121,4)</f>
        <v/>
      </c>
      <c r="E121" s="29" t="inlineStr">
        <is>
          <t>여성존</t>
        </is>
      </c>
      <c r="F121" s="31" t="inlineStr">
        <is>
          <t>EEYAG25B0439160</t>
        </is>
      </c>
      <c r="G121" s="31">
        <f>LEFT(F121,10)</f>
        <v/>
      </c>
      <c r="H121" s="31">
        <f>MID(G121,3,2)</f>
        <v/>
      </c>
      <c r="I121" s="31">
        <f>VLOOKUP(H121,color!E:G,2,0)</f>
        <v/>
      </c>
      <c r="J121" s="31" t="n">
        <v>39</v>
      </c>
      <c r="K121" s="31">
        <f>VLOOKUP(J121,color!A:C,2,0)</f>
        <v/>
      </c>
      <c r="L121" s="31" t="n">
        <v>1</v>
      </c>
      <c r="M121" s="31">
        <f>VLOOKUP(F121,'卖场库存0422-0512'!M:R,5,0)</f>
        <v/>
      </c>
      <c r="N121" s="31">
        <f>VLOOKUP(F121,'卖场库存0422-0512'!M:S,6,0)</f>
        <v/>
      </c>
      <c r="O121" s="31" t="inlineStr">
        <is>
          <t>Sleeve out</t>
        </is>
      </c>
      <c r="P121" s="30">
        <f>VLOOKUP(F121,'卖场库存0422-0512'!M:S,7,0)</f>
        <v/>
      </c>
      <c r="Q121" s="31">
        <f>VLOOKUP(H121,color!E:G,3,0)</f>
        <v/>
      </c>
    </row>
    <row r="122">
      <c r="A122" s="31" t="n">
        <v>120</v>
      </c>
      <c r="B122" s="22" t="inlineStr">
        <is>
          <t>F007</t>
        </is>
      </c>
      <c r="C122" s="31" t="inlineStr">
        <is>
          <t>FACE 007</t>
        </is>
      </c>
      <c r="D122" s="31">
        <f>LEFT(C122,4)</f>
        <v/>
      </c>
      <c r="E122" s="29" t="inlineStr">
        <is>
          <t>여성존</t>
        </is>
      </c>
      <c r="F122" s="31" t="inlineStr">
        <is>
          <t>EEYAG25B0439165</t>
        </is>
      </c>
      <c r="G122" s="31">
        <f>LEFT(F122,10)</f>
        <v/>
      </c>
      <c r="H122" s="31">
        <f>MID(G122,3,2)</f>
        <v/>
      </c>
      <c r="I122" s="31">
        <f>VLOOKUP(H122,color!E:G,2,0)</f>
        <v/>
      </c>
      <c r="J122" s="31" t="n">
        <v>39</v>
      </c>
      <c r="K122" s="31">
        <f>VLOOKUP(J122,color!A:C,2,0)</f>
        <v/>
      </c>
      <c r="L122" s="31" t="n">
        <v>1</v>
      </c>
      <c r="M122" s="31">
        <f>VLOOKUP(F122,'卖场库存0422-0512'!M:R,5,0)</f>
        <v/>
      </c>
      <c r="N122" s="31">
        <f>VLOOKUP(F122,'卖场库存0422-0512'!M:S,6,0)</f>
        <v/>
      </c>
      <c r="O122" s="31" t="inlineStr">
        <is>
          <t>Sleeve out</t>
        </is>
      </c>
      <c r="P122" s="30">
        <f>VLOOKUP(F122,'卖场库存0422-0512'!M:S,7,0)</f>
        <v/>
      </c>
      <c r="Q122" s="31">
        <f>VLOOKUP(H122,color!E:G,3,0)</f>
        <v/>
      </c>
    </row>
    <row r="123">
      <c r="A123" s="31" t="n">
        <v>121</v>
      </c>
      <c r="B123" s="22" t="inlineStr">
        <is>
          <t>F007</t>
        </is>
      </c>
      <c r="C123" s="31" t="inlineStr">
        <is>
          <t>FACE 007</t>
        </is>
      </c>
      <c r="D123" s="31">
        <f>LEFT(C123,4)</f>
        <v/>
      </c>
      <c r="E123" s="29" t="inlineStr">
        <is>
          <t>여성존</t>
        </is>
      </c>
      <c r="F123" s="31" t="inlineStr">
        <is>
          <t>EEOMG26B0164165</t>
        </is>
      </c>
      <c r="G123" s="31">
        <f>LEFT(F123,10)</f>
        <v/>
      </c>
      <c r="H123" s="31">
        <f>MID(G123,3,2)</f>
        <v/>
      </c>
      <c r="I123" s="31">
        <f>VLOOKUP(H123,color!E:G,2,0)</f>
        <v/>
      </c>
      <c r="J123" s="31" t="n">
        <v>64</v>
      </c>
      <c r="K123" s="31">
        <f>VLOOKUP(J123,color!A:C,2,0)</f>
        <v/>
      </c>
      <c r="L123" s="31" t="n">
        <v>1</v>
      </c>
      <c r="M123" s="31">
        <f>VLOOKUP(F123,'卖场库存0422-0512'!M:R,5,0)</f>
        <v/>
      </c>
      <c r="N123" s="31">
        <f>VLOOKUP(F123,'卖场库存0422-0512'!M:S,6,0)</f>
        <v/>
      </c>
      <c r="O123" s="31" t="inlineStr">
        <is>
          <t>Sleeve out</t>
        </is>
      </c>
      <c r="P123" s="30">
        <f>VLOOKUP(F123,'卖场库存0422-0512'!M:S,7,0)</f>
        <v/>
      </c>
      <c r="Q123" s="31">
        <f>VLOOKUP(H123,color!E:G,3,0)</f>
        <v/>
      </c>
    </row>
    <row r="124">
      <c r="A124" s="31" t="n">
        <v>122</v>
      </c>
      <c r="B124" s="22" t="inlineStr">
        <is>
          <t>F007</t>
        </is>
      </c>
      <c r="C124" s="31" t="inlineStr">
        <is>
          <t>FACE 007</t>
        </is>
      </c>
      <c r="D124" s="31">
        <f>LEFT(C124,4)</f>
        <v/>
      </c>
      <c r="E124" s="29" t="inlineStr">
        <is>
          <t>여성존</t>
        </is>
      </c>
      <c r="F124" s="31" t="inlineStr">
        <is>
          <t>EEOMG26B0164160</t>
        </is>
      </c>
      <c r="G124" s="31">
        <f>LEFT(F124,10)</f>
        <v/>
      </c>
      <c r="H124" s="31">
        <f>MID(G124,3,2)</f>
        <v/>
      </c>
      <c r="I124" s="31">
        <f>VLOOKUP(H124,color!E:G,2,0)</f>
        <v/>
      </c>
      <c r="J124" s="31" t="n">
        <v>64</v>
      </c>
      <c r="K124" s="31">
        <f>VLOOKUP(J124,color!A:C,2,0)</f>
        <v/>
      </c>
      <c r="L124" s="31" t="n">
        <v>1</v>
      </c>
      <c r="M124" s="31">
        <f>VLOOKUP(F124,'卖场库存0422-0512'!M:R,5,0)</f>
        <v/>
      </c>
      <c r="N124" s="31">
        <f>VLOOKUP(F124,'卖场库存0422-0512'!M:S,6,0)</f>
        <v/>
      </c>
      <c r="O124" s="31" t="inlineStr">
        <is>
          <t>Sleeve out</t>
        </is>
      </c>
      <c r="P124" s="30">
        <f>VLOOKUP(F124,'卖场库存0422-0512'!M:S,7,0)</f>
        <v/>
      </c>
      <c r="Q124" s="31">
        <f>VLOOKUP(H124,color!E:G,3,0)</f>
        <v/>
      </c>
    </row>
    <row r="125">
      <c r="A125" s="31" t="n">
        <v>123</v>
      </c>
      <c r="B125" s="22" t="inlineStr">
        <is>
          <t>F008</t>
        </is>
      </c>
      <c r="C125" s="31" t="inlineStr">
        <is>
          <t>FACE 008</t>
        </is>
      </c>
      <c r="D125" s="31">
        <f>LEFT(C125,4)</f>
        <v/>
      </c>
      <c r="E125" s="29" t="inlineStr">
        <is>
          <t>여성존</t>
        </is>
      </c>
      <c r="F125" s="31" t="inlineStr">
        <is>
          <t>EETCG24E0636170</t>
        </is>
      </c>
      <c r="G125" s="31">
        <f>LEFT(F125,10)</f>
        <v/>
      </c>
      <c r="H125" s="31">
        <f>MID(G125,3,2)</f>
        <v/>
      </c>
      <c r="I125" s="31">
        <f>VLOOKUP(H125,color!E:G,2,0)</f>
        <v/>
      </c>
      <c r="J125" s="31" t="n">
        <v>36</v>
      </c>
      <c r="K125" s="31">
        <f>VLOOKUP(J125,color!A:C,2,0)</f>
        <v/>
      </c>
      <c r="L125" s="31" t="n">
        <v>1</v>
      </c>
      <c r="M125" s="31">
        <f>VLOOKUP(F125,'卖场库存0422-0512'!M:R,5,0)</f>
        <v/>
      </c>
      <c r="N125" s="31">
        <f>VLOOKUP(F125,'卖场库存0422-0512'!M:S,6,0)</f>
        <v/>
      </c>
      <c r="O125" s="31" t="inlineStr">
        <is>
          <t>Face out</t>
        </is>
      </c>
      <c r="P125" s="30">
        <f>VLOOKUP(F125,'卖场库存0422-0512'!M:S,7,0)</f>
        <v/>
      </c>
      <c r="Q125" s="31">
        <f>VLOOKUP(H125,color!E:G,3,0)</f>
        <v/>
      </c>
    </row>
    <row r="126">
      <c r="A126" s="31" t="n">
        <v>124</v>
      </c>
      <c r="B126" s="22" t="inlineStr">
        <is>
          <t>F008</t>
        </is>
      </c>
      <c r="C126" s="31" t="inlineStr">
        <is>
          <t>FACE 008</t>
        </is>
      </c>
      <c r="D126" s="31">
        <f>LEFT(C126,4)</f>
        <v/>
      </c>
      <c r="E126" s="29" t="inlineStr">
        <is>
          <t>여성존</t>
        </is>
      </c>
      <c r="F126" s="31" t="inlineStr">
        <is>
          <t>EEYWG25E0337165</t>
        </is>
      </c>
      <c r="G126" s="31">
        <f>LEFT(F126,10)</f>
        <v/>
      </c>
      <c r="H126" s="31">
        <f>MID(G126,3,2)</f>
        <v/>
      </c>
      <c r="I126" s="31">
        <f>VLOOKUP(H126,color!E:G,2,0)</f>
        <v/>
      </c>
      <c r="J126" s="31" t="n">
        <v>37</v>
      </c>
      <c r="K126" s="31">
        <f>VLOOKUP(J126,color!A:C,2,0)</f>
        <v/>
      </c>
      <c r="L126" s="31" t="n">
        <v>1</v>
      </c>
      <c r="M126" s="31">
        <f>VLOOKUP(F126,'卖场库存0422-0512'!M:R,5,0)</f>
        <v/>
      </c>
      <c r="N126" s="31">
        <f>VLOOKUP(F126,'卖场库存0422-0512'!M:S,6,0)</f>
        <v/>
      </c>
      <c r="O126" s="31" t="inlineStr">
        <is>
          <t>Face out</t>
        </is>
      </c>
      <c r="P126" s="30">
        <f>VLOOKUP(F126,'卖场库存0422-0512'!M:S,7,0)</f>
        <v/>
      </c>
      <c r="Q126" s="31">
        <f>VLOOKUP(H126,color!E:G,3,0)</f>
        <v/>
      </c>
    </row>
    <row r="127">
      <c r="A127" s="31" t="n">
        <v>125</v>
      </c>
      <c r="B127" s="22" t="inlineStr">
        <is>
          <t>F008</t>
        </is>
      </c>
      <c r="C127" s="31" t="inlineStr">
        <is>
          <t>FACE 008</t>
        </is>
      </c>
      <c r="D127" s="31">
        <f>LEFT(C127,4)</f>
        <v/>
      </c>
      <c r="E127" s="29" t="inlineStr">
        <is>
          <t>여성존</t>
        </is>
      </c>
      <c r="F127" s="31" t="inlineStr">
        <is>
          <t>EETCG24E0636165</t>
        </is>
      </c>
      <c r="G127" s="31">
        <f>LEFT(F127,10)</f>
        <v/>
      </c>
      <c r="H127" s="31">
        <f>MID(G127,3,2)</f>
        <v/>
      </c>
      <c r="I127" s="31">
        <f>VLOOKUP(H127,color!E:G,2,0)</f>
        <v/>
      </c>
      <c r="J127" s="31" t="n">
        <v>36</v>
      </c>
      <c r="K127" s="31">
        <f>VLOOKUP(J127,color!A:C,2,0)</f>
        <v/>
      </c>
      <c r="L127" s="31" t="n">
        <v>1</v>
      </c>
      <c r="M127" s="31">
        <f>VLOOKUP(F127,'卖场库存0422-0512'!M:R,5,0)</f>
        <v/>
      </c>
      <c r="N127" s="31">
        <f>VLOOKUP(F127,'卖场库存0422-0512'!M:S,6,0)</f>
        <v/>
      </c>
      <c r="O127" s="31" t="inlineStr">
        <is>
          <t>Face out</t>
        </is>
      </c>
      <c r="P127" s="30">
        <f>VLOOKUP(F127,'卖场库存0422-0512'!M:S,7,0)</f>
        <v/>
      </c>
      <c r="Q127" s="31">
        <f>VLOOKUP(H127,color!E:G,3,0)</f>
        <v/>
      </c>
    </row>
    <row r="128">
      <c r="A128" s="31" t="n">
        <v>126</v>
      </c>
      <c r="B128" s="22" t="inlineStr">
        <is>
          <t>F008</t>
        </is>
      </c>
      <c r="C128" s="31" t="inlineStr">
        <is>
          <t>FACE 008</t>
        </is>
      </c>
      <c r="D128" s="31">
        <f>LEFT(C128,4)</f>
        <v/>
      </c>
      <c r="E128" s="29" t="inlineStr">
        <is>
          <t>여성존</t>
        </is>
      </c>
      <c r="F128" s="31" t="inlineStr">
        <is>
          <t>EEYWG25E0337160</t>
        </is>
      </c>
      <c r="G128" s="31">
        <f>LEFT(F128,10)</f>
        <v/>
      </c>
      <c r="H128" s="31">
        <f>MID(G128,3,2)</f>
        <v/>
      </c>
      <c r="I128" s="31">
        <f>VLOOKUP(H128,color!E:G,2,0)</f>
        <v/>
      </c>
      <c r="J128" s="31" t="n">
        <v>37</v>
      </c>
      <c r="K128" s="31">
        <f>VLOOKUP(J128,color!A:C,2,0)</f>
        <v/>
      </c>
      <c r="L128" s="31" t="n">
        <v>1</v>
      </c>
      <c r="M128" s="31">
        <f>VLOOKUP(F128,'卖场库存0422-0512'!M:R,5,0)</f>
        <v/>
      </c>
      <c r="N128" s="31">
        <f>VLOOKUP(F128,'卖场库存0422-0512'!M:S,6,0)</f>
        <v/>
      </c>
      <c r="O128" s="31" t="inlineStr">
        <is>
          <t>Face out</t>
        </is>
      </c>
      <c r="P128" s="30">
        <f>VLOOKUP(F128,'卖场库存0422-0512'!M:S,7,0)</f>
        <v/>
      </c>
      <c r="Q128" s="31">
        <f>VLOOKUP(H128,color!E:G,3,0)</f>
        <v/>
      </c>
    </row>
    <row r="129">
      <c r="A129" s="31" t="n">
        <v>127</v>
      </c>
      <c r="B129" s="22" t="inlineStr">
        <is>
          <t>F008</t>
        </is>
      </c>
      <c r="C129" s="31" t="inlineStr">
        <is>
          <t>FACE 008</t>
        </is>
      </c>
      <c r="D129" s="31">
        <f>LEFT(C129,4)</f>
        <v/>
      </c>
      <c r="E129" s="29" t="inlineStr">
        <is>
          <t>여성존</t>
        </is>
      </c>
      <c r="F129" s="31" t="inlineStr">
        <is>
          <t>EEJAG23E0131160</t>
        </is>
      </c>
      <c r="G129" s="31">
        <f>LEFT(F129,10)</f>
        <v/>
      </c>
      <c r="H129" s="31">
        <f>MID(G129,3,2)</f>
        <v/>
      </c>
      <c r="I129" s="31">
        <f>VLOOKUP(H129,color!E:G,2,0)</f>
        <v/>
      </c>
      <c r="J129" s="31" t="n">
        <v>31</v>
      </c>
      <c r="K129" s="31">
        <f>VLOOKUP(J129,color!A:C,2,0)</f>
        <v/>
      </c>
      <c r="L129" s="31" t="n">
        <v>1</v>
      </c>
      <c r="M129" s="31">
        <f>VLOOKUP(F129,'卖场库存0422-0512'!M:R,5,0)</f>
        <v/>
      </c>
      <c r="N129" s="31">
        <f>VLOOKUP(F129,'卖场库存0422-0512'!M:S,6,0)</f>
        <v/>
      </c>
      <c r="O129" s="31" t="inlineStr">
        <is>
          <t>Face out</t>
        </is>
      </c>
      <c r="P129" s="30">
        <f>VLOOKUP(F129,'卖场库存0422-0512'!M:S,7,0)</f>
        <v/>
      </c>
      <c r="Q129" s="31">
        <f>VLOOKUP(H129,color!E:G,3,0)</f>
        <v/>
      </c>
    </row>
    <row r="130">
      <c r="A130" s="31" t="n">
        <v>128</v>
      </c>
      <c r="B130" s="22" t="inlineStr">
        <is>
          <t>F008</t>
        </is>
      </c>
      <c r="C130" s="31" t="inlineStr">
        <is>
          <t>FACE 008</t>
        </is>
      </c>
      <c r="D130" s="31">
        <f>LEFT(C130,4)</f>
        <v/>
      </c>
      <c r="E130" s="29" t="inlineStr">
        <is>
          <t>여성존</t>
        </is>
      </c>
      <c r="F130" s="31" t="inlineStr">
        <is>
          <t>EEJAG23E0131170</t>
        </is>
      </c>
      <c r="G130" s="31">
        <f>LEFT(F130,10)</f>
        <v/>
      </c>
      <c r="H130" s="31">
        <f>MID(G130,3,2)</f>
        <v/>
      </c>
      <c r="I130" s="31">
        <f>VLOOKUP(H130,color!E:G,2,0)</f>
        <v/>
      </c>
      <c r="J130" s="31" t="n">
        <v>31</v>
      </c>
      <c r="K130" s="31">
        <f>VLOOKUP(J130,color!A:C,2,0)</f>
        <v/>
      </c>
      <c r="L130" s="31" t="n">
        <v>1</v>
      </c>
      <c r="M130" s="31">
        <f>VLOOKUP(F130,'卖场库存0422-0512'!M:R,5,0)</f>
        <v/>
      </c>
      <c r="N130" s="31">
        <f>VLOOKUP(F130,'卖场库存0422-0512'!M:S,6,0)</f>
        <v/>
      </c>
      <c r="O130" s="31" t="inlineStr">
        <is>
          <t>Face out</t>
        </is>
      </c>
      <c r="P130" s="30">
        <f>VLOOKUP(F130,'卖场库存0422-0512'!M:S,7,0)</f>
        <v/>
      </c>
      <c r="Q130" s="31">
        <f>VLOOKUP(H130,color!E:G,3,0)</f>
        <v/>
      </c>
    </row>
    <row r="131">
      <c r="A131" s="31" t="n">
        <v>129</v>
      </c>
      <c r="B131" s="22" t="inlineStr">
        <is>
          <t>F008</t>
        </is>
      </c>
      <c r="C131" s="31" t="inlineStr">
        <is>
          <t>FACE 008</t>
        </is>
      </c>
      <c r="D131" s="31">
        <f>LEFT(C131,4)</f>
        <v/>
      </c>
      <c r="E131" s="29" t="inlineStr">
        <is>
          <t>여성존</t>
        </is>
      </c>
      <c r="F131" s="31" t="inlineStr">
        <is>
          <t>EEOWG24E0236160</t>
        </is>
      </c>
      <c r="G131" s="31">
        <f>LEFT(F131,10)</f>
        <v/>
      </c>
      <c r="H131" s="31">
        <f>MID(G131,3,2)</f>
        <v/>
      </c>
      <c r="I131" s="31">
        <f>VLOOKUP(H131,color!E:G,2,0)</f>
        <v/>
      </c>
      <c r="J131" s="31" t="n">
        <v>36</v>
      </c>
      <c r="K131" s="31">
        <f>VLOOKUP(J131,color!A:C,2,0)</f>
        <v/>
      </c>
      <c r="L131" s="31" t="n">
        <v>1</v>
      </c>
      <c r="M131" s="31">
        <f>VLOOKUP(F131,'卖场库存0422-0512'!M:R,5,0)</f>
        <v/>
      </c>
      <c r="N131" s="31">
        <f>VLOOKUP(F131,'卖场库存0422-0512'!M:S,6,0)</f>
        <v/>
      </c>
      <c r="O131" s="31" t="inlineStr">
        <is>
          <t>Sleeve out</t>
        </is>
      </c>
      <c r="P131" s="30">
        <f>VLOOKUP(F131,'卖场库存0422-0512'!M:S,7,0)</f>
        <v/>
      </c>
      <c r="Q131" s="31">
        <f>VLOOKUP(H131,color!E:G,3,0)</f>
        <v/>
      </c>
    </row>
    <row r="132">
      <c r="A132" s="31" t="n">
        <v>130</v>
      </c>
      <c r="B132" s="22" t="inlineStr">
        <is>
          <t>F008</t>
        </is>
      </c>
      <c r="C132" s="31" t="inlineStr">
        <is>
          <t>FACE 008</t>
        </is>
      </c>
      <c r="D132" s="31">
        <f>LEFT(C132,4)</f>
        <v/>
      </c>
      <c r="E132" s="29" t="inlineStr">
        <is>
          <t>여성존</t>
        </is>
      </c>
      <c r="F132" s="31" t="inlineStr">
        <is>
          <t>EEOWG24E0236165</t>
        </is>
      </c>
      <c r="G132" s="31">
        <f>LEFT(F132,10)</f>
        <v/>
      </c>
      <c r="H132" s="31">
        <f>MID(G132,3,2)</f>
        <v/>
      </c>
      <c r="I132" s="31">
        <f>VLOOKUP(H132,color!E:G,2,0)</f>
        <v/>
      </c>
      <c r="J132" s="31" t="n">
        <v>36</v>
      </c>
      <c r="K132" s="31">
        <f>VLOOKUP(J132,color!A:C,2,0)</f>
        <v/>
      </c>
      <c r="L132" s="31" t="n">
        <v>1</v>
      </c>
      <c r="M132" s="31">
        <f>VLOOKUP(F132,'卖场库存0422-0512'!M:R,5,0)</f>
        <v/>
      </c>
      <c r="N132" s="31">
        <f>VLOOKUP(F132,'卖场库存0422-0512'!M:S,6,0)</f>
        <v/>
      </c>
      <c r="O132" s="31" t="inlineStr">
        <is>
          <t>Sleeve out</t>
        </is>
      </c>
      <c r="P132" s="30">
        <f>VLOOKUP(F132,'卖场库存0422-0512'!M:S,7,0)</f>
        <v/>
      </c>
      <c r="Q132" s="31">
        <f>VLOOKUP(H132,color!E:G,3,0)</f>
        <v/>
      </c>
    </row>
    <row r="133">
      <c r="A133" s="31" t="n">
        <v>131</v>
      </c>
      <c r="B133" s="22" t="inlineStr">
        <is>
          <t>F008</t>
        </is>
      </c>
      <c r="C133" s="31" t="inlineStr">
        <is>
          <t>FACE 008</t>
        </is>
      </c>
      <c r="D133" s="31">
        <f>LEFT(C133,4)</f>
        <v/>
      </c>
      <c r="E133" s="29" t="inlineStr">
        <is>
          <t>여성존</t>
        </is>
      </c>
      <c r="F133" s="31" t="inlineStr">
        <is>
          <t>EEBWG23B0136165</t>
        </is>
      </c>
      <c r="G133" s="31">
        <f>LEFT(F133,10)</f>
        <v/>
      </c>
      <c r="H133" s="31">
        <f>MID(G133,3,2)</f>
        <v/>
      </c>
      <c r="I133" s="31">
        <f>VLOOKUP(H133,color!E:G,2,0)</f>
        <v/>
      </c>
      <c r="J133" s="31" t="n">
        <v>36</v>
      </c>
      <c r="K133" s="31">
        <f>VLOOKUP(J133,color!A:C,2,0)</f>
        <v/>
      </c>
      <c r="L133" s="31" t="n">
        <v>1</v>
      </c>
      <c r="M133" s="31">
        <f>VLOOKUP(F133,'卖场库存0422-0512'!M:R,5,0)</f>
        <v/>
      </c>
      <c r="N133" s="31">
        <f>VLOOKUP(F133,'卖场库存0422-0512'!M:S,6,0)</f>
        <v/>
      </c>
      <c r="O133" s="31" t="inlineStr">
        <is>
          <t>Sleeve out</t>
        </is>
      </c>
      <c r="P133" s="30">
        <f>VLOOKUP(F133,'卖场库存0422-0512'!M:S,7,0)</f>
        <v/>
      </c>
      <c r="Q133" s="31">
        <f>VLOOKUP(H133,color!E:G,3,0)</f>
        <v/>
      </c>
    </row>
    <row r="134">
      <c r="A134" s="31" t="n">
        <v>132</v>
      </c>
      <c r="B134" s="22" t="inlineStr">
        <is>
          <t>F008</t>
        </is>
      </c>
      <c r="C134" s="31" t="inlineStr">
        <is>
          <t>FACE 008</t>
        </is>
      </c>
      <c r="D134" s="31">
        <f>LEFT(C134,4)</f>
        <v/>
      </c>
      <c r="E134" s="29" t="inlineStr">
        <is>
          <t>여성존</t>
        </is>
      </c>
      <c r="F134" s="31" t="inlineStr">
        <is>
          <t>EEWHG25E0137170</t>
        </is>
      </c>
      <c r="G134" s="31">
        <f>LEFT(F134,10)</f>
        <v/>
      </c>
      <c r="H134" s="31">
        <f>MID(G134,3,2)</f>
        <v/>
      </c>
      <c r="I134" s="31">
        <f>VLOOKUP(H134,color!E:G,2,0)</f>
        <v/>
      </c>
      <c r="J134" s="31" t="n">
        <v>37</v>
      </c>
      <c r="K134" s="31">
        <f>VLOOKUP(J134,color!A:C,2,0)</f>
        <v/>
      </c>
      <c r="L134" s="31" t="n">
        <v>1</v>
      </c>
      <c r="M134" s="31">
        <f>VLOOKUP(F134,'卖场库存0422-0512'!M:R,5,0)</f>
        <v/>
      </c>
      <c r="N134" s="31">
        <f>VLOOKUP(F134,'卖场库存0422-0512'!M:S,6,0)</f>
        <v/>
      </c>
      <c r="O134" s="31" t="inlineStr">
        <is>
          <t>Sleeve out</t>
        </is>
      </c>
      <c r="P134" s="30">
        <f>VLOOKUP(F134,'卖场库存0422-0512'!M:S,7,0)</f>
        <v/>
      </c>
      <c r="Q134" s="31">
        <f>VLOOKUP(H134,color!E:G,3,0)</f>
        <v/>
      </c>
    </row>
    <row r="135">
      <c r="A135" s="31" t="n">
        <v>133</v>
      </c>
      <c r="B135" s="22" t="inlineStr">
        <is>
          <t>F008</t>
        </is>
      </c>
      <c r="C135" s="31" t="inlineStr">
        <is>
          <t>FACE 008</t>
        </is>
      </c>
      <c r="D135" s="31">
        <f>LEFT(C135,4)</f>
        <v/>
      </c>
      <c r="E135" s="29" t="inlineStr">
        <is>
          <t>여성존</t>
        </is>
      </c>
      <c r="F135" s="31" t="inlineStr">
        <is>
          <t>EEWHG25E0137165</t>
        </is>
      </c>
      <c r="G135" s="31">
        <f>LEFT(F135,10)</f>
        <v/>
      </c>
      <c r="H135" s="31">
        <f>MID(G135,3,2)</f>
        <v/>
      </c>
      <c r="I135" s="31">
        <f>VLOOKUP(H135,color!E:G,2,0)</f>
        <v/>
      </c>
      <c r="J135" s="31" t="n">
        <v>37</v>
      </c>
      <c r="K135" s="31">
        <f>VLOOKUP(J135,color!A:C,2,0)</f>
        <v/>
      </c>
      <c r="L135" s="31" t="n">
        <v>1</v>
      </c>
      <c r="M135" s="31">
        <f>VLOOKUP(F135,'卖场库存0422-0512'!M:R,5,0)</f>
        <v/>
      </c>
      <c r="N135" s="31">
        <f>VLOOKUP(F135,'卖场库存0422-0512'!M:S,6,0)</f>
        <v/>
      </c>
      <c r="O135" s="31" t="inlineStr">
        <is>
          <t>Sleeve out</t>
        </is>
      </c>
      <c r="P135" s="30">
        <f>VLOOKUP(F135,'卖场库存0422-0512'!M:S,7,0)</f>
        <v/>
      </c>
      <c r="Q135" s="31">
        <f>VLOOKUP(H135,color!E:G,3,0)</f>
        <v/>
      </c>
    </row>
    <row r="136">
      <c r="A136" s="31" t="n">
        <v>134</v>
      </c>
      <c r="B136" s="22" t="inlineStr">
        <is>
          <t>F008</t>
        </is>
      </c>
      <c r="C136" s="31" t="inlineStr">
        <is>
          <t>FACE 008</t>
        </is>
      </c>
      <c r="D136" s="31">
        <f>LEFT(C136,4)</f>
        <v/>
      </c>
      <c r="E136" s="29" t="inlineStr">
        <is>
          <t>여성존</t>
        </is>
      </c>
      <c r="F136" s="31" t="inlineStr">
        <is>
          <t>EEOWG25Q9285165</t>
        </is>
      </c>
      <c r="G136" s="31">
        <f>LEFT(F136,10)</f>
        <v/>
      </c>
      <c r="H136" s="31">
        <f>MID(G136,3,2)</f>
        <v/>
      </c>
      <c r="I136" s="31">
        <f>VLOOKUP(H136,color!E:G,2,0)</f>
        <v/>
      </c>
      <c r="J136" s="31" t="n">
        <v>85</v>
      </c>
      <c r="K136" s="31">
        <f>VLOOKUP(J136,color!A:C,2,0)</f>
        <v/>
      </c>
      <c r="L136" s="31" t="n">
        <v>1</v>
      </c>
      <c r="M136" s="31">
        <f>VLOOKUP(F136,'卖场库存0422-0512'!M:R,5,0)</f>
        <v/>
      </c>
      <c r="N136" s="31">
        <f>VLOOKUP(F136,'卖场库存0422-0512'!M:S,6,0)</f>
        <v/>
      </c>
      <c r="O136" s="31" t="inlineStr">
        <is>
          <t>Sleeve out</t>
        </is>
      </c>
      <c r="P136" s="30">
        <f>VLOOKUP(F136,'卖场库存0422-0512'!M:S,7,0)</f>
        <v/>
      </c>
      <c r="Q136" s="31">
        <f>VLOOKUP(H136,color!E:G,3,0)</f>
        <v/>
      </c>
    </row>
    <row r="137">
      <c r="A137" s="31" t="n">
        <v>135</v>
      </c>
      <c r="B137" s="22" t="inlineStr">
        <is>
          <t>F008</t>
        </is>
      </c>
      <c r="C137" s="31" t="inlineStr">
        <is>
          <t>FACE 008</t>
        </is>
      </c>
      <c r="D137" s="31">
        <f>LEFT(C137,4)</f>
        <v/>
      </c>
      <c r="E137" s="29" t="inlineStr">
        <is>
          <t>여성존</t>
        </is>
      </c>
      <c r="F137" s="31" t="inlineStr">
        <is>
          <t>EEOWG25Q9285165</t>
        </is>
      </c>
      <c r="G137" s="31">
        <f>LEFT(F137,10)</f>
        <v/>
      </c>
      <c r="H137" s="31">
        <f>MID(G137,3,2)</f>
        <v/>
      </c>
      <c r="I137" s="31">
        <f>VLOOKUP(H137,color!E:G,2,0)</f>
        <v/>
      </c>
      <c r="J137" s="31" t="n">
        <v>85</v>
      </c>
      <c r="K137" s="31">
        <f>VLOOKUP(J137,color!A:C,2,0)</f>
        <v/>
      </c>
      <c r="L137" s="31" t="n">
        <v>1</v>
      </c>
      <c r="M137" s="31">
        <f>VLOOKUP(F137,'卖场库存0422-0512'!M:R,5,0)</f>
        <v/>
      </c>
      <c r="N137" s="31">
        <f>VLOOKUP(F137,'卖场库存0422-0512'!M:S,6,0)</f>
        <v/>
      </c>
      <c r="O137" s="31" t="inlineStr">
        <is>
          <t>Sleeve out</t>
        </is>
      </c>
      <c r="P137" s="30">
        <f>VLOOKUP(F137,'卖场库存0422-0512'!M:S,7,0)</f>
        <v/>
      </c>
      <c r="Q137" s="31">
        <f>VLOOKUP(H137,color!E:G,3,0)</f>
        <v/>
      </c>
    </row>
    <row r="138">
      <c r="A138" s="31" t="n">
        <v>136</v>
      </c>
      <c r="B138" s="22" t="inlineStr">
        <is>
          <t>F008</t>
        </is>
      </c>
      <c r="C138" s="31" t="inlineStr">
        <is>
          <t>FACE 008</t>
        </is>
      </c>
      <c r="D138" s="31">
        <f>LEFT(C138,4)</f>
        <v/>
      </c>
      <c r="E138" s="29" t="inlineStr">
        <is>
          <t>여성존</t>
        </is>
      </c>
      <c r="F138" s="31" t="inlineStr">
        <is>
          <t>EEYWG25E0236160</t>
        </is>
      </c>
      <c r="G138" s="31">
        <f>LEFT(F138,10)</f>
        <v/>
      </c>
      <c r="H138" s="31">
        <f>MID(G138,3,2)</f>
        <v/>
      </c>
      <c r="I138" s="31">
        <f>VLOOKUP(H138,color!E:G,2,0)</f>
        <v/>
      </c>
      <c r="J138" s="31" t="n">
        <v>36</v>
      </c>
      <c r="K138" s="31">
        <f>VLOOKUP(J138,color!A:C,2,0)</f>
        <v/>
      </c>
      <c r="L138" s="31" t="n">
        <v>1</v>
      </c>
      <c r="M138" s="31">
        <f>VLOOKUP(F138,'卖场库存0422-0512'!M:R,5,0)</f>
        <v/>
      </c>
      <c r="N138" s="31">
        <f>VLOOKUP(F138,'卖场库存0422-0512'!M:S,6,0)</f>
        <v/>
      </c>
      <c r="O138" s="31" t="inlineStr">
        <is>
          <t>Sleeve out</t>
        </is>
      </c>
      <c r="P138" s="30">
        <f>VLOOKUP(F138,'卖场库存0422-0512'!M:S,7,0)</f>
        <v/>
      </c>
      <c r="Q138" s="31">
        <f>VLOOKUP(H138,color!E:G,3,0)</f>
        <v/>
      </c>
    </row>
    <row r="139">
      <c r="A139" s="31" t="n">
        <v>137</v>
      </c>
      <c r="B139" s="22" t="inlineStr">
        <is>
          <t>F008</t>
        </is>
      </c>
      <c r="C139" s="31" t="inlineStr">
        <is>
          <t>FACE 008</t>
        </is>
      </c>
      <c r="D139" s="31">
        <f>LEFT(C139,4)</f>
        <v/>
      </c>
      <c r="E139" s="29" t="inlineStr">
        <is>
          <t>여성존</t>
        </is>
      </c>
      <c r="F139" s="31" t="inlineStr">
        <is>
          <t>EEYWG25E0236165</t>
        </is>
      </c>
      <c r="G139" s="31">
        <f>LEFT(F139,10)</f>
        <v/>
      </c>
      <c r="H139" s="31">
        <f>MID(G139,3,2)</f>
        <v/>
      </c>
      <c r="I139" s="31">
        <f>VLOOKUP(H139,color!E:G,2,0)</f>
        <v/>
      </c>
      <c r="J139" s="31" t="n">
        <v>36</v>
      </c>
      <c r="K139" s="31">
        <f>VLOOKUP(J139,color!A:C,2,0)</f>
        <v/>
      </c>
      <c r="L139" s="31" t="n">
        <v>1</v>
      </c>
      <c r="M139" s="31">
        <f>VLOOKUP(F139,'卖场库存0422-0512'!M:R,5,0)</f>
        <v/>
      </c>
      <c r="N139" s="31">
        <f>VLOOKUP(F139,'卖场库存0422-0512'!M:S,6,0)</f>
        <v/>
      </c>
      <c r="O139" s="31" t="inlineStr">
        <is>
          <t>Sleeve out</t>
        </is>
      </c>
      <c r="P139" s="30">
        <f>VLOOKUP(F139,'卖场库存0422-0512'!M:S,7,0)</f>
        <v/>
      </c>
      <c r="Q139" s="31">
        <f>VLOOKUP(H139,color!E:G,3,0)</f>
        <v/>
      </c>
    </row>
    <row r="140">
      <c r="A140" s="31" t="n">
        <v>138</v>
      </c>
      <c r="B140" s="22" t="inlineStr">
        <is>
          <t>F008</t>
        </is>
      </c>
      <c r="C140" s="31" t="inlineStr">
        <is>
          <t>FACE 008</t>
        </is>
      </c>
      <c r="D140" s="31">
        <f>LEFT(C140,4)</f>
        <v/>
      </c>
      <c r="E140" s="29" t="inlineStr">
        <is>
          <t>여성존</t>
        </is>
      </c>
      <c r="F140" s="31" t="inlineStr">
        <is>
          <t>EEOWG24B0237160</t>
        </is>
      </c>
      <c r="G140" s="31">
        <f>LEFT(F140,10)</f>
        <v/>
      </c>
      <c r="H140" s="31">
        <f>MID(G140,3,2)</f>
        <v/>
      </c>
      <c r="I140" s="31">
        <f>VLOOKUP(H140,color!E:G,2,0)</f>
        <v/>
      </c>
      <c r="J140" s="31" t="n">
        <v>37</v>
      </c>
      <c r="K140" s="31">
        <f>VLOOKUP(J140,color!A:C,2,0)</f>
        <v/>
      </c>
      <c r="L140" s="31" t="n">
        <v>1</v>
      </c>
      <c r="M140" s="31">
        <f>VLOOKUP(F140,'卖场库存0422-0512'!M:R,5,0)</f>
        <v/>
      </c>
      <c r="N140" s="31">
        <f>VLOOKUP(F140,'卖场库存0422-0512'!M:S,6,0)</f>
        <v/>
      </c>
      <c r="O140" s="31" t="inlineStr">
        <is>
          <t>Sleeve out</t>
        </is>
      </c>
      <c r="P140" s="30">
        <f>VLOOKUP(F140,'卖场库存0422-0512'!M:S,7,0)</f>
        <v/>
      </c>
      <c r="Q140" s="31">
        <f>VLOOKUP(H140,color!E:G,3,0)</f>
        <v/>
      </c>
    </row>
    <row r="141">
      <c r="A141" s="31" t="n">
        <v>139</v>
      </c>
      <c r="B141" s="22" t="inlineStr">
        <is>
          <t>F008</t>
        </is>
      </c>
      <c r="C141" s="31" t="inlineStr">
        <is>
          <t>FACE 008</t>
        </is>
      </c>
      <c r="D141" s="31">
        <f>LEFT(C141,4)</f>
        <v/>
      </c>
      <c r="E141" s="29" t="inlineStr">
        <is>
          <t>여성존</t>
        </is>
      </c>
      <c r="F141" s="31" t="inlineStr">
        <is>
          <t>EEOWG24B0237165</t>
        </is>
      </c>
      <c r="G141" s="31">
        <f>LEFT(F141,10)</f>
        <v/>
      </c>
      <c r="H141" s="31">
        <f>MID(G141,3,2)</f>
        <v/>
      </c>
      <c r="I141" s="31">
        <f>VLOOKUP(H141,color!E:G,2,0)</f>
        <v/>
      </c>
      <c r="J141" s="31" t="n">
        <v>37</v>
      </c>
      <c r="K141" s="31">
        <f>VLOOKUP(J141,color!A:C,2,0)</f>
        <v/>
      </c>
      <c r="L141" s="31" t="n">
        <v>1</v>
      </c>
      <c r="M141" s="31">
        <f>VLOOKUP(F141,'卖场库存0422-0512'!M:R,5,0)</f>
        <v/>
      </c>
      <c r="N141" s="31">
        <f>VLOOKUP(F141,'卖场库存0422-0512'!M:S,6,0)</f>
        <v/>
      </c>
      <c r="O141" s="31" t="inlineStr">
        <is>
          <t>Sleeve out</t>
        </is>
      </c>
      <c r="P141" s="30">
        <f>VLOOKUP(F141,'卖场库存0422-0512'!M:S,7,0)</f>
        <v/>
      </c>
      <c r="Q141" s="31">
        <f>VLOOKUP(H141,color!E:G,3,0)</f>
        <v/>
      </c>
    </row>
    <row r="142">
      <c r="A142" s="31" t="n">
        <v>140</v>
      </c>
      <c r="B142" s="22" t="inlineStr">
        <is>
          <t>F009</t>
        </is>
      </c>
      <c r="C142" s="31" t="inlineStr">
        <is>
          <t>FACE 009</t>
        </is>
      </c>
      <c r="D142" s="31">
        <f>LEFT(C142,4)</f>
        <v/>
      </c>
      <c r="E142" s="29" t="inlineStr">
        <is>
          <t>여성존</t>
        </is>
      </c>
      <c r="F142" s="31" t="inlineStr">
        <is>
          <t>EEASG24Q1S39FRE</t>
        </is>
      </c>
      <c r="G142" s="31">
        <f>LEFT(F142,10)</f>
        <v/>
      </c>
      <c r="H142" s="31">
        <f>MID(G142,3,2)</f>
        <v/>
      </c>
      <c r="I142" s="31">
        <f>VLOOKUP(H142,color!E:G,2,0)</f>
        <v/>
      </c>
      <c r="J142" s="31" t="n">
        <v>39</v>
      </c>
      <c r="K142" s="31">
        <f>VLOOKUP(J142,color!A:C,2,0)</f>
        <v/>
      </c>
      <c r="L142" s="31" t="n">
        <v>1</v>
      </c>
      <c r="M142" s="31">
        <f>VLOOKUP(F142,'卖场库存0422-0512'!M:R,5,0)</f>
        <v/>
      </c>
      <c r="N142" s="31">
        <f>VLOOKUP(F142,'卖场库存0422-0512'!M:S,6,0)</f>
        <v/>
      </c>
      <c r="O142" s="31" t="inlineStr">
        <is>
          <t>Face out</t>
        </is>
      </c>
      <c r="P142" s="30">
        <f>VLOOKUP(F142,'卖场库存0422-0512'!M:S,7,0)</f>
        <v/>
      </c>
      <c r="Q142" s="31">
        <f>VLOOKUP(H142,color!E:G,3,0)</f>
        <v/>
      </c>
    </row>
    <row r="143">
      <c r="A143" s="31" t="n">
        <v>141</v>
      </c>
      <c r="B143" s="22" t="inlineStr">
        <is>
          <t>F009</t>
        </is>
      </c>
      <c r="C143" s="31" t="inlineStr">
        <is>
          <t>FACE 009</t>
        </is>
      </c>
      <c r="D143" s="31">
        <f>LEFT(C143,4)</f>
        <v/>
      </c>
      <c r="E143" s="29" t="inlineStr">
        <is>
          <t>여성존</t>
        </is>
      </c>
      <c r="F143" s="31" t="inlineStr">
        <is>
          <t>EEOWG26B0199165</t>
        </is>
      </c>
      <c r="G143" s="31">
        <f>LEFT(F143,10)</f>
        <v/>
      </c>
      <c r="H143" s="31">
        <f>MID(G143,3,2)</f>
        <v/>
      </c>
      <c r="I143" s="31">
        <f>VLOOKUP(H143,color!E:G,2,0)</f>
        <v/>
      </c>
      <c r="J143" s="31" t="n">
        <v>99</v>
      </c>
      <c r="K143" s="31">
        <f>VLOOKUP(J143,color!A:C,2,0)</f>
        <v/>
      </c>
      <c r="L143" s="31" t="n">
        <v>1</v>
      </c>
      <c r="M143" s="31">
        <f>VLOOKUP(F143,'卖场库存0422-0512'!M:R,5,0)</f>
        <v/>
      </c>
      <c r="N143" s="31">
        <f>VLOOKUP(F143,'卖场库存0422-0512'!M:S,6,0)</f>
        <v/>
      </c>
      <c r="O143" s="31" t="inlineStr">
        <is>
          <t>Face out</t>
        </is>
      </c>
      <c r="P143" s="30">
        <f>VLOOKUP(F143,'卖场库存0422-0512'!M:S,7,0)</f>
        <v/>
      </c>
      <c r="Q143" s="31">
        <f>VLOOKUP(H143,color!E:G,3,0)</f>
        <v/>
      </c>
    </row>
    <row r="144">
      <c r="A144" s="31" t="n">
        <v>142</v>
      </c>
      <c r="B144" s="22" t="inlineStr">
        <is>
          <t>F009</t>
        </is>
      </c>
      <c r="C144" s="31" t="inlineStr">
        <is>
          <t>FACE 009</t>
        </is>
      </c>
      <c r="D144" s="31">
        <f>LEFT(C144,4)</f>
        <v/>
      </c>
      <c r="E144" s="29" t="inlineStr">
        <is>
          <t>여성존</t>
        </is>
      </c>
      <c r="F144" s="31" t="inlineStr">
        <is>
          <t>EEOWG26B0199160</t>
        </is>
      </c>
      <c r="G144" s="31">
        <f>LEFT(F144,10)</f>
        <v/>
      </c>
      <c r="H144" s="31">
        <f>MID(G144,3,2)</f>
        <v/>
      </c>
      <c r="I144" s="31">
        <f>VLOOKUP(H144,color!E:G,2,0)</f>
        <v/>
      </c>
      <c r="J144" s="31" t="n">
        <v>99</v>
      </c>
      <c r="K144" s="31">
        <f>VLOOKUP(J144,color!A:C,2,0)</f>
        <v/>
      </c>
      <c r="L144" s="31" t="n">
        <v>1</v>
      </c>
      <c r="M144" s="31">
        <f>VLOOKUP(F144,'卖场库存0422-0512'!M:R,5,0)</f>
        <v/>
      </c>
      <c r="N144" s="31">
        <f>VLOOKUP(F144,'卖场库存0422-0512'!M:S,6,0)</f>
        <v/>
      </c>
      <c r="O144" s="31" t="inlineStr">
        <is>
          <t>Face out</t>
        </is>
      </c>
      <c r="P144" s="30">
        <f>VLOOKUP(F144,'卖场库存0422-0512'!M:S,7,0)</f>
        <v/>
      </c>
      <c r="Q144" s="31">
        <f>VLOOKUP(H144,color!E:G,3,0)</f>
        <v/>
      </c>
    </row>
    <row r="145">
      <c r="A145" s="31" t="n">
        <v>143</v>
      </c>
      <c r="B145" s="22" t="inlineStr">
        <is>
          <t>F009</t>
        </is>
      </c>
      <c r="C145" s="31" t="inlineStr">
        <is>
          <t>FACE 009</t>
        </is>
      </c>
      <c r="D145" s="31">
        <f>LEFT(C145,4)</f>
        <v/>
      </c>
      <c r="E145" s="29" t="inlineStr">
        <is>
          <t>여성존</t>
        </is>
      </c>
      <c r="F145" s="31" t="inlineStr">
        <is>
          <t>EEOWG26B0351160</t>
        </is>
      </c>
      <c r="G145" s="31">
        <f>LEFT(F145,10)</f>
        <v/>
      </c>
      <c r="H145" s="31">
        <f>MID(G145,3,2)</f>
        <v/>
      </c>
      <c r="I145" s="31">
        <f>VLOOKUP(H145,color!E:G,2,0)</f>
        <v/>
      </c>
      <c r="J145" s="31" t="n">
        <v>51</v>
      </c>
      <c r="K145" s="31">
        <f>VLOOKUP(J145,color!A:C,2,0)</f>
        <v/>
      </c>
      <c r="L145" s="31" t="n">
        <v>1</v>
      </c>
      <c r="M145" s="31">
        <f>VLOOKUP(F145,'卖场库存0422-0512'!M:R,5,0)</f>
        <v/>
      </c>
      <c r="N145" s="31">
        <f>VLOOKUP(F145,'卖场库存0422-0512'!M:S,6,0)</f>
        <v/>
      </c>
      <c r="O145" s="31" t="inlineStr">
        <is>
          <t>Face out</t>
        </is>
      </c>
      <c r="P145" s="30">
        <f>VLOOKUP(F145,'卖场库存0422-0512'!M:S,7,0)</f>
        <v/>
      </c>
      <c r="Q145" s="31">
        <f>VLOOKUP(H145,color!E:G,3,0)</f>
        <v/>
      </c>
    </row>
    <row r="146">
      <c r="A146" s="31" t="n">
        <v>144</v>
      </c>
      <c r="B146" s="22" t="inlineStr">
        <is>
          <t>F009</t>
        </is>
      </c>
      <c r="C146" s="31" t="inlineStr">
        <is>
          <t>FACE 009</t>
        </is>
      </c>
      <c r="D146" s="31">
        <f>LEFT(C146,4)</f>
        <v/>
      </c>
      <c r="E146" s="29" t="inlineStr">
        <is>
          <t>여성존</t>
        </is>
      </c>
      <c r="F146" s="31" t="inlineStr">
        <is>
          <t>EEOWG26B0351165</t>
        </is>
      </c>
      <c r="G146" s="31">
        <f>LEFT(F146,10)</f>
        <v/>
      </c>
      <c r="H146" s="31">
        <f>MID(G146,3,2)</f>
        <v/>
      </c>
      <c r="I146" s="31">
        <f>VLOOKUP(H146,color!E:G,2,0)</f>
        <v/>
      </c>
      <c r="J146" s="31" t="n">
        <v>51</v>
      </c>
      <c r="K146" s="31">
        <f>VLOOKUP(J146,color!A:C,2,0)</f>
        <v/>
      </c>
      <c r="L146" s="31" t="n">
        <v>1</v>
      </c>
      <c r="M146" s="31">
        <f>VLOOKUP(F146,'卖场库存0422-0512'!M:R,5,0)</f>
        <v/>
      </c>
      <c r="N146" s="31">
        <f>VLOOKUP(F146,'卖场库存0422-0512'!M:S,6,0)</f>
        <v/>
      </c>
      <c r="O146" s="31" t="inlineStr">
        <is>
          <t>Face out</t>
        </is>
      </c>
      <c r="P146" s="30">
        <f>VLOOKUP(F146,'卖场库存0422-0512'!M:S,7,0)</f>
        <v/>
      </c>
      <c r="Q146" s="31">
        <f>VLOOKUP(H146,color!E:G,3,0)</f>
        <v/>
      </c>
    </row>
    <row r="147">
      <c r="A147" s="31" t="n">
        <v>145</v>
      </c>
      <c r="B147" s="22" t="inlineStr">
        <is>
          <t>F009</t>
        </is>
      </c>
      <c r="C147" s="31" t="inlineStr">
        <is>
          <t>FACE 009</t>
        </is>
      </c>
      <c r="D147" s="31">
        <f>LEFT(C147,4)</f>
        <v/>
      </c>
      <c r="E147" s="29" t="inlineStr">
        <is>
          <t>여성존</t>
        </is>
      </c>
      <c r="F147" s="31" t="inlineStr">
        <is>
          <t>EEVKG25B0439160</t>
        </is>
      </c>
      <c r="G147" s="31">
        <f>LEFT(F147,10)</f>
        <v/>
      </c>
      <c r="H147" s="31">
        <f>MID(G147,3,2)</f>
        <v/>
      </c>
      <c r="I147" s="31">
        <f>VLOOKUP(H147,color!E:G,2,0)</f>
        <v/>
      </c>
      <c r="J147" s="31" t="n">
        <v>39</v>
      </c>
      <c r="K147" s="31">
        <f>VLOOKUP(J147,color!A:C,2,0)</f>
        <v/>
      </c>
      <c r="L147" s="31" t="n">
        <v>1</v>
      </c>
      <c r="M147" s="31">
        <f>VLOOKUP(F147,'卖场库存0422-0512'!M:R,5,0)</f>
        <v/>
      </c>
      <c r="N147" s="31">
        <f>VLOOKUP(F147,'卖场库存0422-0512'!M:S,6,0)</f>
        <v/>
      </c>
      <c r="O147" s="31" t="inlineStr">
        <is>
          <t>Face out</t>
        </is>
      </c>
      <c r="P147" s="30">
        <f>VLOOKUP(F147,'卖场库存0422-0512'!M:S,7,0)</f>
        <v/>
      </c>
      <c r="Q147" s="31">
        <f>VLOOKUP(H147,color!E:G,3,0)</f>
        <v/>
      </c>
    </row>
    <row r="148">
      <c r="A148" s="31" t="n">
        <v>146</v>
      </c>
      <c r="B148" s="22" t="inlineStr">
        <is>
          <t>F009</t>
        </is>
      </c>
      <c r="C148" s="31" t="inlineStr">
        <is>
          <t>FACE 009</t>
        </is>
      </c>
      <c r="D148" s="31">
        <f>LEFT(C148,4)</f>
        <v/>
      </c>
      <c r="E148" s="29" t="inlineStr">
        <is>
          <t>여성존</t>
        </is>
      </c>
      <c r="F148" s="31" t="inlineStr">
        <is>
          <t>EEKWG25E0151160</t>
        </is>
      </c>
      <c r="G148" s="31">
        <f>LEFT(F148,10)</f>
        <v/>
      </c>
      <c r="H148" s="31">
        <f>MID(G148,3,2)</f>
        <v/>
      </c>
      <c r="I148" s="31">
        <f>VLOOKUP(H148,color!E:G,2,0)</f>
        <v/>
      </c>
      <c r="J148" s="31" t="n">
        <v>51</v>
      </c>
      <c r="K148" s="31">
        <f>VLOOKUP(J148,color!A:C,2,0)</f>
        <v/>
      </c>
      <c r="L148" s="31" t="n">
        <v>1</v>
      </c>
      <c r="M148" s="31">
        <f>VLOOKUP(F148,'卖场库存0422-0512'!M:R,5,0)</f>
        <v/>
      </c>
      <c r="N148" s="31">
        <f>VLOOKUP(F148,'卖场库存0422-0512'!M:S,6,0)</f>
        <v/>
      </c>
      <c r="O148" s="31" t="inlineStr">
        <is>
          <t>Sleeve out</t>
        </is>
      </c>
      <c r="P148" s="30">
        <f>VLOOKUP(F148,'卖场库存0422-0512'!M:S,7,0)</f>
        <v/>
      </c>
      <c r="Q148" s="31">
        <f>VLOOKUP(H148,color!E:G,3,0)</f>
        <v/>
      </c>
    </row>
    <row r="149">
      <c r="A149" s="31" t="n">
        <v>147</v>
      </c>
      <c r="B149" s="22" t="inlineStr">
        <is>
          <t>F009</t>
        </is>
      </c>
      <c r="C149" s="31" t="inlineStr">
        <is>
          <t>FACE 009</t>
        </is>
      </c>
      <c r="D149" s="31">
        <f>LEFT(C149,4)</f>
        <v/>
      </c>
      <c r="E149" s="29" t="inlineStr">
        <is>
          <t>여성존</t>
        </is>
      </c>
      <c r="F149" s="31" t="inlineStr">
        <is>
          <t>EEKWG25E0151165</t>
        </is>
      </c>
      <c r="G149" s="31">
        <f>LEFT(F149,10)</f>
        <v/>
      </c>
      <c r="H149" s="31">
        <f>MID(G149,3,2)</f>
        <v/>
      </c>
      <c r="I149" s="31">
        <f>VLOOKUP(H149,color!E:G,2,0)</f>
        <v/>
      </c>
      <c r="J149" s="31" t="n">
        <v>51</v>
      </c>
      <c r="K149" s="31">
        <f>VLOOKUP(J149,color!A:C,2,0)</f>
        <v/>
      </c>
      <c r="L149" s="31" t="n">
        <v>1</v>
      </c>
      <c r="M149" s="31">
        <f>VLOOKUP(F149,'卖场库存0422-0512'!M:R,5,0)</f>
        <v/>
      </c>
      <c r="N149" s="31">
        <f>VLOOKUP(F149,'卖场库存0422-0512'!M:S,6,0)</f>
        <v/>
      </c>
      <c r="O149" s="31" t="inlineStr">
        <is>
          <t>Sleeve out</t>
        </is>
      </c>
      <c r="P149" s="30">
        <f>VLOOKUP(F149,'卖场库存0422-0512'!M:S,7,0)</f>
        <v/>
      </c>
      <c r="Q149" s="31">
        <f>VLOOKUP(H149,color!E:G,3,0)</f>
        <v/>
      </c>
    </row>
    <row r="150">
      <c r="A150" s="31" t="n">
        <v>148</v>
      </c>
      <c r="B150" s="22" t="inlineStr">
        <is>
          <t>F009</t>
        </is>
      </c>
      <c r="C150" s="31" t="inlineStr">
        <is>
          <t>FACE 009</t>
        </is>
      </c>
      <c r="D150" s="31">
        <f>LEFT(C150,4)</f>
        <v/>
      </c>
      <c r="E150" s="29" t="inlineStr">
        <is>
          <t>여성존</t>
        </is>
      </c>
      <c r="F150" s="31" t="inlineStr">
        <is>
          <t>EEWJG23B0255155</t>
        </is>
      </c>
      <c r="G150" s="31">
        <f>LEFT(F150,10)</f>
        <v/>
      </c>
      <c r="H150" s="31">
        <f>MID(G150,3,2)</f>
        <v/>
      </c>
      <c r="I150" s="31">
        <f>VLOOKUP(H150,color!E:G,2,0)</f>
        <v/>
      </c>
      <c r="J150" s="31" t="n">
        <v>55</v>
      </c>
      <c r="K150" s="31">
        <f>VLOOKUP(J150,color!A:C,2,0)</f>
        <v/>
      </c>
      <c r="L150" s="31" t="n">
        <v>1</v>
      </c>
      <c r="M150" s="31">
        <f>VLOOKUP(F150,'卖场库存0422-0512'!M:R,5,0)</f>
        <v/>
      </c>
      <c r="N150" s="31">
        <f>VLOOKUP(F150,'卖场库存0422-0512'!M:S,6,0)</f>
        <v/>
      </c>
      <c r="O150" s="31" t="inlineStr">
        <is>
          <t>Sleeve out</t>
        </is>
      </c>
      <c r="P150" s="30">
        <f>VLOOKUP(F150,'卖场库存0422-0512'!M:S,7,0)</f>
        <v/>
      </c>
      <c r="Q150" s="31">
        <f>VLOOKUP(H150,color!E:G,3,0)</f>
        <v/>
      </c>
    </row>
    <row r="151">
      <c r="A151" s="31" t="n">
        <v>149</v>
      </c>
      <c r="B151" s="22" t="inlineStr">
        <is>
          <t>F009</t>
        </is>
      </c>
      <c r="C151" s="31" t="inlineStr">
        <is>
          <t>FACE 009</t>
        </is>
      </c>
      <c r="D151" s="31">
        <f>LEFT(C151,4)</f>
        <v/>
      </c>
      <c r="E151" s="29" t="inlineStr">
        <is>
          <t>여성존</t>
        </is>
      </c>
      <c r="F151" s="31" t="inlineStr">
        <is>
          <t>EEWJG23B0255165</t>
        </is>
      </c>
      <c r="G151" s="31">
        <f>LEFT(F151,10)</f>
        <v/>
      </c>
      <c r="H151" s="31">
        <f>MID(G151,3,2)</f>
        <v/>
      </c>
      <c r="I151" s="31">
        <f>VLOOKUP(H151,color!E:G,2,0)</f>
        <v/>
      </c>
      <c r="J151" s="31" t="n">
        <v>55</v>
      </c>
      <c r="K151" s="31">
        <f>VLOOKUP(J151,color!A:C,2,0)</f>
        <v/>
      </c>
      <c r="L151" s="31" t="n">
        <v>1</v>
      </c>
      <c r="M151" s="31">
        <f>VLOOKUP(F151,'卖场库存0422-0512'!M:R,5,0)</f>
        <v/>
      </c>
      <c r="N151" s="31">
        <f>VLOOKUP(F151,'卖场库存0422-0512'!M:S,6,0)</f>
        <v/>
      </c>
      <c r="O151" s="31" t="inlineStr">
        <is>
          <t>Sleeve out</t>
        </is>
      </c>
      <c r="P151" s="30">
        <f>VLOOKUP(F151,'卖场库存0422-0512'!M:S,7,0)</f>
        <v/>
      </c>
      <c r="Q151" s="31">
        <f>VLOOKUP(H151,color!E:G,3,0)</f>
        <v/>
      </c>
    </row>
    <row r="152">
      <c r="A152" s="31" t="n">
        <v>150</v>
      </c>
      <c r="B152" s="22" t="inlineStr">
        <is>
          <t>F009</t>
        </is>
      </c>
      <c r="C152" s="31" t="inlineStr">
        <is>
          <t>FACE 009</t>
        </is>
      </c>
      <c r="D152" s="31">
        <f>LEFT(C152,4)</f>
        <v/>
      </c>
      <c r="E152" s="29" t="inlineStr">
        <is>
          <t>여성존</t>
        </is>
      </c>
      <c r="F152" s="31" t="inlineStr">
        <is>
          <t>EECKG25D0339170</t>
        </is>
      </c>
      <c r="G152" s="31">
        <f>LEFT(F152,10)</f>
        <v/>
      </c>
      <c r="H152" s="31">
        <f>MID(G152,3,2)</f>
        <v/>
      </c>
      <c r="I152" s="31">
        <f>VLOOKUP(H152,color!E:G,2,0)</f>
        <v/>
      </c>
      <c r="J152" s="31" t="n">
        <v>39</v>
      </c>
      <c r="K152" s="31">
        <f>VLOOKUP(J152,color!A:C,2,0)</f>
        <v/>
      </c>
      <c r="L152" s="31" t="n">
        <v>1</v>
      </c>
      <c r="M152" s="31">
        <f>VLOOKUP(F152,'卖场库存0422-0512'!M:R,5,0)</f>
        <v/>
      </c>
      <c r="N152" s="31">
        <f>VLOOKUP(F152,'卖场库存0422-0512'!M:S,6,0)</f>
        <v/>
      </c>
      <c r="O152" s="31" t="inlineStr">
        <is>
          <t>Sleeve out</t>
        </is>
      </c>
      <c r="P152" s="30">
        <f>VLOOKUP(F152,'卖场库存0422-0512'!M:S,7,0)</f>
        <v/>
      </c>
      <c r="Q152" s="31">
        <f>VLOOKUP(H152,color!E:G,3,0)</f>
        <v/>
      </c>
    </row>
    <row r="153">
      <c r="A153" s="31" t="n">
        <v>151</v>
      </c>
      <c r="B153" s="22" t="inlineStr">
        <is>
          <t>F009</t>
        </is>
      </c>
      <c r="C153" s="31" t="inlineStr">
        <is>
          <t>FACE 009</t>
        </is>
      </c>
      <c r="D153" s="31">
        <f>LEFT(C153,4)</f>
        <v/>
      </c>
      <c r="E153" s="29" t="inlineStr">
        <is>
          <t>여성존</t>
        </is>
      </c>
      <c r="F153" s="31" t="inlineStr">
        <is>
          <t>EECKG25D0339170</t>
        </is>
      </c>
      <c r="G153" s="31">
        <f>LEFT(F153,10)</f>
        <v/>
      </c>
      <c r="H153" s="31">
        <f>MID(G153,3,2)</f>
        <v/>
      </c>
      <c r="I153" s="31">
        <f>VLOOKUP(H153,color!E:G,2,0)</f>
        <v/>
      </c>
      <c r="J153" s="31" t="n">
        <v>39</v>
      </c>
      <c r="K153" s="31">
        <f>VLOOKUP(J153,color!A:C,2,0)</f>
        <v/>
      </c>
      <c r="L153" s="31" t="n">
        <v>1</v>
      </c>
      <c r="M153" s="31">
        <f>VLOOKUP(F153,'卖场库存0422-0512'!M:R,5,0)</f>
        <v/>
      </c>
      <c r="N153" s="31">
        <f>VLOOKUP(F153,'卖场库存0422-0512'!M:S,6,0)</f>
        <v/>
      </c>
      <c r="O153" s="31" t="inlineStr">
        <is>
          <t>Sleeve out</t>
        </is>
      </c>
      <c r="P153" s="30">
        <f>VLOOKUP(F153,'卖场库存0422-0512'!M:S,7,0)</f>
        <v/>
      </c>
      <c r="Q153" s="31">
        <f>VLOOKUP(H153,color!E:G,3,0)</f>
        <v/>
      </c>
    </row>
    <row r="154">
      <c r="A154" s="31" t="n">
        <v>152</v>
      </c>
      <c r="B154" s="22" t="inlineStr">
        <is>
          <t>F009</t>
        </is>
      </c>
      <c r="C154" s="31" t="inlineStr">
        <is>
          <t>FACE 009</t>
        </is>
      </c>
      <c r="D154" s="31">
        <f>LEFT(C154,4)</f>
        <v/>
      </c>
      <c r="E154" s="29" t="inlineStr">
        <is>
          <t>여성존</t>
        </is>
      </c>
      <c r="F154" s="31" t="inlineStr">
        <is>
          <t>EEYCG26E0199165</t>
        </is>
      </c>
      <c r="G154" s="31">
        <f>LEFT(F154,10)</f>
        <v/>
      </c>
      <c r="H154" s="31">
        <f>MID(G154,3,2)</f>
        <v/>
      </c>
      <c r="I154" s="31">
        <f>VLOOKUP(H154,color!E:G,2,0)</f>
        <v/>
      </c>
      <c r="J154" s="31" t="n">
        <v>99</v>
      </c>
      <c r="K154" s="31">
        <f>VLOOKUP(J154,color!A:C,2,0)</f>
        <v/>
      </c>
      <c r="L154" s="31" t="n">
        <v>1</v>
      </c>
      <c r="M154" s="31">
        <f>VLOOKUP(F154,'卖场库存0422-0512'!M:R,5,0)</f>
        <v/>
      </c>
      <c r="N154" s="31">
        <f>VLOOKUP(F154,'卖场库存0422-0512'!M:S,6,0)</f>
        <v/>
      </c>
      <c r="O154" s="31" t="inlineStr">
        <is>
          <t>Sleeve out</t>
        </is>
      </c>
      <c r="P154" s="30">
        <f>VLOOKUP(F154,'卖场库存0422-0512'!M:S,7,0)</f>
        <v/>
      </c>
      <c r="Q154" s="31">
        <f>VLOOKUP(H154,color!E:G,3,0)</f>
        <v/>
      </c>
    </row>
    <row r="155">
      <c r="A155" s="31" t="n">
        <v>153</v>
      </c>
      <c r="B155" s="22" t="inlineStr">
        <is>
          <t>F009</t>
        </is>
      </c>
      <c r="C155" s="31" t="inlineStr">
        <is>
          <t>FACE 009</t>
        </is>
      </c>
      <c r="D155" s="31">
        <f>LEFT(C155,4)</f>
        <v/>
      </c>
      <c r="E155" s="29" t="inlineStr">
        <is>
          <t>여성존</t>
        </is>
      </c>
      <c r="F155" s="31" t="inlineStr">
        <is>
          <t>EEYCG26E0199165</t>
        </is>
      </c>
      <c r="G155" s="31">
        <f>LEFT(F155,10)</f>
        <v/>
      </c>
      <c r="H155" s="31">
        <f>MID(G155,3,2)</f>
        <v/>
      </c>
      <c r="I155" s="31">
        <f>VLOOKUP(H155,color!E:G,2,0)</f>
        <v/>
      </c>
      <c r="J155" s="31" t="n">
        <v>99</v>
      </c>
      <c r="K155" s="31">
        <f>VLOOKUP(J155,color!A:C,2,0)</f>
        <v/>
      </c>
      <c r="L155" s="31" t="n">
        <v>1</v>
      </c>
      <c r="M155" s="31">
        <f>VLOOKUP(F155,'卖场库存0422-0512'!M:R,5,0)</f>
        <v/>
      </c>
      <c r="N155" s="31">
        <f>VLOOKUP(F155,'卖场库存0422-0512'!M:S,6,0)</f>
        <v/>
      </c>
      <c r="O155" s="31" t="inlineStr">
        <is>
          <t>Sleeve out</t>
        </is>
      </c>
      <c r="P155" s="30">
        <f>VLOOKUP(F155,'卖场库存0422-0512'!M:S,7,0)</f>
        <v/>
      </c>
      <c r="Q155" s="31">
        <f>VLOOKUP(H155,color!E:G,3,0)</f>
        <v/>
      </c>
    </row>
    <row r="156">
      <c r="A156" s="31" t="n">
        <v>154</v>
      </c>
      <c r="B156" s="22" t="inlineStr">
        <is>
          <t>F009</t>
        </is>
      </c>
      <c r="C156" s="31" t="inlineStr">
        <is>
          <t>FACE 009</t>
        </is>
      </c>
      <c r="D156" s="31">
        <f>LEFT(C156,4)</f>
        <v/>
      </c>
      <c r="E156" s="29" t="inlineStr">
        <is>
          <t>여성존</t>
        </is>
      </c>
      <c r="F156" s="31" t="inlineStr">
        <is>
          <t>EETJG24B5856025</t>
        </is>
      </c>
      <c r="G156" s="31">
        <f>LEFT(F156,10)</f>
        <v/>
      </c>
      <c r="H156" s="31">
        <f>MID(G156,3,2)</f>
        <v/>
      </c>
      <c r="I156" s="31">
        <f>VLOOKUP(H156,color!E:G,2,0)</f>
        <v/>
      </c>
      <c r="J156" s="31" t="n">
        <v>56</v>
      </c>
      <c r="K156" s="31">
        <f>VLOOKUP(J156,color!A:C,2,0)</f>
        <v/>
      </c>
      <c r="L156" s="31" t="n">
        <v>1</v>
      </c>
      <c r="M156" s="31">
        <f>VLOOKUP(F156,'卖场库存0422-0512'!M:R,5,0)</f>
        <v/>
      </c>
      <c r="N156" s="31">
        <f>VLOOKUP(F156,'卖场库存0422-0512'!M:S,6,0)</f>
        <v/>
      </c>
      <c r="O156" s="31" t="inlineStr">
        <is>
          <t>Sleeve out</t>
        </is>
      </c>
      <c r="P156" s="30">
        <f>VLOOKUP(F156,'卖场库存0422-0512'!M:S,7,0)</f>
        <v/>
      </c>
      <c r="Q156" s="31">
        <f>VLOOKUP(H156,color!E:G,3,0)</f>
        <v/>
      </c>
    </row>
    <row r="157">
      <c r="A157" s="31" t="n">
        <v>155</v>
      </c>
      <c r="B157" s="22" t="inlineStr">
        <is>
          <t>F009</t>
        </is>
      </c>
      <c r="C157" s="31" t="inlineStr">
        <is>
          <t>FACE 009</t>
        </is>
      </c>
      <c r="D157" s="31">
        <f>LEFT(C157,4)</f>
        <v/>
      </c>
      <c r="E157" s="29" t="inlineStr">
        <is>
          <t>여성존</t>
        </is>
      </c>
      <c r="F157" s="31" t="inlineStr">
        <is>
          <t>EETJG24B5856028</t>
        </is>
      </c>
      <c r="G157" s="31">
        <f>LEFT(F157,10)</f>
        <v/>
      </c>
      <c r="H157" s="31">
        <f>MID(G157,3,2)</f>
        <v/>
      </c>
      <c r="I157" s="31">
        <f>VLOOKUP(H157,color!E:G,2,0)</f>
        <v/>
      </c>
      <c r="J157" s="31" t="n">
        <v>56</v>
      </c>
      <c r="K157" s="31">
        <f>VLOOKUP(J157,color!A:C,2,0)</f>
        <v/>
      </c>
      <c r="L157" s="31" t="n">
        <v>1</v>
      </c>
      <c r="M157" s="31">
        <f>VLOOKUP(F157,'卖场库存0422-0512'!M:R,5,0)</f>
        <v/>
      </c>
      <c r="N157" s="31">
        <f>VLOOKUP(F157,'卖场库存0422-0512'!M:S,6,0)</f>
        <v/>
      </c>
      <c r="O157" s="31" t="inlineStr">
        <is>
          <t>Sleeve out</t>
        </is>
      </c>
      <c r="P157" s="30">
        <f>VLOOKUP(F157,'卖场库存0422-0512'!M:S,7,0)</f>
        <v/>
      </c>
      <c r="Q157" s="31">
        <f>VLOOKUP(H157,color!E:G,3,0)</f>
        <v/>
      </c>
    </row>
    <row r="158">
      <c r="A158" s="31" t="n">
        <v>156</v>
      </c>
      <c r="B158" s="22" t="inlineStr">
        <is>
          <t>F009</t>
        </is>
      </c>
      <c r="C158" s="31" t="inlineStr">
        <is>
          <t>FACE 009</t>
        </is>
      </c>
      <c r="D158" s="31">
        <f>LEFT(C158,4)</f>
        <v/>
      </c>
      <c r="E158" s="29" t="inlineStr">
        <is>
          <t>여성존</t>
        </is>
      </c>
      <c r="F158" s="31" t="inlineStr">
        <is>
          <t>EECKG23B0351170</t>
        </is>
      </c>
      <c r="G158" s="31">
        <f>LEFT(F158,10)</f>
        <v/>
      </c>
      <c r="H158" s="31">
        <f>MID(G158,3,2)</f>
        <v/>
      </c>
      <c r="I158" s="31">
        <f>VLOOKUP(H158,color!E:G,2,0)</f>
        <v/>
      </c>
      <c r="J158" s="31" t="n">
        <v>51</v>
      </c>
      <c r="K158" s="31">
        <f>VLOOKUP(J158,color!A:C,2,0)</f>
        <v/>
      </c>
      <c r="L158" s="31" t="n">
        <v>1</v>
      </c>
      <c r="M158" s="31">
        <f>VLOOKUP(F158,'卖场库存0422-0512'!M:R,5,0)</f>
        <v/>
      </c>
      <c r="N158" s="31">
        <f>VLOOKUP(F158,'卖场库存0422-0512'!M:S,6,0)</f>
        <v/>
      </c>
      <c r="O158" s="31" t="inlineStr">
        <is>
          <t>Sleeve out</t>
        </is>
      </c>
      <c r="P158" s="30">
        <f>VLOOKUP(F158,'卖场库存0422-0512'!M:S,7,0)</f>
        <v/>
      </c>
      <c r="Q158" s="31">
        <f>VLOOKUP(H158,color!E:G,3,0)</f>
        <v/>
      </c>
    </row>
    <row r="159">
      <c r="A159" s="31" t="n">
        <v>157</v>
      </c>
      <c r="B159" s="22" t="inlineStr">
        <is>
          <t>F009</t>
        </is>
      </c>
      <c r="C159" s="31" t="inlineStr">
        <is>
          <t>FACE 009</t>
        </is>
      </c>
      <c r="D159" s="31">
        <f>LEFT(C159,4)</f>
        <v/>
      </c>
      <c r="E159" s="29" t="inlineStr">
        <is>
          <t>여성존</t>
        </is>
      </c>
      <c r="F159" s="31" t="inlineStr">
        <is>
          <t>EECKG23B0351170</t>
        </is>
      </c>
      <c r="G159" s="31">
        <f>LEFT(F159,10)</f>
        <v/>
      </c>
      <c r="H159" s="31">
        <f>MID(G159,3,2)</f>
        <v/>
      </c>
      <c r="I159" s="31">
        <f>VLOOKUP(H159,color!E:G,2,0)</f>
        <v/>
      </c>
      <c r="J159" s="31" t="n">
        <v>51</v>
      </c>
      <c r="K159" s="31">
        <f>VLOOKUP(J159,color!A:C,2,0)</f>
        <v/>
      </c>
      <c r="L159" s="31" t="n">
        <v>1</v>
      </c>
      <c r="M159" s="31">
        <f>VLOOKUP(F159,'卖场库存0422-0512'!M:R,5,0)</f>
        <v/>
      </c>
      <c r="N159" s="31">
        <f>VLOOKUP(F159,'卖场库存0422-0512'!M:S,6,0)</f>
        <v/>
      </c>
      <c r="O159" s="31" t="inlineStr">
        <is>
          <t>Sleeve out</t>
        </is>
      </c>
      <c r="P159" s="30">
        <f>VLOOKUP(F159,'卖场库存0422-0512'!M:S,7,0)</f>
        <v/>
      </c>
      <c r="Q159" s="31">
        <f>VLOOKUP(H159,color!E:G,3,0)</f>
        <v/>
      </c>
    </row>
    <row r="160">
      <c r="A160" s="31" t="n">
        <v>158</v>
      </c>
      <c r="B160" s="22" t="inlineStr">
        <is>
          <t>F009</t>
        </is>
      </c>
      <c r="C160" s="31" t="inlineStr">
        <is>
          <t>FACE 009</t>
        </is>
      </c>
      <c r="D160" s="31">
        <f>LEFT(C160,4)</f>
        <v/>
      </c>
      <c r="E160" s="29" t="inlineStr">
        <is>
          <t>여성존</t>
        </is>
      </c>
      <c r="F160" s="31" t="inlineStr">
        <is>
          <t>EEYSG24E0450160</t>
        </is>
      </c>
      <c r="G160" s="31">
        <f>LEFT(F160,10)</f>
        <v/>
      </c>
      <c r="H160" s="31">
        <f>MID(G160,3,2)</f>
        <v/>
      </c>
      <c r="I160" s="31">
        <f>VLOOKUP(H160,color!E:G,2,0)</f>
        <v/>
      </c>
      <c r="J160" s="31" t="n">
        <v>50</v>
      </c>
      <c r="K160" s="31">
        <f>VLOOKUP(J160,color!A:C,2,0)</f>
        <v/>
      </c>
      <c r="L160" s="31" t="n">
        <v>1</v>
      </c>
      <c r="M160" s="31">
        <f>VLOOKUP(F160,'卖场库存0422-0512'!M:R,5,0)</f>
        <v/>
      </c>
      <c r="N160" s="31">
        <f>VLOOKUP(F160,'卖场库存0422-0512'!M:S,6,0)</f>
        <v/>
      </c>
      <c r="O160" s="31" t="inlineStr">
        <is>
          <t>Sleeve out</t>
        </is>
      </c>
      <c r="P160" s="30">
        <f>VLOOKUP(F160,'卖场库存0422-0512'!M:S,7,0)</f>
        <v/>
      </c>
      <c r="Q160" s="31">
        <f>VLOOKUP(H160,color!E:G,3,0)</f>
        <v/>
      </c>
    </row>
    <row r="161">
      <c r="A161" s="31" t="n">
        <v>159</v>
      </c>
      <c r="B161" s="22" t="inlineStr">
        <is>
          <t>F009</t>
        </is>
      </c>
      <c r="C161" s="31" t="inlineStr">
        <is>
          <t>FACE 009</t>
        </is>
      </c>
      <c r="D161" s="31">
        <f>LEFT(C161,4)</f>
        <v/>
      </c>
      <c r="E161" s="29" t="inlineStr">
        <is>
          <t>여성존</t>
        </is>
      </c>
      <c r="F161" s="31" t="inlineStr">
        <is>
          <t>EEYSG24E0450165</t>
        </is>
      </c>
      <c r="G161" s="31">
        <f>LEFT(F161,10)</f>
        <v/>
      </c>
      <c r="H161" s="31">
        <f>MID(G161,3,2)</f>
        <v/>
      </c>
      <c r="I161" s="31">
        <f>VLOOKUP(H161,color!E:G,2,0)</f>
        <v/>
      </c>
      <c r="J161" s="31" t="n">
        <v>50</v>
      </c>
      <c r="K161" s="31">
        <f>VLOOKUP(J161,color!A:C,2,0)</f>
        <v/>
      </c>
      <c r="L161" s="31" t="n">
        <v>1</v>
      </c>
      <c r="M161" s="31">
        <f>VLOOKUP(F161,'卖场库存0422-0512'!M:R,5,0)</f>
        <v/>
      </c>
      <c r="N161" s="31">
        <f>VLOOKUP(F161,'卖场库存0422-0512'!M:S,6,0)</f>
        <v/>
      </c>
      <c r="O161" s="31" t="inlineStr">
        <is>
          <t>Sleeve out</t>
        </is>
      </c>
      <c r="P161" s="30">
        <f>VLOOKUP(F161,'卖场库存0422-0512'!M:S,7,0)</f>
        <v/>
      </c>
      <c r="Q161" s="31">
        <f>VLOOKUP(H161,color!E:G,3,0)</f>
        <v/>
      </c>
    </row>
    <row r="162">
      <c r="A162" s="31" t="n">
        <v>160</v>
      </c>
      <c r="B162" s="22" t="inlineStr">
        <is>
          <t>F010</t>
        </is>
      </c>
      <c r="C162" s="31" t="inlineStr">
        <is>
          <t>FACE 010</t>
        </is>
      </c>
      <c r="D162" s="31">
        <f>LEFT(C162,4)</f>
        <v/>
      </c>
      <c r="E162" s="29" t="inlineStr">
        <is>
          <t>여성존</t>
        </is>
      </c>
      <c r="F162" s="31" t="inlineStr">
        <is>
          <t>EERAG23E0139160</t>
        </is>
      </c>
      <c r="G162" s="31">
        <f>LEFT(F162,10)</f>
        <v/>
      </c>
      <c r="H162" s="31">
        <f>MID(G162,3,2)</f>
        <v/>
      </c>
      <c r="I162" s="31">
        <f>VLOOKUP(H162,color!E:G,2,0)</f>
        <v/>
      </c>
      <c r="J162" s="31" t="n">
        <v>39</v>
      </c>
      <c r="K162" s="31">
        <f>VLOOKUP(J162,color!A:C,2,0)</f>
        <v/>
      </c>
      <c r="L162" s="31" t="n">
        <v>1</v>
      </c>
      <c r="M162" s="31">
        <f>VLOOKUP(F162,'卖场库存0422-0512'!M:R,5,0)</f>
        <v/>
      </c>
      <c r="N162" s="31">
        <f>VLOOKUP(F162,'卖场库存0422-0512'!M:S,6,0)</f>
        <v/>
      </c>
      <c r="O162" s="31" t="inlineStr">
        <is>
          <t>Sleeve out</t>
        </is>
      </c>
      <c r="P162" s="30">
        <f>VLOOKUP(F162,'卖场库存0422-0512'!M:S,7,0)</f>
        <v/>
      </c>
      <c r="Q162" s="31">
        <f>VLOOKUP(H162,color!E:G,3,0)</f>
        <v/>
      </c>
    </row>
    <row r="163">
      <c r="A163" s="31" t="n">
        <v>161</v>
      </c>
      <c r="B163" s="22" t="inlineStr">
        <is>
          <t>F010</t>
        </is>
      </c>
      <c r="C163" s="31" t="inlineStr">
        <is>
          <t>FACE 010</t>
        </is>
      </c>
      <c r="D163" s="31">
        <f>LEFT(C163,4)</f>
        <v/>
      </c>
      <c r="E163" s="29" t="inlineStr">
        <is>
          <t>여성존</t>
        </is>
      </c>
      <c r="F163" s="31" t="inlineStr">
        <is>
          <t>EEVKG23B0255160</t>
        </is>
      </c>
      <c r="G163" s="31">
        <f>LEFT(F163,10)</f>
        <v/>
      </c>
      <c r="H163" s="31">
        <f>MID(G163,3,2)</f>
        <v/>
      </c>
      <c r="I163" s="31">
        <f>VLOOKUP(H163,color!E:G,2,0)</f>
        <v/>
      </c>
      <c r="J163" s="31" t="n">
        <v>55</v>
      </c>
      <c r="K163" s="31">
        <f>VLOOKUP(J163,color!A:C,2,0)</f>
        <v/>
      </c>
      <c r="L163" s="31" t="n">
        <v>1</v>
      </c>
      <c r="M163" s="31">
        <f>VLOOKUP(F163,'卖场库存0422-0512'!M:R,5,0)</f>
        <v/>
      </c>
      <c r="N163" s="31">
        <f>VLOOKUP(F163,'卖场库存0422-0512'!M:S,6,0)</f>
        <v/>
      </c>
      <c r="O163" s="31" t="inlineStr">
        <is>
          <t>Sleeve out</t>
        </is>
      </c>
      <c r="P163" s="30">
        <f>VLOOKUP(F163,'卖场库存0422-0512'!M:S,7,0)</f>
        <v/>
      </c>
      <c r="Q163" s="31">
        <f>VLOOKUP(H163,color!E:G,3,0)</f>
        <v/>
      </c>
    </row>
    <row r="164">
      <c r="A164" s="31" t="n">
        <v>162</v>
      </c>
      <c r="B164" s="22" t="inlineStr">
        <is>
          <t>F010</t>
        </is>
      </c>
      <c r="C164" s="31" t="inlineStr">
        <is>
          <t>FACE 010</t>
        </is>
      </c>
      <c r="D164" s="31">
        <f>LEFT(C164,4)</f>
        <v/>
      </c>
      <c r="E164" s="29" t="inlineStr">
        <is>
          <t>여성존</t>
        </is>
      </c>
      <c r="F164" s="31" t="inlineStr">
        <is>
          <t>EERAG23E0239160</t>
        </is>
      </c>
      <c r="G164" s="31">
        <f>LEFT(F164,10)</f>
        <v/>
      </c>
      <c r="H164" s="31">
        <f>MID(G164,3,2)</f>
        <v/>
      </c>
      <c r="I164" s="31">
        <f>VLOOKUP(H164,color!E:G,2,0)</f>
        <v/>
      </c>
      <c r="J164" s="31" t="n">
        <v>39</v>
      </c>
      <c r="K164" s="31">
        <f>VLOOKUP(J164,color!A:C,2,0)</f>
        <v/>
      </c>
      <c r="L164" s="31" t="n">
        <v>1</v>
      </c>
      <c r="M164" s="31">
        <f>VLOOKUP(F164,'卖场库存0422-0512'!M:R,5,0)</f>
        <v/>
      </c>
      <c r="N164" s="31">
        <f>VLOOKUP(F164,'卖场库存0422-0512'!M:S,6,0)</f>
        <v/>
      </c>
      <c r="O164" s="31" t="inlineStr">
        <is>
          <t>Sleeve out</t>
        </is>
      </c>
      <c r="P164" s="30">
        <f>VLOOKUP(F164,'卖场库存0422-0512'!M:S,7,0)</f>
        <v/>
      </c>
      <c r="Q164" s="31">
        <f>VLOOKUP(H164,color!E:G,3,0)</f>
        <v/>
      </c>
    </row>
    <row r="165">
      <c r="A165" s="31" t="n">
        <v>163</v>
      </c>
      <c r="B165" s="22" t="inlineStr">
        <is>
          <t>F010</t>
        </is>
      </c>
      <c r="C165" s="31" t="inlineStr">
        <is>
          <t>FACE 010</t>
        </is>
      </c>
      <c r="D165" s="31">
        <f>LEFT(C165,4)</f>
        <v/>
      </c>
      <c r="E165" s="29" t="inlineStr">
        <is>
          <t>여성존</t>
        </is>
      </c>
      <c r="F165" s="31" t="inlineStr">
        <is>
          <t>EEVKG23B0255165</t>
        </is>
      </c>
      <c r="G165" s="31">
        <f>LEFT(F165,10)</f>
        <v/>
      </c>
      <c r="H165" s="31">
        <f>MID(G165,3,2)</f>
        <v/>
      </c>
      <c r="I165" s="31">
        <f>VLOOKUP(H165,color!E:G,2,0)</f>
        <v/>
      </c>
      <c r="J165" s="31" t="n">
        <v>55</v>
      </c>
      <c r="K165" s="31">
        <f>VLOOKUP(J165,color!A:C,2,0)</f>
        <v/>
      </c>
      <c r="L165" s="31" t="n">
        <v>1</v>
      </c>
      <c r="M165" s="31">
        <f>VLOOKUP(F165,'卖场库存0422-0512'!M:R,5,0)</f>
        <v/>
      </c>
      <c r="N165" s="31">
        <f>VLOOKUP(F165,'卖场库存0422-0512'!M:S,6,0)</f>
        <v/>
      </c>
      <c r="O165" s="31" t="inlineStr">
        <is>
          <t>Sleeve out</t>
        </is>
      </c>
      <c r="P165" s="30">
        <f>VLOOKUP(F165,'卖场库存0422-0512'!M:S,7,0)</f>
        <v/>
      </c>
      <c r="Q165" s="31">
        <f>VLOOKUP(H165,color!E:G,3,0)</f>
        <v/>
      </c>
    </row>
    <row r="166">
      <c r="A166" s="31" t="n">
        <v>164</v>
      </c>
      <c r="B166" s="22" t="inlineStr">
        <is>
          <t>F010</t>
        </is>
      </c>
      <c r="C166" s="31" t="inlineStr">
        <is>
          <t>FACE 010</t>
        </is>
      </c>
      <c r="D166" s="31">
        <f>LEFT(C166,4)</f>
        <v/>
      </c>
      <c r="E166" s="29" t="inlineStr">
        <is>
          <t>여성존</t>
        </is>
      </c>
      <c r="F166" s="31" t="inlineStr">
        <is>
          <t>EETJG25B0355027</t>
        </is>
      </c>
      <c r="G166" s="31">
        <f>LEFT(F166,10)</f>
        <v/>
      </c>
      <c r="H166" s="31">
        <f>MID(G166,3,2)</f>
        <v/>
      </c>
      <c r="I166" s="31">
        <f>VLOOKUP(H166,color!E:G,2,0)</f>
        <v/>
      </c>
      <c r="J166" s="31" t="n">
        <v>55</v>
      </c>
      <c r="K166" s="31">
        <f>VLOOKUP(J166,color!A:C,2,0)</f>
        <v/>
      </c>
      <c r="L166" s="31" t="n">
        <v>1</v>
      </c>
      <c r="M166" s="31">
        <f>VLOOKUP(F166,'卖场库存0422-0512'!M:R,5,0)</f>
        <v/>
      </c>
      <c r="N166" s="31">
        <f>VLOOKUP(F166,'卖场库存0422-0512'!M:S,6,0)</f>
        <v/>
      </c>
      <c r="O166" s="31" t="inlineStr">
        <is>
          <t>Sleeve out</t>
        </is>
      </c>
      <c r="P166" s="30">
        <f>VLOOKUP(F166,'卖场库存0422-0512'!M:S,7,0)</f>
        <v/>
      </c>
      <c r="Q166" s="31">
        <f>VLOOKUP(H166,color!E:G,3,0)</f>
        <v/>
      </c>
    </row>
    <row r="167">
      <c r="A167" s="31" t="n">
        <v>165</v>
      </c>
      <c r="B167" s="22" t="inlineStr">
        <is>
          <t>F010</t>
        </is>
      </c>
      <c r="C167" s="31" t="inlineStr">
        <is>
          <t>FACE 010</t>
        </is>
      </c>
      <c r="D167" s="31">
        <f>LEFT(C167,4)</f>
        <v/>
      </c>
      <c r="E167" s="29" t="inlineStr">
        <is>
          <t>여성존</t>
        </is>
      </c>
      <c r="F167" s="31" t="inlineStr">
        <is>
          <t>EERNG25B0139165</t>
        </is>
      </c>
      <c r="G167" s="31">
        <f>LEFT(F167,10)</f>
        <v/>
      </c>
      <c r="H167" s="31">
        <f>MID(G167,3,2)</f>
        <v/>
      </c>
      <c r="I167" s="31">
        <f>VLOOKUP(H167,color!E:G,2,0)</f>
        <v/>
      </c>
      <c r="J167" s="31" t="n">
        <v>39</v>
      </c>
      <c r="K167" s="31">
        <f>VLOOKUP(J167,color!A:C,2,0)</f>
        <v/>
      </c>
      <c r="L167" s="31" t="n">
        <v>1</v>
      </c>
      <c r="M167" s="31">
        <f>VLOOKUP(F167,'卖场库存0422-0512'!M:R,5,0)</f>
        <v/>
      </c>
      <c r="N167" s="31">
        <f>VLOOKUP(F167,'卖场库存0422-0512'!M:S,6,0)</f>
        <v/>
      </c>
      <c r="O167" s="31" t="inlineStr">
        <is>
          <t>Sleeve out</t>
        </is>
      </c>
      <c r="P167" s="30">
        <f>VLOOKUP(F167,'卖场库存0422-0512'!M:S,7,0)</f>
        <v/>
      </c>
      <c r="Q167" s="31">
        <f>VLOOKUP(H167,color!E:G,3,0)</f>
        <v/>
      </c>
    </row>
    <row r="168">
      <c r="A168" s="31" t="n">
        <v>166</v>
      </c>
      <c r="B168" s="22" t="inlineStr">
        <is>
          <t>F010</t>
        </is>
      </c>
      <c r="C168" s="31" t="inlineStr">
        <is>
          <t>FACE 010</t>
        </is>
      </c>
      <c r="D168" s="31">
        <f>LEFT(C168,4)</f>
        <v/>
      </c>
      <c r="E168" s="29" t="inlineStr">
        <is>
          <t>여성존</t>
        </is>
      </c>
      <c r="F168" s="31" t="inlineStr">
        <is>
          <t>EERNG25B0139160</t>
        </is>
      </c>
      <c r="G168" s="31">
        <f>LEFT(F168,10)</f>
        <v/>
      </c>
      <c r="H168" s="31">
        <f>MID(G168,3,2)</f>
        <v/>
      </c>
      <c r="I168" s="31">
        <f>VLOOKUP(H168,color!E:G,2,0)</f>
        <v/>
      </c>
      <c r="J168" s="31" t="n">
        <v>39</v>
      </c>
      <c r="K168" s="31">
        <f>VLOOKUP(J168,color!A:C,2,0)</f>
        <v/>
      </c>
      <c r="L168" s="31" t="n">
        <v>1</v>
      </c>
      <c r="M168" s="31">
        <f>VLOOKUP(F168,'卖场库存0422-0512'!M:R,5,0)</f>
        <v/>
      </c>
      <c r="N168" s="31">
        <f>VLOOKUP(F168,'卖场库存0422-0512'!M:S,6,0)</f>
        <v/>
      </c>
      <c r="O168" s="31" t="inlineStr">
        <is>
          <t>Sleeve out</t>
        </is>
      </c>
      <c r="P168" s="30">
        <f>VLOOKUP(F168,'卖场库存0422-0512'!M:S,7,0)</f>
        <v/>
      </c>
      <c r="Q168" s="31">
        <f>VLOOKUP(H168,color!E:G,3,0)</f>
        <v/>
      </c>
    </row>
    <row r="169">
      <c r="A169" s="31" t="n">
        <v>167</v>
      </c>
      <c r="B169" s="22" t="inlineStr">
        <is>
          <t>F010</t>
        </is>
      </c>
      <c r="C169" s="31" t="inlineStr">
        <is>
          <t>FACE 010</t>
        </is>
      </c>
      <c r="D169" s="31">
        <f>LEFT(C169,4)</f>
        <v/>
      </c>
      <c r="E169" s="29" t="inlineStr">
        <is>
          <t>여성존</t>
        </is>
      </c>
      <c r="F169" s="31" t="inlineStr">
        <is>
          <t>EERNG25B0117160</t>
        </is>
      </c>
      <c r="G169" s="31">
        <f>LEFT(F169,10)</f>
        <v/>
      </c>
      <c r="H169" s="31">
        <f>MID(G169,3,2)</f>
        <v/>
      </c>
      <c r="I169" s="31">
        <f>VLOOKUP(H169,color!E:G,2,0)</f>
        <v/>
      </c>
      <c r="J169" s="31" t="n">
        <v>17</v>
      </c>
      <c r="K169" s="31">
        <f>VLOOKUP(J169,color!A:C,2,0)</f>
        <v/>
      </c>
      <c r="L169" s="31" t="n">
        <v>1</v>
      </c>
      <c r="M169" s="31">
        <f>VLOOKUP(F169,'卖场库存0422-0512'!M:R,5,0)</f>
        <v/>
      </c>
      <c r="N169" s="31">
        <f>VLOOKUP(F169,'卖场库存0422-0512'!M:S,6,0)</f>
        <v/>
      </c>
      <c r="O169" s="31" t="inlineStr">
        <is>
          <t>Sleeve out</t>
        </is>
      </c>
      <c r="P169" s="30">
        <f>VLOOKUP(F169,'卖场库存0422-0512'!M:S,7,0)</f>
        <v/>
      </c>
      <c r="Q169" s="31">
        <f>VLOOKUP(H169,color!E:G,3,0)</f>
        <v/>
      </c>
    </row>
    <row r="170">
      <c r="A170" s="31" t="n">
        <v>168</v>
      </c>
      <c r="B170" s="22" t="inlineStr">
        <is>
          <t>F010</t>
        </is>
      </c>
      <c r="C170" s="31" t="inlineStr">
        <is>
          <t>FACE 010</t>
        </is>
      </c>
      <c r="D170" s="31">
        <f>LEFT(C170,4)</f>
        <v/>
      </c>
      <c r="E170" s="29" t="inlineStr">
        <is>
          <t>여성존</t>
        </is>
      </c>
      <c r="F170" s="31" t="inlineStr">
        <is>
          <t>EERNG25B0117165</t>
        </is>
      </c>
      <c r="G170" s="31">
        <f>LEFT(F170,10)</f>
        <v/>
      </c>
      <c r="H170" s="31">
        <f>MID(G170,3,2)</f>
        <v/>
      </c>
      <c r="I170" s="31">
        <f>VLOOKUP(H170,color!E:G,2,0)</f>
        <v/>
      </c>
      <c r="J170" s="31" t="n">
        <v>17</v>
      </c>
      <c r="K170" s="31">
        <f>VLOOKUP(J170,color!A:C,2,0)</f>
        <v/>
      </c>
      <c r="L170" s="31" t="n">
        <v>1</v>
      </c>
      <c r="M170" s="31">
        <f>VLOOKUP(F170,'卖场库存0422-0512'!M:R,5,0)</f>
        <v/>
      </c>
      <c r="N170" s="31">
        <f>VLOOKUP(F170,'卖场库存0422-0512'!M:S,6,0)</f>
        <v/>
      </c>
      <c r="O170" s="31" t="inlineStr">
        <is>
          <t>Sleeve out</t>
        </is>
      </c>
      <c r="P170" s="30">
        <f>VLOOKUP(F170,'卖场库存0422-0512'!M:S,7,0)</f>
        <v/>
      </c>
      <c r="Q170" s="31">
        <f>VLOOKUP(H170,color!E:G,3,0)</f>
        <v/>
      </c>
    </row>
    <row r="171">
      <c r="A171" s="31" t="n">
        <v>169</v>
      </c>
      <c r="B171" s="22" t="inlineStr">
        <is>
          <t>F010</t>
        </is>
      </c>
      <c r="C171" s="31" t="inlineStr">
        <is>
          <t>FACE 010</t>
        </is>
      </c>
      <c r="D171" s="31">
        <f>LEFT(C171,4)</f>
        <v/>
      </c>
      <c r="E171" s="29" t="inlineStr">
        <is>
          <t>여성존</t>
        </is>
      </c>
      <c r="F171" s="31" t="inlineStr">
        <is>
          <t>EERNG25B0188165</t>
        </is>
      </c>
      <c r="G171" s="31">
        <f>LEFT(F171,10)</f>
        <v/>
      </c>
      <c r="H171" s="31">
        <f>MID(G171,3,2)</f>
        <v/>
      </c>
      <c r="I171" s="31">
        <f>VLOOKUP(H171,color!E:G,2,0)</f>
        <v/>
      </c>
      <c r="J171" s="31" t="n">
        <v>88</v>
      </c>
      <c r="K171" s="31">
        <f>VLOOKUP(J171,color!A:C,2,0)</f>
        <v/>
      </c>
      <c r="L171" s="31" t="n">
        <v>1</v>
      </c>
      <c r="M171" s="31">
        <f>VLOOKUP(F171,'卖场库存0422-0512'!M:R,5,0)</f>
        <v/>
      </c>
      <c r="N171" s="31">
        <f>VLOOKUP(F171,'卖场库存0422-0512'!M:S,6,0)</f>
        <v/>
      </c>
      <c r="O171" s="31" t="inlineStr">
        <is>
          <t>Sleeve out</t>
        </is>
      </c>
      <c r="P171" s="30">
        <f>VLOOKUP(F171,'卖场库存0422-0512'!M:S,7,0)</f>
        <v/>
      </c>
      <c r="Q171" s="31">
        <f>VLOOKUP(H171,color!E:G,3,0)</f>
        <v/>
      </c>
    </row>
    <row r="172">
      <c r="A172" s="31" t="n">
        <v>170</v>
      </c>
      <c r="B172" s="22" t="inlineStr">
        <is>
          <t>F010</t>
        </is>
      </c>
      <c r="C172" s="31" t="inlineStr">
        <is>
          <t>FACE 010</t>
        </is>
      </c>
      <c r="D172" s="31">
        <f>LEFT(C172,4)</f>
        <v/>
      </c>
      <c r="E172" s="29" t="inlineStr">
        <is>
          <t>여성존</t>
        </is>
      </c>
      <c r="F172" s="31" t="inlineStr">
        <is>
          <t>EERNG25B0188170</t>
        </is>
      </c>
      <c r="G172" s="31">
        <f>LEFT(F172,10)</f>
        <v/>
      </c>
      <c r="H172" s="31">
        <f>MID(G172,3,2)</f>
        <v/>
      </c>
      <c r="I172" s="31">
        <f>VLOOKUP(H172,color!E:G,2,0)</f>
        <v/>
      </c>
      <c r="J172" s="31" t="n">
        <v>88</v>
      </c>
      <c r="K172" s="31">
        <f>VLOOKUP(J172,color!A:C,2,0)</f>
        <v/>
      </c>
      <c r="L172" s="31" t="n">
        <v>1</v>
      </c>
      <c r="M172" s="31">
        <f>VLOOKUP(F172,'卖场库存0422-0512'!M:R,5,0)</f>
        <v/>
      </c>
      <c r="N172" s="31">
        <f>VLOOKUP(F172,'卖场库存0422-0512'!M:S,6,0)</f>
        <v/>
      </c>
      <c r="O172" s="31" t="inlineStr">
        <is>
          <t>Sleeve out</t>
        </is>
      </c>
      <c r="P172" s="30">
        <f>VLOOKUP(F172,'卖场库存0422-0512'!M:S,7,0)</f>
        <v/>
      </c>
      <c r="Q172" s="31">
        <f>VLOOKUP(H172,color!E:G,3,0)</f>
        <v/>
      </c>
    </row>
    <row r="173">
      <c r="A173" s="31" t="n">
        <v>171</v>
      </c>
      <c r="B173" s="22" t="inlineStr">
        <is>
          <t>F010</t>
        </is>
      </c>
      <c r="C173" s="31" t="inlineStr">
        <is>
          <t>FACE 010</t>
        </is>
      </c>
      <c r="D173" s="31">
        <f>LEFT(C173,4)</f>
        <v/>
      </c>
      <c r="E173" s="29" t="inlineStr">
        <is>
          <t>여성존</t>
        </is>
      </c>
      <c r="F173" s="31" t="inlineStr">
        <is>
          <t>EERNG23E0118170</t>
        </is>
      </c>
      <c r="G173" s="31">
        <f>LEFT(F173,10)</f>
        <v/>
      </c>
      <c r="H173" s="31">
        <f>MID(G173,3,2)</f>
        <v/>
      </c>
      <c r="I173" s="31">
        <f>VLOOKUP(H173,color!E:G,2,0)</f>
        <v/>
      </c>
      <c r="J173" s="31" t="n">
        <v>18</v>
      </c>
      <c r="K173" s="31">
        <f>VLOOKUP(J173,color!A:C,2,0)</f>
        <v/>
      </c>
      <c r="L173" s="31" t="n">
        <v>1</v>
      </c>
      <c r="M173" s="31">
        <f>VLOOKUP(F173,'卖场库存0422-0512'!M:R,5,0)</f>
        <v/>
      </c>
      <c r="N173" s="31">
        <f>VLOOKUP(F173,'卖场库存0422-0512'!M:S,6,0)</f>
        <v/>
      </c>
      <c r="O173" s="31" t="inlineStr">
        <is>
          <t>Sleeve out</t>
        </is>
      </c>
      <c r="P173" s="30">
        <f>VLOOKUP(F173,'卖场库存0422-0512'!M:S,7,0)</f>
        <v/>
      </c>
      <c r="Q173" s="31">
        <f>VLOOKUP(H173,color!E:G,3,0)</f>
        <v/>
      </c>
    </row>
    <row r="174">
      <c r="A174" s="31" t="n">
        <v>172</v>
      </c>
      <c r="B174" s="22" t="inlineStr">
        <is>
          <t>F010</t>
        </is>
      </c>
      <c r="C174" s="31" t="inlineStr">
        <is>
          <t>FACE 010</t>
        </is>
      </c>
      <c r="D174" s="31">
        <f>LEFT(C174,4)</f>
        <v/>
      </c>
      <c r="E174" s="29" t="inlineStr">
        <is>
          <t>여성존</t>
        </is>
      </c>
      <c r="F174" s="31" t="inlineStr">
        <is>
          <t>EETJG25B0355026</t>
        </is>
      </c>
      <c r="G174" s="31">
        <f>LEFT(F174,10)</f>
        <v/>
      </c>
      <c r="H174" s="31">
        <f>MID(G174,3,2)</f>
        <v/>
      </c>
      <c r="I174" s="31">
        <f>VLOOKUP(H174,color!E:G,2,0)</f>
        <v/>
      </c>
      <c r="J174" s="31" t="n">
        <v>55</v>
      </c>
      <c r="K174" s="31">
        <f>VLOOKUP(J174,color!A:C,2,0)</f>
        <v/>
      </c>
      <c r="L174" s="31" t="n">
        <v>1</v>
      </c>
      <c r="M174" s="31">
        <f>VLOOKUP(F174,'卖场库存0422-0512'!M:R,5,0)</f>
        <v/>
      </c>
      <c r="N174" s="31">
        <f>VLOOKUP(F174,'卖场库存0422-0512'!M:S,6,0)</f>
        <v/>
      </c>
      <c r="O174" s="31" t="inlineStr">
        <is>
          <t>Sleeve out</t>
        </is>
      </c>
      <c r="P174" s="30">
        <f>VLOOKUP(F174,'卖场库存0422-0512'!M:S,7,0)</f>
        <v/>
      </c>
      <c r="Q174" s="31">
        <f>VLOOKUP(H174,color!E:G,3,0)</f>
        <v/>
      </c>
    </row>
    <row r="175">
      <c r="A175" s="31" t="n">
        <v>173</v>
      </c>
      <c r="B175" s="22" t="inlineStr">
        <is>
          <t>F010</t>
        </is>
      </c>
      <c r="C175" s="31" t="inlineStr">
        <is>
          <t>FACE 010</t>
        </is>
      </c>
      <c r="D175" s="31">
        <f>LEFT(C175,4)</f>
        <v/>
      </c>
      <c r="E175" s="29" t="inlineStr">
        <is>
          <t>여성존</t>
        </is>
      </c>
      <c r="F175" s="31" t="inlineStr">
        <is>
          <t>EEOJG23B0156170</t>
        </is>
      </c>
      <c r="G175" s="31">
        <f>LEFT(F175,10)</f>
        <v/>
      </c>
      <c r="H175" s="31">
        <f>MID(G175,3,2)</f>
        <v/>
      </c>
      <c r="I175" s="31">
        <f>VLOOKUP(H175,color!E:G,2,0)</f>
        <v/>
      </c>
      <c r="J175" s="31" t="n">
        <v>56</v>
      </c>
      <c r="K175" s="31">
        <f>VLOOKUP(J175,color!A:C,2,0)</f>
        <v/>
      </c>
      <c r="L175" s="31" t="n">
        <v>1</v>
      </c>
      <c r="M175" s="31">
        <f>VLOOKUP(F175,'卖场库存0422-0512'!M:R,5,0)</f>
        <v/>
      </c>
      <c r="N175" s="31">
        <f>VLOOKUP(F175,'卖场库存0422-0512'!M:S,6,0)</f>
        <v/>
      </c>
      <c r="O175" s="31" t="inlineStr">
        <is>
          <t>Sleeve out</t>
        </is>
      </c>
      <c r="P175" s="30">
        <f>VLOOKUP(F175,'卖场库存0422-0512'!M:S,7,0)</f>
        <v/>
      </c>
      <c r="Q175" s="31">
        <f>VLOOKUP(H175,color!E:G,3,0)</f>
        <v/>
      </c>
    </row>
    <row r="176">
      <c r="A176" s="31" t="n">
        <v>174</v>
      </c>
      <c r="B176" s="22" t="inlineStr">
        <is>
          <t>F010</t>
        </is>
      </c>
      <c r="C176" s="31" t="inlineStr">
        <is>
          <t>FACE 010</t>
        </is>
      </c>
      <c r="D176" s="31">
        <f>LEFT(C176,4)</f>
        <v/>
      </c>
      <c r="E176" s="29" t="inlineStr">
        <is>
          <t>여성존</t>
        </is>
      </c>
      <c r="F176" s="31" t="inlineStr">
        <is>
          <t>EEOJG23B0156160</t>
        </is>
      </c>
      <c r="G176" s="31">
        <f>LEFT(F176,10)</f>
        <v/>
      </c>
      <c r="H176" s="31">
        <f>MID(G176,3,2)</f>
        <v/>
      </c>
      <c r="I176" s="31">
        <f>VLOOKUP(H176,color!E:G,2,0)</f>
        <v/>
      </c>
      <c r="J176" s="31" t="n">
        <v>56</v>
      </c>
      <c r="K176" s="31">
        <f>VLOOKUP(J176,color!A:C,2,0)</f>
        <v/>
      </c>
      <c r="L176" s="31" t="n">
        <v>1</v>
      </c>
      <c r="M176" s="31">
        <f>VLOOKUP(F176,'卖场库存0422-0512'!M:R,5,0)</f>
        <v/>
      </c>
      <c r="N176" s="31">
        <f>VLOOKUP(F176,'卖场库存0422-0512'!M:S,6,0)</f>
        <v/>
      </c>
      <c r="O176" s="31" t="inlineStr">
        <is>
          <t>Sleeve out</t>
        </is>
      </c>
      <c r="P176" s="30">
        <f>VLOOKUP(F176,'卖场库存0422-0512'!M:S,7,0)</f>
        <v/>
      </c>
      <c r="Q176" s="31">
        <f>VLOOKUP(H176,color!E:G,3,0)</f>
        <v/>
      </c>
    </row>
    <row r="177">
      <c r="A177" s="31" t="n">
        <v>175</v>
      </c>
      <c r="B177" s="22" t="inlineStr">
        <is>
          <t>F010</t>
        </is>
      </c>
      <c r="C177" s="31" t="inlineStr">
        <is>
          <t>FACE 010</t>
        </is>
      </c>
      <c r="D177" s="31">
        <f>LEFT(C177,4)</f>
        <v/>
      </c>
      <c r="E177" s="29" t="inlineStr">
        <is>
          <t>여성존</t>
        </is>
      </c>
      <c r="F177" s="31" t="inlineStr">
        <is>
          <t>EERAG26B0364170</t>
        </is>
      </c>
      <c r="G177" s="31">
        <f>LEFT(F177,10)</f>
        <v/>
      </c>
      <c r="H177" s="31">
        <f>MID(G177,3,2)</f>
        <v/>
      </c>
      <c r="I177" s="31">
        <f>VLOOKUP(H177,color!E:G,2,0)</f>
        <v/>
      </c>
      <c r="J177" s="31" t="n">
        <v>64</v>
      </c>
      <c r="K177" s="31">
        <f>VLOOKUP(J177,color!A:C,2,0)</f>
        <v/>
      </c>
      <c r="L177" s="31" t="n">
        <v>1</v>
      </c>
      <c r="M177" s="31">
        <f>VLOOKUP(F177,'卖场库存0422-0512'!M:R,5,0)</f>
        <v/>
      </c>
      <c r="N177" s="31">
        <f>VLOOKUP(F177,'卖场库存0422-0512'!M:S,6,0)</f>
        <v/>
      </c>
      <c r="O177" s="31" t="inlineStr">
        <is>
          <t>Sleeve out</t>
        </is>
      </c>
      <c r="P177" s="30">
        <f>VLOOKUP(F177,'卖场库存0422-0512'!M:S,7,0)</f>
        <v/>
      </c>
      <c r="Q177" s="31">
        <f>VLOOKUP(H177,color!E:G,3,0)</f>
        <v/>
      </c>
    </row>
    <row r="178">
      <c r="A178" s="31" t="n">
        <v>176</v>
      </c>
      <c r="B178" s="22" t="inlineStr">
        <is>
          <t>F010</t>
        </is>
      </c>
      <c r="C178" s="31" t="inlineStr">
        <is>
          <t>FACE 010</t>
        </is>
      </c>
      <c r="D178" s="31">
        <f>LEFT(C178,4)</f>
        <v/>
      </c>
      <c r="E178" s="29" t="inlineStr">
        <is>
          <t>여성존</t>
        </is>
      </c>
      <c r="F178" s="31" t="inlineStr">
        <is>
          <t>EERAG26B0364165</t>
        </is>
      </c>
      <c r="G178" s="31">
        <f>LEFT(F178,10)</f>
        <v/>
      </c>
      <c r="H178" s="31">
        <f>MID(G178,3,2)</f>
        <v/>
      </c>
      <c r="I178" s="31">
        <f>VLOOKUP(H178,color!E:G,2,0)</f>
        <v/>
      </c>
      <c r="J178" s="31" t="n">
        <v>64</v>
      </c>
      <c r="K178" s="31">
        <f>VLOOKUP(J178,color!A:C,2,0)</f>
        <v/>
      </c>
      <c r="L178" s="31" t="n">
        <v>1</v>
      </c>
      <c r="M178" s="31">
        <f>VLOOKUP(F178,'卖场库存0422-0512'!M:R,5,0)</f>
        <v/>
      </c>
      <c r="N178" s="31">
        <f>VLOOKUP(F178,'卖场库存0422-0512'!M:S,6,0)</f>
        <v/>
      </c>
      <c r="O178" s="31" t="inlineStr">
        <is>
          <t>Sleeve out</t>
        </is>
      </c>
      <c r="P178" s="30">
        <f>VLOOKUP(F178,'卖场库存0422-0512'!M:S,7,0)</f>
        <v/>
      </c>
      <c r="Q178" s="31">
        <f>VLOOKUP(H178,color!E:G,3,0)</f>
        <v/>
      </c>
    </row>
    <row r="179">
      <c r="A179" s="31" t="n">
        <v>177</v>
      </c>
      <c r="B179" s="22" t="inlineStr">
        <is>
          <t>F010</t>
        </is>
      </c>
      <c r="C179" s="31" t="inlineStr">
        <is>
          <t>FACE 010</t>
        </is>
      </c>
      <c r="D179" s="31">
        <f>LEFT(C179,4)</f>
        <v/>
      </c>
      <c r="E179" s="29" t="inlineStr">
        <is>
          <t>여성존</t>
        </is>
      </c>
      <c r="F179" s="31" t="inlineStr">
        <is>
          <t>EETJG23E0139026</t>
        </is>
      </c>
      <c r="G179" s="31">
        <f>LEFT(F179,10)</f>
        <v/>
      </c>
      <c r="H179" s="31">
        <f>MID(G179,3,2)</f>
        <v/>
      </c>
      <c r="I179" s="31">
        <f>VLOOKUP(H179,color!E:G,2,0)</f>
        <v/>
      </c>
      <c r="J179" s="31" t="n">
        <v>39</v>
      </c>
      <c r="K179" s="31">
        <f>VLOOKUP(J179,color!A:C,2,0)</f>
        <v/>
      </c>
      <c r="L179" s="31" t="n">
        <v>1</v>
      </c>
      <c r="M179" s="31">
        <f>VLOOKUP(F179,'卖场库存0422-0512'!M:R,5,0)</f>
        <v/>
      </c>
      <c r="N179" s="31">
        <f>VLOOKUP(F179,'卖场库存0422-0512'!M:S,6,0)</f>
        <v/>
      </c>
      <c r="O179" s="31" t="inlineStr">
        <is>
          <t>Sleeve out</t>
        </is>
      </c>
      <c r="P179" s="30">
        <f>VLOOKUP(F179,'卖场库存0422-0512'!M:S,7,0)</f>
        <v/>
      </c>
      <c r="Q179" s="31">
        <f>VLOOKUP(H179,color!E:G,3,0)</f>
        <v/>
      </c>
    </row>
    <row r="180">
      <c r="A180" s="31" t="n">
        <v>178</v>
      </c>
      <c r="B180" s="22" t="inlineStr">
        <is>
          <t>F010</t>
        </is>
      </c>
      <c r="C180" s="31" t="inlineStr">
        <is>
          <t>FACE 010</t>
        </is>
      </c>
      <c r="D180" s="31">
        <f>LEFT(C180,4)</f>
        <v/>
      </c>
      <c r="E180" s="29" t="inlineStr">
        <is>
          <t>여성존</t>
        </is>
      </c>
      <c r="F180" s="31" t="inlineStr">
        <is>
          <t>EETJG23E0139027</t>
        </is>
      </c>
      <c r="G180" s="31">
        <f>LEFT(F180,10)</f>
        <v/>
      </c>
      <c r="H180" s="31">
        <f>MID(G180,3,2)</f>
        <v/>
      </c>
      <c r="I180" s="31">
        <f>VLOOKUP(H180,color!E:G,2,0)</f>
        <v/>
      </c>
      <c r="J180" s="31" t="n">
        <v>39</v>
      </c>
      <c r="K180" s="31">
        <f>VLOOKUP(J180,color!A:C,2,0)</f>
        <v/>
      </c>
      <c r="L180" s="31" t="n">
        <v>1</v>
      </c>
      <c r="M180" s="31">
        <f>VLOOKUP(F180,'卖场库存0422-0512'!M:R,5,0)</f>
        <v/>
      </c>
      <c r="N180" s="31">
        <f>VLOOKUP(F180,'卖场库存0422-0512'!M:S,6,0)</f>
        <v/>
      </c>
      <c r="O180" s="31" t="inlineStr">
        <is>
          <t>Sleeve out</t>
        </is>
      </c>
      <c r="P180" s="30">
        <f>VLOOKUP(F180,'卖场库存0422-0512'!M:S,7,0)</f>
        <v/>
      </c>
      <c r="Q180" s="31">
        <f>VLOOKUP(H180,color!E:G,3,0)</f>
        <v/>
      </c>
    </row>
    <row r="181">
      <c r="A181" s="31" t="n">
        <v>179</v>
      </c>
      <c r="B181" s="22" t="inlineStr">
        <is>
          <t>F010</t>
        </is>
      </c>
      <c r="C181" s="31" t="inlineStr">
        <is>
          <t>FACE 010</t>
        </is>
      </c>
      <c r="D181" s="31">
        <f>LEFT(C181,4)</f>
        <v/>
      </c>
      <c r="E181" s="29" t="inlineStr">
        <is>
          <t>여성존</t>
        </is>
      </c>
      <c r="F181" s="31" t="inlineStr">
        <is>
          <t>EEYPG23E0155160</t>
        </is>
      </c>
      <c r="G181" s="31">
        <f>LEFT(F181,10)</f>
        <v/>
      </c>
      <c r="H181" s="31">
        <f>MID(G181,3,2)</f>
        <v/>
      </c>
      <c r="I181" s="31">
        <f>VLOOKUP(H181,color!E:G,2,0)</f>
        <v/>
      </c>
      <c r="J181" s="31" t="n">
        <v>55</v>
      </c>
      <c r="K181" s="31">
        <f>VLOOKUP(J181,color!A:C,2,0)</f>
        <v/>
      </c>
      <c r="L181" s="31" t="n">
        <v>1</v>
      </c>
      <c r="M181" s="31">
        <f>VLOOKUP(F181,'卖场库存0422-0512'!M:R,5,0)</f>
        <v/>
      </c>
      <c r="N181" s="31">
        <f>VLOOKUP(F181,'卖场库存0422-0512'!M:S,6,0)</f>
        <v/>
      </c>
      <c r="O181" s="31" t="inlineStr">
        <is>
          <t>Sleeve out</t>
        </is>
      </c>
      <c r="P181" s="30">
        <f>VLOOKUP(F181,'卖场库存0422-0512'!M:S,7,0)</f>
        <v/>
      </c>
      <c r="Q181" s="31">
        <f>VLOOKUP(H181,color!E:G,3,0)</f>
        <v/>
      </c>
    </row>
    <row r="182">
      <c r="A182" s="31" t="n">
        <v>180</v>
      </c>
      <c r="B182" s="22" t="inlineStr">
        <is>
          <t>F010</t>
        </is>
      </c>
      <c r="C182" s="31" t="inlineStr">
        <is>
          <t>FACE 010</t>
        </is>
      </c>
      <c r="D182" s="31">
        <f>LEFT(C182,4)</f>
        <v/>
      </c>
      <c r="E182" s="29" t="inlineStr">
        <is>
          <t>여성존</t>
        </is>
      </c>
      <c r="F182" s="31" t="inlineStr">
        <is>
          <t>EEYWG24E0220170</t>
        </is>
      </c>
      <c r="G182" s="31">
        <f>LEFT(F182,10)</f>
        <v/>
      </c>
      <c r="H182" s="31">
        <f>MID(G182,3,2)</f>
        <v/>
      </c>
      <c r="I182" s="31">
        <f>VLOOKUP(H182,color!E:G,2,0)</f>
        <v/>
      </c>
      <c r="J182" s="31" t="n">
        <v>20</v>
      </c>
      <c r="K182" s="31">
        <f>VLOOKUP(J182,color!A:C,2,0)</f>
        <v/>
      </c>
      <c r="L182" s="31" t="n">
        <v>1</v>
      </c>
      <c r="M182" s="31">
        <f>VLOOKUP(F182,'卖场库存0422-0512'!M:R,5,0)</f>
        <v/>
      </c>
      <c r="N182" s="31">
        <f>VLOOKUP(F182,'卖场库存0422-0512'!M:S,6,0)</f>
        <v/>
      </c>
      <c r="O182" s="31" t="inlineStr">
        <is>
          <t>Sleeve out</t>
        </is>
      </c>
      <c r="P182" s="30">
        <f>VLOOKUP(F182,'卖场库存0422-0512'!M:S,7,0)</f>
        <v/>
      </c>
      <c r="Q182" s="31">
        <f>VLOOKUP(H182,color!E:G,3,0)</f>
        <v/>
      </c>
    </row>
    <row r="183">
      <c r="A183" s="31" t="n">
        <v>181</v>
      </c>
      <c r="B183" s="22" t="inlineStr">
        <is>
          <t>F010</t>
        </is>
      </c>
      <c r="C183" s="31" t="inlineStr">
        <is>
          <t>FACE 010</t>
        </is>
      </c>
      <c r="D183" s="31">
        <f>LEFT(C183,4)</f>
        <v/>
      </c>
      <c r="E183" s="29" t="inlineStr">
        <is>
          <t>여성존</t>
        </is>
      </c>
      <c r="F183" s="31" t="inlineStr">
        <is>
          <t>EEYCG24E0250160</t>
        </is>
      </c>
      <c r="G183" s="31">
        <f>LEFT(F183,10)</f>
        <v/>
      </c>
      <c r="H183" s="31">
        <f>MID(G183,3,2)</f>
        <v/>
      </c>
      <c r="I183" s="31">
        <f>VLOOKUP(H183,color!E:G,2,0)</f>
        <v/>
      </c>
      <c r="J183" s="31" t="n">
        <v>50</v>
      </c>
      <c r="K183" s="31">
        <f>VLOOKUP(J183,color!A:C,2,0)</f>
        <v/>
      </c>
      <c r="L183" s="31" t="n">
        <v>1</v>
      </c>
      <c r="M183" s="31">
        <f>VLOOKUP(F183,'卖场库存0422-0512'!M:R,5,0)</f>
        <v/>
      </c>
      <c r="N183" s="31">
        <f>VLOOKUP(F183,'卖场库存0422-0512'!M:S,6,0)</f>
        <v/>
      </c>
      <c r="O183" s="31" t="inlineStr">
        <is>
          <t>Sleeve out</t>
        </is>
      </c>
      <c r="P183" s="30">
        <f>VLOOKUP(F183,'卖场库存0422-0512'!M:S,7,0)</f>
        <v/>
      </c>
      <c r="Q183" s="31">
        <f>VLOOKUP(H183,color!E:G,3,0)</f>
        <v/>
      </c>
    </row>
    <row r="184">
      <c r="A184" s="31" t="n">
        <v>182</v>
      </c>
      <c r="B184" s="22" t="inlineStr">
        <is>
          <t>F010</t>
        </is>
      </c>
      <c r="C184" s="31" t="inlineStr">
        <is>
          <t>FACE 010</t>
        </is>
      </c>
      <c r="D184" s="31">
        <f>LEFT(C184,4)</f>
        <v/>
      </c>
      <c r="E184" s="29" t="inlineStr">
        <is>
          <t>여성존</t>
        </is>
      </c>
      <c r="F184" s="31" t="inlineStr">
        <is>
          <t>EEYCG24E0250165</t>
        </is>
      </c>
      <c r="G184" s="31">
        <f>LEFT(F184,10)</f>
        <v/>
      </c>
      <c r="H184" s="31">
        <f>MID(G184,3,2)</f>
        <v/>
      </c>
      <c r="I184" s="31">
        <f>VLOOKUP(H184,color!E:G,2,0)</f>
        <v/>
      </c>
      <c r="J184" s="31" t="n">
        <v>50</v>
      </c>
      <c r="K184" s="31">
        <f>VLOOKUP(J184,color!A:C,2,0)</f>
        <v/>
      </c>
      <c r="L184" s="31" t="n">
        <v>1</v>
      </c>
      <c r="M184" s="31">
        <f>VLOOKUP(F184,'卖场库存0422-0512'!M:R,5,0)</f>
        <v/>
      </c>
      <c r="N184" s="31">
        <f>VLOOKUP(F184,'卖场库存0422-0512'!M:S,6,0)</f>
        <v/>
      </c>
      <c r="O184" s="31" t="inlineStr">
        <is>
          <t>Sleeve out</t>
        </is>
      </c>
      <c r="P184" s="30">
        <f>VLOOKUP(F184,'卖场库存0422-0512'!M:S,7,0)</f>
        <v/>
      </c>
      <c r="Q184" s="31">
        <f>VLOOKUP(H184,color!E:G,3,0)</f>
        <v/>
      </c>
    </row>
    <row r="185">
      <c r="A185" s="31" t="n">
        <v>183</v>
      </c>
      <c r="B185" s="22" t="inlineStr">
        <is>
          <t>F010</t>
        </is>
      </c>
      <c r="C185" s="31" t="inlineStr">
        <is>
          <t>FACE 010</t>
        </is>
      </c>
      <c r="D185" s="31">
        <f>LEFT(C185,4)</f>
        <v/>
      </c>
      <c r="E185" s="29" t="inlineStr">
        <is>
          <t>여성존</t>
        </is>
      </c>
      <c r="F185" s="31" t="inlineStr">
        <is>
          <t>EETJG23E0755025</t>
        </is>
      </c>
      <c r="G185" s="31">
        <f>LEFT(F185,10)</f>
        <v/>
      </c>
      <c r="H185" s="31">
        <f>MID(G185,3,2)</f>
        <v/>
      </c>
      <c r="I185" s="31">
        <f>VLOOKUP(H185,color!E:G,2,0)</f>
        <v/>
      </c>
      <c r="J185" s="31" t="n">
        <v>55</v>
      </c>
      <c r="K185" s="31">
        <f>VLOOKUP(J185,color!A:C,2,0)</f>
        <v/>
      </c>
      <c r="L185" s="31" t="n">
        <v>1</v>
      </c>
      <c r="M185" s="31">
        <f>VLOOKUP(F185,'卖场库存0422-0512'!M:R,5,0)</f>
        <v/>
      </c>
      <c r="N185" s="31">
        <f>VLOOKUP(F185,'卖场库存0422-0512'!M:S,6,0)</f>
        <v/>
      </c>
      <c r="O185" s="31" t="inlineStr">
        <is>
          <t>Sleeve out</t>
        </is>
      </c>
      <c r="P185" s="30">
        <f>VLOOKUP(F185,'卖场库存0422-0512'!M:S,7,0)</f>
        <v/>
      </c>
      <c r="Q185" s="31">
        <f>VLOOKUP(H185,color!E:G,3,0)</f>
        <v/>
      </c>
    </row>
    <row r="186">
      <c r="A186" s="31" t="n">
        <v>184</v>
      </c>
      <c r="B186" s="22" t="inlineStr">
        <is>
          <t>F010</t>
        </is>
      </c>
      <c r="C186" s="31" t="inlineStr">
        <is>
          <t>FACE 010</t>
        </is>
      </c>
      <c r="D186" s="31">
        <f>LEFT(C186,4)</f>
        <v/>
      </c>
      <c r="E186" s="29" t="inlineStr">
        <is>
          <t>여성존</t>
        </is>
      </c>
      <c r="F186" s="31" t="inlineStr">
        <is>
          <t>EETJG23E0755027</t>
        </is>
      </c>
      <c r="G186" s="31">
        <f>LEFT(F186,10)</f>
        <v/>
      </c>
      <c r="H186" s="31">
        <f>MID(G186,3,2)</f>
        <v/>
      </c>
      <c r="I186" s="31">
        <f>VLOOKUP(H186,color!E:G,2,0)</f>
        <v/>
      </c>
      <c r="J186" s="31" t="n">
        <v>55</v>
      </c>
      <c r="K186" s="31">
        <f>VLOOKUP(J186,color!A:C,2,0)</f>
        <v/>
      </c>
      <c r="L186" s="31" t="n">
        <v>1</v>
      </c>
      <c r="M186" s="31">
        <f>VLOOKUP(F186,'卖场库存0422-0512'!M:R,5,0)</f>
        <v/>
      </c>
      <c r="N186" s="31">
        <f>VLOOKUP(F186,'卖场库存0422-0512'!M:S,6,0)</f>
        <v/>
      </c>
      <c r="O186" s="31" t="inlineStr">
        <is>
          <t>Sleeve out</t>
        </is>
      </c>
      <c r="P186" s="30">
        <f>VLOOKUP(F186,'卖场库存0422-0512'!M:S,7,0)</f>
        <v/>
      </c>
      <c r="Q186" s="31">
        <f>VLOOKUP(H186,color!E:G,3,0)</f>
        <v/>
      </c>
    </row>
    <row r="187">
      <c r="A187" s="31" t="n">
        <v>185</v>
      </c>
      <c r="B187" s="22" t="inlineStr">
        <is>
          <t>F010</t>
        </is>
      </c>
      <c r="C187" s="31" t="inlineStr">
        <is>
          <t>FACE 010</t>
        </is>
      </c>
      <c r="D187" s="31">
        <f>LEFT(C187,4)</f>
        <v/>
      </c>
      <c r="E187" s="29" t="inlineStr">
        <is>
          <t>여성존</t>
        </is>
      </c>
      <c r="F187" s="31" t="inlineStr">
        <is>
          <t>EERAG23B0451160</t>
        </is>
      </c>
      <c r="G187" s="31">
        <f>LEFT(F187,10)</f>
        <v/>
      </c>
      <c r="H187" s="31">
        <f>MID(G187,3,2)</f>
        <v/>
      </c>
      <c r="I187" s="31">
        <f>VLOOKUP(H187,color!E:G,2,0)</f>
        <v/>
      </c>
      <c r="J187" s="31" t="n">
        <v>51</v>
      </c>
      <c r="K187" s="31">
        <f>VLOOKUP(J187,color!A:C,2,0)</f>
        <v/>
      </c>
      <c r="L187" s="31" t="n">
        <v>1</v>
      </c>
      <c r="M187" s="31">
        <f>VLOOKUP(F187,'卖场库存0422-0512'!M:R,5,0)</f>
        <v/>
      </c>
      <c r="N187" s="31">
        <f>VLOOKUP(F187,'卖场库存0422-0512'!M:S,6,0)</f>
        <v/>
      </c>
      <c r="O187" s="31" t="inlineStr">
        <is>
          <t>Sleeve out</t>
        </is>
      </c>
      <c r="P187" s="30">
        <f>VLOOKUP(F187,'卖场库存0422-0512'!M:S,7,0)</f>
        <v/>
      </c>
      <c r="Q187" s="31">
        <f>VLOOKUP(H187,color!E:G,3,0)</f>
        <v/>
      </c>
    </row>
    <row r="188">
      <c r="A188" s="31" t="n">
        <v>186</v>
      </c>
      <c r="B188" s="22" t="inlineStr">
        <is>
          <t>F010</t>
        </is>
      </c>
      <c r="C188" s="31" t="inlineStr">
        <is>
          <t>FACE 010</t>
        </is>
      </c>
      <c r="D188" s="31">
        <f>LEFT(C188,4)</f>
        <v/>
      </c>
      <c r="E188" s="29" t="inlineStr">
        <is>
          <t>여성존</t>
        </is>
      </c>
      <c r="F188" s="31" t="inlineStr">
        <is>
          <t>EETCG23E1G49030</t>
        </is>
      </c>
      <c r="G188" s="31">
        <f>LEFT(F188,10)</f>
        <v/>
      </c>
      <c r="H188" s="31">
        <f>MID(G188,3,2)</f>
        <v/>
      </c>
      <c r="I188" s="31">
        <f>VLOOKUP(H188,color!E:G,2,0)</f>
        <v/>
      </c>
      <c r="J188" s="31" t="n">
        <v>49</v>
      </c>
      <c r="K188" s="31">
        <f>VLOOKUP(J188,color!A:C,2,0)</f>
        <v/>
      </c>
      <c r="L188" s="31" t="n">
        <v>1</v>
      </c>
      <c r="M188" s="31">
        <f>VLOOKUP(F188,'卖场库存0422-0512'!M:R,5,0)</f>
        <v/>
      </c>
      <c r="N188" s="31">
        <f>VLOOKUP(F188,'卖场库存0422-0512'!M:S,6,0)</f>
        <v/>
      </c>
      <c r="O188" s="31" t="inlineStr">
        <is>
          <t>Sleeve out</t>
        </is>
      </c>
      <c r="P188" s="30">
        <f>VLOOKUP(F188,'卖场库存0422-0512'!M:S,7,0)</f>
        <v/>
      </c>
      <c r="Q188" s="31">
        <f>VLOOKUP(H188,color!E:G,3,0)</f>
        <v/>
      </c>
    </row>
    <row r="189">
      <c r="A189" s="31" t="n">
        <v>187</v>
      </c>
      <c r="B189" s="22" t="inlineStr">
        <is>
          <t>F011</t>
        </is>
      </c>
      <c r="C189" s="31" t="inlineStr">
        <is>
          <t>FACE 011</t>
        </is>
      </c>
      <c r="D189" s="31">
        <f>LEFT(C189,4)</f>
        <v/>
      </c>
      <c r="E189" s="33" t="inlineStr">
        <is>
          <t>남성존</t>
        </is>
      </c>
      <c r="F189" s="31" t="inlineStr">
        <is>
          <t>EEYWG25E2G10170</t>
        </is>
      </c>
      <c r="G189" s="31">
        <f>LEFT(F189,10)</f>
        <v/>
      </c>
      <c r="H189" s="31">
        <f>MID(G189,3,2)</f>
        <v/>
      </c>
      <c r="I189" s="31">
        <f>VLOOKUP(H189,color!E:G,2,0)</f>
        <v/>
      </c>
      <c r="J189" s="31" t="n">
        <v>10</v>
      </c>
      <c r="K189" s="31">
        <f>VLOOKUP(J189,color!A:C,2,0)</f>
        <v/>
      </c>
      <c r="L189" s="31" t="n">
        <v>1</v>
      </c>
      <c r="M189" s="31">
        <f>VLOOKUP(F189,'卖场库存0422-0512'!M:R,5,0)</f>
        <v/>
      </c>
      <c r="N189" s="31">
        <f>VLOOKUP(F189,'卖场库存0422-0512'!M:S,6,0)</f>
        <v/>
      </c>
      <c r="O189" s="31" t="inlineStr">
        <is>
          <t>Sleeve out</t>
        </is>
      </c>
      <c r="P189" s="30">
        <f>VLOOKUP(F189,'卖场库存0422-0512'!M:S,7,0)</f>
        <v/>
      </c>
      <c r="Q189" s="31">
        <f>VLOOKUP(H189,color!E:G,3,0)</f>
        <v/>
      </c>
    </row>
    <row r="190">
      <c r="A190" s="31" t="n">
        <v>188</v>
      </c>
      <c r="B190" s="22" t="inlineStr">
        <is>
          <t>F011</t>
        </is>
      </c>
      <c r="C190" s="31" t="inlineStr">
        <is>
          <t>FACE 011</t>
        </is>
      </c>
      <c r="D190" s="31">
        <f>LEFT(C190,4)</f>
        <v/>
      </c>
      <c r="E190" s="33" t="inlineStr">
        <is>
          <t>남성존</t>
        </is>
      </c>
      <c r="F190" s="31" t="inlineStr">
        <is>
          <t>EEYWG25E1G35175</t>
        </is>
      </c>
      <c r="G190" s="31">
        <f>LEFT(F190,10)</f>
        <v/>
      </c>
      <c r="H190" s="31">
        <f>MID(G190,3,2)</f>
        <v/>
      </c>
      <c r="I190" s="31">
        <f>VLOOKUP(H190,color!E:G,2,0)</f>
        <v/>
      </c>
      <c r="J190" s="31" t="n">
        <v>35</v>
      </c>
      <c r="K190" s="31">
        <f>VLOOKUP(J190,color!A:C,2,0)</f>
        <v/>
      </c>
      <c r="L190" s="31" t="n">
        <v>1</v>
      </c>
      <c r="M190" s="31">
        <f>VLOOKUP(F190,'卖场库存0422-0512'!M:R,5,0)</f>
        <v/>
      </c>
      <c r="N190" s="31">
        <f>VLOOKUP(F190,'卖场库存0422-0512'!M:S,6,0)</f>
        <v/>
      </c>
      <c r="O190" s="31" t="inlineStr">
        <is>
          <t>Sleeve out</t>
        </is>
      </c>
      <c r="P190" s="30">
        <f>VLOOKUP(F190,'卖场库存0422-0512'!M:S,7,0)</f>
        <v/>
      </c>
      <c r="Q190" s="31">
        <f>VLOOKUP(H190,color!E:G,3,0)</f>
        <v/>
      </c>
    </row>
    <row r="191">
      <c r="A191" s="31" t="n">
        <v>189</v>
      </c>
      <c r="B191" s="22" t="inlineStr">
        <is>
          <t>F011</t>
        </is>
      </c>
      <c r="C191" s="31" t="inlineStr">
        <is>
          <t>FACE 011</t>
        </is>
      </c>
      <c r="D191" s="31">
        <f>LEFT(C191,4)</f>
        <v/>
      </c>
      <c r="E191" s="33" t="inlineStr">
        <is>
          <t>남성존</t>
        </is>
      </c>
      <c r="F191" s="31" t="inlineStr">
        <is>
          <t>EEYWG25E3G59170</t>
        </is>
      </c>
      <c r="G191" s="31">
        <f>LEFT(F191,10)</f>
        <v/>
      </c>
      <c r="H191" s="31">
        <f>MID(G191,3,2)</f>
        <v/>
      </c>
      <c r="I191" s="31">
        <f>VLOOKUP(H191,color!E:G,2,0)</f>
        <v/>
      </c>
      <c r="J191" s="31" t="n">
        <v>59</v>
      </c>
      <c r="K191" s="31">
        <f>VLOOKUP(J191,color!A:C,2,0)</f>
        <v/>
      </c>
      <c r="L191" s="31" t="n">
        <v>1</v>
      </c>
      <c r="M191" s="31">
        <f>VLOOKUP(F191,'卖场库存0422-0512'!M:R,5,0)</f>
        <v/>
      </c>
      <c r="N191" s="31">
        <f>VLOOKUP(F191,'卖场库存0422-0512'!M:S,6,0)</f>
        <v/>
      </c>
      <c r="O191" s="31" t="inlineStr">
        <is>
          <t>Sleeve out</t>
        </is>
      </c>
      <c r="P191" s="30">
        <f>VLOOKUP(F191,'卖场库存0422-0512'!M:S,7,0)</f>
        <v/>
      </c>
      <c r="Q191" s="31">
        <f>VLOOKUP(H191,color!E:G,3,0)</f>
        <v/>
      </c>
    </row>
    <row r="192">
      <c r="A192" s="31" t="n">
        <v>190</v>
      </c>
      <c r="B192" s="22" t="inlineStr">
        <is>
          <t>F011</t>
        </is>
      </c>
      <c r="C192" s="31" t="inlineStr">
        <is>
          <t>FACE 011</t>
        </is>
      </c>
      <c r="D192" s="31">
        <f>LEFT(C192,4)</f>
        <v/>
      </c>
      <c r="E192" s="33" t="inlineStr">
        <is>
          <t>남성존</t>
        </is>
      </c>
      <c r="F192" s="31" t="inlineStr">
        <is>
          <t>EETCG23E1G59032</t>
        </is>
      </c>
      <c r="G192" s="31">
        <f>LEFT(F192,10)</f>
        <v/>
      </c>
      <c r="H192" s="31">
        <f>MID(G192,3,2)</f>
        <v/>
      </c>
      <c r="I192" s="31">
        <f>VLOOKUP(H192,color!E:G,2,0)</f>
        <v/>
      </c>
      <c r="J192" s="31" t="n">
        <v>59</v>
      </c>
      <c r="K192" s="31">
        <f>VLOOKUP(J192,color!A:C,2,0)</f>
        <v/>
      </c>
      <c r="L192" s="31" t="n">
        <v>1</v>
      </c>
      <c r="M192" s="31">
        <f>VLOOKUP(F192,'卖场库存0422-0512'!M:R,5,0)</f>
        <v/>
      </c>
      <c r="N192" s="31">
        <f>VLOOKUP(F192,'卖场库存0422-0512'!M:S,6,0)</f>
        <v/>
      </c>
      <c r="O192" s="31" t="inlineStr">
        <is>
          <t>Sleeve out</t>
        </is>
      </c>
      <c r="P192" s="30">
        <f>VLOOKUP(F192,'卖场库存0422-0512'!M:S,7,0)</f>
        <v/>
      </c>
      <c r="Q192" s="31">
        <f>VLOOKUP(H192,color!E:G,3,0)</f>
        <v/>
      </c>
    </row>
    <row r="193">
      <c r="A193" s="31" t="n">
        <v>191</v>
      </c>
      <c r="B193" s="22" t="inlineStr">
        <is>
          <t>F011</t>
        </is>
      </c>
      <c r="C193" s="31" t="inlineStr">
        <is>
          <t>FACE 011</t>
        </is>
      </c>
      <c r="D193" s="31">
        <f>LEFT(C193,4)</f>
        <v/>
      </c>
      <c r="E193" s="33" t="inlineStr">
        <is>
          <t>남성존</t>
        </is>
      </c>
      <c r="F193" s="31" t="inlineStr">
        <is>
          <t>EETCG23E1G59030</t>
        </is>
      </c>
      <c r="G193" s="31">
        <f>LEFT(F193,10)</f>
        <v/>
      </c>
      <c r="H193" s="31">
        <f>MID(G193,3,2)</f>
        <v/>
      </c>
      <c r="I193" s="31">
        <f>VLOOKUP(H193,color!E:G,2,0)</f>
        <v/>
      </c>
      <c r="J193" s="31" t="n">
        <v>59</v>
      </c>
      <c r="K193" s="31">
        <f>VLOOKUP(J193,color!A:C,2,0)</f>
        <v/>
      </c>
      <c r="L193" s="31" t="n">
        <v>1</v>
      </c>
      <c r="M193" s="31">
        <f>VLOOKUP(F193,'卖场库存0422-0512'!M:R,5,0)</f>
        <v/>
      </c>
      <c r="N193" s="31">
        <f>VLOOKUP(F193,'卖场库存0422-0512'!M:S,6,0)</f>
        <v/>
      </c>
      <c r="O193" s="31" t="inlineStr">
        <is>
          <t>Sleeve out</t>
        </is>
      </c>
      <c r="P193" s="30">
        <f>VLOOKUP(F193,'卖场库存0422-0512'!M:S,7,0)</f>
        <v/>
      </c>
      <c r="Q193" s="31">
        <f>VLOOKUP(H193,color!E:G,3,0)</f>
        <v/>
      </c>
    </row>
    <row r="194">
      <c r="A194" s="31" t="n">
        <v>192</v>
      </c>
      <c r="B194" s="22" t="inlineStr">
        <is>
          <t>F011</t>
        </is>
      </c>
      <c r="C194" s="31" t="inlineStr">
        <is>
          <t>FACE 011</t>
        </is>
      </c>
      <c r="D194" s="31">
        <f>LEFT(C194,4)</f>
        <v/>
      </c>
      <c r="E194" s="33" t="inlineStr">
        <is>
          <t>남성존</t>
        </is>
      </c>
      <c r="F194" s="31" t="inlineStr">
        <is>
          <t>EEYCG25B1G20170</t>
        </is>
      </c>
      <c r="G194" s="31">
        <f>LEFT(F194,10)</f>
        <v/>
      </c>
      <c r="H194" s="31">
        <f>MID(G194,3,2)</f>
        <v/>
      </c>
      <c r="I194" s="31">
        <f>VLOOKUP(H194,color!E:G,2,0)</f>
        <v/>
      </c>
      <c r="J194" s="31" t="n">
        <v>20</v>
      </c>
      <c r="K194" s="31">
        <f>VLOOKUP(J194,color!A:C,2,0)</f>
        <v/>
      </c>
      <c r="L194" s="31" t="n">
        <v>1</v>
      </c>
      <c r="M194" s="31">
        <f>VLOOKUP(F194,'卖场库存0422-0512'!M:R,5,0)</f>
        <v/>
      </c>
      <c r="N194" s="31">
        <f>VLOOKUP(F194,'卖场库存0422-0512'!M:S,6,0)</f>
        <v/>
      </c>
      <c r="O194" s="31" t="inlineStr">
        <is>
          <t>Sleeve out</t>
        </is>
      </c>
      <c r="P194" s="30">
        <f>VLOOKUP(F194,'卖场库存0422-0512'!M:S,7,0)</f>
        <v/>
      </c>
      <c r="Q194" s="31">
        <f>VLOOKUP(H194,color!E:G,3,0)</f>
        <v/>
      </c>
    </row>
    <row r="195">
      <c r="A195" s="31" t="n">
        <v>193</v>
      </c>
      <c r="B195" s="22" t="inlineStr">
        <is>
          <t>F011</t>
        </is>
      </c>
      <c r="C195" s="31" t="inlineStr">
        <is>
          <t>FACE 011</t>
        </is>
      </c>
      <c r="D195" s="31">
        <f>LEFT(C195,4)</f>
        <v/>
      </c>
      <c r="E195" s="33" t="inlineStr">
        <is>
          <t>남성존</t>
        </is>
      </c>
      <c r="F195" s="31" t="inlineStr">
        <is>
          <t>EERAG25B1G49170</t>
        </is>
      </c>
      <c r="G195" s="31">
        <f>LEFT(F195,10)</f>
        <v/>
      </c>
      <c r="H195" s="31">
        <f>MID(G195,3,2)</f>
        <v/>
      </c>
      <c r="I195" s="31">
        <f>VLOOKUP(H195,color!E:G,2,0)</f>
        <v/>
      </c>
      <c r="J195" s="31" t="n">
        <v>49</v>
      </c>
      <c r="K195" s="31">
        <f>VLOOKUP(J195,color!A:C,2,0)</f>
        <v/>
      </c>
      <c r="L195" s="31" t="n">
        <v>1</v>
      </c>
      <c r="M195" s="31">
        <f>VLOOKUP(F195,'卖场库存0422-0512'!M:R,5,0)</f>
        <v/>
      </c>
      <c r="N195" s="31">
        <f>VLOOKUP(F195,'卖场库存0422-0512'!M:S,6,0)</f>
        <v/>
      </c>
      <c r="O195" s="31" t="inlineStr">
        <is>
          <t>Sleeve out</t>
        </is>
      </c>
      <c r="P195" s="30">
        <f>VLOOKUP(F195,'卖场库存0422-0512'!M:S,7,0)</f>
        <v/>
      </c>
      <c r="Q195" s="31">
        <f>VLOOKUP(H195,color!E:G,3,0)</f>
        <v/>
      </c>
    </row>
    <row r="196">
      <c r="A196" s="31" t="n">
        <v>194</v>
      </c>
      <c r="B196" s="22" t="inlineStr">
        <is>
          <t>F011</t>
        </is>
      </c>
      <c r="C196" s="31" t="inlineStr">
        <is>
          <t>FACE 011</t>
        </is>
      </c>
      <c r="D196" s="31">
        <f>LEFT(C196,4)</f>
        <v/>
      </c>
      <c r="E196" s="33" t="inlineStr">
        <is>
          <t>남성존</t>
        </is>
      </c>
      <c r="F196" s="31" t="inlineStr">
        <is>
          <t>EEHWG23E1G10175</t>
        </is>
      </c>
      <c r="G196" s="31">
        <f>LEFT(F196,10)</f>
        <v/>
      </c>
      <c r="H196" s="31">
        <f>MID(G196,3,2)</f>
        <v/>
      </c>
      <c r="I196" s="31">
        <f>VLOOKUP(H196,color!E:G,2,0)</f>
        <v/>
      </c>
      <c r="J196" s="31" t="n">
        <v>10</v>
      </c>
      <c r="K196" s="31">
        <f>VLOOKUP(J196,color!A:C,2,0)</f>
        <v/>
      </c>
      <c r="L196" s="31" t="n">
        <v>1</v>
      </c>
      <c r="M196" s="31">
        <f>VLOOKUP(F196,'卖场库存0422-0512'!M:R,5,0)</f>
        <v/>
      </c>
      <c r="N196" s="31">
        <f>VLOOKUP(F196,'卖场库存0422-0512'!M:S,6,0)</f>
        <v/>
      </c>
      <c r="O196" s="31" t="inlineStr">
        <is>
          <t>Sleeve out</t>
        </is>
      </c>
      <c r="P196" s="30">
        <f>VLOOKUP(F196,'卖场库存0422-0512'!M:S,7,0)</f>
        <v/>
      </c>
      <c r="Q196" s="31">
        <f>VLOOKUP(H196,color!E:G,3,0)</f>
        <v/>
      </c>
    </row>
    <row r="197">
      <c r="A197" s="31" t="n">
        <v>195</v>
      </c>
      <c r="B197" s="22" t="inlineStr">
        <is>
          <t>F011</t>
        </is>
      </c>
      <c r="C197" s="31" t="inlineStr">
        <is>
          <t>FACE 011</t>
        </is>
      </c>
      <c r="D197" s="31">
        <f>LEFT(C197,4)</f>
        <v/>
      </c>
      <c r="E197" s="33" t="inlineStr">
        <is>
          <t>남성존</t>
        </is>
      </c>
      <c r="F197" s="31" t="inlineStr">
        <is>
          <t>EERAG25B1G49175</t>
        </is>
      </c>
      <c r="G197" s="31">
        <f>LEFT(F197,10)</f>
        <v/>
      </c>
      <c r="H197" s="31">
        <f>MID(G197,3,2)</f>
        <v/>
      </c>
      <c r="I197" s="31">
        <f>VLOOKUP(H197,color!E:G,2,0)</f>
        <v/>
      </c>
      <c r="J197" s="31" t="n">
        <v>49</v>
      </c>
      <c r="K197" s="31">
        <f>VLOOKUP(J197,color!A:C,2,0)</f>
        <v/>
      </c>
      <c r="L197" s="31" t="n">
        <v>1</v>
      </c>
      <c r="M197" s="31">
        <f>VLOOKUP(F197,'卖场库存0422-0512'!M:R,5,0)</f>
        <v/>
      </c>
      <c r="N197" s="31">
        <f>VLOOKUP(F197,'卖场库存0422-0512'!M:S,6,0)</f>
        <v/>
      </c>
      <c r="O197" s="31" t="inlineStr">
        <is>
          <t>Sleeve out</t>
        </is>
      </c>
      <c r="P197" s="30">
        <f>VLOOKUP(F197,'卖场库存0422-0512'!M:S,7,0)</f>
        <v/>
      </c>
      <c r="Q197" s="31">
        <f>VLOOKUP(H197,color!E:G,3,0)</f>
        <v/>
      </c>
    </row>
    <row r="198">
      <c r="A198" s="31" t="n">
        <v>196</v>
      </c>
      <c r="B198" s="22" t="inlineStr">
        <is>
          <t>F011</t>
        </is>
      </c>
      <c r="C198" s="31" t="inlineStr">
        <is>
          <t>FACE 011</t>
        </is>
      </c>
      <c r="D198" s="31">
        <f>LEFT(C198,4)</f>
        <v/>
      </c>
      <c r="E198" s="33" t="inlineStr">
        <is>
          <t>남성존</t>
        </is>
      </c>
      <c r="F198" s="31" t="inlineStr">
        <is>
          <t>EEHWG23E1G59175</t>
        </is>
      </c>
      <c r="G198" s="31">
        <f>LEFT(F198,10)</f>
        <v/>
      </c>
      <c r="H198" s="31">
        <f>MID(G198,3,2)</f>
        <v/>
      </c>
      <c r="I198" s="31">
        <f>VLOOKUP(H198,color!E:G,2,0)</f>
        <v/>
      </c>
      <c r="J198" s="31" t="n">
        <v>59</v>
      </c>
      <c r="K198" s="31">
        <f>VLOOKUP(J198,color!A:C,2,0)</f>
        <v/>
      </c>
      <c r="L198" s="31" t="n">
        <v>1</v>
      </c>
      <c r="M198" s="31">
        <f>VLOOKUP(F198,'卖场库存0422-0512'!M:R,5,0)</f>
        <v/>
      </c>
      <c r="N198" s="31">
        <f>VLOOKUP(F198,'卖场库存0422-0512'!M:S,6,0)</f>
        <v/>
      </c>
      <c r="O198" s="31" t="inlineStr">
        <is>
          <t>Sleeve out</t>
        </is>
      </c>
      <c r="P198" s="30">
        <f>VLOOKUP(F198,'卖场库存0422-0512'!M:S,7,0)</f>
        <v/>
      </c>
      <c r="Q198" s="31">
        <f>VLOOKUP(H198,color!E:G,3,0)</f>
        <v/>
      </c>
    </row>
    <row r="199">
      <c r="A199" s="31" t="n">
        <v>197</v>
      </c>
      <c r="B199" s="22" t="inlineStr">
        <is>
          <t>F011</t>
        </is>
      </c>
      <c r="C199" s="31" t="inlineStr">
        <is>
          <t>FACE 011</t>
        </is>
      </c>
      <c r="D199" s="31">
        <f>LEFT(C199,4)</f>
        <v/>
      </c>
      <c r="E199" s="33" t="inlineStr">
        <is>
          <t>남성존</t>
        </is>
      </c>
      <c r="F199" s="31" t="inlineStr">
        <is>
          <t>EEHWG23E1G25175</t>
        </is>
      </c>
      <c r="G199" s="31">
        <f>LEFT(F199,10)</f>
        <v/>
      </c>
      <c r="H199" s="31">
        <f>MID(G199,3,2)</f>
        <v/>
      </c>
      <c r="I199" s="31">
        <f>VLOOKUP(H199,color!E:G,2,0)</f>
        <v/>
      </c>
      <c r="J199" s="31" t="n">
        <v>25</v>
      </c>
      <c r="K199" s="31">
        <f>VLOOKUP(J199,color!A:C,2,0)</f>
        <v/>
      </c>
      <c r="L199" s="31" t="n">
        <v>1</v>
      </c>
      <c r="M199" s="31">
        <f>VLOOKUP(F199,'卖场库存0422-0512'!M:R,5,0)</f>
        <v/>
      </c>
      <c r="N199" s="31">
        <f>VLOOKUP(F199,'卖场库存0422-0512'!M:S,6,0)</f>
        <v/>
      </c>
      <c r="O199" s="31" t="inlineStr">
        <is>
          <t>Sleeve out</t>
        </is>
      </c>
      <c r="P199" s="30">
        <f>VLOOKUP(F199,'卖场库存0422-0512'!M:S,7,0)</f>
        <v/>
      </c>
      <c r="Q199" s="31">
        <f>VLOOKUP(H199,color!E:G,3,0)</f>
        <v/>
      </c>
    </row>
    <row r="200">
      <c r="A200" s="31" t="n">
        <v>198</v>
      </c>
      <c r="B200" s="22" t="inlineStr">
        <is>
          <t>F011</t>
        </is>
      </c>
      <c r="C200" s="31" t="inlineStr">
        <is>
          <t>FACE 011</t>
        </is>
      </c>
      <c r="D200" s="31">
        <f>LEFT(C200,4)</f>
        <v/>
      </c>
      <c r="E200" s="33" t="inlineStr">
        <is>
          <t>남성존</t>
        </is>
      </c>
      <c r="F200" s="31" t="inlineStr">
        <is>
          <t>EEYWG25E3G25175</t>
        </is>
      </c>
      <c r="G200" s="31">
        <f>LEFT(F200,10)</f>
        <v/>
      </c>
      <c r="H200" s="31">
        <f>MID(G200,3,2)</f>
        <v/>
      </c>
      <c r="I200" s="31">
        <f>VLOOKUP(H200,color!E:G,2,0)</f>
        <v/>
      </c>
      <c r="J200" s="31" t="n">
        <v>25</v>
      </c>
      <c r="K200" s="31">
        <f>VLOOKUP(J200,color!A:C,2,0)</f>
        <v/>
      </c>
      <c r="L200" s="31" t="n">
        <v>1</v>
      </c>
      <c r="M200" s="31">
        <f>VLOOKUP(F200,'卖场库存0422-0512'!M:R,5,0)</f>
        <v/>
      </c>
      <c r="N200" s="31">
        <f>VLOOKUP(F200,'卖场库存0422-0512'!M:S,6,0)</f>
        <v/>
      </c>
      <c r="O200" s="31" t="inlineStr">
        <is>
          <t>Sleeve out</t>
        </is>
      </c>
      <c r="P200" s="30">
        <f>VLOOKUP(F200,'卖场库存0422-0512'!M:S,7,0)</f>
        <v/>
      </c>
      <c r="Q200" s="31">
        <f>VLOOKUP(H200,color!E:G,3,0)</f>
        <v/>
      </c>
    </row>
    <row r="201">
      <c r="A201" s="31" t="n">
        <v>199</v>
      </c>
      <c r="B201" s="22" t="inlineStr">
        <is>
          <t>F011</t>
        </is>
      </c>
      <c r="C201" s="31" t="inlineStr">
        <is>
          <t>FACE 011</t>
        </is>
      </c>
      <c r="D201" s="31">
        <f>LEFT(C201,4)</f>
        <v/>
      </c>
      <c r="E201" s="33" t="inlineStr">
        <is>
          <t>남성존</t>
        </is>
      </c>
      <c r="F201" s="31" t="inlineStr">
        <is>
          <t>EEYSG25B1G25175</t>
        </is>
      </c>
      <c r="G201" s="31">
        <f>LEFT(F201,10)</f>
        <v/>
      </c>
      <c r="H201" s="31">
        <f>MID(G201,3,2)</f>
        <v/>
      </c>
      <c r="I201" s="31">
        <f>VLOOKUP(H201,color!E:G,2,0)</f>
        <v/>
      </c>
      <c r="J201" s="31" t="n">
        <v>25</v>
      </c>
      <c r="K201" s="31">
        <f>VLOOKUP(J201,color!A:C,2,0)</f>
        <v/>
      </c>
      <c r="L201" s="31" t="n">
        <v>1</v>
      </c>
      <c r="M201" s="31">
        <f>VLOOKUP(F201,'卖场库存0422-0512'!M:R,5,0)</f>
        <v/>
      </c>
      <c r="N201" s="31">
        <f>VLOOKUP(F201,'卖场库存0422-0512'!M:S,6,0)</f>
        <v/>
      </c>
      <c r="O201" s="31" t="inlineStr">
        <is>
          <t>Sleeve out</t>
        </is>
      </c>
      <c r="P201" s="30">
        <f>VLOOKUP(F201,'卖场库存0422-0512'!M:S,7,0)</f>
        <v/>
      </c>
      <c r="Q201" s="31">
        <f>VLOOKUP(H201,color!E:G,3,0)</f>
        <v/>
      </c>
    </row>
    <row r="202">
      <c r="A202" s="31" t="n">
        <v>200</v>
      </c>
      <c r="B202" s="22" t="inlineStr">
        <is>
          <t>F011</t>
        </is>
      </c>
      <c r="C202" s="31" t="inlineStr">
        <is>
          <t>FACE 011</t>
        </is>
      </c>
      <c r="D202" s="31">
        <f>LEFT(C202,4)</f>
        <v/>
      </c>
      <c r="E202" s="33" t="inlineStr">
        <is>
          <t>남성존</t>
        </is>
      </c>
      <c r="F202" s="31" t="inlineStr">
        <is>
          <t>EEYWG25E1G50175</t>
        </is>
      </c>
      <c r="G202" s="31">
        <f>LEFT(F202,10)</f>
        <v/>
      </c>
      <c r="H202" s="31">
        <f>MID(G202,3,2)</f>
        <v/>
      </c>
      <c r="I202" s="31">
        <f>VLOOKUP(H202,color!E:G,2,0)</f>
        <v/>
      </c>
      <c r="J202" s="31" t="n">
        <v>50</v>
      </c>
      <c r="K202" s="31">
        <f>VLOOKUP(J202,color!A:C,2,0)</f>
        <v/>
      </c>
      <c r="L202" s="31" t="n">
        <v>1</v>
      </c>
      <c r="M202" s="31">
        <f>VLOOKUP(F202,'卖场库存0422-0512'!M:R,5,0)</f>
        <v/>
      </c>
      <c r="N202" s="31">
        <f>VLOOKUP(F202,'卖场库存0422-0512'!M:S,6,0)</f>
        <v/>
      </c>
      <c r="O202" s="31" t="inlineStr">
        <is>
          <t>Sleeve out</t>
        </is>
      </c>
      <c r="P202" s="30">
        <f>VLOOKUP(F202,'卖场库存0422-0512'!M:S,7,0)</f>
        <v/>
      </c>
      <c r="Q202" s="31">
        <f>VLOOKUP(H202,color!E:G,3,0)</f>
        <v/>
      </c>
    </row>
    <row r="203">
      <c r="A203" s="31" t="n">
        <v>201</v>
      </c>
      <c r="B203" s="22" t="inlineStr">
        <is>
          <t>F011</t>
        </is>
      </c>
      <c r="C203" s="31" t="inlineStr">
        <is>
          <t>FACE 011</t>
        </is>
      </c>
      <c r="D203" s="31">
        <f>LEFT(C203,4)</f>
        <v/>
      </c>
      <c r="E203" s="33" t="inlineStr">
        <is>
          <t>남성존</t>
        </is>
      </c>
      <c r="F203" s="31" t="inlineStr">
        <is>
          <t>EEYWG25E1G50170</t>
        </is>
      </c>
      <c r="G203" s="31">
        <f>LEFT(F203,10)</f>
        <v/>
      </c>
      <c r="H203" s="31">
        <f>MID(G203,3,2)</f>
        <v/>
      </c>
      <c r="I203" s="31">
        <f>VLOOKUP(H203,color!E:G,2,0)</f>
        <v/>
      </c>
      <c r="J203" s="31" t="n">
        <v>50</v>
      </c>
      <c r="K203" s="31">
        <f>VLOOKUP(J203,color!A:C,2,0)</f>
        <v/>
      </c>
      <c r="L203" s="31" t="n">
        <v>1</v>
      </c>
      <c r="M203" s="31">
        <f>VLOOKUP(F203,'卖场库存0422-0512'!M:R,5,0)</f>
        <v/>
      </c>
      <c r="N203" s="31">
        <f>VLOOKUP(F203,'卖场库存0422-0512'!M:S,6,0)</f>
        <v/>
      </c>
      <c r="O203" s="31" t="inlineStr">
        <is>
          <t>Sleeve out</t>
        </is>
      </c>
      <c r="P203" s="30">
        <f>VLOOKUP(F203,'卖场库存0422-0512'!M:S,7,0)</f>
        <v/>
      </c>
      <c r="Q203" s="31">
        <f>VLOOKUP(H203,color!E:G,3,0)</f>
        <v/>
      </c>
    </row>
    <row r="204">
      <c r="A204" s="31" t="n">
        <v>202</v>
      </c>
      <c r="B204" s="22" t="inlineStr">
        <is>
          <t>F011</t>
        </is>
      </c>
      <c r="C204" s="31" t="inlineStr">
        <is>
          <t>FACE 011</t>
        </is>
      </c>
      <c r="D204" s="31">
        <f>LEFT(C204,4)</f>
        <v/>
      </c>
      <c r="E204" s="33" t="inlineStr">
        <is>
          <t>남성존</t>
        </is>
      </c>
      <c r="F204" s="31" t="inlineStr">
        <is>
          <t>EEYSG25B1G50180</t>
        </is>
      </c>
      <c r="G204" s="31">
        <f>LEFT(F204,10)</f>
        <v/>
      </c>
      <c r="H204" s="31">
        <f>MID(G204,3,2)</f>
        <v/>
      </c>
      <c r="I204" s="31">
        <f>VLOOKUP(H204,color!E:G,2,0)</f>
        <v/>
      </c>
      <c r="J204" s="31" t="n">
        <v>50</v>
      </c>
      <c r="K204" s="31">
        <f>VLOOKUP(J204,color!A:C,2,0)</f>
        <v/>
      </c>
      <c r="L204" s="31" t="n">
        <v>1</v>
      </c>
      <c r="M204" s="31">
        <f>VLOOKUP(F204,'卖场库存0422-0512'!M:R,5,0)</f>
        <v/>
      </c>
      <c r="N204" s="31">
        <f>VLOOKUP(F204,'卖场库存0422-0512'!M:S,6,0)</f>
        <v/>
      </c>
      <c r="O204" s="31" t="inlineStr">
        <is>
          <t>Sleeve out</t>
        </is>
      </c>
      <c r="P204" s="30">
        <f>VLOOKUP(F204,'卖场库存0422-0512'!M:S,7,0)</f>
        <v/>
      </c>
      <c r="Q204" s="31">
        <f>VLOOKUP(H204,color!E:G,3,0)</f>
        <v/>
      </c>
    </row>
    <row r="205">
      <c r="A205" s="31" t="n">
        <v>203</v>
      </c>
      <c r="B205" s="22" t="inlineStr">
        <is>
          <t>F011</t>
        </is>
      </c>
      <c r="C205" s="31" t="inlineStr">
        <is>
          <t>FACE 011</t>
        </is>
      </c>
      <c r="D205" s="31">
        <f>LEFT(C205,4)</f>
        <v/>
      </c>
      <c r="E205" s="33" t="inlineStr">
        <is>
          <t>남성존</t>
        </is>
      </c>
      <c r="F205" s="31" t="inlineStr">
        <is>
          <t>EERSG25B1G40170</t>
        </is>
      </c>
      <c r="G205" s="31">
        <f>LEFT(F205,10)</f>
        <v/>
      </c>
      <c r="H205" s="31">
        <f>MID(G205,3,2)</f>
        <v/>
      </c>
      <c r="I205" s="31">
        <f>VLOOKUP(H205,color!E:G,2,0)</f>
        <v/>
      </c>
      <c r="J205" s="31" t="n">
        <v>40</v>
      </c>
      <c r="K205" s="31">
        <f>VLOOKUP(J205,color!A:C,2,0)</f>
        <v/>
      </c>
      <c r="L205" s="31" t="n">
        <v>1</v>
      </c>
      <c r="M205" s="31">
        <f>VLOOKUP(F205,'卖场库存0422-0512'!M:R,5,0)</f>
        <v/>
      </c>
      <c r="N205" s="31">
        <f>VLOOKUP(F205,'卖场库存0422-0512'!M:S,6,0)</f>
        <v/>
      </c>
      <c r="O205" s="31" t="inlineStr">
        <is>
          <t>Sleeve out</t>
        </is>
      </c>
      <c r="P205" s="30">
        <f>VLOOKUP(F205,'卖场库存0422-0512'!M:S,7,0)</f>
        <v/>
      </c>
      <c r="Q205" s="31">
        <f>VLOOKUP(H205,color!E:G,3,0)</f>
        <v/>
      </c>
    </row>
    <row r="206">
      <c r="A206" s="31" t="n">
        <v>204</v>
      </c>
      <c r="B206" s="22" t="inlineStr">
        <is>
          <t>F011</t>
        </is>
      </c>
      <c r="C206" s="31" t="inlineStr">
        <is>
          <t>FACE 011</t>
        </is>
      </c>
      <c r="D206" s="31">
        <f>LEFT(C206,4)</f>
        <v/>
      </c>
      <c r="E206" s="33" t="inlineStr">
        <is>
          <t>남성존</t>
        </is>
      </c>
      <c r="F206" s="31" t="inlineStr">
        <is>
          <t>EERSG25B1G40175</t>
        </is>
      </c>
      <c r="G206" s="31">
        <f>LEFT(F206,10)</f>
        <v/>
      </c>
      <c r="H206" s="31">
        <f>MID(G206,3,2)</f>
        <v/>
      </c>
      <c r="I206" s="31">
        <f>VLOOKUP(H206,color!E:G,2,0)</f>
        <v/>
      </c>
      <c r="J206" s="31" t="n">
        <v>40</v>
      </c>
      <c r="K206" s="31">
        <f>VLOOKUP(J206,color!A:C,2,0)</f>
        <v/>
      </c>
      <c r="L206" s="31" t="n">
        <v>1</v>
      </c>
      <c r="M206" s="31">
        <f>VLOOKUP(F206,'卖场库存0422-0512'!M:R,5,0)</f>
        <v/>
      </c>
      <c r="N206" s="31">
        <f>VLOOKUP(F206,'卖场库存0422-0512'!M:S,6,0)</f>
        <v/>
      </c>
      <c r="O206" s="31" t="inlineStr">
        <is>
          <t>Sleeve out</t>
        </is>
      </c>
      <c r="P206" s="30">
        <f>VLOOKUP(F206,'卖场库存0422-0512'!M:S,7,0)</f>
        <v/>
      </c>
      <c r="Q206" s="31">
        <f>VLOOKUP(H206,color!E:G,3,0)</f>
        <v/>
      </c>
    </row>
    <row r="207">
      <c r="A207" s="31" t="n">
        <v>205</v>
      </c>
      <c r="B207" s="22" t="inlineStr">
        <is>
          <t>F011</t>
        </is>
      </c>
      <c r="C207" s="31" t="inlineStr">
        <is>
          <t>FACE 011</t>
        </is>
      </c>
      <c r="D207" s="31">
        <f>LEFT(C207,4)</f>
        <v/>
      </c>
      <c r="E207" s="33" t="inlineStr">
        <is>
          <t>남성존</t>
        </is>
      </c>
      <c r="F207" s="31" t="inlineStr">
        <is>
          <t>EEHWG23E1G85175</t>
        </is>
      </c>
      <c r="G207" s="31">
        <f>LEFT(F207,10)</f>
        <v/>
      </c>
      <c r="H207" s="31">
        <f>MID(G207,3,2)</f>
        <v/>
      </c>
      <c r="I207" s="31">
        <f>VLOOKUP(H207,color!E:G,2,0)</f>
        <v/>
      </c>
      <c r="J207" s="31" t="n">
        <v>85</v>
      </c>
      <c r="K207" s="31">
        <f>VLOOKUP(J207,color!A:C,2,0)</f>
        <v/>
      </c>
      <c r="L207" s="31" t="n">
        <v>1</v>
      </c>
      <c r="M207" s="31">
        <f>VLOOKUP(F207,'卖场库存0422-0512'!M:R,5,0)</f>
        <v/>
      </c>
      <c r="N207" s="31">
        <f>VLOOKUP(F207,'卖场库存0422-0512'!M:S,6,0)</f>
        <v/>
      </c>
      <c r="O207" s="31" t="inlineStr">
        <is>
          <t>Sleeve out</t>
        </is>
      </c>
      <c r="P207" s="30">
        <f>VLOOKUP(F207,'卖场库存0422-0512'!M:S,7,0)</f>
        <v/>
      </c>
      <c r="Q207" s="31">
        <f>VLOOKUP(H207,color!E:G,3,0)</f>
        <v/>
      </c>
    </row>
    <row r="208">
      <c r="A208" s="31" t="n">
        <v>206</v>
      </c>
      <c r="B208" s="22" t="inlineStr">
        <is>
          <t>F011</t>
        </is>
      </c>
      <c r="C208" s="31" t="inlineStr">
        <is>
          <t>FACE 011</t>
        </is>
      </c>
      <c r="D208" s="31">
        <f>LEFT(C208,4)</f>
        <v/>
      </c>
      <c r="E208" s="33" t="inlineStr">
        <is>
          <t>남성존</t>
        </is>
      </c>
      <c r="F208" s="31" t="inlineStr">
        <is>
          <t>EEHWG25D2G85175</t>
        </is>
      </c>
      <c r="G208" s="31">
        <f>LEFT(F208,10)</f>
        <v/>
      </c>
      <c r="H208" s="31">
        <f>MID(G208,3,2)</f>
        <v/>
      </c>
      <c r="I208" s="31">
        <f>VLOOKUP(H208,color!E:G,2,0)</f>
        <v/>
      </c>
      <c r="J208" s="31" t="n">
        <v>85</v>
      </c>
      <c r="K208" s="31">
        <f>VLOOKUP(J208,color!A:C,2,0)</f>
        <v/>
      </c>
      <c r="L208" s="31" t="n">
        <v>1</v>
      </c>
      <c r="M208" s="31">
        <f>VLOOKUP(F208,'卖场库存0422-0512'!M:R,5,0)</f>
        <v/>
      </c>
      <c r="N208" s="31">
        <f>VLOOKUP(F208,'卖场库存0422-0512'!M:S,6,0)</f>
        <v/>
      </c>
      <c r="O208" s="31" t="inlineStr">
        <is>
          <t>Sleeve out</t>
        </is>
      </c>
      <c r="P208" s="30">
        <f>VLOOKUP(F208,'卖场库存0422-0512'!M:S,7,0)</f>
        <v/>
      </c>
      <c r="Q208" s="31">
        <f>VLOOKUP(H208,color!E:G,3,0)</f>
        <v/>
      </c>
    </row>
    <row r="209">
      <c r="A209" s="31" t="n">
        <v>207</v>
      </c>
      <c r="B209" s="22" t="inlineStr">
        <is>
          <t>F011</t>
        </is>
      </c>
      <c r="C209" s="31" t="inlineStr">
        <is>
          <t>FACE 011</t>
        </is>
      </c>
      <c r="D209" s="31">
        <f>LEFT(C209,4)</f>
        <v/>
      </c>
      <c r="E209" s="33" t="inlineStr">
        <is>
          <t>남성존</t>
        </is>
      </c>
      <c r="F209" s="31" t="inlineStr">
        <is>
          <t>EEYSG12E1G35175</t>
        </is>
      </c>
      <c r="G209" s="31">
        <f>LEFT(F209,10)</f>
        <v/>
      </c>
      <c r="H209" s="31">
        <f>MID(G209,3,2)</f>
        <v/>
      </c>
      <c r="I209" s="31">
        <f>VLOOKUP(H209,color!E:G,2,0)</f>
        <v/>
      </c>
      <c r="J209" s="31" t="n">
        <v>35</v>
      </c>
      <c r="K209" s="31">
        <f>VLOOKUP(J209,color!A:C,2,0)</f>
        <v/>
      </c>
      <c r="L209" s="31" t="n">
        <v>1</v>
      </c>
      <c r="M209" s="31">
        <f>VLOOKUP(F209,'卖场库存0422-0512'!M:R,5,0)</f>
        <v/>
      </c>
      <c r="N209" s="31">
        <f>VLOOKUP(F209,'卖场库存0422-0512'!M:S,6,0)</f>
        <v/>
      </c>
      <c r="O209" s="31" t="inlineStr">
        <is>
          <t>Sleeve out</t>
        </is>
      </c>
      <c r="P209" s="30">
        <f>VLOOKUP(F209,'卖场库存0422-0512'!M:S,7,0)</f>
        <v/>
      </c>
      <c r="Q209" s="31">
        <f>VLOOKUP(H209,color!E:G,3,0)</f>
        <v/>
      </c>
    </row>
    <row r="210">
      <c r="A210" s="31" t="n">
        <v>208</v>
      </c>
      <c r="B210" s="22" t="inlineStr">
        <is>
          <t>F011</t>
        </is>
      </c>
      <c r="C210" s="31" t="inlineStr">
        <is>
          <t>FACE 011</t>
        </is>
      </c>
      <c r="D210" s="31">
        <f>LEFT(C210,4)</f>
        <v/>
      </c>
      <c r="E210" s="33" t="inlineStr">
        <is>
          <t>남성존</t>
        </is>
      </c>
      <c r="F210" s="31" t="inlineStr">
        <is>
          <t>EERAG25B2G64175</t>
        </is>
      </c>
      <c r="G210" s="31">
        <f>LEFT(F210,10)</f>
        <v/>
      </c>
      <c r="H210" s="31">
        <f>MID(G210,3,2)</f>
        <v/>
      </c>
      <c r="I210" s="31">
        <f>VLOOKUP(H210,color!E:G,2,0)</f>
        <v/>
      </c>
      <c r="J210" s="31" t="n">
        <v>64</v>
      </c>
      <c r="K210" s="31">
        <f>VLOOKUP(J210,color!A:C,2,0)</f>
        <v/>
      </c>
      <c r="L210" s="31" t="n">
        <v>1</v>
      </c>
      <c r="M210" s="31">
        <f>VLOOKUP(F210,'卖场库存0422-0512'!M:R,5,0)</f>
        <v/>
      </c>
      <c r="N210" s="31">
        <f>VLOOKUP(F210,'卖场库存0422-0512'!M:S,6,0)</f>
        <v/>
      </c>
      <c r="O210" s="31" t="inlineStr">
        <is>
          <t>Sleeve out</t>
        </is>
      </c>
      <c r="P210" s="30">
        <f>VLOOKUP(F210,'卖场库存0422-0512'!M:S,7,0)</f>
        <v/>
      </c>
      <c r="Q210" s="31">
        <f>VLOOKUP(H210,color!E:G,3,0)</f>
        <v/>
      </c>
    </row>
    <row r="211">
      <c r="A211" s="31" t="n">
        <v>209</v>
      </c>
      <c r="B211" s="22" t="inlineStr">
        <is>
          <t>F011</t>
        </is>
      </c>
      <c r="C211" s="31" t="inlineStr">
        <is>
          <t>FACE 011</t>
        </is>
      </c>
      <c r="D211" s="31">
        <f>LEFT(C211,4)</f>
        <v/>
      </c>
      <c r="E211" s="33" t="inlineStr">
        <is>
          <t>남성존</t>
        </is>
      </c>
      <c r="F211" s="31" t="inlineStr">
        <is>
          <t>EEHWG23E1G40175</t>
        </is>
      </c>
      <c r="G211" s="31">
        <f>LEFT(F211,10)</f>
        <v/>
      </c>
      <c r="H211" s="31">
        <f>MID(G211,3,2)</f>
        <v/>
      </c>
      <c r="I211" s="31">
        <f>VLOOKUP(H211,color!E:G,2,0)</f>
        <v/>
      </c>
      <c r="J211" s="31" t="n">
        <v>40</v>
      </c>
      <c r="K211" s="31">
        <f>VLOOKUP(J211,color!A:C,2,0)</f>
        <v/>
      </c>
      <c r="L211" s="31" t="n">
        <v>1</v>
      </c>
      <c r="M211" s="31">
        <f>VLOOKUP(F211,'卖场库存0422-0512'!M:R,5,0)</f>
        <v/>
      </c>
      <c r="N211" s="31">
        <f>VLOOKUP(F211,'卖场库存0422-0512'!M:S,6,0)</f>
        <v/>
      </c>
      <c r="O211" s="31" t="inlineStr">
        <is>
          <t>Sleeve out</t>
        </is>
      </c>
      <c r="P211" s="30">
        <f>VLOOKUP(F211,'卖场库存0422-0512'!M:S,7,0)</f>
        <v/>
      </c>
      <c r="Q211" s="31">
        <f>VLOOKUP(H211,color!E:G,3,0)</f>
        <v/>
      </c>
    </row>
    <row r="212">
      <c r="A212" s="31" t="n">
        <v>210</v>
      </c>
      <c r="B212" s="22" t="inlineStr">
        <is>
          <t>F011</t>
        </is>
      </c>
      <c r="C212" s="31" t="inlineStr">
        <is>
          <t>FACE 011</t>
        </is>
      </c>
      <c r="D212" s="31">
        <f>LEFT(C212,4)</f>
        <v/>
      </c>
      <c r="E212" s="33" t="inlineStr">
        <is>
          <t>남성존</t>
        </is>
      </c>
      <c r="F212" s="31" t="inlineStr">
        <is>
          <t>EEYWG25E3G40170</t>
        </is>
      </c>
      <c r="G212" s="31">
        <f>LEFT(F212,10)</f>
        <v/>
      </c>
      <c r="H212" s="31">
        <f>MID(G212,3,2)</f>
        <v/>
      </c>
      <c r="I212" s="31">
        <f>VLOOKUP(H212,color!E:G,2,0)</f>
        <v/>
      </c>
      <c r="J212" s="31" t="n">
        <v>40</v>
      </c>
      <c r="K212" s="31">
        <f>VLOOKUP(J212,color!A:C,2,0)</f>
        <v/>
      </c>
      <c r="L212" s="31" t="n">
        <v>1</v>
      </c>
      <c r="M212" s="31">
        <f>VLOOKUP(F212,'卖场库存0422-0512'!M:R,5,0)</f>
        <v/>
      </c>
      <c r="N212" s="31">
        <f>VLOOKUP(F212,'卖场库存0422-0512'!M:S,6,0)</f>
        <v/>
      </c>
      <c r="O212" s="31" t="inlineStr">
        <is>
          <t>Sleeve out</t>
        </is>
      </c>
      <c r="P212" s="30">
        <f>VLOOKUP(F212,'卖场库存0422-0512'!M:S,7,0)</f>
        <v/>
      </c>
      <c r="Q212" s="31">
        <f>VLOOKUP(H212,color!E:G,3,0)</f>
        <v/>
      </c>
    </row>
    <row r="213">
      <c r="A213" s="31" t="n">
        <v>211</v>
      </c>
      <c r="B213" s="22" t="inlineStr">
        <is>
          <t>F011</t>
        </is>
      </c>
      <c r="C213" s="31" t="inlineStr">
        <is>
          <t>FACE 011</t>
        </is>
      </c>
      <c r="D213" s="31">
        <f>LEFT(C213,4)</f>
        <v/>
      </c>
      <c r="E213" s="33" t="inlineStr">
        <is>
          <t>남성존</t>
        </is>
      </c>
      <c r="F213" s="31" t="inlineStr">
        <is>
          <t>EEHWG23E1G10175</t>
        </is>
      </c>
      <c r="G213" s="31">
        <f>LEFT(F213,10)</f>
        <v/>
      </c>
      <c r="H213" s="31">
        <f>MID(G213,3,2)</f>
        <v/>
      </c>
      <c r="I213" s="31">
        <f>VLOOKUP(H213,color!E:G,2,0)</f>
        <v/>
      </c>
      <c r="J213" s="31" t="n">
        <v>10</v>
      </c>
      <c r="K213" s="31">
        <f>VLOOKUP(J213,color!A:C,2,0)</f>
        <v/>
      </c>
      <c r="L213" s="31" t="n">
        <v>1</v>
      </c>
      <c r="M213" s="31">
        <f>VLOOKUP(F213,'卖场库存0422-0512'!M:R,5,0)</f>
        <v/>
      </c>
      <c r="N213" s="31">
        <f>VLOOKUP(F213,'卖场库存0422-0512'!M:S,6,0)</f>
        <v/>
      </c>
      <c r="O213" s="31" t="inlineStr">
        <is>
          <t>Sleeve out</t>
        </is>
      </c>
      <c r="P213" s="30">
        <f>VLOOKUP(F213,'卖场库存0422-0512'!M:S,7,0)</f>
        <v/>
      </c>
      <c r="Q213" s="31">
        <f>VLOOKUP(H213,color!E:G,3,0)</f>
        <v/>
      </c>
    </row>
    <row r="214">
      <c r="A214" s="31" t="n">
        <v>212</v>
      </c>
      <c r="B214" s="22" t="inlineStr">
        <is>
          <t>F011</t>
        </is>
      </c>
      <c r="C214" s="31" t="inlineStr">
        <is>
          <t>FACE 011</t>
        </is>
      </c>
      <c r="D214" s="31">
        <f>LEFT(C214,4)</f>
        <v/>
      </c>
      <c r="E214" s="33" t="inlineStr">
        <is>
          <t>남성존</t>
        </is>
      </c>
      <c r="F214" s="31" t="inlineStr">
        <is>
          <t>EETCG23E1G35032</t>
        </is>
      </c>
      <c r="G214" s="31">
        <f>LEFT(F214,10)</f>
        <v/>
      </c>
      <c r="H214" s="31">
        <f>MID(G214,3,2)</f>
        <v/>
      </c>
      <c r="I214" s="31">
        <f>VLOOKUP(H214,color!E:G,2,0)</f>
        <v/>
      </c>
      <c r="J214" s="31" t="n">
        <v>35</v>
      </c>
      <c r="K214" s="31">
        <f>VLOOKUP(J214,color!A:C,2,0)</f>
        <v/>
      </c>
      <c r="L214" s="31" t="n">
        <v>1</v>
      </c>
      <c r="M214" s="31">
        <f>VLOOKUP(F214,'卖场库存0422-0512'!M:R,5,0)</f>
        <v/>
      </c>
      <c r="N214" s="31">
        <f>VLOOKUP(F214,'卖场库存0422-0512'!M:S,6,0)</f>
        <v/>
      </c>
      <c r="O214" s="31" t="inlineStr">
        <is>
          <t>Sleeve out</t>
        </is>
      </c>
      <c r="P214" s="30">
        <f>VLOOKUP(F214,'卖场库存0422-0512'!M:S,7,0)</f>
        <v/>
      </c>
      <c r="Q214" s="31">
        <f>VLOOKUP(H214,color!E:G,3,0)</f>
        <v/>
      </c>
    </row>
    <row r="215">
      <c r="A215" s="31" t="n">
        <v>213</v>
      </c>
      <c r="B215" s="22" t="inlineStr">
        <is>
          <t>F011</t>
        </is>
      </c>
      <c r="C215" s="31" t="inlineStr">
        <is>
          <t>FACE 011</t>
        </is>
      </c>
      <c r="D215" s="31">
        <f>LEFT(C215,4)</f>
        <v/>
      </c>
      <c r="E215" s="33" t="inlineStr">
        <is>
          <t>남성존</t>
        </is>
      </c>
      <c r="F215" s="31" t="inlineStr">
        <is>
          <t>EETCG23E1G35030</t>
        </is>
      </c>
      <c r="G215" s="31">
        <f>LEFT(F215,10)</f>
        <v/>
      </c>
      <c r="H215" s="31">
        <f>MID(G215,3,2)</f>
        <v/>
      </c>
      <c r="I215" s="31">
        <f>VLOOKUP(H215,color!E:G,2,0)</f>
        <v/>
      </c>
      <c r="J215" s="31" t="n">
        <v>35</v>
      </c>
      <c r="K215" s="31">
        <f>VLOOKUP(J215,color!A:C,2,0)</f>
        <v/>
      </c>
      <c r="L215" s="31" t="n">
        <v>1</v>
      </c>
      <c r="M215" s="31">
        <f>VLOOKUP(F215,'卖场库存0422-0512'!M:R,5,0)</f>
        <v/>
      </c>
      <c r="N215" s="31">
        <f>VLOOKUP(F215,'卖场库存0422-0512'!M:S,6,0)</f>
        <v/>
      </c>
      <c r="O215" s="31" t="inlineStr">
        <is>
          <t>Sleeve out</t>
        </is>
      </c>
      <c r="P215" s="30">
        <f>VLOOKUP(F215,'卖场库存0422-0512'!M:S,7,0)</f>
        <v/>
      </c>
      <c r="Q215" s="31">
        <f>VLOOKUP(H215,color!E:G,3,0)</f>
        <v/>
      </c>
    </row>
    <row r="216">
      <c r="A216" s="31" t="n">
        <v>214</v>
      </c>
      <c r="B216" s="22" t="inlineStr">
        <is>
          <t>F011</t>
        </is>
      </c>
      <c r="C216" s="31" t="inlineStr">
        <is>
          <t>FACE 011</t>
        </is>
      </c>
      <c r="D216" s="31">
        <f>LEFT(C216,4)</f>
        <v/>
      </c>
      <c r="E216" s="33" t="inlineStr">
        <is>
          <t>남성존</t>
        </is>
      </c>
      <c r="F216" s="31" t="inlineStr">
        <is>
          <t>EEYWG25E1G84180</t>
        </is>
      </c>
      <c r="G216" s="31">
        <f>LEFT(F216,10)</f>
        <v/>
      </c>
      <c r="H216" s="31">
        <f>MID(G216,3,2)</f>
        <v/>
      </c>
      <c r="I216" s="31">
        <f>VLOOKUP(H216,color!E:G,2,0)</f>
        <v/>
      </c>
      <c r="J216" s="31" t="n">
        <v>84</v>
      </c>
      <c r="K216" s="31">
        <f>VLOOKUP(J216,color!A:C,2,0)</f>
        <v/>
      </c>
      <c r="L216" s="31" t="n">
        <v>1</v>
      </c>
      <c r="M216" s="31">
        <f>VLOOKUP(F216,'卖场库存0422-0512'!M:R,5,0)</f>
        <v/>
      </c>
      <c r="N216" s="31">
        <f>VLOOKUP(F216,'卖场库存0422-0512'!M:S,6,0)</f>
        <v/>
      </c>
      <c r="O216" s="31" t="inlineStr">
        <is>
          <t>Sleeve out</t>
        </is>
      </c>
      <c r="P216" s="30">
        <f>VLOOKUP(F216,'卖场库存0422-0512'!M:S,7,0)</f>
        <v/>
      </c>
      <c r="Q216" s="31">
        <f>VLOOKUP(H216,color!E:G,3,0)</f>
        <v/>
      </c>
    </row>
    <row r="217">
      <c r="A217" s="31" t="n">
        <v>215</v>
      </c>
      <c r="B217" s="22" t="inlineStr">
        <is>
          <t>F011</t>
        </is>
      </c>
      <c r="C217" s="31" t="inlineStr">
        <is>
          <t>FACE 011</t>
        </is>
      </c>
      <c r="D217" s="31">
        <f>LEFT(C217,4)</f>
        <v/>
      </c>
      <c r="E217" s="33" t="inlineStr">
        <is>
          <t>남성존</t>
        </is>
      </c>
      <c r="F217" s="31" t="inlineStr">
        <is>
          <t>EEYWG25E1G35175</t>
        </is>
      </c>
      <c r="G217" s="31">
        <f>LEFT(F217,10)</f>
        <v/>
      </c>
      <c r="H217" s="31">
        <f>MID(G217,3,2)</f>
        <v/>
      </c>
      <c r="I217" s="31">
        <f>VLOOKUP(H217,color!E:G,2,0)</f>
        <v/>
      </c>
      <c r="J217" s="31" t="n">
        <v>35</v>
      </c>
      <c r="K217" s="31">
        <f>VLOOKUP(J217,color!A:C,2,0)</f>
        <v/>
      </c>
      <c r="L217" s="31" t="n">
        <v>1</v>
      </c>
      <c r="M217" s="31">
        <f>VLOOKUP(F217,'卖场库存0422-0512'!M:R,5,0)</f>
        <v/>
      </c>
      <c r="N217" s="31">
        <f>VLOOKUP(F217,'卖场库存0422-0512'!M:S,6,0)</f>
        <v/>
      </c>
      <c r="O217" s="31" t="inlineStr">
        <is>
          <t>Sleeve out</t>
        </is>
      </c>
      <c r="P217" s="30">
        <f>VLOOKUP(F217,'卖场库存0422-0512'!M:S,7,0)</f>
        <v/>
      </c>
      <c r="Q217" s="31">
        <f>VLOOKUP(H217,color!E:G,3,0)</f>
        <v/>
      </c>
    </row>
    <row r="218">
      <c r="A218" s="31" t="n">
        <v>216</v>
      </c>
      <c r="B218" s="22" t="inlineStr">
        <is>
          <t>F011</t>
        </is>
      </c>
      <c r="C218" s="31" t="inlineStr">
        <is>
          <t>FACE 011</t>
        </is>
      </c>
      <c r="D218" s="31">
        <f>LEFT(C218,4)</f>
        <v/>
      </c>
      <c r="E218" s="33" t="inlineStr">
        <is>
          <t>남성존</t>
        </is>
      </c>
      <c r="F218" s="31" t="inlineStr">
        <is>
          <t>EEYWG25E2G10170</t>
        </is>
      </c>
      <c r="G218" s="31">
        <f>LEFT(F218,10)</f>
        <v/>
      </c>
      <c r="H218" s="31">
        <f>MID(G218,3,2)</f>
        <v/>
      </c>
      <c r="I218" s="31">
        <f>VLOOKUP(H218,color!E:G,2,0)</f>
        <v/>
      </c>
      <c r="J218" s="31" t="n">
        <v>10</v>
      </c>
      <c r="K218" s="31">
        <f>VLOOKUP(J218,color!A:C,2,0)</f>
        <v/>
      </c>
      <c r="L218" s="31" t="n">
        <v>1</v>
      </c>
      <c r="M218" s="31">
        <f>VLOOKUP(F218,'卖场库存0422-0512'!M:R,5,0)</f>
        <v/>
      </c>
      <c r="N218" s="31">
        <f>VLOOKUP(F218,'卖场库存0422-0512'!M:S,6,0)</f>
        <v/>
      </c>
      <c r="O218" s="31" t="inlineStr">
        <is>
          <t>Sleeve out</t>
        </is>
      </c>
      <c r="P218" s="30">
        <f>VLOOKUP(F218,'卖场库存0422-0512'!M:S,7,0)</f>
        <v/>
      </c>
      <c r="Q218" s="31">
        <f>VLOOKUP(H218,color!E:G,3,0)</f>
        <v/>
      </c>
    </row>
    <row r="219">
      <c r="A219" s="31" t="n">
        <v>217</v>
      </c>
      <c r="B219" s="22" t="inlineStr">
        <is>
          <t>F012</t>
        </is>
      </c>
      <c r="C219" s="31" t="inlineStr">
        <is>
          <t>FACE 012</t>
        </is>
      </c>
      <c r="D219" s="31">
        <f>LEFT(C219,4)</f>
        <v/>
      </c>
      <c r="E219" s="33" t="inlineStr">
        <is>
          <t>남성존</t>
        </is>
      </c>
      <c r="F219" s="31" t="inlineStr">
        <is>
          <t>EEKWG23E2G49175</t>
        </is>
      </c>
      <c r="G219" s="31">
        <f>LEFT(F219,10)</f>
        <v/>
      </c>
      <c r="H219" s="31">
        <f>MID(G219,3,2)</f>
        <v/>
      </c>
      <c r="I219" s="31">
        <f>VLOOKUP(H219,color!E:G,2,0)</f>
        <v/>
      </c>
      <c r="J219" s="31" t="n">
        <v>49</v>
      </c>
      <c r="K219" s="31">
        <f>VLOOKUP(J219,color!A:C,2,0)</f>
        <v/>
      </c>
      <c r="L219" s="31" t="n">
        <v>1</v>
      </c>
      <c r="M219" s="31">
        <f>VLOOKUP(F219,'卖场库存0422-0512'!M:R,5,0)</f>
        <v/>
      </c>
      <c r="N219" s="31">
        <f>VLOOKUP(F219,'卖场库存0422-0512'!M:S,6,0)</f>
        <v/>
      </c>
      <c r="O219" s="31" t="inlineStr">
        <is>
          <t>Sleeve out</t>
        </is>
      </c>
      <c r="P219" s="30">
        <f>VLOOKUP(F219,'卖场库存0422-0512'!M:S,7,0)</f>
        <v/>
      </c>
      <c r="Q219" s="31">
        <f>VLOOKUP(H219,color!E:G,3,0)</f>
        <v/>
      </c>
    </row>
    <row r="220">
      <c r="A220" s="31" t="n">
        <v>218</v>
      </c>
      <c r="B220" s="22" t="inlineStr">
        <is>
          <t>F012</t>
        </is>
      </c>
      <c r="C220" s="31" t="inlineStr">
        <is>
          <t>FACE 012</t>
        </is>
      </c>
      <c r="D220" s="31">
        <f>LEFT(C220,4)</f>
        <v/>
      </c>
      <c r="E220" s="33" t="inlineStr">
        <is>
          <t>남성존</t>
        </is>
      </c>
      <c r="F220" s="31" t="inlineStr">
        <is>
          <t>EEKWG23E2G03175</t>
        </is>
      </c>
      <c r="G220" s="31">
        <f>LEFT(F220,10)</f>
        <v/>
      </c>
      <c r="H220" s="31">
        <f>MID(G220,3,2)</f>
        <v/>
      </c>
      <c r="I220" s="31">
        <f>VLOOKUP(H220,color!E:G,2,0)</f>
        <v/>
      </c>
      <c r="J220" s="31" t="n">
        <v>3</v>
      </c>
      <c r="K220" s="31">
        <f>VLOOKUP(J220,color!A:C,2,0)</f>
        <v/>
      </c>
      <c r="L220" s="31" t="n">
        <v>1</v>
      </c>
      <c r="M220" s="31">
        <f>VLOOKUP(F220,'卖场库存0422-0512'!M:R,5,0)</f>
        <v/>
      </c>
      <c r="N220" s="31">
        <f>VLOOKUP(F220,'卖场库存0422-0512'!M:S,6,0)</f>
        <v/>
      </c>
      <c r="O220" s="31" t="inlineStr">
        <is>
          <t>Sleeve out</t>
        </is>
      </c>
      <c r="P220" s="30">
        <f>VLOOKUP(F220,'卖场库存0422-0512'!M:S,7,0)</f>
        <v/>
      </c>
      <c r="Q220" s="31">
        <f>VLOOKUP(H220,color!E:G,3,0)</f>
        <v/>
      </c>
    </row>
    <row r="221">
      <c r="A221" s="31" t="n">
        <v>219</v>
      </c>
      <c r="B221" s="22" t="inlineStr">
        <is>
          <t>F012</t>
        </is>
      </c>
      <c r="C221" s="31" t="inlineStr">
        <is>
          <t>FACE 012</t>
        </is>
      </c>
      <c r="D221" s="31">
        <f>LEFT(C221,4)</f>
        <v/>
      </c>
      <c r="E221" s="33" t="inlineStr">
        <is>
          <t>남성존</t>
        </is>
      </c>
      <c r="F221" s="31" t="inlineStr">
        <is>
          <t>EEKWG23E2G10170</t>
        </is>
      </c>
      <c r="G221" s="31">
        <f>LEFT(F221,10)</f>
        <v/>
      </c>
      <c r="H221" s="31">
        <f>MID(G221,3,2)</f>
        <v/>
      </c>
      <c r="I221" s="31">
        <f>VLOOKUP(H221,color!E:G,2,0)</f>
        <v/>
      </c>
      <c r="J221" s="31" t="n">
        <v>10</v>
      </c>
      <c r="K221" s="31">
        <f>VLOOKUP(J221,color!A:C,2,0)</f>
        <v/>
      </c>
      <c r="L221" s="31" t="n">
        <v>1</v>
      </c>
      <c r="M221" s="31">
        <f>VLOOKUP(F221,'卖场库存0422-0512'!M:R,5,0)</f>
        <v/>
      </c>
      <c r="N221" s="31">
        <f>VLOOKUP(F221,'卖场库存0422-0512'!M:S,6,0)</f>
        <v/>
      </c>
      <c r="O221" s="31" t="inlineStr">
        <is>
          <t>Sleeve out</t>
        </is>
      </c>
      <c r="P221" s="30">
        <f>VLOOKUP(F221,'卖场库存0422-0512'!M:S,7,0)</f>
        <v/>
      </c>
      <c r="Q221" s="31">
        <f>VLOOKUP(H221,color!E:G,3,0)</f>
        <v/>
      </c>
    </row>
    <row r="222">
      <c r="A222" s="31" t="n">
        <v>220</v>
      </c>
      <c r="B222" s="22" t="inlineStr">
        <is>
          <t>F012</t>
        </is>
      </c>
      <c r="C222" s="31" t="inlineStr">
        <is>
          <t>FACE 012</t>
        </is>
      </c>
      <c r="D222" s="31">
        <f>LEFT(C222,4)</f>
        <v/>
      </c>
      <c r="E222" s="33" t="inlineStr">
        <is>
          <t>남성존</t>
        </is>
      </c>
      <c r="F222" s="31" t="inlineStr">
        <is>
          <t>EEKWG23E2G50175</t>
        </is>
      </c>
      <c r="G222" s="31">
        <f>LEFT(F222,10)</f>
        <v/>
      </c>
      <c r="H222" s="31">
        <f>MID(G222,3,2)</f>
        <v/>
      </c>
      <c r="I222" s="31">
        <f>VLOOKUP(H222,color!E:G,2,0)</f>
        <v/>
      </c>
      <c r="J222" s="31" t="n">
        <v>50</v>
      </c>
      <c r="K222" s="31">
        <f>VLOOKUP(J222,color!A:C,2,0)</f>
        <v/>
      </c>
      <c r="L222" s="31" t="n">
        <v>1</v>
      </c>
      <c r="M222" s="31">
        <f>VLOOKUP(F222,'卖场库存0422-0512'!M:R,5,0)</f>
        <v/>
      </c>
      <c r="N222" s="31">
        <f>VLOOKUP(F222,'卖场库存0422-0512'!M:S,6,0)</f>
        <v/>
      </c>
      <c r="O222" s="31" t="inlineStr">
        <is>
          <t>Sleeve out</t>
        </is>
      </c>
      <c r="P222" s="30">
        <f>VLOOKUP(F222,'卖场库存0422-0512'!M:S,7,0)</f>
        <v/>
      </c>
      <c r="Q222" s="31">
        <f>VLOOKUP(H222,color!E:G,3,0)</f>
        <v/>
      </c>
    </row>
    <row r="223">
      <c r="A223" s="31" t="n">
        <v>221</v>
      </c>
      <c r="B223" s="22" t="inlineStr">
        <is>
          <t>F012</t>
        </is>
      </c>
      <c r="C223" s="31" t="inlineStr">
        <is>
          <t>FACE 012</t>
        </is>
      </c>
      <c r="D223" s="31">
        <f>LEFT(C223,4)</f>
        <v/>
      </c>
      <c r="E223" s="33" t="inlineStr">
        <is>
          <t>남성존</t>
        </is>
      </c>
      <c r="F223" s="31" t="inlineStr">
        <is>
          <t>EEHWG25B1G10175</t>
        </is>
      </c>
      <c r="G223" s="31">
        <f>LEFT(F223,10)</f>
        <v/>
      </c>
      <c r="H223" s="31">
        <f>MID(G223,3,2)</f>
        <v/>
      </c>
      <c r="I223" s="31">
        <f>VLOOKUP(H223,color!E:G,2,0)</f>
        <v/>
      </c>
      <c r="J223" s="31" t="n">
        <v>10</v>
      </c>
      <c r="K223" s="31">
        <f>VLOOKUP(J223,color!A:C,2,0)</f>
        <v/>
      </c>
      <c r="L223" s="31" t="n">
        <v>1</v>
      </c>
      <c r="M223" s="31">
        <f>VLOOKUP(F223,'卖场库存0422-0512'!M:R,5,0)</f>
        <v/>
      </c>
      <c r="N223" s="31">
        <f>VLOOKUP(F223,'卖场库存0422-0512'!M:S,6,0)</f>
        <v/>
      </c>
      <c r="O223" s="31" t="inlineStr">
        <is>
          <t>Sleeve out</t>
        </is>
      </c>
      <c r="P223" s="30">
        <f>VLOOKUP(F223,'卖场库存0422-0512'!M:S,7,0)</f>
        <v/>
      </c>
      <c r="Q223" s="31">
        <f>VLOOKUP(H223,color!E:G,3,0)</f>
        <v/>
      </c>
    </row>
    <row r="224">
      <c r="A224" s="31" t="n">
        <v>222</v>
      </c>
      <c r="B224" s="22" t="inlineStr">
        <is>
          <t>F012</t>
        </is>
      </c>
      <c r="C224" s="31" t="inlineStr">
        <is>
          <t>FACE 012</t>
        </is>
      </c>
      <c r="D224" s="31">
        <f>LEFT(C224,4)</f>
        <v/>
      </c>
      <c r="E224" s="33" t="inlineStr">
        <is>
          <t>남성존</t>
        </is>
      </c>
      <c r="F224" s="31" t="inlineStr">
        <is>
          <t>EERAG23B2G59175</t>
        </is>
      </c>
      <c r="G224" s="31">
        <f>LEFT(F224,10)</f>
        <v/>
      </c>
      <c r="H224" s="31">
        <f>MID(G224,3,2)</f>
        <v/>
      </c>
      <c r="I224" s="31">
        <f>VLOOKUP(H224,color!E:G,2,0)</f>
        <v/>
      </c>
      <c r="J224" s="31" t="n">
        <v>59</v>
      </c>
      <c r="K224" s="31">
        <f>VLOOKUP(J224,color!A:C,2,0)</f>
        <v/>
      </c>
      <c r="L224" s="31" t="n">
        <v>1</v>
      </c>
      <c r="M224" s="31">
        <f>VLOOKUP(F224,'卖场库存0422-0512'!M:R,5,0)</f>
        <v/>
      </c>
      <c r="N224" s="31">
        <f>VLOOKUP(F224,'卖场库存0422-0512'!M:S,6,0)</f>
        <v/>
      </c>
      <c r="O224" s="31" t="inlineStr">
        <is>
          <t>Sleeve out</t>
        </is>
      </c>
      <c r="P224" s="30">
        <f>VLOOKUP(F224,'卖场库存0422-0512'!M:S,7,0)</f>
        <v/>
      </c>
      <c r="Q224" s="31">
        <f>VLOOKUP(H224,color!E:G,3,0)</f>
        <v/>
      </c>
    </row>
    <row r="225">
      <c r="A225" s="31" t="n">
        <v>223</v>
      </c>
      <c r="B225" s="22" t="inlineStr">
        <is>
          <t>F012</t>
        </is>
      </c>
      <c r="C225" s="31" t="inlineStr">
        <is>
          <t>FACE 012</t>
        </is>
      </c>
      <c r="D225" s="31">
        <f>LEFT(C225,4)</f>
        <v/>
      </c>
      <c r="E225" s="33" t="inlineStr">
        <is>
          <t>남성존</t>
        </is>
      </c>
      <c r="F225" s="31" t="inlineStr">
        <is>
          <t>EETJG23E1G56032</t>
        </is>
      </c>
      <c r="G225" s="31">
        <f>LEFT(F225,10)</f>
        <v/>
      </c>
      <c r="H225" s="31">
        <f>MID(G225,3,2)</f>
        <v/>
      </c>
      <c r="I225" s="31">
        <f>VLOOKUP(H225,color!E:G,2,0)</f>
        <v/>
      </c>
      <c r="J225" s="31" t="n">
        <v>56</v>
      </c>
      <c r="K225" s="31">
        <f>VLOOKUP(J225,color!A:C,2,0)</f>
        <v/>
      </c>
      <c r="L225" s="31" t="n">
        <v>1</v>
      </c>
      <c r="M225" s="31">
        <f>VLOOKUP(F225,'卖场库存0422-0512'!M:R,5,0)</f>
        <v/>
      </c>
      <c r="N225" s="31">
        <f>VLOOKUP(F225,'卖场库存0422-0512'!M:S,6,0)</f>
        <v/>
      </c>
      <c r="O225" s="31" t="inlineStr">
        <is>
          <t>Sleeve out</t>
        </is>
      </c>
      <c r="P225" s="30">
        <f>VLOOKUP(F225,'卖场库存0422-0512'!M:S,7,0)</f>
        <v/>
      </c>
      <c r="Q225" s="31">
        <f>VLOOKUP(H225,color!E:G,3,0)</f>
        <v/>
      </c>
    </row>
    <row r="226">
      <c r="A226" s="31" t="n">
        <v>224</v>
      </c>
      <c r="B226" s="22" t="inlineStr">
        <is>
          <t>F012</t>
        </is>
      </c>
      <c r="C226" s="31" t="inlineStr">
        <is>
          <t>FACE 012</t>
        </is>
      </c>
      <c r="D226" s="31">
        <f>LEFT(C226,4)</f>
        <v/>
      </c>
      <c r="E226" s="33" t="inlineStr">
        <is>
          <t>남성존</t>
        </is>
      </c>
      <c r="F226" s="31" t="inlineStr">
        <is>
          <t>EEYPG25B1G55170</t>
        </is>
      </c>
      <c r="G226" s="31">
        <f>LEFT(F226,10)</f>
        <v/>
      </c>
      <c r="H226" s="31">
        <f>MID(G226,3,2)</f>
        <v/>
      </c>
      <c r="I226" s="31">
        <f>VLOOKUP(H226,color!E:G,2,0)</f>
        <v/>
      </c>
      <c r="J226" s="31" t="n">
        <v>55</v>
      </c>
      <c r="K226" s="31">
        <f>VLOOKUP(J226,color!A:C,2,0)</f>
        <v/>
      </c>
      <c r="L226" s="31" t="n">
        <v>1</v>
      </c>
      <c r="M226" s="31">
        <f>VLOOKUP(F226,'卖场库存0422-0512'!M:R,5,0)</f>
        <v/>
      </c>
      <c r="N226" s="31">
        <f>VLOOKUP(F226,'卖场库存0422-0512'!M:S,6,0)</f>
        <v/>
      </c>
      <c r="O226" s="31" t="inlineStr">
        <is>
          <t>Sleeve out</t>
        </is>
      </c>
      <c r="P226" s="30">
        <f>VLOOKUP(F226,'卖场库存0422-0512'!M:S,7,0)</f>
        <v/>
      </c>
      <c r="Q226" s="31">
        <f>VLOOKUP(H226,color!E:G,3,0)</f>
        <v/>
      </c>
    </row>
    <row r="227">
      <c r="A227" s="31" t="n">
        <v>225</v>
      </c>
      <c r="B227" s="22" t="inlineStr">
        <is>
          <t>F012</t>
        </is>
      </c>
      <c r="C227" s="31" t="inlineStr">
        <is>
          <t>FACE 012</t>
        </is>
      </c>
      <c r="D227" s="31">
        <f>LEFT(C227,4)</f>
        <v/>
      </c>
      <c r="E227" s="33" t="inlineStr">
        <is>
          <t>남성존</t>
        </is>
      </c>
      <c r="F227" s="31" t="inlineStr">
        <is>
          <t>EERAG23B2G59180</t>
        </is>
      </c>
      <c r="G227" s="31">
        <f>LEFT(F227,10)</f>
        <v/>
      </c>
      <c r="H227" s="31">
        <f>MID(G227,3,2)</f>
        <v/>
      </c>
      <c r="I227" s="31">
        <f>VLOOKUP(H227,color!E:G,2,0)</f>
        <v/>
      </c>
      <c r="J227" s="31" t="n">
        <v>59</v>
      </c>
      <c r="K227" s="31">
        <f>VLOOKUP(J227,color!A:C,2,0)</f>
        <v/>
      </c>
      <c r="L227" s="31" t="n">
        <v>1</v>
      </c>
      <c r="M227" s="31">
        <f>VLOOKUP(F227,'卖场库存0422-0512'!M:R,5,0)</f>
        <v/>
      </c>
      <c r="N227" s="31">
        <f>VLOOKUP(F227,'卖场库存0422-0512'!M:S,6,0)</f>
        <v/>
      </c>
      <c r="O227" s="31" t="inlineStr">
        <is>
          <t>Sleeve out</t>
        </is>
      </c>
      <c r="P227" s="30">
        <f>VLOOKUP(F227,'卖场库存0422-0512'!M:S,7,0)</f>
        <v/>
      </c>
      <c r="Q227" s="31">
        <f>VLOOKUP(H227,color!E:G,3,0)</f>
        <v/>
      </c>
    </row>
    <row r="228">
      <c r="A228" s="31" t="n">
        <v>226</v>
      </c>
      <c r="B228" s="22" t="inlineStr">
        <is>
          <t>F012</t>
        </is>
      </c>
      <c r="C228" s="31" t="inlineStr">
        <is>
          <t>FACE 012</t>
        </is>
      </c>
      <c r="D228" s="31">
        <f>LEFT(C228,4)</f>
        <v/>
      </c>
      <c r="E228" s="33" t="inlineStr">
        <is>
          <t>남성존</t>
        </is>
      </c>
      <c r="F228" s="31" t="inlineStr">
        <is>
          <t>EEYPG12E1G55170</t>
        </is>
      </c>
      <c r="G228" s="31">
        <f>LEFT(F228,10)</f>
        <v/>
      </c>
      <c r="H228" s="31">
        <f>MID(G228,3,2)</f>
        <v/>
      </c>
      <c r="I228" s="31">
        <f>VLOOKUP(H228,color!E:G,2,0)</f>
        <v/>
      </c>
      <c r="J228" s="31" t="n">
        <v>55</v>
      </c>
      <c r="K228" s="31">
        <f>VLOOKUP(J228,color!A:C,2,0)</f>
        <v/>
      </c>
      <c r="L228" s="31" t="n">
        <v>1</v>
      </c>
      <c r="M228" s="31">
        <f>VLOOKUP(F228,'卖场库存0422-0512'!M:R,5,0)</f>
        <v/>
      </c>
      <c r="N228" s="31">
        <f>VLOOKUP(F228,'卖场库存0422-0512'!M:S,6,0)</f>
        <v/>
      </c>
      <c r="O228" s="31" t="inlineStr">
        <is>
          <t>Sleeve out</t>
        </is>
      </c>
      <c r="P228" s="30">
        <f>VLOOKUP(F228,'卖场库存0422-0512'!M:S,7,0)</f>
        <v/>
      </c>
      <c r="Q228" s="31">
        <f>VLOOKUP(H228,color!E:G,3,0)</f>
        <v/>
      </c>
    </row>
    <row r="229">
      <c r="A229" s="31" t="n">
        <v>227</v>
      </c>
      <c r="B229" s="22" t="inlineStr">
        <is>
          <t>F012</t>
        </is>
      </c>
      <c r="C229" s="31" t="inlineStr">
        <is>
          <t>FACE 012</t>
        </is>
      </c>
      <c r="D229" s="31">
        <f>LEFT(C229,4)</f>
        <v/>
      </c>
      <c r="E229" s="33" t="inlineStr">
        <is>
          <t>남성존</t>
        </is>
      </c>
      <c r="F229" s="31" t="inlineStr">
        <is>
          <t>EETJG23E1G55032</t>
        </is>
      </c>
      <c r="G229" s="31">
        <f>LEFT(F229,10)</f>
        <v/>
      </c>
      <c r="H229" s="31">
        <f>MID(G229,3,2)</f>
        <v/>
      </c>
      <c r="I229" s="31">
        <f>VLOOKUP(H229,color!E:G,2,0)</f>
        <v/>
      </c>
      <c r="J229" s="31" t="n">
        <v>55</v>
      </c>
      <c r="K229" s="31">
        <f>VLOOKUP(J229,color!A:C,2,0)</f>
        <v/>
      </c>
      <c r="L229" s="31" t="n">
        <v>1</v>
      </c>
      <c r="M229" s="31">
        <f>VLOOKUP(F229,'卖场库存0422-0512'!M:R,5,0)</f>
        <v/>
      </c>
      <c r="N229" s="31">
        <f>VLOOKUP(F229,'卖场库存0422-0512'!M:S,6,0)</f>
        <v/>
      </c>
      <c r="O229" s="31" t="inlineStr">
        <is>
          <t>Sleeve out</t>
        </is>
      </c>
      <c r="P229" s="30">
        <f>VLOOKUP(F229,'卖场库存0422-0512'!M:S,7,0)</f>
        <v/>
      </c>
      <c r="Q229" s="31">
        <f>VLOOKUP(H229,color!E:G,3,0)</f>
        <v/>
      </c>
    </row>
    <row r="230">
      <c r="A230" s="31" t="n">
        <v>228</v>
      </c>
      <c r="B230" s="22" t="inlineStr">
        <is>
          <t>F012</t>
        </is>
      </c>
      <c r="C230" s="31" t="inlineStr">
        <is>
          <t>FACE 012</t>
        </is>
      </c>
      <c r="D230" s="31">
        <f>LEFT(C230,4)</f>
        <v/>
      </c>
      <c r="E230" s="33" t="inlineStr">
        <is>
          <t>남성존</t>
        </is>
      </c>
      <c r="F230" s="31" t="inlineStr">
        <is>
          <t>EEHWG23B1G59170</t>
        </is>
      </c>
      <c r="G230" s="31">
        <f>LEFT(F230,10)</f>
        <v/>
      </c>
      <c r="H230" s="31">
        <f>MID(G230,3,2)</f>
        <v/>
      </c>
      <c r="I230" s="31">
        <f>VLOOKUP(H230,color!E:G,2,0)</f>
        <v/>
      </c>
      <c r="J230" s="31" t="n">
        <v>59</v>
      </c>
      <c r="K230" s="31">
        <f>VLOOKUP(J230,color!A:C,2,0)</f>
        <v/>
      </c>
      <c r="L230" s="31" t="n">
        <v>1</v>
      </c>
      <c r="M230" s="31">
        <f>VLOOKUP(F230,'卖场库存0422-0512'!M:R,5,0)</f>
        <v/>
      </c>
      <c r="N230" s="31">
        <f>VLOOKUP(F230,'卖场库存0422-0512'!M:S,6,0)</f>
        <v/>
      </c>
      <c r="O230" s="31" t="inlineStr">
        <is>
          <t>Sleeve out</t>
        </is>
      </c>
      <c r="P230" s="30">
        <f>VLOOKUP(F230,'卖场库存0422-0512'!M:S,7,0)</f>
        <v/>
      </c>
      <c r="Q230" s="31">
        <f>VLOOKUP(H230,color!E:G,3,0)</f>
        <v/>
      </c>
    </row>
    <row r="231">
      <c r="A231" s="31" t="n">
        <v>229</v>
      </c>
      <c r="B231" s="22" t="inlineStr">
        <is>
          <t>F012</t>
        </is>
      </c>
      <c r="C231" s="31" t="inlineStr">
        <is>
          <t>FACE 012</t>
        </is>
      </c>
      <c r="D231" s="31">
        <f>LEFT(C231,4)</f>
        <v/>
      </c>
      <c r="E231" s="33" t="inlineStr">
        <is>
          <t>남성존</t>
        </is>
      </c>
      <c r="F231" s="31" t="inlineStr">
        <is>
          <t>EETJG23B1G39030</t>
        </is>
      </c>
      <c r="G231" s="31">
        <f>LEFT(F231,10)</f>
        <v/>
      </c>
      <c r="H231" s="31">
        <f>MID(G231,3,2)</f>
        <v/>
      </c>
      <c r="I231" s="31">
        <f>VLOOKUP(H231,color!E:G,2,0)</f>
        <v/>
      </c>
      <c r="J231" s="31" t="n">
        <v>39</v>
      </c>
      <c r="K231" s="31">
        <f>VLOOKUP(J231,color!A:C,2,0)</f>
        <v/>
      </c>
      <c r="L231" s="31" t="n">
        <v>1</v>
      </c>
      <c r="M231" s="31">
        <f>VLOOKUP(F231,'卖场库存0422-0512'!M:R,5,0)</f>
        <v/>
      </c>
      <c r="N231" s="31">
        <f>VLOOKUP(F231,'卖场库存0422-0512'!M:S,6,0)</f>
        <v/>
      </c>
      <c r="O231" s="31" t="inlineStr">
        <is>
          <t>Sleeve out</t>
        </is>
      </c>
      <c r="P231" s="30">
        <f>VLOOKUP(F231,'卖场库存0422-0512'!M:S,7,0)</f>
        <v/>
      </c>
      <c r="Q231" s="31">
        <f>VLOOKUP(H231,color!E:G,3,0)</f>
        <v/>
      </c>
    </row>
    <row r="232">
      <c r="A232" s="31" t="n">
        <v>230</v>
      </c>
      <c r="B232" s="22" t="inlineStr">
        <is>
          <t>F012</t>
        </is>
      </c>
      <c r="C232" s="31" t="inlineStr">
        <is>
          <t>FACE 012</t>
        </is>
      </c>
      <c r="D232" s="31">
        <f>LEFT(C232,4)</f>
        <v/>
      </c>
      <c r="E232" s="33" t="inlineStr">
        <is>
          <t>남성존</t>
        </is>
      </c>
      <c r="F232" s="31" t="inlineStr">
        <is>
          <t>EETJG23B1G39032</t>
        </is>
      </c>
      <c r="G232" s="31">
        <f>LEFT(F232,10)</f>
        <v/>
      </c>
      <c r="H232" s="31">
        <f>MID(G232,3,2)</f>
        <v/>
      </c>
      <c r="I232" s="31">
        <f>VLOOKUP(H232,color!E:G,2,0)</f>
        <v/>
      </c>
      <c r="J232" s="31" t="n">
        <v>39</v>
      </c>
      <c r="K232" s="31">
        <f>VLOOKUP(J232,color!A:C,2,0)</f>
        <v/>
      </c>
      <c r="L232" s="31" t="n">
        <v>1</v>
      </c>
      <c r="M232" s="31">
        <f>VLOOKUP(F232,'卖场库存0422-0512'!M:R,5,0)</f>
        <v/>
      </c>
      <c r="N232" s="31">
        <f>VLOOKUP(F232,'卖场库存0422-0512'!M:S,6,0)</f>
        <v/>
      </c>
      <c r="O232" s="31" t="inlineStr">
        <is>
          <t>Sleeve out</t>
        </is>
      </c>
      <c r="P232" s="30">
        <f>VLOOKUP(F232,'卖场库存0422-0512'!M:S,7,0)</f>
        <v/>
      </c>
      <c r="Q232" s="31">
        <f>VLOOKUP(H232,color!E:G,3,0)</f>
        <v/>
      </c>
    </row>
    <row r="233">
      <c r="A233" s="31" t="n">
        <v>231</v>
      </c>
      <c r="B233" s="22" t="inlineStr">
        <is>
          <t>F012</t>
        </is>
      </c>
      <c r="C233" s="31" t="inlineStr">
        <is>
          <t>FACE 012</t>
        </is>
      </c>
      <c r="D233" s="31">
        <f>LEFT(C233,4)</f>
        <v/>
      </c>
      <c r="E233" s="33" t="inlineStr">
        <is>
          <t>남성존</t>
        </is>
      </c>
      <c r="F233" s="31" t="inlineStr">
        <is>
          <t>EEYWG25E3G59175</t>
        </is>
      </c>
      <c r="G233" s="31">
        <f>LEFT(F233,10)</f>
        <v/>
      </c>
      <c r="H233" s="31">
        <f>MID(G233,3,2)</f>
        <v/>
      </c>
      <c r="I233" s="31">
        <f>VLOOKUP(H233,color!E:G,2,0)</f>
        <v/>
      </c>
      <c r="J233" s="31" t="n">
        <v>59</v>
      </c>
      <c r="K233" s="31">
        <f>VLOOKUP(J233,color!A:C,2,0)</f>
        <v/>
      </c>
      <c r="L233" s="31" t="n">
        <v>1</v>
      </c>
      <c r="M233" s="31">
        <f>VLOOKUP(F233,'卖场库存0422-0512'!M:R,5,0)</f>
        <v/>
      </c>
      <c r="N233" s="31">
        <f>VLOOKUP(F233,'卖场库存0422-0512'!M:S,6,0)</f>
        <v/>
      </c>
      <c r="O233" s="31" t="inlineStr">
        <is>
          <t>Sleeve out</t>
        </is>
      </c>
      <c r="P233" s="30">
        <f>VLOOKUP(F233,'卖场库存0422-0512'!M:S,7,0)</f>
        <v/>
      </c>
      <c r="Q233" s="31">
        <f>VLOOKUP(H233,color!E:G,3,0)</f>
        <v/>
      </c>
    </row>
    <row r="234">
      <c r="A234" s="31" t="n">
        <v>232</v>
      </c>
      <c r="B234" s="22" t="inlineStr">
        <is>
          <t>F012</t>
        </is>
      </c>
      <c r="C234" s="31" t="inlineStr">
        <is>
          <t>FACE 012</t>
        </is>
      </c>
      <c r="D234" s="31">
        <f>LEFT(C234,4)</f>
        <v/>
      </c>
      <c r="E234" s="33" t="inlineStr">
        <is>
          <t>남성존</t>
        </is>
      </c>
      <c r="F234" s="31" t="inlineStr">
        <is>
          <t>EEJKG23B1G59170</t>
        </is>
      </c>
      <c r="G234" s="31">
        <f>LEFT(F234,10)</f>
        <v/>
      </c>
      <c r="H234" s="31">
        <f>MID(G234,3,2)</f>
        <v/>
      </c>
      <c r="I234" s="31">
        <f>VLOOKUP(H234,color!E:G,2,0)</f>
        <v/>
      </c>
      <c r="J234" s="31" t="n">
        <v>59</v>
      </c>
      <c r="K234" s="31">
        <f>VLOOKUP(J234,color!A:C,2,0)</f>
        <v/>
      </c>
      <c r="L234" s="31" t="n">
        <v>1</v>
      </c>
      <c r="M234" s="31">
        <f>VLOOKUP(F234,'卖场库存0422-0512'!M:R,5,0)</f>
        <v/>
      </c>
      <c r="N234" s="31">
        <f>VLOOKUP(F234,'卖场库存0422-0512'!M:S,6,0)</f>
        <v/>
      </c>
      <c r="O234" s="31" t="inlineStr">
        <is>
          <t>Sleeve out</t>
        </is>
      </c>
      <c r="P234" s="30">
        <f>VLOOKUP(F234,'卖场库存0422-0512'!M:S,7,0)</f>
        <v/>
      </c>
      <c r="Q234" s="31">
        <f>VLOOKUP(H234,color!E:G,3,0)</f>
        <v/>
      </c>
    </row>
    <row r="235">
      <c r="A235" s="31" t="n">
        <v>233</v>
      </c>
      <c r="B235" s="22" t="inlineStr">
        <is>
          <t>F012</t>
        </is>
      </c>
      <c r="C235" s="31" t="inlineStr">
        <is>
          <t>FACE 012</t>
        </is>
      </c>
      <c r="D235" s="31">
        <f>LEFT(C235,4)</f>
        <v/>
      </c>
      <c r="E235" s="33" t="inlineStr">
        <is>
          <t>남성존</t>
        </is>
      </c>
      <c r="F235" s="31" t="inlineStr">
        <is>
          <t>EERAG25B2G64170</t>
        </is>
      </c>
      <c r="G235" s="31">
        <f>LEFT(F235,10)</f>
        <v/>
      </c>
      <c r="H235" s="31">
        <f>MID(G235,3,2)</f>
        <v/>
      </c>
      <c r="I235" s="31">
        <f>VLOOKUP(H235,color!E:G,2,0)</f>
        <v/>
      </c>
      <c r="J235" s="31" t="n">
        <v>64</v>
      </c>
      <c r="K235" s="31">
        <f>VLOOKUP(J235,color!A:C,2,0)</f>
        <v/>
      </c>
      <c r="L235" s="31" t="n">
        <v>1</v>
      </c>
      <c r="M235" s="31">
        <f>VLOOKUP(F235,'卖场库存0422-0512'!M:R,5,0)</f>
        <v/>
      </c>
      <c r="N235" s="31">
        <f>VLOOKUP(F235,'卖场库存0422-0512'!M:S,6,0)</f>
        <v/>
      </c>
      <c r="O235" s="31" t="inlineStr">
        <is>
          <t>Sleeve out</t>
        </is>
      </c>
      <c r="P235" s="30">
        <f>VLOOKUP(F235,'卖场库存0422-0512'!M:S,7,0)</f>
        <v/>
      </c>
      <c r="Q235" s="31">
        <f>VLOOKUP(H235,color!E:G,3,0)</f>
        <v/>
      </c>
    </row>
    <row r="236">
      <c r="A236" s="31" t="n">
        <v>234</v>
      </c>
      <c r="B236" s="22" t="inlineStr">
        <is>
          <t>F012</t>
        </is>
      </c>
      <c r="C236" s="31" t="inlineStr">
        <is>
          <t>FACE 012</t>
        </is>
      </c>
      <c r="D236" s="31">
        <f>LEFT(C236,4)</f>
        <v/>
      </c>
      <c r="E236" s="33" t="inlineStr">
        <is>
          <t>남성존</t>
        </is>
      </c>
      <c r="F236" s="31" t="inlineStr">
        <is>
          <t>EERAG25E1G10175</t>
        </is>
      </c>
      <c r="G236" s="31">
        <f>LEFT(F236,10)</f>
        <v/>
      </c>
      <c r="H236" s="31">
        <f>MID(G236,3,2)</f>
        <v/>
      </c>
      <c r="I236" s="31">
        <f>VLOOKUP(H236,color!E:G,2,0)</f>
        <v/>
      </c>
      <c r="J236" s="31" t="n">
        <v>10</v>
      </c>
      <c r="K236" s="31">
        <f>VLOOKUP(J236,color!A:C,2,0)</f>
        <v/>
      </c>
      <c r="L236" s="31" t="n">
        <v>1</v>
      </c>
      <c r="M236" s="31">
        <f>VLOOKUP(F236,'卖场库存0422-0512'!M:R,5,0)</f>
        <v/>
      </c>
      <c r="N236" s="31">
        <f>VLOOKUP(F236,'卖场库存0422-0512'!M:S,6,0)</f>
        <v/>
      </c>
      <c r="O236" s="31" t="inlineStr">
        <is>
          <t>Sleeve out</t>
        </is>
      </c>
      <c r="P236" s="30">
        <f>VLOOKUP(F236,'卖场库存0422-0512'!M:S,7,0)</f>
        <v/>
      </c>
      <c r="Q236" s="31">
        <f>VLOOKUP(H236,color!E:G,3,0)</f>
        <v/>
      </c>
    </row>
    <row r="237">
      <c r="A237" s="31" t="n">
        <v>235</v>
      </c>
      <c r="B237" s="22" t="inlineStr">
        <is>
          <t>F012</t>
        </is>
      </c>
      <c r="C237" s="31" t="inlineStr">
        <is>
          <t>FACE 012</t>
        </is>
      </c>
      <c r="D237" s="31">
        <f>LEFT(C237,4)</f>
        <v/>
      </c>
      <c r="E237" s="33" t="inlineStr">
        <is>
          <t>남성존</t>
        </is>
      </c>
      <c r="F237" s="31" t="inlineStr">
        <is>
          <t>EEHWG25B2G59175</t>
        </is>
      </c>
      <c r="G237" s="31">
        <f>LEFT(F237,10)</f>
        <v/>
      </c>
      <c r="H237" s="31">
        <f>MID(G237,3,2)</f>
        <v/>
      </c>
      <c r="I237" s="31">
        <f>VLOOKUP(H237,color!E:G,2,0)</f>
        <v/>
      </c>
      <c r="J237" s="31" t="n">
        <v>59</v>
      </c>
      <c r="K237" s="31">
        <f>VLOOKUP(J237,color!A:C,2,0)</f>
        <v/>
      </c>
      <c r="L237" s="31" t="n">
        <v>1</v>
      </c>
      <c r="M237" s="31">
        <f>VLOOKUP(F237,'卖场库存0422-0512'!M:R,5,0)</f>
        <v/>
      </c>
      <c r="N237" s="31">
        <f>VLOOKUP(F237,'卖场库存0422-0512'!M:S,6,0)</f>
        <v/>
      </c>
      <c r="O237" s="31" t="inlineStr">
        <is>
          <t>Sleeve out</t>
        </is>
      </c>
      <c r="P237" s="30">
        <f>VLOOKUP(F237,'卖场库存0422-0512'!M:S,7,0)</f>
        <v/>
      </c>
      <c r="Q237" s="31">
        <f>VLOOKUP(H237,color!E:G,3,0)</f>
        <v/>
      </c>
    </row>
    <row r="238">
      <c r="A238" s="31" t="n">
        <v>236</v>
      </c>
      <c r="B238" s="22" t="inlineStr">
        <is>
          <t>F012</t>
        </is>
      </c>
      <c r="C238" s="31" t="inlineStr">
        <is>
          <t>FACE 012</t>
        </is>
      </c>
      <c r="D238" s="31">
        <f>LEFT(C238,4)</f>
        <v/>
      </c>
      <c r="E238" s="33" t="inlineStr">
        <is>
          <t>남성존</t>
        </is>
      </c>
      <c r="F238" s="31" t="inlineStr">
        <is>
          <t>EERAG25E1G59170</t>
        </is>
      </c>
      <c r="G238" s="31">
        <f>LEFT(F238,10)</f>
        <v/>
      </c>
      <c r="H238" s="31">
        <f>MID(G238,3,2)</f>
        <v/>
      </c>
      <c r="I238" s="31">
        <f>VLOOKUP(H238,color!E:G,2,0)</f>
        <v/>
      </c>
      <c r="J238" s="31" t="n">
        <v>59</v>
      </c>
      <c r="K238" s="31">
        <f>VLOOKUP(J238,color!A:C,2,0)</f>
        <v/>
      </c>
      <c r="L238" s="31" t="n">
        <v>1</v>
      </c>
      <c r="M238" s="31">
        <f>VLOOKUP(F238,'卖场库存0422-0512'!M:R,5,0)</f>
        <v/>
      </c>
      <c r="N238" s="31">
        <f>VLOOKUP(F238,'卖场库存0422-0512'!M:S,6,0)</f>
        <v/>
      </c>
      <c r="O238" s="31" t="inlineStr">
        <is>
          <t>Sleeve out</t>
        </is>
      </c>
      <c r="P238" s="30">
        <f>VLOOKUP(F238,'卖场库存0422-0512'!M:S,7,0)</f>
        <v/>
      </c>
      <c r="Q238" s="31">
        <f>VLOOKUP(H238,color!E:G,3,0)</f>
        <v/>
      </c>
    </row>
    <row r="239">
      <c r="A239" s="31" t="n">
        <v>237</v>
      </c>
      <c r="B239" s="22" t="inlineStr">
        <is>
          <t>F012</t>
        </is>
      </c>
      <c r="C239" s="31" t="inlineStr">
        <is>
          <t>FACE 012</t>
        </is>
      </c>
      <c r="D239" s="31">
        <f>LEFT(C239,4)</f>
        <v/>
      </c>
      <c r="E239" s="33" t="inlineStr">
        <is>
          <t>남성존</t>
        </is>
      </c>
      <c r="F239" s="31" t="inlineStr">
        <is>
          <t>EERAG25E1G59175</t>
        </is>
      </c>
      <c r="G239" s="31">
        <f>LEFT(F239,10)</f>
        <v/>
      </c>
      <c r="H239" s="31">
        <f>MID(G239,3,2)</f>
        <v/>
      </c>
      <c r="I239" s="31">
        <f>VLOOKUP(H239,color!E:G,2,0)</f>
        <v/>
      </c>
      <c r="J239" s="31" t="n">
        <v>59</v>
      </c>
      <c r="K239" s="31">
        <f>VLOOKUP(J239,color!A:C,2,0)</f>
        <v/>
      </c>
      <c r="L239" s="31" t="n">
        <v>1</v>
      </c>
      <c r="M239" s="31">
        <f>VLOOKUP(F239,'卖场库存0422-0512'!M:R,5,0)</f>
        <v/>
      </c>
      <c r="N239" s="31">
        <f>VLOOKUP(F239,'卖场库存0422-0512'!M:S,6,0)</f>
        <v/>
      </c>
      <c r="O239" s="31" t="inlineStr">
        <is>
          <t>Sleeve out</t>
        </is>
      </c>
      <c r="P239" s="30">
        <f>VLOOKUP(F239,'卖场库存0422-0512'!M:S,7,0)</f>
        <v/>
      </c>
      <c r="Q239" s="31">
        <f>VLOOKUP(H239,color!E:G,3,0)</f>
        <v/>
      </c>
    </row>
    <row r="240">
      <c r="A240" s="31" t="n">
        <v>238</v>
      </c>
      <c r="B240" s="22" t="inlineStr">
        <is>
          <t>F012</t>
        </is>
      </c>
      <c r="C240" s="31" t="inlineStr">
        <is>
          <t>FACE 012</t>
        </is>
      </c>
      <c r="D240" s="31">
        <f>LEFT(C240,4)</f>
        <v/>
      </c>
      <c r="E240" s="33" t="inlineStr">
        <is>
          <t>남성존</t>
        </is>
      </c>
      <c r="F240" s="31" t="inlineStr">
        <is>
          <t>EERSG23E1G50175</t>
        </is>
      </c>
      <c r="G240" s="31">
        <f>LEFT(F240,10)</f>
        <v/>
      </c>
      <c r="H240" s="31">
        <f>MID(G240,3,2)</f>
        <v/>
      </c>
      <c r="I240" s="31">
        <f>VLOOKUP(H240,color!E:G,2,0)</f>
        <v/>
      </c>
      <c r="J240" s="31" t="n">
        <v>50</v>
      </c>
      <c r="K240" s="31">
        <f>VLOOKUP(J240,color!A:C,2,0)</f>
        <v/>
      </c>
      <c r="L240" s="31" t="n">
        <v>1</v>
      </c>
      <c r="M240" s="31">
        <f>VLOOKUP(F240,'卖场库存0422-0512'!M:R,5,0)</f>
        <v/>
      </c>
      <c r="N240" s="31">
        <f>VLOOKUP(F240,'卖场库存0422-0512'!M:S,6,0)</f>
        <v/>
      </c>
      <c r="O240" s="31" t="inlineStr">
        <is>
          <t>Sleeve out</t>
        </is>
      </c>
      <c r="P240" s="30">
        <f>VLOOKUP(F240,'卖场库存0422-0512'!M:S,7,0)</f>
        <v/>
      </c>
      <c r="Q240" s="31">
        <f>VLOOKUP(H240,color!E:G,3,0)</f>
        <v/>
      </c>
    </row>
    <row r="241">
      <c r="A241" s="31" t="n">
        <v>239</v>
      </c>
      <c r="B241" s="22" t="inlineStr">
        <is>
          <t>F012</t>
        </is>
      </c>
      <c r="C241" s="31" t="inlineStr">
        <is>
          <t>FACE 012</t>
        </is>
      </c>
      <c r="D241" s="31">
        <f>LEFT(C241,4)</f>
        <v/>
      </c>
      <c r="E241" s="33" t="inlineStr">
        <is>
          <t>남성존</t>
        </is>
      </c>
      <c r="F241" s="31" t="inlineStr">
        <is>
          <t>EEHWG25B2G40170</t>
        </is>
      </c>
      <c r="G241" s="31">
        <f>LEFT(F241,10)</f>
        <v/>
      </c>
      <c r="H241" s="31">
        <f>MID(G241,3,2)</f>
        <v/>
      </c>
      <c r="I241" s="31">
        <f>VLOOKUP(H241,color!E:G,2,0)</f>
        <v/>
      </c>
      <c r="J241" s="31" t="n">
        <v>40</v>
      </c>
      <c r="K241" s="31">
        <f>VLOOKUP(J241,color!A:C,2,0)</f>
        <v/>
      </c>
      <c r="L241" s="31" t="n">
        <v>1</v>
      </c>
      <c r="M241" s="31">
        <f>VLOOKUP(F241,'卖场库存0422-0512'!M:R,5,0)</f>
        <v/>
      </c>
      <c r="N241" s="31">
        <f>VLOOKUP(F241,'卖场库存0422-0512'!M:S,6,0)</f>
        <v/>
      </c>
      <c r="O241" s="31" t="inlineStr">
        <is>
          <t>Sleeve out</t>
        </is>
      </c>
      <c r="P241" s="30">
        <f>VLOOKUP(F241,'卖场库存0422-0512'!M:S,7,0)</f>
        <v/>
      </c>
      <c r="Q241" s="31">
        <f>VLOOKUP(H241,color!E:G,3,0)</f>
        <v/>
      </c>
    </row>
    <row r="242">
      <c r="A242" s="31" t="n">
        <v>240</v>
      </c>
      <c r="B242" s="22" t="inlineStr">
        <is>
          <t>F012</t>
        </is>
      </c>
      <c r="C242" s="31" t="inlineStr">
        <is>
          <t>FACE 012</t>
        </is>
      </c>
      <c r="D242" s="31">
        <f>LEFT(C242,4)</f>
        <v/>
      </c>
      <c r="E242" s="33" t="inlineStr">
        <is>
          <t>남성존</t>
        </is>
      </c>
      <c r="F242" s="31" t="inlineStr">
        <is>
          <t>EERAG23B1G59170</t>
        </is>
      </c>
      <c r="G242" s="31">
        <f>LEFT(F242,10)</f>
        <v/>
      </c>
      <c r="H242" s="31">
        <f>MID(G242,3,2)</f>
        <v/>
      </c>
      <c r="I242" s="31">
        <f>VLOOKUP(H242,color!E:G,2,0)</f>
        <v/>
      </c>
      <c r="J242" s="31" t="n">
        <v>59</v>
      </c>
      <c r="K242" s="31">
        <f>VLOOKUP(J242,color!A:C,2,0)</f>
        <v/>
      </c>
      <c r="L242" s="31" t="n">
        <v>1</v>
      </c>
      <c r="M242" s="31">
        <f>VLOOKUP(F242,'卖场库存0422-0512'!M:R,5,0)</f>
        <v/>
      </c>
      <c r="N242" s="31">
        <f>VLOOKUP(F242,'卖场库存0422-0512'!M:S,6,0)</f>
        <v/>
      </c>
      <c r="O242" s="31" t="inlineStr">
        <is>
          <t>Sleeve out</t>
        </is>
      </c>
      <c r="P242" s="30">
        <f>VLOOKUP(F242,'卖场库存0422-0512'!M:S,7,0)</f>
        <v/>
      </c>
      <c r="Q242" s="31">
        <f>VLOOKUP(H242,color!E:G,3,0)</f>
        <v/>
      </c>
    </row>
    <row r="243">
      <c r="A243" s="31" t="n">
        <v>241</v>
      </c>
      <c r="B243" s="22" t="inlineStr">
        <is>
          <t>F012</t>
        </is>
      </c>
      <c r="C243" s="31" t="inlineStr">
        <is>
          <t>FACE 012</t>
        </is>
      </c>
      <c r="D243" s="31">
        <f>LEFT(C243,4)</f>
        <v/>
      </c>
      <c r="E243" s="33" t="inlineStr">
        <is>
          <t>남성존</t>
        </is>
      </c>
      <c r="F243" s="31" t="inlineStr">
        <is>
          <t>EEHWG25B1G59175</t>
        </is>
      </c>
      <c r="G243" s="31">
        <f>LEFT(F243,10)</f>
        <v/>
      </c>
      <c r="H243" s="31">
        <f>MID(G243,3,2)</f>
        <v/>
      </c>
      <c r="I243" s="31">
        <f>VLOOKUP(H243,color!E:G,2,0)</f>
        <v/>
      </c>
      <c r="J243" s="31" t="n">
        <v>59</v>
      </c>
      <c r="K243" s="31">
        <f>VLOOKUP(J243,color!A:C,2,0)</f>
        <v/>
      </c>
      <c r="L243" s="31" t="n">
        <v>1</v>
      </c>
      <c r="M243" s="31">
        <f>VLOOKUP(F243,'卖场库存0422-0512'!M:R,5,0)</f>
        <v/>
      </c>
      <c r="N243" s="31">
        <f>VLOOKUP(F243,'卖场库存0422-0512'!M:S,6,0)</f>
        <v/>
      </c>
      <c r="O243" s="31" t="inlineStr">
        <is>
          <t>Sleeve out</t>
        </is>
      </c>
      <c r="P243" s="30">
        <f>VLOOKUP(F243,'卖场库存0422-0512'!M:S,7,0)</f>
        <v/>
      </c>
      <c r="Q243" s="31">
        <f>VLOOKUP(H243,color!E:G,3,0)</f>
        <v/>
      </c>
    </row>
    <row r="244">
      <c r="A244" s="31" t="n">
        <v>242</v>
      </c>
      <c r="B244" s="22" t="inlineStr">
        <is>
          <t>F012</t>
        </is>
      </c>
      <c r="C244" s="31" t="inlineStr">
        <is>
          <t>FACE 012</t>
        </is>
      </c>
      <c r="D244" s="31">
        <f>LEFT(C244,4)</f>
        <v/>
      </c>
      <c r="E244" s="33" t="inlineStr">
        <is>
          <t>남성존</t>
        </is>
      </c>
      <c r="F244" s="31" t="inlineStr">
        <is>
          <t>EEHWG23E1G15175</t>
        </is>
      </c>
      <c r="G244" s="31">
        <f>LEFT(F244,10)</f>
        <v/>
      </c>
      <c r="H244" s="31">
        <f>MID(G244,3,2)</f>
        <v/>
      </c>
      <c r="I244" s="31">
        <f>VLOOKUP(H244,color!E:G,2,0)</f>
        <v/>
      </c>
      <c r="J244" s="31" t="n">
        <v>15</v>
      </c>
      <c r="K244" s="31">
        <f>VLOOKUP(J244,color!A:C,2,0)</f>
        <v/>
      </c>
      <c r="L244" s="31" t="n">
        <v>1</v>
      </c>
      <c r="M244" s="31">
        <f>VLOOKUP(F244,'卖场库存0422-0512'!M:R,5,0)</f>
        <v/>
      </c>
      <c r="N244" s="31">
        <f>VLOOKUP(F244,'卖场库存0422-0512'!M:S,6,0)</f>
        <v/>
      </c>
      <c r="O244" s="31" t="inlineStr">
        <is>
          <t>Sleeve out</t>
        </is>
      </c>
      <c r="P244" s="30">
        <f>VLOOKUP(F244,'卖场库存0422-0512'!M:S,7,0)</f>
        <v/>
      </c>
      <c r="Q244" s="31">
        <f>VLOOKUP(H244,color!E:G,3,0)</f>
        <v/>
      </c>
    </row>
    <row r="245">
      <c r="A245" s="31" t="n">
        <v>243</v>
      </c>
      <c r="B245" s="22" t="inlineStr">
        <is>
          <t>F012</t>
        </is>
      </c>
      <c r="C245" s="31" t="inlineStr">
        <is>
          <t>FACE 012</t>
        </is>
      </c>
      <c r="D245" s="31">
        <f>LEFT(C245,4)</f>
        <v/>
      </c>
      <c r="E245" s="33" t="inlineStr">
        <is>
          <t>남성존</t>
        </is>
      </c>
      <c r="F245" s="31" t="inlineStr">
        <is>
          <t>EERSG23E1G59175</t>
        </is>
      </c>
      <c r="G245" s="31">
        <f>LEFT(F245,10)</f>
        <v/>
      </c>
      <c r="H245" s="31">
        <f>MID(G245,3,2)</f>
        <v/>
      </c>
      <c r="I245" s="31">
        <f>VLOOKUP(H245,color!E:G,2,0)</f>
        <v/>
      </c>
      <c r="J245" s="31" t="n">
        <v>59</v>
      </c>
      <c r="K245" s="31">
        <f>VLOOKUP(J245,color!A:C,2,0)</f>
        <v/>
      </c>
      <c r="L245" s="31" t="n">
        <v>1</v>
      </c>
      <c r="M245" s="31">
        <f>VLOOKUP(F245,'卖场库存0422-0512'!M:R,5,0)</f>
        <v/>
      </c>
      <c r="N245" s="31">
        <f>VLOOKUP(F245,'卖场库存0422-0512'!M:S,6,0)</f>
        <v/>
      </c>
      <c r="O245" s="31" t="inlineStr">
        <is>
          <t>Sleeve out</t>
        </is>
      </c>
      <c r="P245" s="30">
        <f>VLOOKUP(F245,'卖场库存0422-0512'!M:S,7,0)</f>
        <v/>
      </c>
      <c r="Q245" s="31">
        <f>VLOOKUP(H245,color!E:G,3,0)</f>
        <v/>
      </c>
    </row>
    <row r="246">
      <c r="A246" s="31" t="n">
        <v>244</v>
      </c>
      <c r="B246" s="22" t="inlineStr">
        <is>
          <t>F012</t>
        </is>
      </c>
      <c r="C246" s="31" t="inlineStr">
        <is>
          <t>FACE 012</t>
        </is>
      </c>
      <c r="D246" s="31">
        <f>LEFT(C246,4)</f>
        <v/>
      </c>
      <c r="E246" s="33" t="inlineStr">
        <is>
          <t>남성존</t>
        </is>
      </c>
      <c r="F246" s="31" t="inlineStr">
        <is>
          <t>EEYWG25E1G59175</t>
        </is>
      </c>
      <c r="G246" s="31">
        <f>LEFT(F246,10)</f>
        <v/>
      </c>
      <c r="H246" s="31">
        <f>MID(G246,3,2)</f>
        <v/>
      </c>
      <c r="I246" s="31">
        <f>VLOOKUP(H246,color!E:G,2,0)</f>
        <v/>
      </c>
      <c r="J246" s="31" t="n">
        <v>59</v>
      </c>
      <c r="K246" s="31">
        <f>VLOOKUP(J246,color!A:C,2,0)</f>
        <v/>
      </c>
      <c r="L246" s="31" t="n">
        <v>1</v>
      </c>
      <c r="M246" s="31">
        <f>VLOOKUP(F246,'卖场库存0422-0512'!M:R,5,0)</f>
        <v/>
      </c>
      <c r="N246" s="31">
        <f>VLOOKUP(F246,'卖场库存0422-0512'!M:S,6,0)</f>
        <v/>
      </c>
      <c r="O246" s="31" t="inlineStr">
        <is>
          <t>Sleeve out</t>
        </is>
      </c>
      <c r="P246" s="30">
        <f>VLOOKUP(F246,'卖场库存0422-0512'!M:S,7,0)</f>
        <v/>
      </c>
      <c r="Q246" s="31">
        <f>VLOOKUP(H246,color!E:G,3,0)</f>
        <v/>
      </c>
    </row>
    <row r="247">
      <c r="A247" s="31" t="n">
        <v>245</v>
      </c>
      <c r="B247" s="22" t="inlineStr">
        <is>
          <t>T001</t>
        </is>
      </c>
      <c r="C247" s="31" t="inlineStr">
        <is>
          <t>TABLE 001 (여성 메인 상)</t>
        </is>
      </c>
      <c r="D247" s="31" t="inlineStr">
        <is>
          <t>TABLE</t>
        </is>
      </c>
      <c r="E247" s="29" t="inlineStr">
        <is>
          <t>여성존</t>
        </is>
      </c>
      <c r="F247" s="31" t="inlineStr">
        <is>
          <t>EEKWG24E0339175</t>
        </is>
      </c>
      <c r="G247" s="31">
        <f>LEFT(F247,10)</f>
        <v/>
      </c>
      <c r="H247" s="31">
        <f>MID(G247,3,2)</f>
        <v/>
      </c>
      <c r="I247" s="31">
        <f>VLOOKUP(H247,color!E:G,2,0)</f>
        <v/>
      </c>
      <c r="J247" s="31" t="n">
        <v>39</v>
      </c>
      <c r="K247" s="31">
        <f>VLOOKUP(J247,color!A:C,2,0)</f>
        <v/>
      </c>
      <c r="L247" s="31" t="n">
        <v>1</v>
      </c>
      <c r="M247" s="31">
        <f>VLOOKUP(F247,'卖场库存0422-0512'!M:R,5,0)</f>
        <v/>
      </c>
      <c r="N247" s="31">
        <f>VLOOKUP(F247,'卖场库存0422-0512'!M:S,6,0)</f>
        <v/>
      </c>
      <c r="O247" s="31" t="inlineStr">
        <is>
          <t>Folder</t>
        </is>
      </c>
      <c r="P247" s="30">
        <f>VLOOKUP(F247,'卖场库存0422-0512'!M:S,7,0)</f>
        <v/>
      </c>
      <c r="Q247" s="31">
        <f>VLOOKUP(H247,color!E:G,3,0)</f>
        <v/>
      </c>
    </row>
    <row r="248">
      <c r="A248" s="31" t="n">
        <v>246</v>
      </c>
      <c r="B248" s="22" t="inlineStr">
        <is>
          <t>T001</t>
        </is>
      </c>
      <c r="C248" s="31" t="inlineStr">
        <is>
          <t>TABLE 001 (여성 메인 상)</t>
        </is>
      </c>
      <c r="D248" s="31" t="inlineStr">
        <is>
          <t>TABLE</t>
        </is>
      </c>
      <c r="E248" s="29" t="inlineStr">
        <is>
          <t>여성존</t>
        </is>
      </c>
      <c r="F248" s="31" t="inlineStr">
        <is>
          <t>EEKWG24E0339160</t>
        </is>
      </c>
      <c r="G248" s="31">
        <f>LEFT(F248,10)</f>
        <v/>
      </c>
      <c r="H248" s="31">
        <f>MID(G248,3,2)</f>
        <v/>
      </c>
      <c r="I248" s="31">
        <f>VLOOKUP(H248,color!E:G,2,0)</f>
        <v/>
      </c>
      <c r="J248" s="31" t="n">
        <v>39</v>
      </c>
      <c r="K248" s="31">
        <f>VLOOKUP(J248,color!A:C,2,0)</f>
        <v/>
      </c>
      <c r="L248" s="31" t="n">
        <v>1</v>
      </c>
      <c r="M248" s="31">
        <f>VLOOKUP(F248,'卖场库存0422-0512'!M:R,5,0)</f>
        <v/>
      </c>
      <c r="N248" s="31">
        <f>VLOOKUP(F248,'卖场库存0422-0512'!M:S,6,0)</f>
        <v/>
      </c>
      <c r="O248" s="31" t="inlineStr">
        <is>
          <t>Folder</t>
        </is>
      </c>
      <c r="P248" s="30">
        <f>VLOOKUP(F248,'卖场库存0422-0512'!M:S,7,0)</f>
        <v/>
      </c>
      <c r="Q248" s="31">
        <f>VLOOKUP(H248,color!E:G,3,0)</f>
        <v/>
      </c>
    </row>
    <row r="249">
      <c r="A249" s="31" t="n">
        <v>247</v>
      </c>
      <c r="B249" s="22" t="inlineStr">
        <is>
          <t>T001</t>
        </is>
      </c>
      <c r="C249" s="31" t="inlineStr">
        <is>
          <t>TABLE 001 (여성 메인 상)</t>
        </is>
      </c>
      <c r="D249" s="31" t="inlineStr">
        <is>
          <t>TABLE</t>
        </is>
      </c>
      <c r="E249" s="29" t="inlineStr">
        <is>
          <t>여성존</t>
        </is>
      </c>
      <c r="F249" s="31" t="inlineStr">
        <is>
          <t>EEKWG24E0359160</t>
        </is>
      </c>
      <c r="G249" s="31">
        <f>LEFT(F249,10)</f>
        <v/>
      </c>
      <c r="H249" s="31">
        <f>MID(G249,3,2)</f>
        <v/>
      </c>
      <c r="I249" s="31">
        <f>VLOOKUP(H249,color!E:G,2,0)</f>
        <v/>
      </c>
      <c r="J249" s="31" t="n">
        <v>59</v>
      </c>
      <c r="K249" s="31">
        <f>VLOOKUP(J249,color!A:C,2,0)</f>
        <v/>
      </c>
      <c r="L249" s="31" t="n">
        <v>1</v>
      </c>
      <c r="M249" s="31">
        <f>VLOOKUP(F249,'卖场库存0422-0512'!M:R,5,0)</f>
        <v/>
      </c>
      <c r="N249" s="31">
        <f>VLOOKUP(F249,'卖场库存0422-0512'!M:S,6,0)</f>
        <v/>
      </c>
      <c r="O249" s="31" t="inlineStr">
        <is>
          <t>Folder</t>
        </is>
      </c>
      <c r="P249" s="30">
        <f>VLOOKUP(F249,'卖场库存0422-0512'!M:S,7,0)</f>
        <v/>
      </c>
      <c r="Q249" s="31">
        <f>VLOOKUP(H249,color!E:G,3,0)</f>
        <v/>
      </c>
    </row>
    <row r="250">
      <c r="A250" s="31" t="n">
        <v>248</v>
      </c>
      <c r="B250" s="22" t="inlineStr">
        <is>
          <t>T001</t>
        </is>
      </c>
      <c r="C250" s="31" t="inlineStr">
        <is>
          <t>TABLE 001 (여성 메인 상)</t>
        </is>
      </c>
      <c r="D250" s="31" t="inlineStr">
        <is>
          <t>TABLE</t>
        </is>
      </c>
      <c r="E250" s="29" t="inlineStr">
        <is>
          <t>여성존</t>
        </is>
      </c>
      <c r="F250" s="31" t="inlineStr">
        <is>
          <t>EEKWG24E0359160</t>
        </is>
      </c>
      <c r="G250" s="31">
        <f>LEFT(F250,10)</f>
        <v/>
      </c>
      <c r="H250" s="31">
        <f>MID(G250,3,2)</f>
        <v/>
      </c>
      <c r="I250" s="31">
        <f>VLOOKUP(H250,color!E:G,2,0)</f>
        <v/>
      </c>
      <c r="J250" s="31" t="n">
        <v>59</v>
      </c>
      <c r="K250" s="31">
        <f>VLOOKUP(J250,color!A:C,2,0)</f>
        <v/>
      </c>
      <c r="L250" s="31" t="n">
        <v>1</v>
      </c>
      <c r="M250" s="31">
        <f>VLOOKUP(F250,'卖场库存0422-0512'!M:R,5,0)</f>
        <v/>
      </c>
      <c r="N250" s="31">
        <f>VLOOKUP(F250,'卖场库存0422-0512'!M:S,6,0)</f>
        <v/>
      </c>
      <c r="O250" s="31" t="inlineStr">
        <is>
          <t>Folder</t>
        </is>
      </c>
      <c r="P250" s="30">
        <f>VLOOKUP(F250,'卖场库存0422-0512'!M:S,7,0)</f>
        <v/>
      </c>
      <c r="Q250" s="31">
        <f>VLOOKUP(H250,color!E:G,3,0)</f>
        <v/>
      </c>
    </row>
    <row r="251">
      <c r="A251" s="31" t="n">
        <v>249</v>
      </c>
      <c r="B251" s="22" t="inlineStr">
        <is>
          <t>T001</t>
        </is>
      </c>
      <c r="C251" s="31" t="inlineStr">
        <is>
          <t>TABLE 001 (여성 메인 상)</t>
        </is>
      </c>
      <c r="D251" s="31" t="inlineStr">
        <is>
          <t>TABLE</t>
        </is>
      </c>
      <c r="E251" s="29" t="inlineStr">
        <is>
          <t>여성존</t>
        </is>
      </c>
      <c r="F251" s="31" t="inlineStr">
        <is>
          <t>EEYWG25E0339165</t>
        </is>
      </c>
      <c r="G251" s="31">
        <f>LEFT(F251,10)</f>
        <v/>
      </c>
      <c r="H251" s="31">
        <f>MID(G251,3,2)</f>
        <v/>
      </c>
      <c r="I251" s="31">
        <f>VLOOKUP(H251,color!E:G,2,0)</f>
        <v/>
      </c>
      <c r="J251" s="31" t="n">
        <v>39</v>
      </c>
      <c r="K251" s="31">
        <f>VLOOKUP(J251,color!A:C,2,0)</f>
        <v/>
      </c>
      <c r="L251" s="31" t="n">
        <v>1</v>
      </c>
      <c r="M251" s="31">
        <f>VLOOKUP(F251,'卖场库存0422-0512'!M:R,5,0)</f>
        <v/>
      </c>
      <c r="N251" s="31">
        <f>VLOOKUP(F251,'卖场库存0422-0512'!M:S,6,0)</f>
        <v/>
      </c>
      <c r="O251" s="31" t="inlineStr">
        <is>
          <t>Folder</t>
        </is>
      </c>
      <c r="P251" s="30">
        <f>VLOOKUP(F251,'卖场库存0422-0512'!M:S,7,0)</f>
        <v/>
      </c>
      <c r="Q251" s="31">
        <f>VLOOKUP(H251,color!E:G,3,0)</f>
        <v/>
      </c>
    </row>
    <row r="252">
      <c r="A252" s="31" t="n">
        <v>250</v>
      </c>
      <c r="B252" s="22" t="inlineStr">
        <is>
          <t>T001</t>
        </is>
      </c>
      <c r="C252" s="31" t="inlineStr">
        <is>
          <t>TABLE 001 (여성 메인 상)</t>
        </is>
      </c>
      <c r="D252" s="31" t="inlineStr">
        <is>
          <t>TABLE</t>
        </is>
      </c>
      <c r="E252" s="29" t="inlineStr">
        <is>
          <t>여성존</t>
        </is>
      </c>
      <c r="F252" s="31" t="inlineStr">
        <is>
          <t>EEYWG25E0339165</t>
        </is>
      </c>
      <c r="G252" s="31">
        <f>LEFT(F252,10)</f>
        <v/>
      </c>
      <c r="H252" s="31">
        <f>MID(G252,3,2)</f>
        <v/>
      </c>
      <c r="I252" s="31">
        <f>VLOOKUP(H252,color!E:G,2,0)</f>
        <v/>
      </c>
      <c r="J252" s="31" t="n">
        <v>39</v>
      </c>
      <c r="K252" s="31">
        <f>VLOOKUP(J252,color!A:C,2,0)</f>
        <v/>
      </c>
      <c r="L252" s="31" t="n">
        <v>1</v>
      </c>
      <c r="M252" s="31">
        <f>VLOOKUP(F252,'卖场库存0422-0512'!M:R,5,0)</f>
        <v/>
      </c>
      <c r="N252" s="31">
        <f>VLOOKUP(F252,'卖场库存0422-0512'!M:S,6,0)</f>
        <v/>
      </c>
      <c r="O252" s="31" t="inlineStr">
        <is>
          <t>Folder</t>
        </is>
      </c>
      <c r="P252" s="30">
        <f>VLOOKUP(F252,'卖场库存0422-0512'!M:S,7,0)</f>
        <v/>
      </c>
      <c r="Q252" s="31">
        <f>VLOOKUP(H252,color!E:G,3,0)</f>
        <v/>
      </c>
    </row>
    <row r="253">
      <c r="A253" s="31" t="n">
        <v>251</v>
      </c>
      <c r="B253" s="22" t="inlineStr">
        <is>
          <t>T001</t>
        </is>
      </c>
      <c r="C253" s="31" t="inlineStr">
        <is>
          <t>TABLE 001 (여성 메인 상)</t>
        </is>
      </c>
      <c r="D253" s="31" t="inlineStr">
        <is>
          <t>TABLE</t>
        </is>
      </c>
      <c r="E253" s="29" t="inlineStr">
        <is>
          <t>여성존</t>
        </is>
      </c>
      <c r="F253" s="31" t="inlineStr">
        <is>
          <t>EEYWG25E0339170</t>
        </is>
      </c>
      <c r="G253" s="31">
        <f>LEFT(F253,10)</f>
        <v/>
      </c>
      <c r="H253" s="31">
        <f>MID(G253,3,2)</f>
        <v/>
      </c>
      <c r="I253" s="31">
        <f>VLOOKUP(H253,color!E:G,2,0)</f>
        <v/>
      </c>
      <c r="J253" s="31" t="n">
        <v>39</v>
      </c>
      <c r="K253" s="31">
        <f>VLOOKUP(J253,color!A:C,2,0)</f>
        <v/>
      </c>
      <c r="L253" s="31" t="n">
        <v>1</v>
      </c>
      <c r="M253" s="31">
        <f>VLOOKUP(F253,'卖场库存0422-0512'!M:R,5,0)</f>
        <v/>
      </c>
      <c r="N253" s="31">
        <f>VLOOKUP(F253,'卖场库存0422-0512'!M:S,6,0)</f>
        <v/>
      </c>
      <c r="O253" s="31" t="inlineStr">
        <is>
          <t>Folder</t>
        </is>
      </c>
      <c r="P253" s="30">
        <f>VLOOKUP(F253,'卖场库存0422-0512'!M:S,7,0)</f>
        <v/>
      </c>
      <c r="Q253" s="31">
        <f>VLOOKUP(H253,color!E:G,3,0)</f>
        <v/>
      </c>
    </row>
    <row r="254">
      <c r="A254" s="31" t="n">
        <v>252</v>
      </c>
      <c r="B254" s="22" t="inlineStr">
        <is>
          <t>T001</t>
        </is>
      </c>
      <c r="C254" s="31" t="inlineStr">
        <is>
          <t>TABLE 001 (여성 메인 상)</t>
        </is>
      </c>
      <c r="D254" s="31" t="inlineStr">
        <is>
          <t>TABLE</t>
        </is>
      </c>
      <c r="E254" s="29" t="inlineStr">
        <is>
          <t>여성존</t>
        </is>
      </c>
      <c r="F254" s="31" t="inlineStr">
        <is>
          <t>EECKG25B0439170</t>
        </is>
      </c>
      <c r="G254" s="31">
        <f>LEFT(F254,10)</f>
        <v/>
      </c>
      <c r="H254" s="31">
        <f>MID(G254,3,2)</f>
        <v/>
      </c>
      <c r="I254" s="31">
        <f>VLOOKUP(H254,color!E:G,2,0)</f>
        <v/>
      </c>
      <c r="J254" s="31" t="n">
        <v>39</v>
      </c>
      <c r="K254" s="31">
        <f>VLOOKUP(J254,color!A:C,2,0)</f>
        <v/>
      </c>
      <c r="L254" s="31" t="n">
        <v>1</v>
      </c>
      <c r="M254" s="31">
        <f>VLOOKUP(F254,'卖场库存0422-0512'!M:R,5,0)</f>
        <v/>
      </c>
      <c r="N254" s="31">
        <f>VLOOKUP(F254,'卖场库存0422-0512'!M:S,6,0)</f>
        <v/>
      </c>
      <c r="O254" s="31" t="inlineStr">
        <is>
          <t>Folder</t>
        </is>
      </c>
      <c r="P254" s="30">
        <f>VLOOKUP(F254,'卖场库存0422-0512'!M:S,7,0)</f>
        <v/>
      </c>
      <c r="Q254" s="31">
        <f>VLOOKUP(H254,color!E:G,3,0)</f>
        <v/>
      </c>
    </row>
    <row r="255">
      <c r="A255" s="31" t="n">
        <v>253</v>
      </c>
      <c r="B255" s="22" t="inlineStr">
        <is>
          <t>T001</t>
        </is>
      </c>
      <c r="C255" s="31" t="inlineStr">
        <is>
          <t>TABLE 001 (여성 메인 상)</t>
        </is>
      </c>
      <c r="D255" s="31" t="inlineStr">
        <is>
          <t>TABLE</t>
        </is>
      </c>
      <c r="E255" s="29" t="inlineStr">
        <is>
          <t>여성존</t>
        </is>
      </c>
      <c r="F255" s="31" t="inlineStr">
        <is>
          <t>EECKG25B0439170</t>
        </is>
      </c>
      <c r="G255" s="31">
        <f>LEFT(F255,10)</f>
        <v/>
      </c>
      <c r="H255" s="31">
        <f>MID(G255,3,2)</f>
        <v/>
      </c>
      <c r="I255" s="31">
        <f>VLOOKUP(H255,color!E:G,2,0)</f>
        <v/>
      </c>
      <c r="J255" s="31" t="n">
        <v>39</v>
      </c>
      <c r="K255" s="31">
        <f>VLOOKUP(J255,color!A:C,2,0)</f>
        <v/>
      </c>
      <c r="L255" s="31" t="n">
        <v>1</v>
      </c>
      <c r="M255" s="31">
        <f>VLOOKUP(F255,'卖场库存0422-0512'!M:R,5,0)</f>
        <v/>
      </c>
      <c r="N255" s="31">
        <f>VLOOKUP(F255,'卖场库存0422-0512'!M:S,6,0)</f>
        <v/>
      </c>
      <c r="O255" s="31" t="inlineStr">
        <is>
          <t>Folder</t>
        </is>
      </c>
      <c r="P255" s="30">
        <f>VLOOKUP(F255,'卖场库存0422-0512'!M:S,7,0)</f>
        <v/>
      </c>
      <c r="Q255" s="31">
        <f>VLOOKUP(H255,color!E:G,3,0)</f>
        <v/>
      </c>
    </row>
    <row r="256">
      <c r="A256" s="31" t="n">
        <v>254</v>
      </c>
      <c r="B256" s="22" t="inlineStr">
        <is>
          <t>T001</t>
        </is>
      </c>
      <c r="C256" s="31" t="inlineStr">
        <is>
          <t>TABLE 001 (여성 메인 상)</t>
        </is>
      </c>
      <c r="D256" s="31" t="inlineStr">
        <is>
          <t>TABLE</t>
        </is>
      </c>
      <c r="E256" s="29" t="inlineStr">
        <is>
          <t>여성존</t>
        </is>
      </c>
      <c r="F256" s="31" t="inlineStr">
        <is>
          <t>EECKG25B0439160</t>
        </is>
      </c>
      <c r="G256" s="31">
        <f>LEFT(F256,10)</f>
        <v/>
      </c>
      <c r="H256" s="31">
        <f>MID(G256,3,2)</f>
        <v/>
      </c>
      <c r="I256" s="31">
        <f>VLOOKUP(H256,color!E:G,2,0)</f>
        <v/>
      </c>
      <c r="J256" s="31" t="n">
        <v>39</v>
      </c>
      <c r="K256" s="31">
        <f>VLOOKUP(J256,color!A:C,2,0)</f>
        <v/>
      </c>
      <c r="L256" s="31" t="n">
        <v>1</v>
      </c>
      <c r="M256" s="31">
        <f>VLOOKUP(F256,'卖场库存0422-0512'!M:R,5,0)</f>
        <v/>
      </c>
      <c r="N256" s="31">
        <f>VLOOKUP(F256,'卖场库存0422-0512'!M:S,6,0)</f>
        <v/>
      </c>
      <c r="O256" s="31" t="inlineStr">
        <is>
          <t>Folder</t>
        </is>
      </c>
      <c r="P256" s="30">
        <f>VLOOKUP(F256,'卖场库存0422-0512'!M:S,7,0)</f>
        <v/>
      </c>
      <c r="Q256" s="31">
        <f>VLOOKUP(H256,color!E:G,3,0)</f>
        <v/>
      </c>
    </row>
    <row r="257">
      <c r="A257" s="31" t="n">
        <v>255</v>
      </c>
      <c r="B257" s="22" t="inlineStr">
        <is>
          <t>T001</t>
        </is>
      </c>
      <c r="C257" s="31" t="inlineStr">
        <is>
          <t>TABLE 001 (여성 메인 상)</t>
        </is>
      </c>
      <c r="D257" s="31" t="inlineStr">
        <is>
          <t>TABLE</t>
        </is>
      </c>
      <c r="E257" s="29" t="inlineStr">
        <is>
          <t>여성존</t>
        </is>
      </c>
      <c r="F257" s="31" t="inlineStr">
        <is>
          <t>EEABG23B1G19FRE</t>
        </is>
      </c>
      <c r="G257" s="31">
        <f>LEFT(F257,10)</f>
        <v/>
      </c>
      <c r="H257" s="31">
        <f>MID(G257,3,2)</f>
        <v/>
      </c>
      <c r="I257" s="31">
        <f>VLOOKUP(H257,color!E:G,2,0)</f>
        <v/>
      </c>
      <c r="J257" s="31" t="n">
        <v>19</v>
      </c>
      <c r="K257" s="31">
        <f>VLOOKUP(J257,color!A:C,2,0)</f>
        <v/>
      </c>
      <c r="L257" s="31" t="n">
        <v>1</v>
      </c>
      <c r="M257" s="31">
        <f>VLOOKUP(F257,'卖场库存0422-0512'!M:R,5,0)</f>
        <v/>
      </c>
      <c r="N257" s="31">
        <f>VLOOKUP(F257,'卖场库存0422-0512'!M:S,6,0)</f>
        <v/>
      </c>
      <c r="O257" s="31" t="inlineStr">
        <is>
          <t>Folder</t>
        </is>
      </c>
      <c r="P257" s="30">
        <f>VLOOKUP(F257,'卖场库存0422-0512'!M:S,7,0)</f>
        <v/>
      </c>
      <c r="Q257" s="31">
        <f>VLOOKUP(H257,color!E:G,3,0)</f>
        <v/>
      </c>
    </row>
    <row r="258">
      <c r="A258" s="31" t="n">
        <v>256</v>
      </c>
      <c r="B258" s="22" t="inlineStr">
        <is>
          <t>T001</t>
        </is>
      </c>
      <c r="C258" s="31" t="inlineStr">
        <is>
          <t>TABLE 001 (여성 메인 상)</t>
        </is>
      </c>
      <c r="D258" s="31" t="inlineStr">
        <is>
          <t>TABLE</t>
        </is>
      </c>
      <c r="E258" s="29" t="inlineStr">
        <is>
          <t>여성존</t>
        </is>
      </c>
      <c r="F258" s="31" t="inlineStr">
        <is>
          <t>EEJKG24B0136165</t>
        </is>
      </c>
      <c r="G258" s="31">
        <f>LEFT(F258,10)</f>
        <v/>
      </c>
      <c r="H258" s="31">
        <f>MID(G258,3,2)</f>
        <v/>
      </c>
      <c r="I258" s="31">
        <f>VLOOKUP(H258,color!E:G,2,0)</f>
        <v/>
      </c>
      <c r="J258" s="31" t="n">
        <v>36</v>
      </c>
      <c r="K258" s="31">
        <f>VLOOKUP(J258,color!A:C,2,0)</f>
        <v/>
      </c>
      <c r="L258" s="31" t="n">
        <v>1</v>
      </c>
      <c r="M258" s="31">
        <f>VLOOKUP(F258,'卖场库存0422-0512'!M:R,5,0)</f>
        <v/>
      </c>
      <c r="N258" s="31">
        <f>VLOOKUP(F258,'卖场库存0422-0512'!M:S,6,0)</f>
        <v/>
      </c>
      <c r="O258" s="31" t="inlineStr">
        <is>
          <t>Folder</t>
        </is>
      </c>
      <c r="P258" s="30">
        <f>VLOOKUP(F258,'卖场库存0422-0512'!M:S,7,0)</f>
        <v/>
      </c>
      <c r="Q258" s="31">
        <f>VLOOKUP(H258,color!E:G,3,0)</f>
        <v/>
      </c>
    </row>
    <row r="259">
      <c r="A259" s="31" t="n">
        <v>257</v>
      </c>
      <c r="B259" s="22" t="inlineStr">
        <is>
          <t>T001</t>
        </is>
      </c>
      <c r="C259" s="31" t="inlineStr">
        <is>
          <t>TABLE 001 (여성 메인 상)</t>
        </is>
      </c>
      <c r="D259" s="31" t="inlineStr">
        <is>
          <t>TABLE</t>
        </is>
      </c>
      <c r="E259" s="29" t="inlineStr">
        <is>
          <t>여성존</t>
        </is>
      </c>
      <c r="F259" s="31" t="inlineStr">
        <is>
          <t>EEJKG24B0136160</t>
        </is>
      </c>
      <c r="G259" s="31">
        <f>LEFT(F259,10)</f>
        <v/>
      </c>
      <c r="H259" s="31">
        <f>MID(G259,3,2)</f>
        <v/>
      </c>
      <c r="I259" s="31">
        <f>VLOOKUP(H259,color!E:G,2,0)</f>
        <v/>
      </c>
      <c r="J259" s="31" t="n">
        <v>36</v>
      </c>
      <c r="K259" s="31">
        <f>VLOOKUP(J259,color!A:C,2,0)</f>
        <v/>
      </c>
      <c r="L259" s="31" t="n">
        <v>1</v>
      </c>
      <c r="M259" s="31">
        <f>VLOOKUP(F259,'卖场库存0422-0512'!M:R,5,0)</f>
        <v/>
      </c>
      <c r="N259" s="31">
        <f>VLOOKUP(F259,'卖场库存0422-0512'!M:S,6,0)</f>
        <v/>
      </c>
      <c r="O259" s="31" t="inlineStr">
        <is>
          <t>Folder</t>
        </is>
      </c>
      <c r="P259" s="30">
        <f>VLOOKUP(F259,'卖场库存0422-0512'!M:S,7,0)</f>
        <v/>
      </c>
      <c r="Q259" s="31">
        <f>VLOOKUP(H259,color!E:G,3,0)</f>
        <v/>
      </c>
    </row>
    <row r="260">
      <c r="A260" s="31" t="n">
        <v>258</v>
      </c>
      <c r="B260" s="22" t="inlineStr">
        <is>
          <t>T001</t>
        </is>
      </c>
      <c r="C260" s="31" t="inlineStr">
        <is>
          <t>TABLE 001 (여성 메인 상)</t>
        </is>
      </c>
      <c r="D260" s="31" t="inlineStr">
        <is>
          <t>TABLE</t>
        </is>
      </c>
      <c r="E260" s="29" t="inlineStr">
        <is>
          <t>여성존</t>
        </is>
      </c>
      <c r="F260" s="31" t="inlineStr">
        <is>
          <t>EETHG25E0439170</t>
        </is>
      </c>
      <c r="G260" s="31">
        <f>LEFT(F260,10)</f>
        <v/>
      </c>
      <c r="H260" s="31">
        <f>MID(G260,3,2)</f>
        <v/>
      </c>
      <c r="I260" s="31">
        <f>VLOOKUP(H260,color!E:G,2,0)</f>
        <v/>
      </c>
      <c r="J260" s="31" t="n">
        <v>39</v>
      </c>
      <c r="K260" s="31">
        <f>VLOOKUP(J260,color!A:C,2,0)</f>
        <v/>
      </c>
      <c r="L260" s="31" t="n">
        <v>1</v>
      </c>
      <c r="M260" s="31">
        <f>VLOOKUP(F260,'卖场库存0422-0512'!M:R,5,0)</f>
        <v/>
      </c>
      <c r="N260" s="31">
        <f>VLOOKUP(F260,'卖场库存0422-0512'!M:S,6,0)</f>
        <v/>
      </c>
      <c r="O260" s="31" t="inlineStr">
        <is>
          <t>Folder</t>
        </is>
      </c>
      <c r="P260" s="30">
        <f>VLOOKUP(F260,'卖场库存0422-0512'!M:S,7,0)</f>
        <v/>
      </c>
      <c r="Q260" s="31">
        <f>VLOOKUP(H260,color!E:G,3,0)</f>
        <v/>
      </c>
    </row>
    <row r="261">
      <c r="A261" s="31" t="n">
        <v>259</v>
      </c>
      <c r="B261" s="22" t="inlineStr">
        <is>
          <t>T001</t>
        </is>
      </c>
      <c r="C261" s="31" t="inlineStr">
        <is>
          <t>TABLE 001 (여성 메인 상)</t>
        </is>
      </c>
      <c r="D261" s="31" t="inlineStr">
        <is>
          <t>TABLE</t>
        </is>
      </c>
      <c r="E261" s="29" t="inlineStr">
        <is>
          <t>여성존</t>
        </is>
      </c>
      <c r="F261" s="31" t="inlineStr">
        <is>
          <t>EETHG25E0439165</t>
        </is>
      </c>
      <c r="G261" s="31">
        <f>LEFT(F261,10)</f>
        <v/>
      </c>
      <c r="H261" s="31">
        <f>MID(G261,3,2)</f>
        <v/>
      </c>
      <c r="I261" s="31">
        <f>VLOOKUP(H261,color!E:G,2,0)</f>
        <v/>
      </c>
      <c r="J261" s="31" t="n">
        <v>39</v>
      </c>
      <c r="K261" s="31">
        <f>VLOOKUP(J261,color!A:C,2,0)</f>
        <v/>
      </c>
      <c r="L261" s="31" t="n">
        <v>1</v>
      </c>
      <c r="M261" s="31">
        <f>VLOOKUP(F261,'卖场库存0422-0512'!M:R,5,0)</f>
        <v/>
      </c>
      <c r="N261" s="31">
        <f>VLOOKUP(F261,'卖场库存0422-0512'!M:S,6,0)</f>
        <v/>
      </c>
      <c r="O261" s="31" t="inlineStr">
        <is>
          <t>Folder</t>
        </is>
      </c>
      <c r="P261" s="30">
        <f>VLOOKUP(F261,'卖场库存0422-0512'!M:S,7,0)</f>
        <v/>
      </c>
      <c r="Q261" s="31">
        <f>VLOOKUP(H261,color!E:G,3,0)</f>
        <v/>
      </c>
    </row>
    <row r="262">
      <c r="A262" s="31" t="n">
        <v>260</v>
      </c>
      <c r="B262" s="22" t="inlineStr">
        <is>
          <t>T001</t>
        </is>
      </c>
      <c r="C262" s="31" t="inlineStr">
        <is>
          <t>TABLE 001 (여성 메인 상)</t>
        </is>
      </c>
      <c r="D262" s="31" t="inlineStr">
        <is>
          <t>TABLE</t>
        </is>
      </c>
      <c r="E262" s="29" t="inlineStr">
        <is>
          <t>여성존</t>
        </is>
      </c>
      <c r="F262" s="31" t="inlineStr">
        <is>
          <t>EETHG25E0439155</t>
        </is>
      </c>
      <c r="G262" s="31">
        <f>LEFT(F262,10)</f>
        <v/>
      </c>
      <c r="H262" s="31">
        <f>MID(G262,3,2)</f>
        <v/>
      </c>
      <c r="I262" s="31">
        <f>VLOOKUP(H262,color!E:G,2,0)</f>
        <v/>
      </c>
      <c r="J262" s="31" t="n">
        <v>39</v>
      </c>
      <c r="K262" s="31">
        <f>VLOOKUP(J262,color!A:C,2,0)</f>
        <v/>
      </c>
      <c r="L262" s="31" t="n">
        <v>1</v>
      </c>
      <c r="M262" s="31">
        <f>VLOOKUP(F262,'卖场库存0422-0512'!M:R,5,0)</f>
        <v/>
      </c>
      <c r="N262" s="31">
        <f>VLOOKUP(F262,'卖场库存0422-0512'!M:S,6,0)</f>
        <v/>
      </c>
      <c r="O262" s="31" t="inlineStr">
        <is>
          <t>Folder</t>
        </is>
      </c>
      <c r="P262" s="30">
        <f>VLOOKUP(F262,'卖场库存0422-0512'!M:S,7,0)</f>
        <v/>
      </c>
      <c r="Q262" s="31">
        <f>VLOOKUP(H262,color!E:G,3,0)</f>
        <v/>
      </c>
    </row>
    <row r="263">
      <c r="A263" s="31" t="n">
        <v>261</v>
      </c>
      <c r="B263" s="22" t="inlineStr">
        <is>
          <t>T001</t>
        </is>
      </c>
      <c r="C263" s="31" t="inlineStr">
        <is>
          <t>TABLE 001 (여성 메인 상)</t>
        </is>
      </c>
      <c r="D263" s="31" t="inlineStr">
        <is>
          <t>TABLE</t>
        </is>
      </c>
      <c r="E263" s="29" t="inlineStr">
        <is>
          <t>여성존</t>
        </is>
      </c>
      <c r="F263" s="31" t="inlineStr">
        <is>
          <t>EERNG23E0195170</t>
        </is>
      </c>
      <c r="G263" s="31">
        <f>LEFT(F263,10)</f>
        <v/>
      </c>
      <c r="H263" s="31">
        <f>MID(G263,3,2)</f>
        <v/>
      </c>
      <c r="I263" s="31">
        <f>VLOOKUP(H263,color!E:G,2,0)</f>
        <v/>
      </c>
      <c r="J263" s="31" t="n">
        <v>95</v>
      </c>
      <c r="K263" s="31">
        <f>VLOOKUP(J263,color!A:C,2,0)</f>
        <v/>
      </c>
      <c r="L263" s="31" t="n">
        <v>1</v>
      </c>
      <c r="M263" s="31">
        <f>VLOOKUP(F263,'卖场库存0422-0512'!M:R,5,0)</f>
        <v/>
      </c>
      <c r="N263" s="31">
        <f>VLOOKUP(F263,'卖场库存0422-0512'!M:S,6,0)</f>
        <v/>
      </c>
      <c r="O263" s="31" t="inlineStr">
        <is>
          <t>Folder</t>
        </is>
      </c>
      <c r="P263" s="30">
        <f>VLOOKUP(F263,'卖场库存0422-0512'!M:S,7,0)</f>
        <v/>
      </c>
      <c r="Q263" s="31">
        <f>VLOOKUP(H263,color!E:G,3,0)</f>
        <v/>
      </c>
    </row>
    <row r="264">
      <c r="A264" s="31" t="n">
        <v>262</v>
      </c>
      <c r="B264" s="22" t="inlineStr">
        <is>
          <t>T001</t>
        </is>
      </c>
      <c r="C264" s="31" t="inlineStr">
        <is>
          <t>TABLE 001 (여성 메인 상)</t>
        </is>
      </c>
      <c r="D264" s="31" t="inlineStr">
        <is>
          <t>TABLE</t>
        </is>
      </c>
      <c r="E264" s="29" t="inlineStr">
        <is>
          <t>여성존</t>
        </is>
      </c>
      <c r="F264" s="31" t="inlineStr">
        <is>
          <t>EERNG23E0199165</t>
        </is>
      </c>
      <c r="G264" s="31">
        <f>LEFT(F264,10)</f>
        <v/>
      </c>
      <c r="H264" s="31">
        <f>MID(G264,3,2)</f>
        <v/>
      </c>
      <c r="I264" s="31">
        <f>VLOOKUP(H264,color!E:G,2,0)</f>
        <v/>
      </c>
      <c r="J264" s="31" t="n">
        <v>99</v>
      </c>
      <c r="K264" s="31">
        <f>VLOOKUP(J264,color!A:C,2,0)</f>
        <v/>
      </c>
      <c r="L264" s="31" t="n">
        <v>1</v>
      </c>
      <c r="M264" s="31">
        <f>VLOOKUP(F264,'卖场库存0422-0512'!M:R,5,0)</f>
        <v/>
      </c>
      <c r="N264" s="31">
        <f>VLOOKUP(F264,'卖场库存0422-0512'!M:S,6,0)</f>
        <v/>
      </c>
      <c r="O264" s="31" t="inlineStr">
        <is>
          <t>Folder</t>
        </is>
      </c>
      <c r="P264" s="30">
        <f>VLOOKUP(F264,'卖场库存0422-0512'!M:S,7,0)</f>
        <v/>
      </c>
      <c r="Q264" s="31">
        <f>VLOOKUP(H264,color!E:G,3,0)</f>
        <v/>
      </c>
    </row>
    <row r="265">
      <c r="A265" s="31" t="n">
        <v>263</v>
      </c>
      <c r="B265" s="22" t="inlineStr">
        <is>
          <t>T001</t>
        </is>
      </c>
      <c r="C265" s="31" t="inlineStr">
        <is>
          <t>TABLE 001 (여성 메인 상)</t>
        </is>
      </c>
      <c r="D265" s="31" t="inlineStr">
        <is>
          <t>TABLE</t>
        </is>
      </c>
      <c r="E265" s="29" t="inlineStr">
        <is>
          <t>여성존</t>
        </is>
      </c>
      <c r="F265" s="31" t="inlineStr">
        <is>
          <t>EERNG23E0195160</t>
        </is>
      </c>
      <c r="G265" s="31">
        <f>LEFT(F265,10)</f>
        <v/>
      </c>
      <c r="H265" s="31">
        <f>MID(G265,3,2)</f>
        <v/>
      </c>
      <c r="I265" s="31">
        <f>VLOOKUP(H265,color!E:G,2,0)</f>
        <v/>
      </c>
      <c r="J265" s="31" t="n">
        <v>95</v>
      </c>
      <c r="K265" s="31">
        <f>VLOOKUP(J265,color!A:C,2,0)</f>
        <v/>
      </c>
      <c r="L265" s="31" t="n">
        <v>1</v>
      </c>
      <c r="M265" s="31">
        <f>VLOOKUP(F265,'卖场库存0422-0512'!M:R,5,0)</f>
        <v/>
      </c>
      <c r="N265" s="31">
        <f>VLOOKUP(F265,'卖场库存0422-0512'!M:S,6,0)</f>
        <v/>
      </c>
      <c r="O265" s="31" t="inlineStr">
        <is>
          <t>Folder</t>
        </is>
      </c>
      <c r="P265" s="30">
        <f>VLOOKUP(F265,'卖场库存0422-0512'!M:S,7,0)</f>
        <v/>
      </c>
      <c r="Q265" s="31">
        <f>VLOOKUP(H265,color!E:G,3,0)</f>
        <v/>
      </c>
    </row>
    <row r="266">
      <c r="A266" s="31" t="n">
        <v>264</v>
      </c>
      <c r="B266" s="22" t="inlineStr">
        <is>
          <t>T001</t>
        </is>
      </c>
      <c r="C266" s="31" t="inlineStr">
        <is>
          <t>TABLE 001 (여성 메인 상)</t>
        </is>
      </c>
      <c r="D266" s="31" t="inlineStr">
        <is>
          <t>TABLE</t>
        </is>
      </c>
      <c r="E266" s="29" t="inlineStr">
        <is>
          <t>여성존</t>
        </is>
      </c>
      <c r="F266" s="31" t="inlineStr">
        <is>
          <t>EEKWG24E0239175</t>
        </is>
      </c>
      <c r="G266" s="31">
        <f>LEFT(F266,10)</f>
        <v/>
      </c>
      <c r="H266" s="31">
        <f>MID(G266,3,2)</f>
        <v/>
      </c>
      <c r="I266" s="31">
        <f>VLOOKUP(H266,color!E:G,2,0)</f>
        <v/>
      </c>
      <c r="J266" s="31" t="n">
        <v>39</v>
      </c>
      <c r="K266" s="31">
        <f>VLOOKUP(J266,color!A:C,2,0)</f>
        <v/>
      </c>
      <c r="L266" s="31" t="n">
        <v>1</v>
      </c>
      <c r="M266" s="31">
        <f>VLOOKUP(F266,'卖场库存0422-0512'!M:R,5,0)</f>
        <v/>
      </c>
      <c r="N266" s="31">
        <f>VLOOKUP(F266,'卖场库存0422-0512'!M:S,6,0)</f>
        <v/>
      </c>
      <c r="O266" s="31" t="inlineStr">
        <is>
          <t>Folder</t>
        </is>
      </c>
      <c r="P266" s="30">
        <f>VLOOKUP(F266,'卖场库存0422-0512'!M:S,7,0)</f>
        <v/>
      </c>
      <c r="Q266" s="31">
        <f>VLOOKUP(H266,color!E:G,3,0)</f>
        <v/>
      </c>
    </row>
    <row r="267">
      <c r="A267" s="31" t="n">
        <v>265</v>
      </c>
      <c r="B267" s="22" t="inlineStr">
        <is>
          <t>T001</t>
        </is>
      </c>
      <c r="C267" s="31" t="inlineStr">
        <is>
          <t>TABLE 001 (여성 메인 상)</t>
        </is>
      </c>
      <c r="D267" s="31" t="inlineStr">
        <is>
          <t>TABLE</t>
        </is>
      </c>
      <c r="E267" s="29" t="inlineStr">
        <is>
          <t>여성존</t>
        </is>
      </c>
      <c r="F267" s="31" t="inlineStr">
        <is>
          <t>EEKWG24E0239170</t>
        </is>
      </c>
      <c r="G267" s="31">
        <f>LEFT(F267,10)</f>
        <v/>
      </c>
      <c r="H267" s="31">
        <f>MID(G267,3,2)</f>
        <v/>
      </c>
      <c r="I267" s="31">
        <f>VLOOKUP(H267,color!E:G,2,0)</f>
        <v/>
      </c>
      <c r="J267" s="31" t="n">
        <v>39</v>
      </c>
      <c r="K267" s="31">
        <f>VLOOKUP(J267,color!A:C,2,0)</f>
        <v/>
      </c>
      <c r="L267" s="31" t="n">
        <v>1</v>
      </c>
      <c r="M267" s="31">
        <f>VLOOKUP(F267,'卖场库存0422-0512'!M:R,5,0)</f>
        <v/>
      </c>
      <c r="N267" s="31">
        <f>VLOOKUP(F267,'卖场库存0422-0512'!M:S,6,0)</f>
        <v/>
      </c>
      <c r="O267" s="31" t="inlineStr">
        <is>
          <t>Folder</t>
        </is>
      </c>
      <c r="P267" s="30">
        <f>VLOOKUP(F267,'卖场库存0422-0512'!M:S,7,0)</f>
        <v/>
      </c>
      <c r="Q267" s="31">
        <f>VLOOKUP(H267,color!E:G,3,0)</f>
        <v/>
      </c>
    </row>
    <row r="268">
      <c r="A268" s="31" t="n">
        <v>266</v>
      </c>
      <c r="B268" s="22" t="inlineStr">
        <is>
          <t>T001</t>
        </is>
      </c>
      <c r="C268" s="31" t="inlineStr">
        <is>
          <t>TABLE 001 (여성 메인 상)</t>
        </is>
      </c>
      <c r="D268" s="31" t="inlineStr">
        <is>
          <t>TABLE</t>
        </is>
      </c>
      <c r="E268" s="29" t="inlineStr">
        <is>
          <t>여성존</t>
        </is>
      </c>
      <c r="F268" s="31" t="inlineStr">
        <is>
          <t>EEKWG24E0239160</t>
        </is>
      </c>
      <c r="G268" s="31">
        <f>LEFT(F268,10)</f>
        <v/>
      </c>
      <c r="H268" s="31">
        <f>MID(G268,3,2)</f>
        <v/>
      </c>
      <c r="I268" s="31">
        <f>VLOOKUP(H268,color!E:G,2,0)</f>
        <v/>
      </c>
      <c r="J268" s="31" t="n">
        <v>39</v>
      </c>
      <c r="K268" s="31">
        <f>VLOOKUP(J268,color!A:C,2,0)</f>
        <v/>
      </c>
      <c r="L268" s="31" t="n">
        <v>1</v>
      </c>
      <c r="M268" s="31">
        <f>VLOOKUP(F268,'卖场库存0422-0512'!M:R,5,0)</f>
        <v/>
      </c>
      <c r="N268" s="31">
        <f>VLOOKUP(F268,'卖场库存0422-0512'!M:S,6,0)</f>
        <v/>
      </c>
      <c r="O268" s="31" t="inlineStr">
        <is>
          <t>Folder</t>
        </is>
      </c>
      <c r="P268" s="30">
        <f>VLOOKUP(F268,'卖场库存0422-0512'!M:S,7,0)</f>
        <v/>
      </c>
      <c r="Q268" s="31">
        <f>VLOOKUP(H268,color!E:G,3,0)</f>
        <v/>
      </c>
    </row>
    <row r="269">
      <c r="A269" s="31" t="n">
        <v>267</v>
      </c>
      <c r="B269" s="22" t="inlineStr">
        <is>
          <t>T002</t>
        </is>
      </c>
      <c r="C269" s="31" t="inlineStr">
        <is>
          <t>TABLE 002 (여성 메인 상)</t>
        </is>
      </c>
      <c r="D269" s="31" t="inlineStr">
        <is>
          <t>TABLE</t>
        </is>
      </c>
      <c r="E269" s="29" t="inlineStr">
        <is>
          <t>여성존</t>
        </is>
      </c>
      <c r="F269" s="31" t="inlineStr">
        <is>
          <t>EEAKF49M0256FRE</t>
        </is>
      </c>
      <c r="G269" s="31">
        <f>LEFT(F269,10)</f>
        <v/>
      </c>
      <c r="H269" s="31">
        <f>MID(G269,3,2)</f>
        <v/>
      </c>
      <c r="I269" s="31">
        <f>VLOOKUP(H269,color!E:G,2,0)</f>
        <v/>
      </c>
      <c r="J269" s="31" t="n">
        <v>56</v>
      </c>
      <c r="K269" s="31">
        <f>VLOOKUP(J269,color!A:C,2,0)</f>
        <v/>
      </c>
      <c r="L269" s="31" t="n">
        <v>1</v>
      </c>
      <c r="M269" s="31">
        <f>VLOOKUP(F269,'卖场库存0422-0512'!M:R,5,0)</f>
        <v/>
      </c>
      <c r="N269" s="31">
        <f>VLOOKUP(F269,'卖场库存0422-0512'!M:S,6,0)</f>
        <v/>
      </c>
      <c r="O269" s="31" t="inlineStr">
        <is>
          <t>Folder</t>
        </is>
      </c>
      <c r="P269" s="30">
        <f>VLOOKUP(F269,'卖场库存0422-0512'!M:S,7,0)</f>
        <v/>
      </c>
      <c r="Q269" s="31">
        <f>VLOOKUP(H269,color!E:G,3,0)</f>
        <v/>
      </c>
    </row>
    <row r="270">
      <c r="A270" s="31" t="n">
        <v>268</v>
      </c>
      <c r="B270" s="22" t="inlineStr">
        <is>
          <t>T002</t>
        </is>
      </c>
      <c r="C270" s="31" t="inlineStr">
        <is>
          <t>TABLE 002 (여성 메인 상)</t>
        </is>
      </c>
      <c r="D270" s="31" t="inlineStr">
        <is>
          <t>TABLE</t>
        </is>
      </c>
      <c r="E270" s="29" t="inlineStr">
        <is>
          <t>여성존</t>
        </is>
      </c>
      <c r="F270" s="31" t="inlineStr">
        <is>
          <t>EEAKF49M0337FRE</t>
        </is>
      </c>
      <c r="G270" s="31">
        <f>LEFT(F270,10)</f>
        <v/>
      </c>
      <c r="H270" s="31">
        <f>MID(G270,3,2)</f>
        <v/>
      </c>
      <c r="I270" s="31">
        <f>VLOOKUP(H270,color!E:G,2,0)</f>
        <v/>
      </c>
      <c r="J270" s="31" t="n">
        <v>37</v>
      </c>
      <c r="K270" s="31">
        <f>VLOOKUP(J270,color!A:C,2,0)</f>
        <v/>
      </c>
      <c r="L270" s="31" t="n">
        <v>1</v>
      </c>
      <c r="M270" s="31">
        <f>VLOOKUP(F270,'卖场库存0422-0512'!M:R,5,0)</f>
        <v/>
      </c>
      <c r="N270" s="31">
        <f>VLOOKUP(F270,'卖场库存0422-0512'!M:S,6,0)</f>
        <v/>
      </c>
      <c r="O270" s="31" t="inlineStr">
        <is>
          <t>Folder</t>
        </is>
      </c>
      <c r="P270" s="30">
        <f>VLOOKUP(F270,'卖场库存0422-0512'!M:S,7,0)</f>
        <v/>
      </c>
      <c r="Q270" s="31">
        <f>VLOOKUP(H270,color!E:G,3,0)</f>
        <v/>
      </c>
    </row>
    <row r="271">
      <c r="A271" s="31" t="n">
        <v>269</v>
      </c>
      <c r="B271" s="22" t="inlineStr">
        <is>
          <t>T002</t>
        </is>
      </c>
      <c r="C271" s="31" t="inlineStr">
        <is>
          <t>TABLE 002 (여성 메인 상)</t>
        </is>
      </c>
      <c r="D271" s="31" t="inlineStr">
        <is>
          <t>TABLE</t>
        </is>
      </c>
      <c r="E271" s="29" t="inlineStr">
        <is>
          <t>여성존</t>
        </is>
      </c>
      <c r="F271" s="31" t="inlineStr">
        <is>
          <t>EEYPG24E0156160</t>
        </is>
      </c>
      <c r="G271" s="31">
        <f>LEFT(F271,10)</f>
        <v/>
      </c>
      <c r="H271" s="31">
        <f>MID(G271,3,2)</f>
        <v/>
      </c>
      <c r="I271" s="31">
        <f>VLOOKUP(H271,color!E:G,2,0)</f>
        <v/>
      </c>
      <c r="J271" s="31" t="n">
        <v>56</v>
      </c>
      <c r="K271" s="31">
        <f>VLOOKUP(J271,color!A:C,2,0)</f>
        <v/>
      </c>
      <c r="L271" s="31" t="n">
        <v>1</v>
      </c>
      <c r="M271" s="31">
        <f>VLOOKUP(F271,'卖场库存0422-0512'!M:R,5,0)</f>
        <v/>
      </c>
      <c r="N271" s="31">
        <f>VLOOKUP(F271,'卖场库存0422-0512'!M:S,6,0)</f>
        <v/>
      </c>
      <c r="O271" s="31" t="inlineStr">
        <is>
          <t>Folder</t>
        </is>
      </c>
      <c r="P271" s="30">
        <f>VLOOKUP(F271,'卖场库存0422-0512'!M:S,7,0)</f>
        <v/>
      </c>
      <c r="Q271" s="31">
        <f>VLOOKUP(H271,color!E:G,3,0)</f>
        <v/>
      </c>
    </row>
    <row r="272">
      <c r="A272" s="31" t="n">
        <v>270</v>
      </c>
      <c r="B272" s="22" t="inlineStr">
        <is>
          <t>T002</t>
        </is>
      </c>
      <c r="C272" s="31" t="inlineStr">
        <is>
          <t>TABLE 002 (여성 메인 상)</t>
        </is>
      </c>
      <c r="D272" s="31" t="inlineStr">
        <is>
          <t>TABLE</t>
        </is>
      </c>
      <c r="E272" s="29" t="inlineStr">
        <is>
          <t>여성존</t>
        </is>
      </c>
      <c r="F272" s="31" t="inlineStr">
        <is>
          <t>EEACG23E0150FRE</t>
        </is>
      </c>
      <c r="G272" s="31">
        <f>LEFT(F272,10)</f>
        <v/>
      </c>
      <c r="H272" s="31">
        <f>MID(G272,3,2)</f>
        <v/>
      </c>
      <c r="I272" s="31">
        <f>VLOOKUP(H272,color!E:G,2,0)</f>
        <v/>
      </c>
      <c r="J272" s="31" t="n">
        <v>50</v>
      </c>
      <c r="K272" s="31">
        <f>VLOOKUP(J272,color!A:C,2,0)</f>
        <v/>
      </c>
      <c r="L272" s="31" t="n">
        <v>1</v>
      </c>
      <c r="M272" s="31">
        <f>VLOOKUP(F272,'卖场库存0422-0512'!M:R,5,0)</f>
        <v/>
      </c>
      <c r="N272" s="31">
        <f>VLOOKUP(F272,'卖场库存0422-0512'!M:S,6,0)</f>
        <v/>
      </c>
      <c r="O272" s="31" t="inlineStr">
        <is>
          <t>Folder</t>
        </is>
      </c>
      <c r="P272" s="30">
        <f>VLOOKUP(F272,'卖场库存0422-0512'!M:S,7,0)</f>
        <v/>
      </c>
      <c r="Q272" s="31">
        <f>VLOOKUP(H272,color!E:G,3,0)</f>
        <v/>
      </c>
    </row>
    <row r="273">
      <c r="A273" s="31" t="n">
        <v>271</v>
      </c>
      <c r="B273" s="22" t="inlineStr">
        <is>
          <t>T002</t>
        </is>
      </c>
      <c r="C273" s="31" t="inlineStr">
        <is>
          <t>TABLE 002 (여성 메인 상)</t>
        </is>
      </c>
      <c r="D273" s="31" t="inlineStr">
        <is>
          <t>TABLE</t>
        </is>
      </c>
      <c r="E273" s="29" t="inlineStr">
        <is>
          <t>여성존</t>
        </is>
      </c>
      <c r="F273" s="31" t="inlineStr">
        <is>
          <t>EERAG24E0151165</t>
        </is>
      </c>
      <c r="G273" s="31">
        <f>LEFT(F273,10)</f>
        <v/>
      </c>
      <c r="H273" s="31">
        <f>MID(G273,3,2)</f>
        <v/>
      </c>
      <c r="I273" s="31">
        <f>VLOOKUP(H273,color!E:G,2,0)</f>
        <v/>
      </c>
      <c r="J273" s="31" t="n">
        <v>51</v>
      </c>
      <c r="K273" s="31">
        <f>VLOOKUP(J273,color!A:C,2,0)</f>
        <v/>
      </c>
      <c r="L273" s="31" t="n">
        <v>1</v>
      </c>
      <c r="M273" s="31">
        <f>VLOOKUP(F273,'卖场库存0422-0512'!M:R,5,0)</f>
        <v/>
      </c>
      <c r="N273" s="31">
        <f>VLOOKUP(F273,'卖场库存0422-0512'!M:S,6,0)</f>
        <v/>
      </c>
      <c r="O273" s="31" t="inlineStr">
        <is>
          <t>Folder</t>
        </is>
      </c>
      <c r="P273" s="30">
        <f>VLOOKUP(F273,'卖场库存0422-0512'!M:S,7,0)</f>
        <v/>
      </c>
      <c r="Q273" s="31">
        <f>VLOOKUP(H273,color!E:G,3,0)</f>
        <v/>
      </c>
    </row>
    <row r="274">
      <c r="A274" s="31" t="n">
        <v>272</v>
      </c>
      <c r="B274" s="22" t="inlineStr">
        <is>
          <t>T002</t>
        </is>
      </c>
      <c r="C274" s="31" t="inlineStr">
        <is>
          <t>TABLE 002 (여성 메인 상)</t>
        </is>
      </c>
      <c r="D274" s="31" t="inlineStr">
        <is>
          <t>TABLE</t>
        </is>
      </c>
      <c r="E274" s="29" t="inlineStr">
        <is>
          <t>여성존</t>
        </is>
      </c>
      <c r="F274" s="31" t="inlineStr">
        <is>
          <t>EERAG24E0151160</t>
        </is>
      </c>
      <c r="G274" s="31">
        <f>LEFT(F274,10)</f>
        <v/>
      </c>
      <c r="H274" s="31">
        <f>MID(G274,3,2)</f>
        <v/>
      </c>
      <c r="I274" s="31">
        <f>VLOOKUP(H274,color!E:G,2,0)</f>
        <v/>
      </c>
      <c r="J274" s="31" t="n">
        <v>51</v>
      </c>
      <c r="K274" s="31">
        <f>VLOOKUP(J274,color!A:C,2,0)</f>
        <v/>
      </c>
      <c r="L274" s="31" t="n">
        <v>1</v>
      </c>
      <c r="M274" s="31">
        <f>VLOOKUP(F274,'卖场库存0422-0512'!M:R,5,0)</f>
        <v/>
      </c>
      <c r="N274" s="31">
        <f>VLOOKUP(F274,'卖场库存0422-0512'!M:S,6,0)</f>
        <v/>
      </c>
      <c r="O274" s="31" t="inlineStr">
        <is>
          <t>Folder</t>
        </is>
      </c>
      <c r="P274" s="30">
        <f>VLOOKUP(F274,'卖场库存0422-0512'!M:S,7,0)</f>
        <v/>
      </c>
      <c r="Q274" s="31">
        <f>VLOOKUP(H274,color!E:G,3,0)</f>
        <v/>
      </c>
    </row>
    <row r="275">
      <c r="A275" s="31" t="n">
        <v>273</v>
      </c>
      <c r="B275" s="22" t="inlineStr">
        <is>
          <t>T002</t>
        </is>
      </c>
      <c r="C275" s="31" t="inlineStr">
        <is>
          <t>TABLE 002 (여성 메인 상)</t>
        </is>
      </c>
      <c r="D275" s="31" t="inlineStr">
        <is>
          <t>TABLE</t>
        </is>
      </c>
      <c r="E275" s="29" t="inlineStr">
        <is>
          <t>여성존</t>
        </is>
      </c>
      <c r="F275" s="31" t="inlineStr">
        <is>
          <t>EERAG24E0139160</t>
        </is>
      </c>
      <c r="G275" s="31">
        <f>LEFT(F275,10)</f>
        <v/>
      </c>
      <c r="H275" s="31">
        <f>MID(G275,3,2)</f>
        <v/>
      </c>
      <c r="I275" s="31">
        <f>VLOOKUP(H275,color!E:G,2,0)</f>
        <v/>
      </c>
      <c r="J275" s="31" t="n">
        <v>39</v>
      </c>
      <c r="K275" s="31">
        <f>VLOOKUP(J275,color!A:C,2,0)</f>
        <v/>
      </c>
      <c r="L275" s="31" t="n">
        <v>1</v>
      </c>
      <c r="M275" s="31">
        <f>VLOOKUP(F275,'卖场库存0422-0512'!M:R,5,0)</f>
        <v/>
      </c>
      <c r="N275" s="31">
        <f>VLOOKUP(F275,'卖场库存0422-0512'!M:S,6,0)</f>
        <v/>
      </c>
      <c r="O275" s="31" t="inlineStr">
        <is>
          <t>Folder</t>
        </is>
      </c>
      <c r="P275" s="30">
        <f>VLOOKUP(F275,'卖场库存0422-0512'!M:S,7,0)</f>
        <v/>
      </c>
      <c r="Q275" s="31">
        <f>VLOOKUP(H275,color!E:G,3,0)</f>
        <v/>
      </c>
    </row>
    <row r="276">
      <c r="A276" s="31" t="n">
        <v>274</v>
      </c>
      <c r="B276" s="22" t="inlineStr">
        <is>
          <t>T002</t>
        </is>
      </c>
      <c r="C276" s="31" t="inlineStr">
        <is>
          <t>TABLE 002 (여성 메인 상)</t>
        </is>
      </c>
      <c r="D276" s="31" t="inlineStr">
        <is>
          <t>TABLE</t>
        </is>
      </c>
      <c r="E276" s="29" t="inlineStr">
        <is>
          <t>여성존</t>
        </is>
      </c>
      <c r="F276" s="31" t="inlineStr">
        <is>
          <t>EERAG24E0139165</t>
        </is>
      </c>
      <c r="G276" s="31">
        <f>LEFT(F276,10)</f>
        <v/>
      </c>
      <c r="H276" s="31">
        <f>MID(G276,3,2)</f>
        <v/>
      </c>
      <c r="I276" s="31">
        <f>VLOOKUP(H276,color!E:G,2,0)</f>
        <v/>
      </c>
      <c r="J276" s="31" t="n">
        <v>39</v>
      </c>
      <c r="K276" s="31">
        <f>VLOOKUP(J276,color!A:C,2,0)</f>
        <v/>
      </c>
      <c r="L276" s="31" t="n">
        <v>1</v>
      </c>
      <c r="M276" s="31">
        <f>VLOOKUP(F276,'卖场库存0422-0512'!M:R,5,0)</f>
        <v/>
      </c>
      <c r="N276" s="31">
        <f>VLOOKUP(F276,'卖场库存0422-0512'!M:S,6,0)</f>
        <v/>
      </c>
      <c r="O276" s="31" t="inlineStr">
        <is>
          <t>Folder</t>
        </is>
      </c>
      <c r="P276" s="30">
        <f>VLOOKUP(F276,'卖场库存0422-0512'!M:S,7,0)</f>
        <v/>
      </c>
      <c r="Q276" s="31">
        <f>VLOOKUP(H276,color!E:G,3,0)</f>
        <v/>
      </c>
    </row>
    <row r="277">
      <c r="A277" s="31" t="n">
        <v>275</v>
      </c>
      <c r="B277" s="22" t="inlineStr">
        <is>
          <t>T002</t>
        </is>
      </c>
      <c r="C277" s="31" t="inlineStr">
        <is>
          <t>TABLE 002 (여성 메인 상)</t>
        </is>
      </c>
      <c r="D277" s="31" t="inlineStr">
        <is>
          <t>TABLE</t>
        </is>
      </c>
      <c r="E277" s="29" t="inlineStr">
        <is>
          <t>여성존</t>
        </is>
      </c>
      <c r="F277" s="31" t="inlineStr">
        <is>
          <t>EEKWG24E0130175</t>
        </is>
      </c>
      <c r="G277" s="31">
        <f>LEFT(F277,10)</f>
        <v/>
      </c>
      <c r="H277" s="31">
        <f>MID(G277,3,2)</f>
        <v/>
      </c>
      <c r="I277" s="31">
        <f>VLOOKUP(H277,color!E:G,2,0)</f>
        <v/>
      </c>
      <c r="J277" s="31" t="n">
        <v>30</v>
      </c>
      <c r="K277" s="31">
        <f>VLOOKUP(J277,color!A:C,2,0)</f>
        <v/>
      </c>
      <c r="L277" s="31" t="n">
        <v>1</v>
      </c>
      <c r="M277" s="31">
        <f>VLOOKUP(F277,'卖场库存0422-0512'!M:R,5,0)</f>
        <v/>
      </c>
      <c r="N277" s="31">
        <f>VLOOKUP(F277,'卖场库存0422-0512'!M:S,6,0)</f>
        <v/>
      </c>
      <c r="O277" s="31" t="inlineStr">
        <is>
          <t>Folder</t>
        </is>
      </c>
      <c r="P277" s="30">
        <f>VLOOKUP(F277,'卖场库存0422-0512'!M:S,7,0)</f>
        <v/>
      </c>
      <c r="Q277" s="31">
        <f>VLOOKUP(H277,color!E:G,3,0)</f>
        <v/>
      </c>
    </row>
    <row r="278">
      <c r="A278" s="31" t="n">
        <v>276</v>
      </c>
      <c r="B278" s="22" t="inlineStr">
        <is>
          <t>T002</t>
        </is>
      </c>
      <c r="C278" s="31" t="inlineStr">
        <is>
          <t>TABLE 002 (여성 메인 상)</t>
        </is>
      </c>
      <c r="D278" s="31" t="inlineStr">
        <is>
          <t>TABLE</t>
        </is>
      </c>
      <c r="E278" s="29" t="inlineStr">
        <is>
          <t>여성존</t>
        </is>
      </c>
      <c r="F278" s="31" t="inlineStr">
        <is>
          <t>EEKWG24E0130175</t>
        </is>
      </c>
      <c r="G278" s="31">
        <f>LEFT(F278,10)</f>
        <v/>
      </c>
      <c r="H278" s="31">
        <f>MID(G278,3,2)</f>
        <v/>
      </c>
      <c r="I278" s="31">
        <f>VLOOKUP(H278,color!E:G,2,0)</f>
        <v/>
      </c>
      <c r="J278" s="31" t="n">
        <v>30</v>
      </c>
      <c r="K278" s="31">
        <f>VLOOKUP(J278,color!A:C,2,0)</f>
        <v/>
      </c>
      <c r="L278" s="31" t="n">
        <v>1</v>
      </c>
      <c r="M278" s="31">
        <f>VLOOKUP(F278,'卖场库存0422-0512'!M:R,5,0)</f>
        <v/>
      </c>
      <c r="N278" s="31">
        <f>VLOOKUP(F278,'卖场库存0422-0512'!M:S,6,0)</f>
        <v/>
      </c>
      <c r="O278" s="31" t="inlineStr">
        <is>
          <t>Folder</t>
        </is>
      </c>
      <c r="P278" s="30">
        <f>VLOOKUP(F278,'卖场库存0422-0512'!M:S,7,0)</f>
        <v/>
      </c>
      <c r="Q278" s="31">
        <f>VLOOKUP(H278,color!E:G,3,0)</f>
        <v/>
      </c>
    </row>
    <row r="279">
      <c r="A279" s="31" t="n">
        <v>277</v>
      </c>
      <c r="B279" s="22" t="inlineStr">
        <is>
          <t>T002</t>
        </is>
      </c>
      <c r="C279" s="31" t="inlineStr">
        <is>
          <t>TABLE 002 (여성 메인 상)</t>
        </is>
      </c>
      <c r="D279" s="31" t="inlineStr">
        <is>
          <t>TABLE</t>
        </is>
      </c>
      <c r="E279" s="29" t="inlineStr">
        <is>
          <t>여성존</t>
        </is>
      </c>
      <c r="F279" s="31" t="inlineStr">
        <is>
          <t>EEKWG24E0130160</t>
        </is>
      </c>
      <c r="G279" s="31">
        <f>LEFT(F279,10)</f>
        <v/>
      </c>
      <c r="H279" s="31">
        <f>MID(G279,3,2)</f>
        <v/>
      </c>
      <c r="I279" s="31">
        <f>VLOOKUP(H279,color!E:G,2,0)</f>
        <v/>
      </c>
      <c r="J279" s="31" t="n">
        <v>30</v>
      </c>
      <c r="K279" s="31">
        <f>VLOOKUP(J279,color!A:C,2,0)</f>
        <v/>
      </c>
      <c r="L279" s="31" t="n">
        <v>1</v>
      </c>
      <c r="M279" s="31">
        <f>VLOOKUP(F279,'卖场库存0422-0512'!M:R,5,0)</f>
        <v/>
      </c>
      <c r="N279" s="31">
        <f>VLOOKUP(F279,'卖场库存0422-0512'!M:S,6,0)</f>
        <v/>
      </c>
      <c r="O279" s="31" t="inlineStr">
        <is>
          <t>Folder</t>
        </is>
      </c>
      <c r="P279" s="30">
        <f>VLOOKUP(F279,'卖场库存0422-0512'!M:S,7,0)</f>
        <v/>
      </c>
      <c r="Q279" s="31">
        <f>VLOOKUP(H279,color!E:G,3,0)</f>
        <v/>
      </c>
    </row>
    <row r="280">
      <c r="A280" s="31" t="n">
        <v>278</v>
      </c>
      <c r="B280" s="22" t="inlineStr">
        <is>
          <t>T002</t>
        </is>
      </c>
      <c r="C280" s="31" t="inlineStr">
        <is>
          <t>TABLE 002 (여성 메인 상)</t>
        </is>
      </c>
      <c r="D280" s="31" t="inlineStr">
        <is>
          <t>TABLE</t>
        </is>
      </c>
      <c r="E280" s="29" t="inlineStr">
        <is>
          <t>여성존</t>
        </is>
      </c>
      <c r="F280" s="31" t="inlineStr">
        <is>
          <t>EEKWG24E0130160</t>
        </is>
      </c>
      <c r="G280" s="31">
        <f>LEFT(F280,10)</f>
        <v/>
      </c>
      <c r="H280" s="31">
        <f>MID(G280,3,2)</f>
        <v/>
      </c>
      <c r="I280" s="31">
        <f>VLOOKUP(H280,color!E:G,2,0)</f>
        <v/>
      </c>
      <c r="J280" s="31" t="n">
        <v>30</v>
      </c>
      <c r="K280" s="31">
        <f>VLOOKUP(J280,color!A:C,2,0)</f>
        <v/>
      </c>
      <c r="L280" s="31" t="n">
        <v>1</v>
      </c>
      <c r="M280" s="31">
        <f>VLOOKUP(F280,'卖场库存0422-0512'!M:R,5,0)</f>
        <v/>
      </c>
      <c r="N280" s="31">
        <f>VLOOKUP(F280,'卖场库存0422-0512'!M:S,6,0)</f>
        <v/>
      </c>
      <c r="O280" s="31" t="inlineStr">
        <is>
          <t>Folder</t>
        </is>
      </c>
      <c r="P280" s="30">
        <f>VLOOKUP(F280,'卖场库存0422-0512'!M:S,7,0)</f>
        <v/>
      </c>
      <c r="Q280" s="31">
        <f>VLOOKUP(H280,color!E:G,3,0)</f>
        <v/>
      </c>
    </row>
    <row r="281">
      <c r="A281" s="31" t="n">
        <v>279</v>
      </c>
      <c r="B281" s="22" t="inlineStr">
        <is>
          <t>T002</t>
        </is>
      </c>
      <c r="C281" s="31" t="inlineStr">
        <is>
          <t>TABLE 002 (여성 메인 상)</t>
        </is>
      </c>
      <c r="D281" s="31" t="inlineStr">
        <is>
          <t>TABLE</t>
        </is>
      </c>
      <c r="E281" s="29" t="inlineStr">
        <is>
          <t>여성존</t>
        </is>
      </c>
      <c r="F281" s="31" t="inlineStr">
        <is>
          <t>EEYPG23E0155170</t>
        </is>
      </c>
      <c r="G281" s="31">
        <f>LEFT(F281,10)</f>
        <v/>
      </c>
      <c r="H281" s="31">
        <f>MID(G281,3,2)</f>
        <v/>
      </c>
      <c r="I281" s="31">
        <f>VLOOKUP(H281,color!E:G,2,0)</f>
        <v/>
      </c>
      <c r="J281" s="31" t="n">
        <v>55</v>
      </c>
      <c r="K281" s="31">
        <f>VLOOKUP(J281,color!A:C,2,0)</f>
        <v/>
      </c>
      <c r="L281" s="31" t="n">
        <v>1</v>
      </c>
      <c r="M281" s="31">
        <f>VLOOKUP(F281,'卖场库存0422-0512'!M:R,5,0)</f>
        <v/>
      </c>
      <c r="N281" s="31">
        <f>VLOOKUP(F281,'卖场库存0422-0512'!M:S,6,0)</f>
        <v/>
      </c>
      <c r="O281" s="31" t="inlineStr">
        <is>
          <t>Folder</t>
        </is>
      </c>
      <c r="P281" s="30">
        <f>VLOOKUP(F281,'卖场库存0422-0512'!M:S,7,0)</f>
        <v/>
      </c>
      <c r="Q281" s="31">
        <f>VLOOKUP(H281,color!E:G,3,0)</f>
        <v/>
      </c>
    </row>
    <row r="282">
      <c r="A282" s="31" t="n">
        <v>280</v>
      </c>
      <c r="B282" s="22" t="inlineStr">
        <is>
          <t>T002</t>
        </is>
      </c>
      <c r="C282" s="31" t="inlineStr">
        <is>
          <t>TABLE 002 (여성 메인 상)</t>
        </is>
      </c>
      <c r="D282" s="31" t="inlineStr">
        <is>
          <t>TABLE</t>
        </is>
      </c>
      <c r="E282" s="29" t="inlineStr">
        <is>
          <t>여성존</t>
        </is>
      </c>
      <c r="F282" s="31" t="inlineStr">
        <is>
          <t>EEYPG23E0155165</t>
        </is>
      </c>
      <c r="G282" s="31">
        <f>LEFT(F282,10)</f>
        <v/>
      </c>
      <c r="H282" s="31">
        <f>MID(G282,3,2)</f>
        <v/>
      </c>
      <c r="I282" s="31">
        <f>VLOOKUP(H282,color!E:G,2,0)</f>
        <v/>
      </c>
      <c r="J282" s="31" t="n">
        <v>55</v>
      </c>
      <c r="K282" s="31">
        <f>VLOOKUP(J282,color!A:C,2,0)</f>
        <v/>
      </c>
      <c r="L282" s="31" t="n">
        <v>1</v>
      </c>
      <c r="M282" s="31">
        <f>VLOOKUP(F282,'卖场库存0422-0512'!M:R,5,0)</f>
        <v/>
      </c>
      <c r="N282" s="31">
        <f>VLOOKUP(F282,'卖场库存0422-0512'!M:S,6,0)</f>
        <v/>
      </c>
      <c r="O282" s="31" t="inlineStr">
        <is>
          <t>Folder</t>
        </is>
      </c>
      <c r="P282" s="30">
        <f>VLOOKUP(F282,'卖场库存0422-0512'!M:S,7,0)</f>
        <v/>
      </c>
      <c r="Q282" s="31">
        <f>VLOOKUP(H282,color!E:G,3,0)</f>
        <v/>
      </c>
    </row>
    <row r="283">
      <c r="A283" s="31" t="n">
        <v>281</v>
      </c>
      <c r="B283" s="22" t="inlineStr">
        <is>
          <t>T002</t>
        </is>
      </c>
      <c r="C283" s="31" t="inlineStr">
        <is>
          <t>TABLE 002 (여성 메인 상)</t>
        </is>
      </c>
      <c r="D283" s="31" t="inlineStr">
        <is>
          <t>TABLE</t>
        </is>
      </c>
      <c r="E283" s="29" t="inlineStr">
        <is>
          <t>여성존</t>
        </is>
      </c>
      <c r="F283" s="31" t="inlineStr">
        <is>
          <t>EEYPG23E0156160</t>
        </is>
      </c>
      <c r="G283" s="31">
        <f>LEFT(F283,10)</f>
        <v/>
      </c>
      <c r="H283" s="31">
        <f>MID(G283,3,2)</f>
        <v/>
      </c>
      <c r="I283" s="31">
        <f>VLOOKUP(H283,color!E:G,2,0)</f>
        <v/>
      </c>
      <c r="J283" s="31" t="n">
        <v>56</v>
      </c>
      <c r="K283" s="31">
        <f>VLOOKUP(J283,color!A:C,2,0)</f>
        <v/>
      </c>
      <c r="L283" s="31" t="n">
        <v>1</v>
      </c>
      <c r="M283" s="31">
        <f>VLOOKUP(F283,'卖场库存0422-0512'!M:R,5,0)</f>
        <v/>
      </c>
      <c r="N283" s="31">
        <f>VLOOKUP(F283,'卖场库存0422-0512'!M:S,6,0)</f>
        <v/>
      </c>
      <c r="O283" s="31" t="inlineStr">
        <is>
          <t>Folder</t>
        </is>
      </c>
      <c r="P283" s="30">
        <f>VLOOKUP(F283,'卖场库存0422-0512'!M:S,7,0)</f>
        <v/>
      </c>
      <c r="Q283" s="31">
        <f>VLOOKUP(H283,color!E:G,3,0)</f>
        <v/>
      </c>
    </row>
    <row r="284">
      <c r="A284" s="31" t="n">
        <v>282</v>
      </c>
      <c r="B284" s="22" t="inlineStr">
        <is>
          <t>T002</t>
        </is>
      </c>
      <c r="C284" s="31" t="inlineStr">
        <is>
          <t>TABLE 002 (여성 메인 상)</t>
        </is>
      </c>
      <c r="D284" s="31" t="inlineStr">
        <is>
          <t>TABLE</t>
        </is>
      </c>
      <c r="E284" s="29" t="inlineStr">
        <is>
          <t>여성존</t>
        </is>
      </c>
      <c r="F284" s="31" t="inlineStr">
        <is>
          <t>EETJG24E0157027</t>
        </is>
      </c>
      <c r="G284" s="31">
        <f>LEFT(F284,10)</f>
        <v/>
      </c>
      <c r="H284" s="31">
        <f>MID(G284,3,2)</f>
        <v/>
      </c>
      <c r="I284" s="31">
        <f>VLOOKUP(H284,color!E:G,2,0)</f>
        <v/>
      </c>
      <c r="J284" s="31" t="n">
        <v>57</v>
      </c>
      <c r="K284" s="31">
        <f>VLOOKUP(J284,color!A:C,2,0)</f>
        <v/>
      </c>
      <c r="L284" s="31" t="n">
        <v>1</v>
      </c>
      <c r="M284" s="31">
        <f>VLOOKUP(F284,'卖场库存0422-0512'!M:R,5,0)</f>
        <v/>
      </c>
      <c r="N284" s="31">
        <f>VLOOKUP(F284,'卖场库存0422-0512'!M:S,6,0)</f>
        <v/>
      </c>
      <c r="O284" s="31" t="inlineStr">
        <is>
          <t>Folder</t>
        </is>
      </c>
      <c r="P284" s="30">
        <f>VLOOKUP(F284,'卖场库存0422-0512'!M:S,7,0)</f>
        <v/>
      </c>
      <c r="Q284" s="31">
        <f>VLOOKUP(H284,color!E:G,3,0)</f>
        <v/>
      </c>
    </row>
    <row r="285">
      <c r="A285" s="31" t="n">
        <v>283</v>
      </c>
      <c r="B285" s="22" t="inlineStr">
        <is>
          <t>T002</t>
        </is>
      </c>
      <c r="C285" s="31" t="inlineStr">
        <is>
          <t>TABLE 002 (여성 메인 상)</t>
        </is>
      </c>
      <c r="D285" s="31" t="inlineStr">
        <is>
          <t>TABLE</t>
        </is>
      </c>
      <c r="E285" s="29" t="inlineStr">
        <is>
          <t>여성존</t>
        </is>
      </c>
      <c r="F285" s="31" t="inlineStr">
        <is>
          <t>EETJG24E0157027</t>
        </is>
      </c>
      <c r="G285" s="31">
        <f>LEFT(F285,10)</f>
        <v/>
      </c>
      <c r="H285" s="31">
        <f>MID(G285,3,2)</f>
        <v/>
      </c>
      <c r="I285" s="31">
        <f>VLOOKUP(H285,color!E:G,2,0)</f>
        <v/>
      </c>
      <c r="J285" s="31" t="n">
        <v>57</v>
      </c>
      <c r="K285" s="31">
        <f>VLOOKUP(J285,color!A:C,2,0)</f>
        <v/>
      </c>
      <c r="L285" s="31" t="n">
        <v>1</v>
      </c>
      <c r="M285" s="31">
        <f>VLOOKUP(F285,'卖场库存0422-0512'!M:R,5,0)</f>
        <v/>
      </c>
      <c r="N285" s="31">
        <f>VLOOKUP(F285,'卖场库存0422-0512'!M:S,6,0)</f>
        <v/>
      </c>
      <c r="O285" s="31" t="inlineStr">
        <is>
          <t>Folder</t>
        </is>
      </c>
      <c r="P285" s="30">
        <f>VLOOKUP(F285,'卖场库存0422-0512'!M:S,7,0)</f>
        <v/>
      </c>
      <c r="Q285" s="31">
        <f>VLOOKUP(H285,color!E:G,3,0)</f>
        <v/>
      </c>
    </row>
    <row r="286">
      <c r="A286" s="31" t="n">
        <v>285</v>
      </c>
      <c r="B286" s="22" t="inlineStr">
        <is>
          <t>T003</t>
        </is>
      </c>
      <c r="C286" s="31" t="inlineStr">
        <is>
          <t>TABLE 003 (남성)</t>
        </is>
      </c>
      <c r="D286" s="31" t="inlineStr">
        <is>
          <t>TABLE</t>
        </is>
      </c>
      <c r="E286" s="33" t="inlineStr">
        <is>
          <t>남성존</t>
        </is>
      </c>
      <c r="F286" s="31" t="inlineStr">
        <is>
          <t>EETJG24E0155029</t>
        </is>
      </c>
      <c r="G286" s="31">
        <f>LEFT(F286,10)</f>
        <v/>
      </c>
      <c r="H286" s="31">
        <f>MID(G286,3,2)</f>
        <v/>
      </c>
      <c r="I286" s="31">
        <f>VLOOKUP(H286,color!E:G,2,0)</f>
        <v/>
      </c>
      <c r="J286" s="31" t="n">
        <v>55</v>
      </c>
      <c r="K286" s="31">
        <f>VLOOKUP(J286,color!A:C,2,0)</f>
        <v/>
      </c>
      <c r="L286" s="31" t="n">
        <v>1</v>
      </c>
      <c r="M286" s="31">
        <f>VLOOKUP(F286,'卖场库存0422-0512'!M:R,5,0)</f>
        <v/>
      </c>
      <c r="N286" s="31">
        <f>VLOOKUP(F286,'卖场库存0422-0512'!M:S,6,0)</f>
        <v/>
      </c>
      <c r="O286" s="31" t="inlineStr">
        <is>
          <t>Folder</t>
        </is>
      </c>
      <c r="P286" s="30">
        <f>VLOOKUP(F286,'卖场库存0422-0512'!M:S,7,0)</f>
        <v/>
      </c>
      <c r="Q286" s="31">
        <f>VLOOKUP(H286,color!E:G,3,0)</f>
        <v/>
      </c>
    </row>
    <row r="287">
      <c r="A287" s="31" t="n">
        <v>286</v>
      </c>
      <c r="B287" s="22" t="inlineStr">
        <is>
          <t>T003</t>
        </is>
      </c>
      <c r="C287" s="31" t="inlineStr">
        <is>
          <t>TABLE 003 (남성)</t>
        </is>
      </c>
      <c r="D287" s="31" t="inlineStr">
        <is>
          <t>TABLE</t>
        </is>
      </c>
      <c r="E287" s="33" t="inlineStr">
        <is>
          <t>남성존</t>
        </is>
      </c>
      <c r="F287" s="31" t="inlineStr">
        <is>
          <t>EETJG24E0155027</t>
        </is>
      </c>
      <c r="G287" s="31">
        <f>LEFT(F287,10)</f>
        <v/>
      </c>
      <c r="H287" s="31">
        <f>MID(G287,3,2)</f>
        <v/>
      </c>
      <c r="I287" s="31">
        <f>VLOOKUP(H287,color!E:G,2,0)</f>
        <v/>
      </c>
      <c r="J287" s="31" t="n">
        <v>55</v>
      </c>
      <c r="K287" s="31">
        <f>VLOOKUP(J287,color!A:C,2,0)</f>
        <v/>
      </c>
      <c r="L287" s="31" t="n">
        <v>1</v>
      </c>
      <c r="M287" s="31">
        <f>VLOOKUP(F287,'卖场库存0422-0512'!M:R,5,0)</f>
        <v/>
      </c>
      <c r="N287" s="31">
        <f>VLOOKUP(F287,'卖场库存0422-0512'!M:S,6,0)</f>
        <v/>
      </c>
      <c r="O287" s="31" t="inlineStr">
        <is>
          <t>Folder</t>
        </is>
      </c>
      <c r="P287" s="30">
        <f>VLOOKUP(F287,'卖场库存0422-0512'!M:S,7,0)</f>
        <v/>
      </c>
      <c r="Q287" s="31">
        <f>VLOOKUP(H287,color!E:G,3,0)</f>
        <v/>
      </c>
    </row>
    <row r="288">
      <c r="A288" s="31" t="n">
        <v>287</v>
      </c>
      <c r="B288" s="22" t="inlineStr">
        <is>
          <t>T003</t>
        </is>
      </c>
      <c r="C288" s="31" t="inlineStr">
        <is>
          <t>TABLE 003 (남성)</t>
        </is>
      </c>
      <c r="D288" s="31" t="inlineStr">
        <is>
          <t>TABLE</t>
        </is>
      </c>
      <c r="E288" s="33" t="inlineStr">
        <is>
          <t>남성존</t>
        </is>
      </c>
      <c r="F288" s="31" t="inlineStr">
        <is>
          <t>EETJG24E0155026</t>
        </is>
      </c>
      <c r="G288" s="31">
        <f>LEFT(F288,10)</f>
        <v/>
      </c>
      <c r="H288" s="31">
        <f>MID(G288,3,2)</f>
        <v/>
      </c>
      <c r="I288" s="31">
        <f>VLOOKUP(H288,color!E:G,2,0)</f>
        <v/>
      </c>
      <c r="J288" s="31" t="n">
        <v>55</v>
      </c>
      <c r="K288" s="31">
        <f>VLOOKUP(J288,color!A:C,2,0)</f>
        <v/>
      </c>
      <c r="L288" s="31" t="n">
        <v>1</v>
      </c>
      <c r="M288" s="31">
        <f>VLOOKUP(F288,'卖场库存0422-0512'!M:R,5,0)</f>
        <v/>
      </c>
      <c r="N288" s="31">
        <f>VLOOKUP(F288,'卖场库存0422-0512'!M:S,6,0)</f>
        <v/>
      </c>
      <c r="O288" s="31" t="inlineStr">
        <is>
          <t>Folder</t>
        </is>
      </c>
      <c r="P288" s="30">
        <f>VLOOKUP(F288,'卖场库存0422-0512'!M:S,7,0)</f>
        <v/>
      </c>
      <c r="Q288" s="31">
        <f>VLOOKUP(H288,color!E:G,3,0)</f>
        <v/>
      </c>
    </row>
    <row r="289">
      <c r="A289" s="31" t="n">
        <v>288</v>
      </c>
      <c r="B289" s="22" t="inlineStr">
        <is>
          <t>T003</t>
        </is>
      </c>
      <c r="C289" s="31" t="inlineStr">
        <is>
          <t>TABLE 003 (남성)</t>
        </is>
      </c>
      <c r="D289" s="31" t="inlineStr">
        <is>
          <t>TABLE</t>
        </is>
      </c>
      <c r="E289" s="33" t="inlineStr">
        <is>
          <t>남성존</t>
        </is>
      </c>
      <c r="F289" s="31" t="inlineStr">
        <is>
          <t>EEVKG25E0139165</t>
        </is>
      </c>
      <c r="G289" s="31">
        <f>LEFT(F289,10)</f>
        <v/>
      </c>
      <c r="H289" s="31">
        <f>MID(G289,3,2)</f>
        <v/>
      </c>
      <c r="I289" s="31">
        <f>VLOOKUP(H289,color!E:G,2,0)</f>
        <v/>
      </c>
      <c r="J289" s="31" t="n">
        <v>39</v>
      </c>
      <c r="K289" s="31">
        <f>VLOOKUP(J289,color!A:C,2,0)</f>
        <v/>
      </c>
      <c r="L289" s="31" t="n">
        <v>1</v>
      </c>
      <c r="M289" s="31">
        <f>VLOOKUP(F289,'卖场库存0422-0512'!M:R,5,0)</f>
        <v/>
      </c>
      <c r="N289" s="31">
        <f>VLOOKUP(F289,'卖场库存0422-0512'!M:S,6,0)</f>
        <v/>
      </c>
      <c r="O289" s="31" t="inlineStr">
        <is>
          <t>Folder</t>
        </is>
      </c>
      <c r="P289" s="30">
        <f>VLOOKUP(F289,'卖场库存0422-0512'!M:S,7,0)</f>
        <v/>
      </c>
      <c r="Q289" s="31">
        <f>VLOOKUP(H289,color!E:G,3,0)</f>
        <v/>
      </c>
    </row>
    <row r="290">
      <c r="A290" s="31" t="n">
        <v>289</v>
      </c>
      <c r="B290" s="22" t="inlineStr">
        <is>
          <t>T003</t>
        </is>
      </c>
      <c r="C290" s="31" t="inlineStr">
        <is>
          <t>TABLE 003 (남성)</t>
        </is>
      </c>
      <c r="D290" s="31" t="inlineStr">
        <is>
          <t>TABLE</t>
        </is>
      </c>
      <c r="E290" s="33" t="inlineStr">
        <is>
          <t>남성존</t>
        </is>
      </c>
      <c r="F290" s="31" t="inlineStr">
        <is>
          <t>EEVKG25E0139165</t>
        </is>
      </c>
      <c r="G290" s="31">
        <f>LEFT(F290,10)</f>
        <v/>
      </c>
      <c r="H290" s="31">
        <f>MID(G290,3,2)</f>
        <v/>
      </c>
      <c r="I290" s="31">
        <f>VLOOKUP(H290,color!E:G,2,0)</f>
        <v/>
      </c>
      <c r="J290" s="31" t="n">
        <v>39</v>
      </c>
      <c r="K290" s="31">
        <f>VLOOKUP(J290,color!A:C,2,0)</f>
        <v/>
      </c>
      <c r="L290" s="31" t="n">
        <v>1</v>
      </c>
      <c r="M290" s="31">
        <f>VLOOKUP(F290,'卖场库存0422-0512'!M:R,5,0)</f>
        <v/>
      </c>
      <c r="N290" s="31">
        <f>VLOOKUP(F290,'卖场库存0422-0512'!M:S,6,0)</f>
        <v/>
      </c>
      <c r="O290" s="31" t="inlineStr">
        <is>
          <t>Folder</t>
        </is>
      </c>
      <c r="P290" s="30">
        <f>VLOOKUP(F290,'卖场库存0422-0512'!M:S,7,0)</f>
        <v/>
      </c>
      <c r="Q290" s="31">
        <f>VLOOKUP(H290,color!E:G,3,0)</f>
        <v/>
      </c>
    </row>
    <row r="291">
      <c r="A291" s="31" t="n">
        <v>290</v>
      </c>
      <c r="B291" s="22" t="inlineStr">
        <is>
          <t>T003</t>
        </is>
      </c>
      <c r="C291" s="31" t="inlineStr">
        <is>
          <t>TABLE 003 (남성)</t>
        </is>
      </c>
      <c r="D291" s="31" t="inlineStr">
        <is>
          <t>TABLE</t>
        </is>
      </c>
      <c r="E291" s="33" t="inlineStr">
        <is>
          <t>남성존</t>
        </is>
      </c>
      <c r="F291" s="31" t="inlineStr">
        <is>
          <t>EEVKG24E0139170</t>
        </is>
      </c>
      <c r="G291" s="31">
        <f>LEFT(F291,10)</f>
        <v/>
      </c>
      <c r="H291" s="31">
        <f>MID(G291,3,2)</f>
        <v/>
      </c>
      <c r="I291" s="31">
        <f>VLOOKUP(H291,color!E:G,2,0)</f>
        <v/>
      </c>
      <c r="J291" s="31" t="n">
        <v>39</v>
      </c>
      <c r="K291" s="31">
        <f>VLOOKUP(J291,color!A:C,2,0)</f>
        <v/>
      </c>
      <c r="L291" s="31" t="n">
        <v>1</v>
      </c>
      <c r="M291" s="31">
        <f>VLOOKUP(F291,'卖场库存0422-0512'!M:R,5,0)</f>
        <v/>
      </c>
      <c r="N291" s="31">
        <f>VLOOKUP(F291,'卖场库存0422-0512'!M:S,6,0)</f>
        <v/>
      </c>
      <c r="O291" s="31" t="inlineStr">
        <is>
          <t>Folder</t>
        </is>
      </c>
      <c r="P291" s="30">
        <f>VLOOKUP(F291,'卖场库存0422-0512'!M:S,7,0)</f>
        <v/>
      </c>
      <c r="Q291" s="31">
        <f>VLOOKUP(H291,color!E:G,3,0)</f>
        <v/>
      </c>
    </row>
    <row r="292">
      <c r="A292" s="31" t="n">
        <v>291</v>
      </c>
      <c r="B292" s="22" t="inlineStr">
        <is>
          <t>T003</t>
        </is>
      </c>
      <c r="C292" s="31" t="inlineStr">
        <is>
          <t>TABLE 003 (남성)</t>
        </is>
      </c>
      <c r="D292" s="31" t="inlineStr">
        <is>
          <t>TABLE</t>
        </is>
      </c>
      <c r="E292" s="33" t="inlineStr">
        <is>
          <t>남성존</t>
        </is>
      </c>
      <c r="F292" s="31" t="inlineStr">
        <is>
          <t>EEVKG24E0139170</t>
        </is>
      </c>
      <c r="G292" s="31">
        <f>LEFT(F292,10)</f>
        <v/>
      </c>
      <c r="H292" s="31">
        <f>MID(G292,3,2)</f>
        <v/>
      </c>
      <c r="I292" s="31">
        <f>VLOOKUP(H292,color!E:G,2,0)</f>
        <v/>
      </c>
      <c r="J292" s="31" t="n">
        <v>39</v>
      </c>
      <c r="K292" s="31">
        <f>VLOOKUP(J292,color!A:C,2,0)</f>
        <v/>
      </c>
      <c r="L292" s="31" t="n">
        <v>1</v>
      </c>
      <c r="M292" s="31">
        <f>VLOOKUP(F292,'卖场库存0422-0512'!M:R,5,0)</f>
        <v/>
      </c>
      <c r="N292" s="31">
        <f>VLOOKUP(F292,'卖场库存0422-0512'!M:S,6,0)</f>
        <v/>
      </c>
      <c r="O292" s="31" t="inlineStr">
        <is>
          <t>Folder</t>
        </is>
      </c>
      <c r="P292" s="30">
        <f>VLOOKUP(F292,'卖场库存0422-0512'!M:S,7,0)</f>
        <v/>
      </c>
      <c r="Q292" s="31">
        <f>VLOOKUP(H292,color!E:G,3,0)</f>
        <v/>
      </c>
    </row>
    <row r="293">
      <c r="A293" s="31" t="n">
        <v>292</v>
      </c>
      <c r="B293" s="22" t="inlineStr">
        <is>
          <t>T003</t>
        </is>
      </c>
      <c r="C293" s="31" t="inlineStr">
        <is>
          <t>TABLE 003 (남성)</t>
        </is>
      </c>
      <c r="D293" s="31" t="inlineStr">
        <is>
          <t>TABLE</t>
        </is>
      </c>
      <c r="E293" s="33" t="inlineStr">
        <is>
          <t>남성존</t>
        </is>
      </c>
      <c r="F293" s="31" t="inlineStr">
        <is>
          <t>EEVKG24E0139160</t>
        </is>
      </c>
      <c r="G293" s="31">
        <f>LEFT(F293,10)</f>
        <v/>
      </c>
      <c r="H293" s="31">
        <f>MID(G293,3,2)</f>
        <v/>
      </c>
      <c r="I293" s="31">
        <f>VLOOKUP(H293,color!E:G,2,0)</f>
        <v/>
      </c>
      <c r="J293" s="31" t="n">
        <v>39</v>
      </c>
      <c r="K293" s="31">
        <f>VLOOKUP(J293,color!A:C,2,0)</f>
        <v/>
      </c>
      <c r="L293" s="31" t="n">
        <v>1</v>
      </c>
      <c r="M293" s="31">
        <f>VLOOKUP(F293,'卖场库存0422-0512'!M:R,5,0)</f>
        <v/>
      </c>
      <c r="N293" s="31">
        <f>VLOOKUP(F293,'卖场库存0422-0512'!M:S,6,0)</f>
        <v/>
      </c>
      <c r="O293" s="31" t="inlineStr">
        <is>
          <t>Folder</t>
        </is>
      </c>
      <c r="P293" s="30">
        <f>VLOOKUP(F293,'卖场库存0422-0512'!M:S,7,0)</f>
        <v/>
      </c>
      <c r="Q293" s="31">
        <f>VLOOKUP(H293,color!E:G,3,0)</f>
        <v/>
      </c>
    </row>
    <row r="294">
      <c r="A294" s="31" t="n">
        <v>293</v>
      </c>
      <c r="B294" s="22" t="inlineStr">
        <is>
          <t>T003</t>
        </is>
      </c>
      <c r="C294" s="31" t="inlineStr">
        <is>
          <t>TABLE 003 (남성)</t>
        </is>
      </c>
      <c r="D294" s="31" t="inlineStr">
        <is>
          <t>TABLE</t>
        </is>
      </c>
      <c r="E294" s="33" t="inlineStr">
        <is>
          <t>남성존</t>
        </is>
      </c>
      <c r="F294" s="31" t="inlineStr">
        <is>
          <t>EEWHG25B0839165</t>
        </is>
      </c>
      <c r="G294" s="31">
        <f>LEFT(F294,10)</f>
        <v/>
      </c>
      <c r="H294" s="31">
        <f>MID(G294,3,2)</f>
        <v/>
      </c>
      <c r="I294" s="31">
        <f>VLOOKUP(H294,color!E:G,2,0)</f>
        <v/>
      </c>
      <c r="J294" s="31" t="n">
        <v>39</v>
      </c>
      <c r="K294" s="31">
        <f>VLOOKUP(J294,color!A:C,2,0)</f>
        <v/>
      </c>
      <c r="L294" s="31" t="n">
        <v>1</v>
      </c>
      <c r="M294" s="31">
        <f>VLOOKUP(F294,'卖场库存0422-0512'!M:R,5,0)</f>
        <v/>
      </c>
      <c r="N294" s="31">
        <f>VLOOKUP(F294,'卖场库存0422-0512'!M:S,6,0)</f>
        <v/>
      </c>
      <c r="O294" s="31" t="inlineStr">
        <is>
          <t>Folder</t>
        </is>
      </c>
      <c r="P294" s="30">
        <f>VLOOKUP(F294,'卖场库存0422-0512'!M:S,7,0)</f>
        <v/>
      </c>
      <c r="Q294" s="31">
        <f>VLOOKUP(H294,color!E:G,3,0)</f>
        <v/>
      </c>
    </row>
    <row r="295">
      <c r="A295" s="31" t="n">
        <v>294</v>
      </c>
      <c r="B295" s="22" t="inlineStr">
        <is>
          <t>T003</t>
        </is>
      </c>
      <c r="C295" s="31" t="inlineStr">
        <is>
          <t>TABLE 003 (남성)</t>
        </is>
      </c>
      <c r="D295" s="31" t="inlineStr">
        <is>
          <t>TABLE</t>
        </is>
      </c>
      <c r="E295" s="33" t="inlineStr">
        <is>
          <t>남성존</t>
        </is>
      </c>
      <c r="F295" s="31" t="inlineStr">
        <is>
          <t>EEYWG25E0350165</t>
        </is>
      </c>
      <c r="G295" s="31">
        <f>LEFT(F295,10)</f>
        <v/>
      </c>
      <c r="H295" s="31">
        <f>MID(G295,3,2)</f>
        <v/>
      </c>
      <c r="I295" s="31">
        <f>VLOOKUP(H295,color!E:G,2,0)</f>
        <v/>
      </c>
      <c r="J295" s="31" t="n">
        <v>50</v>
      </c>
      <c r="K295" s="31">
        <f>VLOOKUP(J295,color!A:C,2,0)</f>
        <v/>
      </c>
      <c r="L295" s="31" t="n">
        <v>1</v>
      </c>
      <c r="M295" s="31">
        <f>VLOOKUP(F295,'卖场库存0422-0512'!M:R,5,0)</f>
        <v/>
      </c>
      <c r="N295" s="31">
        <f>VLOOKUP(F295,'卖场库存0422-0512'!M:S,6,0)</f>
        <v/>
      </c>
      <c r="O295" s="31" t="inlineStr">
        <is>
          <t>Folder</t>
        </is>
      </c>
      <c r="P295" s="30">
        <f>VLOOKUP(F295,'卖场库存0422-0512'!M:S,7,0)</f>
        <v/>
      </c>
      <c r="Q295" s="31">
        <f>VLOOKUP(H295,color!E:G,3,0)</f>
        <v/>
      </c>
    </row>
    <row r="296">
      <c r="A296" s="31" t="n">
        <v>295</v>
      </c>
      <c r="B296" s="22" t="inlineStr">
        <is>
          <t>T003</t>
        </is>
      </c>
      <c r="C296" s="31" t="inlineStr">
        <is>
          <t>TABLE 003 (남성)</t>
        </is>
      </c>
      <c r="D296" s="31" t="inlineStr">
        <is>
          <t>TABLE</t>
        </is>
      </c>
      <c r="E296" s="33" t="inlineStr">
        <is>
          <t>남성존</t>
        </is>
      </c>
      <c r="F296" s="31" t="inlineStr">
        <is>
          <t>EERAG25B1G49185</t>
        </is>
      </c>
      <c r="G296" s="31">
        <f>LEFT(F296,10)</f>
        <v/>
      </c>
      <c r="H296" s="31">
        <f>MID(G296,3,2)</f>
        <v/>
      </c>
      <c r="I296" s="31">
        <f>VLOOKUP(H296,color!E:G,2,0)</f>
        <v/>
      </c>
      <c r="J296" s="31" t="n">
        <v>49</v>
      </c>
      <c r="K296" s="31">
        <f>VLOOKUP(J296,color!A:C,2,0)</f>
        <v/>
      </c>
      <c r="L296" s="31" t="n">
        <v>1</v>
      </c>
      <c r="M296" s="31">
        <f>VLOOKUP(F296,'卖场库存0422-0512'!M:R,5,0)</f>
        <v/>
      </c>
      <c r="N296" s="31">
        <f>VLOOKUP(F296,'卖场库存0422-0512'!M:S,6,0)</f>
        <v/>
      </c>
      <c r="O296" s="31" t="inlineStr">
        <is>
          <t>Folder</t>
        </is>
      </c>
      <c r="P296" s="30">
        <f>VLOOKUP(F296,'卖场库存0422-0512'!M:S,7,0)</f>
        <v/>
      </c>
      <c r="Q296" s="31">
        <f>VLOOKUP(H296,color!E:G,3,0)</f>
        <v/>
      </c>
    </row>
    <row r="297">
      <c r="A297" s="31" t="n">
        <v>296</v>
      </c>
      <c r="B297" s="22" t="inlineStr">
        <is>
          <t>T003</t>
        </is>
      </c>
      <c r="C297" s="31" t="inlineStr">
        <is>
          <t>TABLE 003 (남성)</t>
        </is>
      </c>
      <c r="D297" s="31" t="inlineStr">
        <is>
          <t>TABLE</t>
        </is>
      </c>
      <c r="E297" s="33" t="inlineStr">
        <is>
          <t>남성존</t>
        </is>
      </c>
      <c r="F297" s="31" t="inlineStr">
        <is>
          <t>EERAG25B1G49180</t>
        </is>
      </c>
      <c r="G297" s="31">
        <f>LEFT(F297,10)</f>
        <v/>
      </c>
      <c r="H297" s="31">
        <f>MID(G297,3,2)</f>
        <v/>
      </c>
      <c r="I297" s="31">
        <f>VLOOKUP(H297,color!E:G,2,0)</f>
        <v/>
      </c>
      <c r="J297" s="31" t="n">
        <v>49</v>
      </c>
      <c r="K297" s="31">
        <f>VLOOKUP(J297,color!A:C,2,0)</f>
        <v/>
      </c>
      <c r="L297" s="31" t="n">
        <v>1</v>
      </c>
      <c r="M297" s="31">
        <f>VLOOKUP(F297,'卖场库存0422-0512'!M:R,5,0)</f>
        <v/>
      </c>
      <c r="N297" s="31">
        <f>VLOOKUP(F297,'卖场库存0422-0512'!M:S,6,0)</f>
        <v/>
      </c>
      <c r="O297" s="31" t="inlineStr">
        <is>
          <t>Folder</t>
        </is>
      </c>
      <c r="P297" s="30">
        <f>VLOOKUP(F297,'卖场库存0422-0512'!M:S,7,0)</f>
        <v/>
      </c>
      <c r="Q297" s="31">
        <f>VLOOKUP(H297,color!E:G,3,0)</f>
        <v/>
      </c>
    </row>
    <row r="298">
      <c r="A298" s="31" t="n">
        <v>297</v>
      </c>
      <c r="B298" s="22" t="inlineStr">
        <is>
          <t>T003</t>
        </is>
      </c>
      <c r="C298" s="31" t="inlineStr">
        <is>
          <t>TABLE 003 (남성)</t>
        </is>
      </c>
      <c r="D298" s="31" t="inlineStr">
        <is>
          <t>TABLE</t>
        </is>
      </c>
      <c r="E298" s="33" t="inlineStr">
        <is>
          <t>남성존</t>
        </is>
      </c>
      <c r="F298" s="31" t="inlineStr">
        <is>
          <t>EERAG25B1G49175</t>
        </is>
      </c>
      <c r="G298" s="31">
        <f>LEFT(F298,10)</f>
        <v/>
      </c>
      <c r="H298" s="31">
        <f>MID(G298,3,2)</f>
        <v/>
      </c>
      <c r="I298" s="31">
        <f>VLOOKUP(H298,color!E:G,2,0)</f>
        <v/>
      </c>
      <c r="J298" s="31" t="n">
        <v>49</v>
      </c>
      <c r="K298" s="31">
        <f>VLOOKUP(J298,color!A:C,2,0)</f>
        <v/>
      </c>
      <c r="L298" s="31" t="n">
        <v>1</v>
      </c>
      <c r="M298" s="31">
        <f>VLOOKUP(F298,'卖场库存0422-0512'!M:R,5,0)</f>
        <v/>
      </c>
      <c r="N298" s="31">
        <f>VLOOKUP(F298,'卖场库存0422-0512'!M:S,6,0)</f>
        <v/>
      </c>
      <c r="O298" s="31" t="inlineStr">
        <is>
          <t>Folder</t>
        </is>
      </c>
      <c r="P298" s="30">
        <f>VLOOKUP(F298,'卖场库存0422-0512'!M:S,7,0)</f>
        <v/>
      </c>
      <c r="Q298" s="31">
        <f>VLOOKUP(H298,color!E:G,3,0)</f>
        <v/>
      </c>
    </row>
    <row r="299">
      <c r="A299" s="31" t="n">
        <v>298</v>
      </c>
      <c r="B299" s="22" t="inlineStr">
        <is>
          <t>T003</t>
        </is>
      </c>
      <c r="C299" s="31" t="inlineStr">
        <is>
          <t>TABLE 003 (남성)</t>
        </is>
      </c>
      <c r="D299" s="31" t="inlineStr">
        <is>
          <t>TABLE</t>
        </is>
      </c>
      <c r="E299" s="33" t="inlineStr">
        <is>
          <t>남성존</t>
        </is>
      </c>
      <c r="F299" s="31" t="inlineStr">
        <is>
          <t>EERAG25B1G10175</t>
        </is>
      </c>
      <c r="G299" s="31">
        <f>LEFT(F299,10)</f>
        <v/>
      </c>
      <c r="H299" s="31">
        <f>MID(G299,3,2)</f>
        <v/>
      </c>
      <c r="I299" s="31">
        <f>VLOOKUP(H299,color!E:G,2,0)</f>
        <v/>
      </c>
      <c r="J299" s="31" t="n">
        <v>10</v>
      </c>
      <c r="K299" s="31">
        <f>VLOOKUP(J299,color!A:C,2,0)</f>
        <v/>
      </c>
      <c r="L299" s="31" t="n">
        <v>1</v>
      </c>
      <c r="M299" s="31">
        <f>VLOOKUP(F299,'卖场库存0422-0512'!M:R,5,0)</f>
        <v/>
      </c>
      <c r="N299" s="31">
        <f>VLOOKUP(F299,'卖场库存0422-0512'!M:S,6,0)</f>
        <v/>
      </c>
      <c r="O299" s="31" t="inlineStr">
        <is>
          <t>Folder</t>
        </is>
      </c>
      <c r="P299" s="30">
        <f>VLOOKUP(F299,'卖场库存0422-0512'!M:S,7,0)</f>
        <v/>
      </c>
      <c r="Q299" s="31">
        <f>VLOOKUP(H299,color!E:G,3,0)</f>
        <v/>
      </c>
    </row>
    <row r="300">
      <c r="A300" s="31" t="n">
        <v>299</v>
      </c>
      <c r="B300" s="22" t="inlineStr">
        <is>
          <t>T003</t>
        </is>
      </c>
      <c r="C300" s="31" t="inlineStr">
        <is>
          <t>TABLE 003 (남성)</t>
        </is>
      </c>
      <c r="D300" s="31" t="inlineStr">
        <is>
          <t>TABLE</t>
        </is>
      </c>
      <c r="E300" s="33" t="inlineStr">
        <is>
          <t>남성존</t>
        </is>
      </c>
      <c r="F300" s="31" t="inlineStr">
        <is>
          <t>EERAG25B1G10180</t>
        </is>
      </c>
      <c r="G300" s="31">
        <f>LEFT(F300,10)</f>
        <v/>
      </c>
      <c r="H300" s="31">
        <f>MID(G300,3,2)</f>
        <v/>
      </c>
      <c r="I300" s="31">
        <f>VLOOKUP(H300,color!E:G,2,0)</f>
        <v/>
      </c>
      <c r="J300" s="31" t="n">
        <v>10</v>
      </c>
      <c r="K300" s="31">
        <f>VLOOKUP(J300,color!A:C,2,0)</f>
        <v/>
      </c>
      <c r="L300" s="31" t="n">
        <v>1</v>
      </c>
      <c r="M300" s="31">
        <f>VLOOKUP(F300,'卖场库存0422-0512'!M:R,5,0)</f>
        <v/>
      </c>
      <c r="N300" s="31">
        <f>VLOOKUP(F300,'卖场库存0422-0512'!M:S,6,0)</f>
        <v/>
      </c>
      <c r="O300" s="31" t="inlineStr">
        <is>
          <t>Folder</t>
        </is>
      </c>
      <c r="P300" s="30">
        <f>VLOOKUP(F300,'卖场库存0422-0512'!M:S,7,0)</f>
        <v/>
      </c>
      <c r="Q300" s="31">
        <f>VLOOKUP(H300,color!E:G,3,0)</f>
        <v/>
      </c>
    </row>
    <row r="301">
      <c r="A301" s="31" t="n">
        <v>300</v>
      </c>
      <c r="B301" s="22" t="inlineStr">
        <is>
          <t>T003</t>
        </is>
      </c>
      <c r="C301" s="31" t="inlineStr">
        <is>
          <t>TABLE 003 (남성)</t>
        </is>
      </c>
      <c r="D301" s="31" t="inlineStr">
        <is>
          <t>TABLE</t>
        </is>
      </c>
      <c r="E301" s="33" t="inlineStr">
        <is>
          <t>남성존</t>
        </is>
      </c>
      <c r="F301" s="31" t="inlineStr">
        <is>
          <t>EERAG12E1G99170</t>
        </is>
      </c>
      <c r="G301" s="31">
        <f>LEFT(F301,10)</f>
        <v/>
      </c>
      <c r="H301" s="31">
        <f>MID(G301,3,2)</f>
        <v/>
      </c>
      <c r="I301" s="31">
        <f>VLOOKUP(H301,color!E:G,2,0)</f>
        <v/>
      </c>
      <c r="J301" s="31" t="n">
        <v>99</v>
      </c>
      <c r="K301" s="31">
        <f>VLOOKUP(J301,color!A:C,2,0)</f>
        <v/>
      </c>
      <c r="L301" s="31" t="n">
        <v>1</v>
      </c>
      <c r="M301" s="31">
        <f>VLOOKUP(F301,'卖场库存0422-0512'!M:R,5,0)</f>
        <v/>
      </c>
      <c r="N301" s="31">
        <f>VLOOKUP(F301,'卖场库存0422-0512'!M:S,6,0)</f>
        <v/>
      </c>
      <c r="O301" s="31" t="inlineStr">
        <is>
          <t>Folder</t>
        </is>
      </c>
      <c r="P301" s="30">
        <f>VLOOKUP(F301,'卖场库存0422-0512'!M:S,7,0)</f>
        <v/>
      </c>
      <c r="Q301" s="31">
        <f>VLOOKUP(H301,color!E:G,3,0)</f>
        <v/>
      </c>
    </row>
    <row r="302">
      <c r="A302" s="31" t="n">
        <v>301</v>
      </c>
      <c r="B302" s="22" t="inlineStr">
        <is>
          <t>T003</t>
        </is>
      </c>
      <c r="C302" s="31" t="inlineStr">
        <is>
          <t>TABLE 003 (남성)</t>
        </is>
      </c>
      <c r="D302" s="31" t="inlineStr">
        <is>
          <t>TABLE</t>
        </is>
      </c>
      <c r="E302" s="33" t="inlineStr">
        <is>
          <t>남성존</t>
        </is>
      </c>
      <c r="F302" s="31" t="inlineStr">
        <is>
          <t>EERAG12E1G99170</t>
        </is>
      </c>
      <c r="G302" s="31">
        <f>LEFT(F302,10)</f>
        <v/>
      </c>
      <c r="H302" s="31">
        <f>MID(G302,3,2)</f>
        <v/>
      </c>
      <c r="I302" s="31">
        <f>VLOOKUP(H302,color!E:G,2,0)</f>
        <v/>
      </c>
      <c r="J302" s="31" t="n">
        <v>99</v>
      </c>
      <c r="K302" s="31">
        <f>VLOOKUP(J302,color!A:C,2,0)</f>
        <v/>
      </c>
      <c r="L302" s="31" t="n">
        <v>1</v>
      </c>
      <c r="M302" s="31">
        <f>VLOOKUP(F302,'卖场库存0422-0512'!M:R,5,0)</f>
        <v/>
      </c>
      <c r="N302" s="31">
        <f>VLOOKUP(F302,'卖场库存0422-0512'!M:S,6,0)</f>
        <v/>
      </c>
      <c r="O302" s="31" t="inlineStr">
        <is>
          <t>Folder</t>
        </is>
      </c>
      <c r="P302" s="30">
        <f>VLOOKUP(F302,'卖场库存0422-0512'!M:S,7,0)</f>
        <v/>
      </c>
      <c r="Q302" s="31">
        <f>VLOOKUP(H302,color!E:G,3,0)</f>
        <v/>
      </c>
    </row>
    <row r="303">
      <c r="A303" s="31" t="n">
        <v>302</v>
      </c>
      <c r="B303" s="22" t="inlineStr">
        <is>
          <t>T003</t>
        </is>
      </c>
      <c r="C303" s="31" t="inlineStr">
        <is>
          <t>TABLE 003 (남성)</t>
        </is>
      </c>
      <c r="D303" s="31" t="inlineStr">
        <is>
          <t>TABLE</t>
        </is>
      </c>
      <c r="E303" s="33" t="inlineStr">
        <is>
          <t>남성존</t>
        </is>
      </c>
      <c r="F303" s="31" t="inlineStr">
        <is>
          <t>EEACG23E0150FRE</t>
        </is>
      </c>
      <c r="G303" s="31">
        <f>LEFT(F303,10)</f>
        <v/>
      </c>
      <c r="H303" s="31">
        <f>MID(G303,3,2)</f>
        <v/>
      </c>
      <c r="I303" s="31">
        <f>VLOOKUP(H303,color!E:G,2,0)</f>
        <v/>
      </c>
      <c r="J303" s="31" t="n">
        <v>50</v>
      </c>
      <c r="K303" s="31">
        <f>VLOOKUP(J303,color!A:C,2,0)</f>
        <v/>
      </c>
      <c r="L303" s="31" t="n">
        <v>1</v>
      </c>
      <c r="M303" s="31">
        <f>VLOOKUP(F303,'卖场库存0422-0512'!M:R,5,0)</f>
        <v/>
      </c>
      <c r="N303" s="31">
        <f>VLOOKUP(F303,'卖场库存0422-0512'!M:S,6,0)</f>
        <v/>
      </c>
      <c r="O303" s="31" t="inlineStr">
        <is>
          <t>Folder</t>
        </is>
      </c>
      <c r="P303" s="30">
        <f>VLOOKUP(F303,'卖场库存0422-0512'!M:S,7,0)</f>
        <v/>
      </c>
      <c r="Q303" s="31">
        <f>VLOOKUP(H303,color!E:G,3,0)</f>
        <v/>
      </c>
    </row>
    <row r="304">
      <c r="A304" s="31" t="n">
        <v>303</v>
      </c>
      <c r="B304" s="22" t="inlineStr">
        <is>
          <t>T003</t>
        </is>
      </c>
      <c r="C304" s="31" t="inlineStr">
        <is>
          <t>TABLE 003 (남성)</t>
        </is>
      </c>
      <c r="D304" s="31" t="inlineStr">
        <is>
          <t>TABLE</t>
        </is>
      </c>
      <c r="E304" s="33" t="inlineStr">
        <is>
          <t>남성존</t>
        </is>
      </c>
      <c r="F304" s="31" t="inlineStr">
        <is>
          <t>EEACG23E0188FRE</t>
        </is>
      </c>
      <c r="G304" s="31">
        <f>LEFT(F304,10)</f>
        <v/>
      </c>
      <c r="H304" s="31">
        <f>MID(G304,3,2)</f>
        <v/>
      </c>
      <c r="I304" s="31">
        <f>VLOOKUP(H304,color!E:G,2,0)</f>
        <v/>
      </c>
      <c r="J304" s="31" t="n">
        <v>88</v>
      </c>
      <c r="K304" s="31">
        <f>VLOOKUP(J304,color!A:C,2,0)</f>
        <v/>
      </c>
      <c r="L304" s="31" t="n">
        <v>1</v>
      </c>
      <c r="M304" s="31">
        <f>VLOOKUP(F304,'卖场库存0422-0512'!M:R,5,0)</f>
        <v/>
      </c>
      <c r="N304" s="31">
        <f>VLOOKUP(F304,'卖场库存0422-0512'!M:S,6,0)</f>
        <v/>
      </c>
      <c r="O304" s="31" t="inlineStr">
        <is>
          <t>Folder</t>
        </is>
      </c>
      <c r="P304" s="30">
        <f>VLOOKUP(F304,'卖场库存0422-0512'!M:S,7,0)</f>
        <v/>
      </c>
      <c r="Q304" s="31">
        <f>VLOOKUP(H304,color!E:G,3,0)</f>
        <v/>
      </c>
    </row>
    <row r="305">
      <c r="A305" s="31" t="n">
        <v>304</v>
      </c>
      <c r="B305" s="22" t="inlineStr">
        <is>
          <t>T003</t>
        </is>
      </c>
      <c r="C305" s="31" t="inlineStr">
        <is>
          <t>TABLE 003 (남성)</t>
        </is>
      </c>
      <c r="D305" s="31" t="inlineStr">
        <is>
          <t>TABLE</t>
        </is>
      </c>
      <c r="E305" s="33" t="inlineStr">
        <is>
          <t>남성존</t>
        </is>
      </c>
      <c r="F305" s="31" t="inlineStr">
        <is>
          <t>EEACG23E0136FRE</t>
        </is>
      </c>
      <c r="G305" s="31">
        <f>LEFT(F305,10)</f>
        <v/>
      </c>
      <c r="H305" s="31">
        <f>MID(G305,3,2)</f>
        <v/>
      </c>
      <c r="I305" s="31">
        <f>VLOOKUP(H305,color!E:G,2,0)</f>
        <v/>
      </c>
      <c r="J305" s="31" t="n">
        <v>36</v>
      </c>
      <c r="K305" s="31">
        <f>VLOOKUP(J305,color!A:C,2,0)</f>
        <v/>
      </c>
      <c r="L305" s="31" t="n">
        <v>1</v>
      </c>
      <c r="M305" s="31">
        <f>VLOOKUP(F305,'卖场库存0422-0512'!M:R,5,0)</f>
        <v/>
      </c>
      <c r="N305" s="31">
        <f>VLOOKUP(F305,'卖场库存0422-0512'!M:S,6,0)</f>
        <v/>
      </c>
      <c r="O305" s="31" t="inlineStr">
        <is>
          <t>Folder</t>
        </is>
      </c>
      <c r="P305" s="30">
        <f>VLOOKUP(F305,'卖场库存0422-0512'!M:S,7,0)</f>
        <v/>
      </c>
      <c r="Q305" s="31">
        <f>VLOOKUP(H305,color!E:G,3,0)</f>
        <v/>
      </c>
    </row>
    <row r="306">
      <c r="A306" s="31" t="n">
        <v>305</v>
      </c>
      <c r="B306" s="22" t="inlineStr">
        <is>
          <t>T003</t>
        </is>
      </c>
      <c r="C306" s="31" t="inlineStr">
        <is>
          <t>TABLE 003 (남성)</t>
        </is>
      </c>
      <c r="D306" s="31" t="inlineStr">
        <is>
          <t>TABLE</t>
        </is>
      </c>
      <c r="E306" s="33" t="inlineStr">
        <is>
          <t>남성존</t>
        </is>
      </c>
      <c r="F306" s="31" t="inlineStr">
        <is>
          <t>EEACG23E0159FRE</t>
        </is>
      </c>
      <c r="G306" s="31">
        <f>LEFT(F306,10)</f>
        <v/>
      </c>
      <c r="H306" s="31">
        <f>MID(G306,3,2)</f>
        <v/>
      </c>
      <c r="I306" s="31">
        <f>VLOOKUP(H306,color!E:G,2,0)</f>
        <v/>
      </c>
      <c r="J306" s="31" t="n">
        <v>59</v>
      </c>
      <c r="K306" s="31">
        <f>VLOOKUP(J306,color!A:C,2,0)</f>
        <v/>
      </c>
      <c r="L306" s="31" t="n">
        <v>1</v>
      </c>
      <c r="M306" s="31">
        <f>VLOOKUP(F306,'卖场库存0422-0512'!M:R,5,0)</f>
        <v/>
      </c>
      <c r="N306" s="31">
        <f>VLOOKUP(F306,'卖场库存0422-0512'!M:S,6,0)</f>
        <v/>
      </c>
      <c r="O306" s="31" t="inlineStr">
        <is>
          <t>Folder</t>
        </is>
      </c>
      <c r="P306" s="30">
        <f>VLOOKUP(F306,'卖场库存0422-0512'!M:S,7,0)</f>
        <v/>
      </c>
      <c r="Q306" s="31">
        <f>VLOOKUP(H306,color!E:G,3,0)</f>
        <v/>
      </c>
    </row>
    <row r="307">
      <c r="A307" s="31" t="n">
        <v>306</v>
      </c>
      <c r="B307" s="22" t="inlineStr">
        <is>
          <t>H001</t>
        </is>
      </c>
      <c r="C307" s="31" t="inlineStr">
        <is>
          <t>OTHER 001 (연출 행어)</t>
        </is>
      </c>
      <c r="D307" s="31" t="inlineStr">
        <is>
          <t>OTHER</t>
        </is>
      </c>
      <c r="E307" s="29" t="inlineStr">
        <is>
          <t>여성존</t>
        </is>
      </c>
      <c r="F307" s="31" t="inlineStr">
        <is>
          <t>EEOJG24E0139165</t>
        </is>
      </c>
      <c r="G307" s="31">
        <f>LEFT(F307,10)</f>
        <v/>
      </c>
      <c r="H307" s="31">
        <f>MID(G307,3,2)</f>
        <v/>
      </c>
      <c r="I307" s="31">
        <f>VLOOKUP(H307,color!E:G,2,0)</f>
        <v/>
      </c>
      <c r="J307" s="31" t="n">
        <v>39</v>
      </c>
      <c r="K307" s="31">
        <f>VLOOKUP(J307,color!A:C,2,0)</f>
        <v/>
      </c>
      <c r="L307" s="31" t="n">
        <v>1</v>
      </c>
      <c r="M307" s="31">
        <f>VLOOKUP(F307,'卖场库存0422-0512'!M:R,5,0)</f>
        <v/>
      </c>
      <c r="N307" s="31">
        <f>VLOOKUP(F307,'卖场库存0422-0512'!M:S,6,0)</f>
        <v/>
      </c>
      <c r="O307" s="31" t="inlineStr">
        <is>
          <t>Sleeve out</t>
        </is>
      </c>
      <c r="P307" s="30">
        <f>VLOOKUP(F307,'卖场库存0422-0512'!M:S,7,0)</f>
        <v/>
      </c>
      <c r="Q307" s="31">
        <f>VLOOKUP(H307,color!E:G,3,0)</f>
        <v/>
      </c>
    </row>
    <row r="308">
      <c r="A308" s="31" t="n">
        <v>307</v>
      </c>
      <c r="B308" s="22" t="inlineStr">
        <is>
          <t>H001</t>
        </is>
      </c>
      <c r="C308" s="31" t="inlineStr">
        <is>
          <t>OTHER 001 (연출 행어)</t>
        </is>
      </c>
      <c r="D308" s="31" t="inlineStr">
        <is>
          <t>OTHER</t>
        </is>
      </c>
      <c r="E308" s="29" t="inlineStr">
        <is>
          <t>여성존</t>
        </is>
      </c>
      <c r="F308" s="31" t="inlineStr">
        <is>
          <t>EEYWG25E0251160</t>
        </is>
      </c>
      <c r="G308" s="31">
        <f>LEFT(F308,10)</f>
        <v/>
      </c>
      <c r="H308" s="31">
        <f>MID(G308,3,2)</f>
        <v/>
      </c>
      <c r="I308" s="31">
        <f>VLOOKUP(H308,color!E:G,2,0)</f>
        <v/>
      </c>
      <c r="J308" s="31" t="n">
        <v>51</v>
      </c>
      <c r="K308" s="31">
        <f>VLOOKUP(J308,color!A:C,2,0)</f>
        <v/>
      </c>
      <c r="L308" s="31" t="n">
        <v>1</v>
      </c>
      <c r="M308" s="31">
        <f>VLOOKUP(F308,'卖场库存0422-0512'!M:R,5,0)</f>
        <v/>
      </c>
      <c r="N308" s="31">
        <f>VLOOKUP(F308,'卖场库存0422-0512'!M:S,6,0)</f>
        <v/>
      </c>
      <c r="O308" s="31" t="inlineStr">
        <is>
          <t>Sleeve out</t>
        </is>
      </c>
      <c r="P308" s="30">
        <f>VLOOKUP(F308,'卖场库存0422-0512'!M:S,7,0)</f>
        <v/>
      </c>
      <c r="Q308" s="31">
        <f>VLOOKUP(H308,color!E:G,3,0)</f>
        <v/>
      </c>
    </row>
    <row r="309">
      <c r="A309" s="31" t="n">
        <v>308</v>
      </c>
      <c r="B309" s="22" t="inlineStr">
        <is>
          <t>H001</t>
        </is>
      </c>
      <c r="C309" s="31" t="inlineStr">
        <is>
          <t>OTHER 001 (연출 행어)</t>
        </is>
      </c>
      <c r="D309" s="31" t="inlineStr">
        <is>
          <t>OTHER</t>
        </is>
      </c>
      <c r="E309" s="29" t="inlineStr">
        <is>
          <t>여성존</t>
        </is>
      </c>
      <c r="F309" s="31" t="inlineStr">
        <is>
          <t>EEWHG23B0250165</t>
        </is>
      </c>
      <c r="G309" s="31">
        <f>LEFT(F309,10)</f>
        <v/>
      </c>
      <c r="H309" s="31">
        <f>MID(G309,3,2)</f>
        <v/>
      </c>
      <c r="I309" s="31">
        <f>VLOOKUP(H309,color!E:G,2,0)</f>
        <v/>
      </c>
      <c r="J309" s="31" t="n">
        <v>50</v>
      </c>
      <c r="K309" s="31">
        <f>VLOOKUP(J309,color!A:C,2,0)</f>
        <v/>
      </c>
      <c r="L309" s="31" t="n">
        <v>1</v>
      </c>
      <c r="M309" s="31">
        <f>VLOOKUP(F309,'卖场库存0422-0512'!M:R,5,0)</f>
        <v/>
      </c>
      <c r="N309" s="31">
        <f>VLOOKUP(F309,'卖场库存0422-0512'!M:S,6,0)</f>
        <v/>
      </c>
      <c r="O309" s="31" t="inlineStr">
        <is>
          <t>Sleeve out</t>
        </is>
      </c>
      <c r="P309" s="30">
        <f>VLOOKUP(F309,'卖场库存0422-0512'!M:S,7,0)</f>
        <v/>
      </c>
      <c r="Q309" s="31">
        <f>VLOOKUP(H309,color!E:G,3,0)</f>
        <v/>
      </c>
    </row>
    <row r="310">
      <c r="A310" s="31" t="n">
        <v>309</v>
      </c>
      <c r="B310" s="22" t="inlineStr">
        <is>
          <t>H001</t>
        </is>
      </c>
      <c r="C310" s="31" t="inlineStr">
        <is>
          <t>OTHER 001 (연출 행어)</t>
        </is>
      </c>
      <c r="D310" s="31" t="inlineStr">
        <is>
          <t>OTHER</t>
        </is>
      </c>
      <c r="E310" s="29" t="inlineStr">
        <is>
          <t>여성존</t>
        </is>
      </c>
      <c r="F310" s="31" t="inlineStr">
        <is>
          <t>EEYWG25E0150165</t>
        </is>
      </c>
      <c r="G310" s="31">
        <f>LEFT(F310,10)</f>
        <v/>
      </c>
      <c r="H310" s="31">
        <f>MID(G310,3,2)</f>
        <v/>
      </c>
      <c r="I310" s="31">
        <f>VLOOKUP(H310,color!E:G,2,0)</f>
        <v/>
      </c>
      <c r="J310" s="31" t="n">
        <v>50</v>
      </c>
      <c r="K310" s="31">
        <f>VLOOKUP(J310,color!A:C,2,0)</f>
        <v/>
      </c>
      <c r="L310" s="31" t="n">
        <v>1</v>
      </c>
      <c r="M310" s="31">
        <f>VLOOKUP(F310,'卖场库存0422-0512'!M:R,5,0)</f>
        <v/>
      </c>
      <c r="N310" s="31">
        <f>VLOOKUP(F310,'卖场库存0422-0512'!M:S,6,0)</f>
        <v/>
      </c>
      <c r="O310" s="31" t="inlineStr">
        <is>
          <t>Sleeve out</t>
        </is>
      </c>
      <c r="P310" s="30">
        <f>VLOOKUP(F310,'卖场库存0422-0512'!M:S,7,0)</f>
        <v/>
      </c>
      <c r="Q310" s="31">
        <f>VLOOKUP(H310,color!E:G,3,0)</f>
        <v/>
      </c>
    </row>
    <row r="311">
      <c r="A311" s="31" t="n">
        <v>310</v>
      </c>
      <c r="B311" s="22" t="inlineStr">
        <is>
          <t>H001</t>
        </is>
      </c>
      <c r="C311" s="31" t="inlineStr">
        <is>
          <t>OTHER 001 (연출 행어)</t>
        </is>
      </c>
      <c r="D311" s="31" t="inlineStr">
        <is>
          <t>OTHER</t>
        </is>
      </c>
      <c r="E311" s="29" t="inlineStr">
        <is>
          <t>여성존</t>
        </is>
      </c>
      <c r="F311" s="31" t="inlineStr">
        <is>
          <t>EEYWG26B0139165</t>
        </is>
      </c>
      <c r="G311" s="31">
        <f>LEFT(F311,10)</f>
        <v/>
      </c>
      <c r="H311" s="31">
        <f>MID(G311,3,2)</f>
        <v/>
      </c>
      <c r="I311" s="31">
        <f>VLOOKUP(H311,color!E:G,2,0)</f>
        <v/>
      </c>
      <c r="J311" s="31" t="n">
        <v>39</v>
      </c>
      <c r="K311" s="31">
        <f>VLOOKUP(J311,color!A:C,2,0)</f>
        <v/>
      </c>
      <c r="L311" s="31" t="n">
        <v>1</v>
      </c>
      <c r="M311" s="31">
        <f>VLOOKUP(F311,'卖场库存0422-0512'!M:R,5,0)</f>
        <v/>
      </c>
      <c r="N311" s="31">
        <f>VLOOKUP(F311,'卖场库存0422-0512'!M:S,6,0)</f>
        <v/>
      </c>
      <c r="O311" s="31" t="inlineStr">
        <is>
          <t>Sleeve out</t>
        </is>
      </c>
      <c r="P311" s="30">
        <f>VLOOKUP(F311,'卖场库存0422-0512'!M:S,7,0)</f>
        <v/>
      </c>
      <c r="Q311" s="31">
        <f>VLOOKUP(H311,color!E:G,3,0)</f>
        <v/>
      </c>
    </row>
    <row r="312">
      <c r="A312" s="31" t="n">
        <v>311</v>
      </c>
      <c r="B312" s="22" t="inlineStr">
        <is>
          <t>H001</t>
        </is>
      </c>
      <c r="C312" s="31" t="inlineStr">
        <is>
          <t>OTHER 001 (연출 행어)</t>
        </is>
      </c>
      <c r="D312" s="31" t="inlineStr">
        <is>
          <t>OTHER</t>
        </is>
      </c>
      <c r="E312" s="29" t="inlineStr">
        <is>
          <t>여성존</t>
        </is>
      </c>
      <c r="F312" s="31" t="inlineStr">
        <is>
          <t>EEWHG64S0239170</t>
        </is>
      </c>
      <c r="G312" s="31">
        <f>LEFT(F312,10)</f>
        <v/>
      </c>
      <c r="H312" s="31">
        <f>MID(G312,3,2)</f>
        <v/>
      </c>
      <c r="I312" s="31">
        <f>VLOOKUP(H312,color!E:G,2,0)</f>
        <v/>
      </c>
      <c r="J312" s="31" t="n">
        <v>39</v>
      </c>
      <c r="K312" s="31">
        <f>VLOOKUP(J312,color!A:C,2,0)</f>
        <v/>
      </c>
      <c r="L312" s="31" t="n">
        <v>1</v>
      </c>
      <c r="M312" s="31">
        <f>VLOOKUP(F312,'卖场库存0422-0512'!M:R,5,0)</f>
        <v/>
      </c>
      <c r="N312" s="31">
        <f>VLOOKUP(F312,'卖场库存0422-0512'!M:S,6,0)</f>
        <v/>
      </c>
      <c r="O312" s="31" t="inlineStr">
        <is>
          <t>Sleeve out</t>
        </is>
      </c>
      <c r="P312" s="30">
        <f>VLOOKUP(F312,'卖场库存0422-0512'!M:S,7,0)</f>
        <v/>
      </c>
      <c r="Q312" s="31">
        <f>VLOOKUP(H312,color!E:G,3,0)</f>
        <v/>
      </c>
    </row>
    <row r="313">
      <c r="A313" s="31" t="n">
        <v>312</v>
      </c>
      <c r="B313" s="22" t="inlineStr">
        <is>
          <t>H001</t>
        </is>
      </c>
      <c r="C313" s="31" t="inlineStr">
        <is>
          <t>OTHER 001 (연출 행어)</t>
        </is>
      </c>
      <c r="D313" s="31" t="inlineStr">
        <is>
          <t>OTHER</t>
        </is>
      </c>
      <c r="E313" s="29" t="inlineStr">
        <is>
          <t>여성존</t>
        </is>
      </c>
      <c r="F313" s="31" t="inlineStr">
        <is>
          <t>EEYWG24E0251160</t>
        </is>
      </c>
      <c r="G313" s="31">
        <f>LEFT(F313,10)</f>
        <v/>
      </c>
      <c r="H313" s="31">
        <f>MID(G313,3,2)</f>
        <v/>
      </c>
      <c r="I313" s="31">
        <f>VLOOKUP(H313,color!E:G,2,0)</f>
        <v/>
      </c>
      <c r="J313" s="31" t="n">
        <v>51</v>
      </c>
      <c r="K313" s="31">
        <f>VLOOKUP(J313,color!A:C,2,0)</f>
        <v/>
      </c>
      <c r="L313" s="31" t="n">
        <v>1</v>
      </c>
      <c r="M313" s="31">
        <f>VLOOKUP(F313,'卖场库存0422-0512'!M:R,5,0)</f>
        <v/>
      </c>
      <c r="N313" s="31">
        <f>VLOOKUP(F313,'卖场库存0422-0512'!M:S,6,0)</f>
        <v/>
      </c>
      <c r="O313" s="31" t="inlineStr">
        <is>
          <t>Sleeve out</t>
        </is>
      </c>
      <c r="P313" s="30">
        <f>VLOOKUP(F313,'卖场库存0422-0512'!M:S,7,0)</f>
        <v/>
      </c>
      <c r="Q313" s="31">
        <f>VLOOKUP(H313,color!E:G,3,0)</f>
        <v/>
      </c>
    </row>
    <row r="314">
      <c r="A314" s="31" t="n">
        <v>313</v>
      </c>
      <c r="B314" s="22" t="inlineStr">
        <is>
          <t>H001</t>
        </is>
      </c>
      <c r="C314" s="31" t="inlineStr">
        <is>
          <t>OTHER 001 (연출 행어)</t>
        </is>
      </c>
      <c r="D314" s="31" t="inlineStr">
        <is>
          <t>OTHER</t>
        </is>
      </c>
      <c r="E314" s="29" t="inlineStr">
        <is>
          <t>여성존</t>
        </is>
      </c>
      <c r="F314" s="31" t="inlineStr">
        <is>
          <t>EEOJG24E0101170</t>
        </is>
      </c>
      <c r="G314" s="31">
        <f>LEFT(F314,10)</f>
        <v/>
      </c>
      <c r="H314" s="31">
        <f>MID(G314,3,2)</f>
        <v/>
      </c>
      <c r="I314" s="31">
        <f>VLOOKUP(H314,color!E:G,2,0)</f>
        <v/>
      </c>
      <c r="J314" s="31" t="n">
        <v>1</v>
      </c>
      <c r="K314" s="31">
        <f>VLOOKUP(J314,color!A:C,2,0)</f>
        <v/>
      </c>
      <c r="L314" s="31" t="n">
        <v>1</v>
      </c>
      <c r="M314" s="31">
        <f>VLOOKUP(F314,'卖场库存0422-0512'!M:R,5,0)</f>
        <v/>
      </c>
      <c r="N314" s="31">
        <f>VLOOKUP(F314,'卖场库存0422-0512'!M:S,6,0)</f>
        <v/>
      </c>
      <c r="O314" s="31" t="inlineStr">
        <is>
          <t>Sleeve out</t>
        </is>
      </c>
      <c r="P314" s="30">
        <f>VLOOKUP(F314,'卖场库存0422-0512'!M:S,7,0)</f>
        <v/>
      </c>
      <c r="Q314" s="31">
        <f>VLOOKUP(H314,color!E:G,3,0)</f>
        <v/>
      </c>
    </row>
    <row r="315">
      <c r="A315" s="31" t="n">
        <v>314</v>
      </c>
      <c r="B315" s="22" t="inlineStr">
        <is>
          <t>H001</t>
        </is>
      </c>
      <c r="C315" s="31" t="inlineStr">
        <is>
          <t>OTHER 001 (연출 행어)</t>
        </is>
      </c>
      <c r="D315" s="31" t="inlineStr">
        <is>
          <t>OTHER</t>
        </is>
      </c>
      <c r="E315" s="29" t="inlineStr">
        <is>
          <t>여성존</t>
        </is>
      </c>
      <c r="F315" s="31" t="inlineStr">
        <is>
          <t>EEWHG24E5639165</t>
        </is>
      </c>
      <c r="G315" s="31">
        <f>LEFT(F315,10)</f>
        <v/>
      </c>
      <c r="H315" s="31">
        <f>MID(G315,3,2)</f>
        <v/>
      </c>
      <c r="I315" s="31">
        <f>VLOOKUP(H315,color!E:G,2,0)</f>
        <v/>
      </c>
      <c r="J315" s="31" t="n">
        <v>39</v>
      </c>
      <c r="K315" s="31">
        <f>VLOOKUP(J315,color!A:C,2,0)</f>
        <v/>
      </c>
      <c r="L315" s="31" t="n">
        <v>1</v>
      </c>
      <c r="M315" s="31">
        <f>VLOOKUP(F315,'卖场库存0422-0512'!M:R,5,0)</f>
        <v/>
      </c>
      <c r="N315" s="31">
        <f>VLOOKUP(F315,'卖场库存0422-0512'!M:S,6,0)</f>
        <v/>
      </c>
      <c r="O315" s="31" t="inlineStr">
        <is>
          <t>Sleeve out</t>
        </is>
      </c>
      <c r="P315" s="30">
        <f>VLOOKUP(F315,'卖场库存0422-0512'!M:S,7,0)</f>
        <v/>
      </c>
      <c r="Q315" s="31">
        <f>VLOOKUP(H315,color!E:G,3,0)</f>
        <v/>
      </c>
    </row>
    <row r="316">
      <c r="A316" s="31" t="n">
        <v>315</v>
      </c>
      <c r="B316" s="22" t="inlineStr">
        <is>
          <t>H001</t>
        </is>
      </c>
      <c r="C316" s="31" t="inlineStr">
        <is>
          <t>OTHER 001 (연출 행어)</t>
        </is>
      </c>
      <c r="D316" s="31" t="inlineStr">
        <is>
          <t>OTHER</t>
        </is>
      </c>
      <c r="E316" s="29" t="inlineStr">
        <is>
          <t>여성존</t>
        </is>
      </c>
      <c r="F316" s="31" t="inlineStr">
        <is>
          <t>EEYPG24E0156165</t>
        </is>
      </c>
      <c r="G316" s="31">
        <f>LEFT(F316,10)</f>
        <v/>
      </c>
      <c r="H316" s="31">
        <f>MID(G316,3,2)</f>
        <v/>
      </c>
      <c r="I316" s="31">
        <f>VLOOKUP(H316,color!E:G,2,0)</f>
        <v/>
      </c>
      <c r="J316" s="31" t="n">
        <v>56</v>
      </c>
      <c r="K316" s="31">
        <f>VLOOKUP(J316,color!A:C,2,0)</f>
        <v/>
      </c>
      <c r="L316" s="31" t="n">
        <v>1</v>
      </c>
      <c r="M316" s="31">
        <f>VLOOKUP(F316,'卖场库存0422-0512'!M:R,5,0)</f>
        <v/>
      </c>
      <c r="N316" s="31">
        <f>VLOOKUP(F316,'卖场库存0422-0512'!M:S,6,0)</f>
        <v/>
      </c>
      <c r="O316" s="31" t="inlineStr">
        <is>
          <t>Sleeve out</t>
        </is>
      </c>
      <c r="P316" s="30">
        <f>VLOOKUP(F316,'卖场库存0422-0512'!M:S,7,0)</f>
        <v/>
      </c>
      <c r="Q316" s="31">
        <f>VLOOKUP(H316,color!E:G,3,0)</f>
        <v/>
      </c>
    </row>
    <row r="317">
      <c r="A317" s="31" t="n">
        <v>316</v>
      </c>
      <c r="B317" s="22" t="inlineStr">
        <is>
          <t>H002</t>
        </is>
      </c>
      <c r="C317" s="31" t="inlineStr">
        <is>
          <t>HANGER 002</t>
        </is>
      </c>
      <c r="D317" s="31" t="inlineStr">
        <is>
          <t>HANGER</t>
        </is>
      </c>
      <c r="E317" s="29" t="inlineStr">
        <is>
          <t>여성존</t>
        </is>
      </c>
      <c r="F317" s="31" t="inlineStr">
        <is>
          <t>EETAG24E0239165</t>
        </is>
      </c>
      <c r="G317" s="31">
        <f>LEFT(F317,10)</f>
        <v/>
      </c>
      <c r="H317" s="31">
        <f>MID(G317,3,2)</f>
        <v/>
      </c>
      <c r="I317" s="31">
        <f>VLOOKUP(H317,color!E:G,2,0)</f>
        <v/>
      </c>
      <c r="J317" s="31" t="n">
        <v>39</v>
      </c>
      <c r="K317" s="31">
        <f>VLOOKUP(J317,color!A:C,2,0)</f>
        <v/>
      </c>
      <c r="L317" s="31" t="n">
        <v>1</v>
      </c>
      <c r="M317" s="31">
        <f>VLOOKUP(F317,'卖场库存0422-0512'!M:R,5,0)</f>
        <v/>
      </c>
      <c r="N317" s="31">
        <f>VLOOKUP(F317,'卖场库存0422-0512'!M:S,6,0)</f>
        <v/>
      </c>
      <c r="O317" s="31" t="inlineStr">
        <is>
          <t>Sleeve out</t>
        </is>
      </c>
      <c r="P317" s="30">
        <f>VLOOKUP(F317,'卖场库存0422-0512'!M:S,7,0)</f>
        <v/>
      </c>
      <c r="Q317" s="31">
        <f>VLOOKUP(H317,color!E:G,3,0)</f>
        <v/>
      </c>
    </row>
    <row r="318">
      <c r="A318" s="31" t="n">
        <v>317</v>
      </c>
      <c r="B318" s="22" t="inlineStr">
        <is>
          <t>H002</t>
        </is>
      </c>
      <c r="C318" s="31" t="inlineStr">
        <is>
          <t>HANGER 002</t>
        </is>
      </c>
      <c r="D318" s="31" t="inlineStr">
        <is>
          <t>HANGER</t>
        </is>
      </c>
      <c r="E318" s="29" t="inlineStr">
        <is>
          <t>여성존</t>
        </is>
      </c>
      <c r="F318" s="31" t="inlineStr">
        <is>
          <t>EETAG24E0239160</t>
        </is>
      </c>
      <c r="G318" s="31">
        <f>LEFT(F318,10)</f>
        <v/>
      </c>
      <c r="H318" s="31">
        <f>MID(G318,3,2)</f>
        <v/>
      </c>
      <c r="I318" s="31">
        <f>VLOOKUP(H318,color!E:G,2,0)</f>
        <v/>
      </c>
      <c r="J318" s="31" t="n">
        <v>39</v>
      </c>
      <c r="K318" s="31">
        <f>VLOOKUP(J318,color!A:C,2,0)</f>
        <v/>
      </c>
      <c r="L318" s="31" t="n">
        <v>1</v>
      </c>
      <c r="M318" s="31">
        <f>VLOOKUP(F318,'卖场库存0422-0512'!M:R,5,0)</f>
        <v/>
      </c>
      <c r="N318" s="31">
        <f>VLOOKUP(F318,'卖场库存0422-0512'!M:S,6,0)</f>
        <v/>
      </c>
      <c r="O318" s="31" t="inlineStr">
        <is>
          <t>Sleeve out</t>
        </is>
      </c>
      <c r="P318" s="30">
        <f>VLOOKUP(F318,'卖场库存0422-0512'!M:S,7,0)</f>
        <v/>
      </c>
      <c r="Q318" s="31">
        <f>VLOOKUP(H318,color!E:G,3,0)</f>
        <v/>
      </c>
    </row>
    <row r="319">
      <c r="A319" s="31" t="n">
        <v>318</v>
      </c>
      <c r="B319" s="22" t="inlineStr">
        <is>
          <t>H002</t>
        </is>
      </c>
      <c r="C319" s="31" t="inlineStr">
        <is>
          <t>HANGER 002</t>
        </is>
      </c>
      <c r="D319" s="31" t="inlineStr">
        <is>
          <t>HANGER</t>
        </is>
      </c>
      <c r="E319" s="29" t="inlineStr">
        <is>
          <t>여성존</t>
        </is>
      </c>
      <c r="F319" s="31" t="inlineStr">
        <is>
          <t>EETHG25E0435155</t>
        </is>
      </c>
      <c r="G319" s="31">
        <f>LEFT(F319,10)</f>
        <v/>
      </c>
      <c r="H319" s="31">
        <f>MID(G319,3,2)</f>
        <v/>
      </c>
      <c r="I319" s="31">
        <f>VLOOKUP(H319,color!E:G,2,0)</f>
        <v/>
      </c>
      <c r="J319" s="31" t="n">
        <v>35</v>
      </c>
      <c r="K319" s="31">
        <f>VLOOKUP(J319,color!A:C,2,0)</f>
        <v/>
      </c>
      <c r="L319" s="31" t="n">
        <v>1</v>
      </c>
      <c r="M319" s="31">
        <f>VLOOKUP(F319,'卖场库存0422-0512'!M:R,5,0)</f>
        <v/>
      </c>
      <c r="N319" s="31">
        <f>VLOOKUP(F319,'卖场库存0422-0512'!M:S,6,0)</f>
        <v/>
      </c>
      <c r="O319" s="31" t="inlineStr">
        <is>
          <t>Sleeve out</t>
        </is>
      </c>
      <c r="P319" s="30">
        <f>VLOOKUP(F319,'卖场库存0422-0512'!M:S,7,0)</f>
        <v/>
      </c>
      <c r="Q319" s="31">
        <f>VLOOKUP(H319,color!E:G,3,0)</f>
        <v/>
      </c>
    </row>
    <row r="320">
      <c r="A320" s="31" t="n">
        <v>319</v>
      </c>
      <c r="B320" s="22" t="inlineStr">
        <is>
          <t>H002</t>
        </is>
      </c>
      <c r="C320" s="31" t="inlineStr">
        <is>
          <t>HANGER 002</t>
        </is>
      </c>
      <c r="D320" s="31" t="inlineStr">
        <is>
          <t>HANGER</t>
        </is>
      </c>
      <c r="E320" s="29" t="inlineStr">
        <is>
          <t>여성존</t>
        </is>
      </c>
      <c r="F320" s="31" t="inlineStr">
        <is>
          <t>EETHG25E0435165</t>
        </is>
      </c>
      <c r="G320" s="31">
        <f>LEFT(F320,10)</f>
        <v/>
      </c>
      <c r="H320" s="31">
        <f>MID(G320,3,2)</f>
        <v/>
      </c>
      <c r="I320" s="31">
        <f>VLOOKUP(H320,color!E:G,2,0)</f>
        <v/>
      </c>
      <c r="J320" s="31" t="n">
        <v>35</v>
      </c>
      <c r="K320" s="31">
        <f>VLOOKUP(J320,color!A:C,2,0)</f>
        <v/>
      </c>
      <c r="L320" s="31" t="n">
        <v>1</v>
      </c>
      <c r="M320" s="31">
        <f>VLOOKUP(F320,'卖场库存0422-0512'!M:R,5,0)</f>
        <v/>
      </c>
      <c r="N320" s="31">
        <f>VLOOKUP(F320,'卖场库存0422-0512'!M:S,6,0)</f>
        <v/>
      </c>
      <c r="O320" s="31" t="inlineStr">
        <is>
          <t>Sleeve out</t>
        </is>
      </c>
      <c r="P320" s="30">
        <f>VLOOKUP(F320,'卖场库存0422-0512'!M:S,7,0)</f>
        <v/>
      </c>
      <c r="Q320" s="31">
        <f>VLOOKUP(H320,color!E:G,3,0)</f>
        <v/>
      </c>
    </row>
    <row r="321">
      <c r="A321" s="31" t="n">
        <v>320</v>
      </c>
      <c r="B321" s="22" t="inlineStr">
        <is>
          <t>H002</t>
        </is>
      </c>
      <c r="C321" s="31" t="inlineStr">
        <is>
          <t>HANGER 002</t>
        </is>
      </c>
      <c r="D321" s="31" t="inlineStr">
        <is>
          <t>HANGER</t>
        </is>
      </c>
      <c r="E321" s="29" t="inlineStr">
        <is>
          <t>여성존</t>
        </is>
      </c>
      <c r="F321" s="31" t="inlineStr">
        <is>
          <t>EETAG24E0235160</t>
        </is>
      </c>
      <c r="G321" s="31">
        <f>LEFT(F321,10)</f>
        <v/>
      </c>
      <c r="H321" s="31">
        <f>MID(G321,3,2)</f>
        <v/>
      </c>
      <c r="I321" s="31">
        <f>VLOOKUP(H321,color!E:G,2,0)</f>
        <v/>
      </c>
      <c r="J321" s="31" t="n">
        <v>35</v>
      </c>
      <c r="K321" s="31">
        <f>VLOOKUP(J321,color!A:C,2,0)</f>
        <v/>
      </c>
      <c r="L321" s="31" t="n">
        <v>1</v>
      </c>
      <c r="M321" s="31">
        <f>VLOOKUP(F321,'卖场库存0422-0512'!M:R,5,0)</f>
        <v/>
      </c>
      <c r="N321" s="31">
        <f>VLOOKUP(F321,'卖场库存0422-0512'!M:S,6,0)</f>
        <v/>
      </c>
      <c r="O321" s="31" t="inlineStr">
        <is>
          <t>Sleeve out</t>
        </is>
      </c>
      <c r="P321" s="30">
        <f>VLOOKUP(F321,'卖场库存0422-0512'!M:S,7,0)</f>
        <v/>
      </c>
      <c r="Q321" s="31">
        <f>VLOOKUP(H321,color!E:G,3,0)</f>
        <v/>
      </c>
    </row>
    <row r="322">
      <c r="A322" s="31" t="n">
        <v>321</v>
      </c>
      <c r="B322" s="22" t="inlineStr">
        <is>
          <t>H002</t>
        </is>
      </c>
      <c r="C322" s="31" t="inlineStr">
        <is>
          <t>HANGER 002</t>
        </is>
      </c>
      <c r="D322" s="31" t="inlineStr">
        <is>
          <t>HANGER</t>
        </is>
      </c>
      <c r="E322" s="29" t="inlineStr">
        <is>
          <t>여성존</t>
        </is>
      </c>
      <c r="F322" s="31" t="inlineStr">
        <is>
          <t>EETAG24E0235165</t>
        </is>
      </c>
      <c r="G322" s="31">
        <f>LEFT(F322,10)</f>
        <v/>
      </c>
      <c r="H322" s="31">
        <f>MID(G322,3,2)</f>
        <v/>
      </c>
      <c r="I322" s="31">
        <f>VLOOKUP(H322,color!E:G,2,0)</f>
        <v/>
      </c>
      <c r="J322" s="31" t="n">
        <v>35</v>
      </c>
      <c r="K322" s="31">
        <f>VLOOKUP(J322,color!A:C,2,0)</f>
        <v/>
      </c>
      <c r="L322" s="31" t="n">
        <v>1</v>
      </c>
      <c r="M322" s="31">
        <f>VLOOKUP(F322,'卖场库存0422-0512'!M:R,5,0)</f>
        <v/>
      </c>
      <c r="N322" s="31">
        <f>VLOOKUP(F322,'卖场库存0422-0512'!M:S,6,0)</f>
        <v/>
      </c>
      <c r="O322" s="31" t="inlineStr">
        <is>
          <t>Sleeve out</t>
        </is>
      </c>
      <c r="P322" s="30">
        <f>VLOOKUP(F322,'卖场库存0422-0512'!M:S,7,0)</f>
        <v/>
      </c>
      <c r="Q322" s="31">
        <f>VLOOKUP(H322,color!E:G,3,0)</f>
        <v/>
      </c>
    </row>
    <row r="323">
      <c r="A323" s="31" t="n">
        <v>322</v>
      </c>
      <c r="B323" s="22" t="inlineStr">
        <is>
          <t>H002</t>
        </is>
      </c>
      <c r="C323" s="31" t="inlineStr">
        <is>
          <t>HANGER 002</t>
        </is>
      </c>
      <c r="D323" s="31" t="inlineStr">
        <is>
          <t>HANGER</t>
        </is>
      </c>
      <c r="E323" s="29" t="inlineStr">
        <is>
          <t>여성존</t>
        </is>
      </c>
      <c r="F323" s="31" t="inlineStr">
        <is>
          <t>EEWHG24E0335160</t>
        </is>
      </c>
      <c r="G323" s="31">
        <f>LEFT(F323,10)</f>
        <v/>
      </c>
      <c r="H323" s="31">
        <f>MID(G323,3,2)</f>
        <v/>
      </c>
      <c r="I323" s="31">
        <f>VLOOKUP(H323,color!E:G,2,0)</f>
        <v/>
      </c>
      <c r="J323" s="31" t="n">
        <v>35</v>
      </c>
      <c r="K323" s="31">
        <f>VLOOKUP(J323,color!A:C,2,0)</f>
        <v/>
      </c>
      <c r="L323" s="31" t="n">
        <v>1</v>
      </c>
      <c r="M323" s="31">
        <f>VLOOKUP(F323,'卖场库存0422-0512'!M:R,5,0)</f>
        <v/>
      </c>
      <c r="N323" s="31">
        <f>VLOOKUP(F323,'卖场库存0422-0512'!M:S,6,0)</f>
        <v/>
      </c>
      <c r="O323" s="31" t="inlineStr">
        <is>
          <t>Sleeve out</t>
        </is>
      </c>
      <c r="P323" s="30">
        <f>VLOOKUP(F323,'卖场库存0422-0512'!M:S,7,0)</f>
        <v/>
      </c>
      <c r="Q323" s="31">
        <f>VLOOKUP(H323,color!E:G,3,0)</f>
        <v/>
      </c>
    </row>
    <row r="324">
      <c r="A324" s="31" t="n">
        <v>323</v>
      </c>
      <c r="B324" s="22" t="inlineStr">
        <is>
          <t>H002</t>
        </is>
      </c>
      <c r="C324" s="31" t="inlineStr">
        <is>
          <t>HANGER 002</t>
        </is>
      </c>
      <c r="D324" s="31" t="inlineStr">
        <is>
          <t>HANGER</t>
        </is>
      </c>
      <c r="E324" s="29" t="inlineStr">
        <is>
          <t>여성존</t>
        </is>
      </c>
      <c r="F324" s="31" t="inlineStr">
        <is>
          <t>EEWHG24E0335165</t>
        </is>
      </c>
      <c r="G324" s="31">
        <f>LEFT(F324,10)</f>
        <v/>
      </c>
      <c r="H324" s="31">
        <f>MID(G324,3,2)</f>
        <v/>
      </c>
      <c r="I324" s="31">
        <f>VLOOKUP(H324,color!E:G,2,0)</f>
        <v/>
      </c>
      <c r="J324" s="31" t="n">
        <v>35</v>
      </c>
      <c r="K324" s="31">
        <f>VLOOKUP(J324,color!A:C,2,0)</f>
        <v/>
      </c>
      <c r="L324" s="31" t="n">
        <v>1</v>
      </c>
      <c r="M324" s="31">
        <f>VLOOKUP(F324,'卖场库存0422-0512'!M:R,5,0)</f>
        <v/>
      </c>
      <c r="N324" s="31">
        <f>VLOOKUP(F324,'卖场库存0422-0512'!M:S,6,0)</f>
        <v/>
      </c>
      <c r="O324" s="31" t="inlineStr">
        <is>
          <t>Sleeve out</t>
        </is>
      </c>
      <c r="P324" s="30">
        <f>VLOOKUP(F324,'卖场库存0422-0512'!M:S,7,0)</f>
        <v/>
      </c>
      <c r="Q324" s="31">
        <f>VLOOKUP(H324,color!E:G,3,0)</f>
        <v/>
      </c>
    </row>
    <row r="325">
      <c r="A325" s="31" t="n">
        <v>324</v>
      </c>
      <c r="B325" s="22" t="inlineStr">
        <is>
          <t>H002</t>
        </is>
      </c>
      <c r="C325" s="31" t="inlineStr">
        <is>
          <t>HANGER 002</t>
        </is>
      </c>
      <c r="D325" s="31" t="inlineStr">
        <is>
          <t>HANGER</t>
        </is>
      </c>
      <c r="E325" s="29" t="inlineStr">
        <is>
          <t>여성존</t>
        </is>
      </c>
      <c r="F325" s="31" t="inlineStr">
        <is>
          <t>EETCG23E0135165</t>
        </is>
      </c>
      <c r="G325" s="31">
        <f>LEFT(F325,10)</f>
        <v/>
      </c>
      <c r="H325" s="31">
        <f>MID(G325,3,2)</f>
        <v/>
      </c>
      <c r="I325" s="31">
        <f>VLOOKUP(H325,color!E:G,2,0)</f>
        <v/>
      </c>
      <c r="J325" s="31" t="n">
        <v>35</v>
      </c>
      <c r="K325" s="31">
        <f>VLOOKUP(J325,color!A:C,2,0)</f>
        <v/>
      </c>
      <c r="L325" s="31" t="n">
        <v>1</v>
      </c>
      <c r="M325" s="31">
        <f>VLOOKUP(F325,'卖场库存0422-0512'!M:R,5,0)</f>
        <v/>
      </c>
      <c r="N325" s="31">
        <f>VLOOKUP(F325,'卖场库存0422-0512'!M:S,6,0)</f>
        <v/>
      </c>
      <c r="O325" s="31" t="inlineStr">
        <is>
          <t>Sleeve out</t>
        </is>
      </c>
      <c r="P325" s="30">
        <f>VLOOKUP(F325,'卖场库存0422-0512'!M:S,7,0)</f>
        <v/>
      </c>
      <c r="Q325" s="31">
        <f>VLOOKUP(H325,color!E:G,3,0)</f>
        <v/>
      </c>
    </row>
    <row r="326">
      <c r="A326" s="31" t="n">
        <v>325</v>
      </c>
      <c r="B326" s="22" t="inlineStr">
        <is>
          <t>H002</t>
        </is>
      </c>
      <c r="C326" s="31" t="inlineStr">
        <is>
          <t>HANGER 002</t>
        </is>
      </c>
      <c r="D326" s="31" t="inlineStr">
        <is>
          <t>HANGER</t>
        </is>
      </c>
      <c r="E326" s="29" t="inlineStr">
        <is>
          <t>여성존</t>
        </is>
      </c>
      <c r="F326" s="31" t="inlineStr">
        <is>
          <t>EETCG24E0135160</t>
        </is>
      </c>
      <c r="G326" s="31">
        <f>LEFT(F326,10)</f>
        <v/>
      </c>
      <c r="H326" s="31">
        <f>MID(G326,3,2)</f>
        <v/>
      </c>
      <c r="I326" s="31">
        <f>VLOOKUP(H326,color!E:G,2,0)</f>
        <v/>
      </c>
      <c r="J326" s="31" t="n">
        <v>35</v>
      </c>
      <c r="K326" s="31">
        <f>VLOOKUP(J326,color!A:C,2,0)</f>
        <v/>
      </c>
      <c r="L326" s="31" t="n">
        <v>1</v>
      </c>
      <c r="M326" s="31">
        <f>VLOOKUP(F326,'卖场库存0422-0512'!M:R,5,0)</f>
        <v/>
      </c>
      <c r="N326" s="31">
        <f>VLOOKUP(F326,'卖场库存0422-0512'!M:S,6,0)</f>
        <v/>
      </c>
      <c r="O326" s="31" t="inlineStr">
        <is>
          <t>Sleeve out</t>
        </is>
      </c>
      <c r="P326" s="30">
        <f>VLOOKUP(F326,'卖场库存0422-0512'!M:S,7,0)</f>
        <v/>
      </c>
      <c r="Q326" s="31">
        <f>VLOOKUP(H326,color!E:G,3,0)</f>
        <v/>
      </c>
    </row>
    <row r="327">
      <c r="A327" s="31" t="n">
        <v>326</v>
      </c>
      <c r="B327" s="22" t="inlineStr">
        <is>
          <t>H002</t>
        </is>
      </c>
      <c r="C327" s="31" t="inlineStr">
        <is>
          <t>HANGER 002</t>
        </is>
      </c>
      <c r="D327" s="31" t="inlineStr">
        <is>
          <t>HANGER</t>
        </is>
      </c>
      <c r="E327" s="29" t="inlineStr">
        <is>
          <t>여성존</t>
        </is>
      </c>
      <c r="F327" s="31" t="inlineStr">
        <is>
          <t>EETCG23E0159170</t>
        </is>
      </c>
      <c r="G327" s="31">
        <f>LEFT(F327,10)</f>
        <v/>
      </c>
      <c r="H327" s="31">
        <f>MID(G327,3,2)</f>
        <v/>
      </c>
      <c r="I327" s="31">
        <f>VLOOKUP(H327,color!E:G,2,0)</f>
        <v/>
      </c>
      <c r="J327" s="31" t="n">
        <v>59</v>
      </c>
      <c r="K327" s="31">
        <f>VLOOKUP(J327,color!A:C,2,0)</f>
        <v/>
      </c>
      <c r="L327" s="31" t="n">
        <v>1</v>
      </c>
      <c r="M327" s="31">
        <f>VLOOKUP(F327,'卖场库存0422-0512'!M:R,5,0)</f>
        <v/>
      </c>
      <c r="N327" s="31">
        <f>VLOOKUP(F327,'卖场库存0422-0512'!M:S,6,0)</f>
        <v/>
      </c>
      <c r="O327" s="31" t="inlineStr">
        <is>
          <t>Sleeve out</t>
        </is>
      </c>
      <c r="P327" s="30">
        <f>VLOOKUP(F327,'卖场库存0422-0512'!M:S,7,0)</f>
        <v/>
      </c>
      <c r="Q327" s="31">
        <f>VLOOKUP(H327,color!E:G,3,0)</f>
        <v/>
      </c>
    </row>
    <row r="328">
      <c r="A328" s="31" t="n">
        <v>327</v>
      </c>
      <c r="B328" s="22" t="inlineStr">
        <is>
          <t>H002</t>
        </is>
      </c>
      <c r="C328" s="31" t="inlineStr">
        <is>
          <t>HANGER 002</t>
        </is>
      </c>
      <c r="D328" s="31" t="inlineStr">
        <is>
          <t>HANGER</t>
        </is>
      </c>
      <c r="E328" s="29" t="inlineStr">
        <is>
          <t>여성존</t>
        </is>
      </c>
      <c r="F328" s="31" t="inlineStr">
        <is>
          <t>EETCG23E0159165</t>
        </is>
      </c>
      <c r="G328" s="31">
        <f>LEFT(F328,10)</f>
        <v/>
      </c>
      <c r="H328" s="31">
        <f>MID(G328,3,2)</f>
        <v/>
      </c>
      <c r="I328" s="31">
        <f>VLOOKUP(H328,color!E:G,2,0)</f>
        <v/>
      </c>
      <c r="J328" s="31" t="n">
        <v>59</v>
      </c>
      <c r="K328" s="31">
        <f>VLOOKUP(J328,color!A:C,2,0)</f>
        <v/>
      </c>
      <c r="L328" s="31" t="n">
        <v>1</v>
      </c>
      <c r="M328" s="31">
        <f>VLOOKUP(F328,'卖场库存0422-0512'!M:R,5,0)</f>
        <v/>
      </c>
      <c r="N328" s="31">
        <f>VLOOKUP(F328,'卖场库存0422-0512'!M:S,6,0)</f>
        <v/>
      </c>
      <c r="O328" s="31" t="inlineStr">
        <is>
          <t>Sleeve out</t>
        </is>
      </c>
      <c r="P328" s="30">
        <f>VLOOKUP(F328,'卖场库存0422-0512'!M:S,7,0)</f>
        <v/>
      </c>
      <c r="Q328" s="31">
        <f>VLOOKUP(H328,color!E:G,3,0)</f>
        <v/>
      </c>
    </row>
    <row r="329">
      <c r="A329" s="31" t="n">
        <v>328</v>
      </c>
      <c r="B329" s="22" t="inlineStr">
        <is>
          <t>H002</t>
        </is>
      </c>
      <c r="C329" s="31" t="inlineStr">
        <is>
          <t>HANGER 002</t>
        </is>
      </c>
      <c r="D329" s="31" t="inlineStr">
        <is>
          <t>HANGER</t>
        </is>
      </c>
      <c r="E329" s="29" t="inlineStr">
        <is>
          <t>여성존</t>
        </is>
      </c>
      <c r="F329" s="31" t="inlineStr">
        <is>
          <t>EEWHG24E0459160</t>
        </is>
      </c>
      <c r="G329" s="31">
        <f>LEFT(F329,10)</f>
        <v/>
      </c>
      <c r="H329" s="31">
        <f>MID(G329,3,2)</f>
        <v/>
      </c>
      <c r="I329" s="31">
        <f>VLOOKUP(H329,color!E:G,2,0)</f>
        <v/>
      </c>
      <c r="J329" s="31" t="n">
        <v>59</v>
      </c>
      <c r="K329" s="31">
        <f>VLOOKUP(J329,color!A:C,2,0)</f>
        <v/>
      </c>
      <c r="L329" s="31" t="n">
        <v>1</v>
      </c>
      <c r="M329" s="31">
        <f>VLOOKUP(F329,'卖场库存0422-0512'!M:R,5,0)</f>
        <v/>
      </c>
      <c r="N329" s="31">
        <f>VLOOKUP(F329,'卖场库存0422-0512'!M:S,6,0)</f>
        <v/>
      </c>
      <c r="O329" s="31" t="inlineStr">
        <is>
          <t>Sleeve out</t>
        </is>
      </c>
      <c r="P329" s="30">
        <f>VLOOKUP(F329,'卖场库存0422-0512'!M:S,7,0)</f>
        <v/>
      </c>
      <c r="Q329" s="31">
        <f>VLOOKUP(H329,color!E:G,3,0)</f>
        <v/>
      </c>
    </row>
    <row r="330">
      <c r="A330" s="31" t="n">
        <v>329</v>
      </c>
      <c r="B330" s="22" t="inlineStr">
        <is>
          <t>H002</t>
        </is>
      </c>
      <c r="C330" s="31" t="inlineStr">
        <is>
          <t>HANGER 002</t>
        </is>
      </c>
      <c r="D330" s="31" t="inlineStr">
        <is>
          <t>HANGER</t>
        </is>
      </c>
      <c r="E330" s="29" t="inlineStr">
        <is>
          <t>여성존</t>
        </is>
      </c>
      <c r="F330" s="31" t="inlineStr">
        <is>
          <t>EEWHG24E0459165</t>
        </is>
      </c>
      <c r="G330" s="31">
        <f>LEFT(F330,10)</f>
        <v/>
      </c>
      <c r="H330" s="31">
        <f>MID(G330,3,2)</f>
        <v/>
      </c>
      <c r="I330" s="31">
        <f>VLOOKUP(H330,color!E:G,2,0)</f>
        <v/>
      </c>
      <c r="J330" s="31" t="n">
        <v>59</v>
      </c>
      <c r="K330" s="31">
        <f>VLOOKUP(J330,color!A:C,2,0)</f>
        <v/>
      </c>
      <c r="L330" s="31" t="n">
        <v>1</v>
      </c>
      <c r="M330" s="31">
        <f>VLOOKUP(F330,'卖场库存0422-0512'!M:R,5,0)</f>
        <v/>
      </c>
      <c r="N330" s="31">
        <f>VLOOKUP(F330,'卖场库存0422-0512'!M:S,6,0)</f>
        <v/>
      </c>
      <c r="O330" s="31" t="inlineStr">
        <is>
          <t>Sleeve out</t>
        </is>
      </c>
      <c r="P330" s="30">
        <f>VLOOKUP(F330,'卖场库存0422-0512'!M:S,7,0)</f>
        <v/>
      </c>
      <c r="Q330" s="31">
        <f>VLOOKUP(H330,color!E:G,3,0)</f>
        <v/>
      </c>
    </row>
    <row r="331">
      <c r="A331" s="31" t="n">
        <v>330</v>
      </c>
      <c r="B331" s="22" t="inlineStr">
        <is>
          <t>H002</t>
        </is>
      </c>
      <c r="C331" s="31" t="inlineStr">
        <is>
          <t>HANGER 002</t>
        </is>
      </c>
      <c r="D331" s="31" t="inlineStr">
        <is>
          <t>HANGER</t>
        </is>
      </c>
      <c r="E331" s="29" t="inlineStr">
        <is>
          <t>여성존</t>
        </is>
      </c>
      <c r="F331" s="31" t="inlineStr">
        <is>
          <t>EETAG24B0359165</t>
        </is>
      </c>
      <c r="G331" s="31">
        <f>LEFT(F331,10)</f>
        <v/>
      </c>
      <c r="H331" s="31">
        <f>MID(G331,3,2)</f>
        <v/>
      </c>
      <c r="I331" s="31">
        <f>VLOOKUP(H331,color!E:G,2,0)</f>
        <v/>
      </c>
      <c r="J331" s="31" t="n">
        <v>59</v>
      </c>
      <c r="K331" s="31">
        <f>VLOOKUP(J331,color!A:C,2,0)</f>
        <v/>
      </c>
      <c r="L331" s="31" t="n">
        <v>1</v>
      </c>
      <c r="M331" s="31">
        <f>VLOOKUP(F331,'卖场库存0422-0512'!M:R,5,0)</f>
        <v/>
      </c>
      <c r="N331" s="31">
        <f>VLOOKUP(F331,'卖场库存0422-0512'!M:S,6,0)</f>
        <v/>
      </c>
      <c r="O331" s="31" t="inlineStr">
        <is>
          <t>Sleeve out</t>
        </is>
      </c>
      <c r="P331" s="30">
        <f>VLOOKUP(F331,'卖场库存0422-0512'!M:S,7,0)</f>
        <v/>
      </c>
      <c r="Q331" s="31">
        <f>VLOOKUP(H331,color!E:G,3,0)</f>
        <v/>
      </c>
    </row>
    <row r="332">
      <c r="A332" s="31" t="n">
        <v>331</v>
      </c>
      <c r="B332" s="22" t="inlineStr">
        <is>
          <t>H002</t>
        </is>
      </c>
      <c r="C332" s="31" t="inlineStr">
        <is>
          <t>HANGER 002</t>
        </is>
      </c>
      <c r="D332" s="31" t="inlineStr">
        <is>
          <t>HANGER</t>
        </is>
      </c>
      <c r="E332" s="29" t="inlineStr">
        <is>
          <t>여성존</t>
        </is>
      </c>
      <c r="F332" s="31" t="inlineStr">
        <is>
          <t>EETAG24E0459160</t>
        </is>
      </c>
      <c r="G332" s="31">
        <f>LEFT(F332,10)</f>
        <v/>
      </c>
      <c r="H332" s="31">
        <f>MID(G332,3,2)</f>
        <v/>
      </c>
      <c r="I332" s="31">
        <f>VLOOKUP(H332,color!E:G,2,0)</f>
        <v/>
      </c>
      <c r="J332" s="31" t="n">
        <v>59</v>
      </c>
      <c r="K332" s="31">
        <f>VLOOKUP(J332,color!A:C,2,0)</f>
        <v/>
      </c>
      <c r="L332" s="31" t="n">
        <v>1</v>
      </c>
      <c r="M332" s="31">
        <f>VLOOKUP(F332,'卖场库存0422-0512'!M:R,5,0)</f>
        <v/>
      </c>
      <c r="N332" s="31">
        <f>VLOOKUP(F332,'卖场库存0422-0512'!M:S,6,0)</f>
        <v/>
      </c>
      <c r="O332" s="31" t="inlineStr">
        <is>
          <t>Sleeve out</t>
        </is>
      </c>
      <c r="P332" s="30">
        <f>VLOOKUP(F332,'卖场库存0422-0512'!M:S,7,0)</f>
        <v/>
      </c>
      <c r="Q332" s="31">
        <f>VLOOKUP(H332,color!E:G,3,0)</f>
        <v/>
      </c>
    </row>
    <row r="333">
      <c r="A333" s="31" t="n">
        <v>332</v>
      </c>
      <c r="B333" s="22" t="inlineStr">
        <is>
          <t>H002</t>
        </is>
      </c>
      <c r="C333" s="31" t="inlineStr">
        <is>
          <t>HANGER 002</t>
        </is>
      </c>
      <c r="D333" s="31" t="inlineStr">
        <is>
          <t>HANGER</t>
        </is>
      </c>
      <c r="E333" s="29" t="inlineStr">
        <is>
          <t>여성존</t>
        </is>
      </c>
      <c r="F333" s="31" t="inlineStr">
        <is>
          <t>EEWHG24E5659155</t>
        </is>
      </c>
      <c r="G333" s="31">
        <f>LEFT(F333,10)</f>
        <v/>
      </c>
      <c r="H333" s="31">
        <f>MID(G333,3,2)</f>
        <v/>
      </c>
      <c r="I333" s="31">
        <f>VLOOKUP(H333,color!E:G,2,0)</f>
        <v/>
      </c>
      <c r="J333" s="31" t="n">
        <v>59</v>
      </c>
      <c r="K333" s="31">
        <f>VLOOKUP(J333,color!A:C,2,0)</f>
        <v/>
      </c>
      <c r="L333" s="31" t="n">
        <v>1</v>
      </c>
      <c r="M333" s="31">
        <f>VLOOKUP(F333,'卖场库存0422-0512'!M:R,5,0)</f>
        <v/>
      </c>
      <c r="N333" s="31">
        <f>VLOOKUP(F333,'卖场库存0422-0512'!M:S,6,0)</f>
        <v/>
      </c>
      <c r="O333" s="31" t="inlineStr">
        <is>
          <t>Sleeve out</t>
        </is>
      </c>
      <c r="P333" s="30">
        <f>VLOOKUP(F333,'卖场库存0422-0512'!M:S,7,0)</f>
        <v/>
      </c>
      <c r="Q333" s="31">
        <f>VLOOKUP(H333,color!E:G,3,0)</f>
        <v/>
      </c>
    </row>
    <row r="334">
      <c r="A334" s="31" t="n">
        <v>333</v>
      </c>
      <c r="B334" s="22" t="inlineStr">
        <is>
          <t>H002</t>
        </is>
      </c>
      <c r="C334" s="31" t="inlineStr">
        <is>
          <t>HANGER 002</t>
        </is>
      </c>
      <c r="D334" s="31" t="inlineStr">
        <is>
          <t>HANGER</t>
        </is>
      </c>
      <c r="E334" s="29" t="inlineStr">
        <is>
          <t>여성존</t>
        </is>
      </c>
      <c r="F334" s="31" t="inlineStr">
        <is>
          <t>EETAG24E0415165</t>
        </is>
      </c>
      <c r="G334" s="31">
        <f>LEFT(F334,10)</f>
        <v/>
      </c>
      <c r="H334" s="31">
        <f>MID(G334,3,2)</f>
        <v/>
      </c>
      <c r="I334" s="31">
        <f>VLOOKUP(H334,color!E:G,2,0)</f>
        <v/>
      </c>
      <c r="J334" s="31" t="n">
        <v>15</v>
      </c>
      <c r="K334" s="31">
        <f>VLOOKUP(J334,color!A:C,2,0)</f>
        <v/>
      </c>
      <c r="L334" s="31" t="n">
        <v>1</v>
      </c>
      <c r="M334" s="31">
        <f>VLOOKUP(F334,'卖场库存0422-0512'!M:R,5,0)</f>
        <v/>
      </c>
      <c r="N334" s="31">
        <f>VLOOKUP(F334,'卖场库存0422-0512'!M:S,6,0)</f>
        <v/>
      </c>
      <c r="O334" s="31" t="inlineStr">
        <is>
          <t>Sleeve out</t>
        </is>
      </c>
      <c r="P334" s="30">
        <f>VLOOKUP(F334,'卖场库存0422-0512'!M:S,7,0)</f>
        <v/>
      </c>
      <c r="Q334" s="31">
        <f>VLOOKUP(H334,color!E:G,3,0)</f>
        <v/>
      </c>
    </row>
    <row r="335">
      <c r="A335" s="31" t="n">
        <v>334</v>
      </c>
      <c r="B335" s="22" t="inlineStr">
        <is>
          <t>H002</t>
        </is>
      </c>
      <c r="C335" s="31" t="inlineStr">
        <is>
          <t>HANGER 002</t>
        </is>
      </c>
      <c r="D335" s="31" t="inlineStr">
        <is>
          <t>HANGER</t>
        </is>
      </c>
      <c r="E335" s="29" t="inlineStr">
        <is>
          <t>여성존</t>
        </is>
      </c>
      <c r="F335" s="31" t="inlineStr">
        <is>
          <t>EETAG24E0415160</t>
        </is>
      </c>
      <c r="G335" s="31">
        <f>LEFT(F335,10)</f>
        <v/>
      </c>
      <c r="H335" s="31">
        <f>MID(G335,3,2)</f>
        <v/>
      </c>
      <c r="I335" s="31">
        <f>VLOOKUP(H335,color!E:G,2,0)</f>
        <v/>
      </c>
      <c r="J335" s="31" t="n">
        <v>15</v>
      </c>
      <c r="K335" s="31">
        <f>VLOOKUP(J335,color!A:C,2,0)</f>
        <v/>
      </c>
      <c r="L335" s="31" t="n">
        <v>1</v>
      </c>
      <c r="M335" s="31">
        <f>VLOOKUP(F335,'卖场库存0422-0512'!M:R,5,0)</f>
        <v/>
      </c>
      <c r="N335" s="31">
        <f>VLOOKUP(F335,'卖场库存0422-0512'!M:S,6,0)</f>
        <v/>
      </c>
      <c r="O335" s="31" t="inlineStr">
        <is>
          <t>Sleeve out</t>
        </is>
      </c>
      <c r="P335" s="30">
        <f>VLOOKUP(F335,'卖场库存0422-0512'!M:S,7,0)</f>
        <v/>
      </c>
      <c r="Q335" s="31">
        <f>VLOOKUP(H335,color!E:G,3,0)</f>
        <v/>
      </c>
    </row>
    <row r="336">
      <c r="A336" s="31" t="n">
        <v>335</v>
      </c>
      <c r="B336" s="22" t="inlineStr">
        <is>
          <t>H002</t>
        </is>
      </c>
      <c r="C336" s="31" t="inlineStr">
        <is>
          <t>HANGER 002</t>
        </is>
      </c>
      <c r="D336" s="31" t="inlineStr">
        <is>
          <t>HANGER</t>
        </is>
      </c>
      <c r="E336" s="29" t="inlineStr">
        <is>
          <t>여성존</t>
        </is>
      </c>
      <c r="F336" s="31" t="inlineStr">
        <is>
          <t>EETMG25B5117165</t>
        </is>
      </c>
      <c r="G336" s="31">
        <f>LEFT(F336,10)</f>
        <v/>
      </c>
      <c r="H336" s="31">
        <f>MID(G336,3,2)</f>
        <v/>
      </c>
      <c r="I336" s="31">
        <f>VLOOKUP(H336,color!E:G,2,0)</f>
        <v/>
      </c>
      <c r="J336" s="31" t="n">
        <v>17</v>
      </c>
      <c r="K336" s="31">
        <f>VLOOKUP(J336,color!A:C,2,0)</f>
        <v/>
      </c>
      <c r="L336" s="31" t="n">
        <v>1</v>
      </c>
      <c r="M336" s="31">
        <f>VLOOKUP(F336,'卖场库存0422-0512'!M:R,5,0)</f>
        <v/>
      </c>
      <c r="N336" s="31">
        <f>VLOOKUP(F336,'卖场库存0422-0512'!M:S,6,0)</f>
        <v/>
      </c>
      <c r="O336" s="31" t="inlineStr">
        <is>
          <t>Sleeve out</t>
        </is>
      </c>
      <c r="P336" s="30">
        <f>VLOOKUP(F336,'卖场库存0422-0512'!M:S,7,0)</f>
        <v/>
      </c>
      <c r="Q336" s="31">
        <f>VLOOKUP(H336,color!E:G,3,0)</f>
        <v/>
      </c>
    </row>
    <row r="337">
      <c r="A337" s="31" t="n">
        <v>336</v>
      </c>
      <c r="B337" s="22" t="inlineStr">
        <is>
          <t>H002</t>
        </is>
      </c>
      <c r="C337" s="31" t="inlineStr">
        <is>
          <t>HANGER 002</t>
        </is>
      </c>
      <c r="D337" s="31" t="inlineStr">
        <is>
          <t>HANGER</t>
        </is>
      </c>
      <c r="E337" s="29" t="inlineStr">
        <is>
          <t>여성존</t>
        </is>
      </c>
      <c r="F337" s="31" t="inlineStr">
        <is>
          <t>EETCG64S0115160</t>
        </is>
      </c>
      <c r="G337" s="31">
        <f>LEFT(F337,10)</f>
        <v/>
      </c>
      <c r="H337" s="31">
        <f>MID(G337,3,2)</f>
        <v/>
      </c>
      <c r="I337" s="31">
        <f>VLOOKUP(H337,color!E:G,2,0)</f>
        <v/>
      </c>
      <c r="J337" s="31" t="n">
        <v>15</v>
      </c>
      <c r="K337" s="31">
        <f>VLOOKUP(J337,color!A:C,2,0)</f>
        <v/>
      </c>
      <c r="L337" s="31" t="n">
        <v>1</v>
      </c>
      <c r="M337" s="31">
        <f>VLOOKUP(F337,'卖场库存0422-0512'!M:R,5,0)</f>
        <v/>
      </c>
      <c r="N337" s="31">
        <f>VLOOKUP(F337,'卖场库存0422-0512'!M:S,6,0)</f>
        <v/>
      </c>
      <c r="O337" s="31" t="inlineStr">
        <is>
          <t>Sleeve out</t>
        </is>
      </c>
      <c r="P337" s="30">
        <f>VLOOKUP(F337,'卖场库存0422-0512'!M:S,7,0)</f>
        <v/>
      </c>
      <c r="Q337" s="31">
        <f>VLOOKUP(H337,color!E:G,3,0)</f>
        <v/>
      </c>
    </row>
    <row r="338">
      <c r="A338" s="31" t="n">
        <v>337</v>
      </c>
      <c r="B338" s="22" t="inlineStr">
        <is>
          <t>H002</t>
        </is>
      </c>
      <c r="C338" s="31" t="inlineStr">
        <is>
          <t>HANGER 002</t>
        </is>
      </c>
      <c r="D338" s="31" t="inlineStr">
        <is>
          <t>HANGER</t>
        </is>
      </c>
      <c r="E338" s="29" t="inlineStr">
        <is>
          <t>여성존</t>
        </is>
      </c>
      <c r="F338" s="31" t="inlineStr">
        <is>
          <t>EEWHG23R3115160</t>
        </is>
      </c>
      <c r="G338" s="31">
        <f>LEFT(F338,10)</f>
        <v/>
      </c>
      <c r="H338" s="31">
        <f>MID(G338,3,2)</f>
        <v/>
      </c>
      <c r="I338" s="31">
        <f>VLOOKUP(H338,color!E:G,2,0)</f>
        <v/>
      </c>
      <c r="J338" s="31" t="n">
        <v>15</v>
      </c>
      <c r="K338" s="31">
        <f>VLOOKUP(J338,color!A:C,2,0)</f>
        <v/>
      </c>
      <c r="L338" s="31" t="n">
        <v>1</v>
      </c>
      <c r="M338" s="31">
        <f>VLOOKUP(F338,'卖场库存0422-0512'!M:R,5,0)</f>
        <v/>
      </c>
      <c r="N338" s="31">
        <f>VLOOKUP(F338,'卖场库存0422-0512'!M:S,6,0)</f>
        <v/>
      </c>
      <c r="O338" s="31" t="inlineStr">
        <is>
          <t>Sleeve out</t>
        </is>
      </c>
      <c r="P338" s="30">
        <f>VLOOKUP(F338,'卖场库存0422-0512'!M:S,7,0)</f>
        <v/>
      </c>
      <c r="Q338" s="31">
        <f>VLOOKUP(H338,color!E:G,3,0)</f>
        <v/>
      </c>
    </row>
    <row r="339">
      <c r="A339" s="31" t="n">
        <v>338</v>
      </c>
      <c r="B339" s="22" t="inlineStr">
        <is>
          <t>H002</t>
        </is>
      </c>
      <c r="C339" s="31" t="inlineStr">
        <is>
          <t>HANGER 002</t>
        </is>
      </c>
      <c r="D339" s="31" t="inlineStr">
        <is>
          <t>HANGER</t>
        </is>
      </c>
      <c r="E339" s="29" t="inlineStr">
        <is>
          <t>여성존</t>
        </is>
      </c>
      <c r="F339" s="31" t="inlineStr">
        <is>
          <t>EEWHG24E0415160</t>
        </is>
      </c>
      <c r="G339" s="31">
        <f>LEFT(F339,10)</f>
        <v/>
      </c>
      <c r="H339" s="31">
        <f>MID(G339,3,2)</f>
        <v/>
      </c>
      <c r="I339" s="31">
        <f>VLOOKUP(H339,color!E:G,2,0)</f>
        <v/>
      </c>
      <c r="J339" s="31" t="n">
        <v>15</v>
      </c>
      <c r="K339" s="31">
        <f>VLOOKUP(J339,color!A:C,2,0)</f>
        <v/>
      </c>
      <c r="L339" s="31" t="n">
        <v>1</v>
      </c>
      <c r="M339" s="31">
        <f>VLOOKUP(F339,'卖场库存0422-0512'!M:R,5,0)</f>
        <v/>
      </c>
      <c r="N339" s="31">
        <f>VLOOKUP(F339,'卖场库存0422-0512'!M:S,6,0)</f>
        <v/>
      </c>
      <c r="O339" s="31" t="inlineStr">
        <is>
          <t>Sleeve out</t>
        </is>
      </c>
      <c r="P339" s="30">
        <f>VLOOKUP(F339,'卖场库存0422-0512'!M:S,7,0)</f>
        <v/>
      </c>
      <c r="Q339" s="31">
        <f>VLOOKUP(H339,color!E:G,3,0)</f>
        <v/>
      </c>
    </row>
    <row r="340">
      <c r="A340" s="31" t="n">
        <v>339</v>
      </c>
      <c r="B340" s="22" t="inlineStr">
        <is>
          <t>H002</t>
        </is>
      </c>
      <c r="C340" s="31" t="inlineStr">
        <is>
          <t>HANGER 002</t>
        </is>
      </c>
      <c r="D340" s="31" t="inlineStr">
        <is>
          <t>HANGER</t>
        </is>
      </c>
      <c r="E340" s="29" t="inlineStr">
        <is>
          <t>여성존</t>
        </is>
      </c>
      <c r="F340" s="31" t="inlineStr">
        <is>
          <t>EEWHG24E0415165</t>
        </is>
      </c>
      <c r="G340" s="31">
        <f>LEFT(F340,10)</f>
        <v/>
      </c>
      <c r="H340" s="31">
        <f>MID(G340,3,2)</f>
        <v/>
      </c>
      <c r="I340" s="31">
        <f>VLOOKUP(H340,color!E:G,2,0)</f>
        <v/>
      </c>
      <c r="J340" s="31" t="n">
        <v>15</v>
      </c>
      <c r="K340" s="31">
        <f>VLOOKUP(J340,color!A:C,2,0)</f>
        <v/>
      </c>
      <c r="L340" s="31" t="n">
        <v>1</v>
      </c>
      <c r="M340" s="31">
        <f>VLOOKUP(F340,'卖场库存0422-0512'!M:R,5,0)</f>
        <v/>
      </c>
      <c r="N340" s="31">
        <f>VLOOKUP(F340,'卖场库存0422-0512'!M:S,6,0)</f>
        <v/>
      </c>
      <c r="O340" s="31" t="inlineStr">
        <is>
          <t>Sleeve out</t>
        </is>
      </c>
      <c r="P340" s="30">
        <f>VLOOKUP(F340,'卖场库存0422-0512'!M:S,7,0)</f>
        <v/>
      </c>
      <c r="Q340" s="31">
        <f>VLOOKUP(H340,color!E:G,3,0)</f>
        <v/>
      </c>
    </row>
    <row r="341">
      <c r="A341" s="31" t="n">
        <v>340</v>
      </c>
      <c r="B341" s="22" t="inlineStr">
        <is>
          <t>H002</t>
        </is>
      </c>
      <c r="C341" s="31" t="inlineStr">
        <is>
          <t>HANGER 002</t>
        </is>
      </c>
      <c r="D341" s="31" t="inlineStr">
        <is>
          <t>HANGER</t>
        </is>
      </c>
      <c r="E341" s="29" t="inlineStr">
        <is>
          <t>여성존</t>
        </is>
      </c>
      <c r="F341" s="31" t="inlineStr">
        <is>
          <t>EETAG24B0336160</t>
        </is>
      </c>
      <c r="G341" s="31">
        <f>LEFT(F341,10)</f>
        <v/>
      </c>
      <c r="H341" s="31">
        <f>MID(G341,3,2)</f>
        <v/>
      </c>
      <c r="I341" s="31">
        <f>VLOOKUP(H341,color!E:G,2,0)</f>
        <v/>
      </c>
      <c r="J341" s="31" t="n">
        <v>36</v>
      </c>
      <c r="K341" s="31">
        <f>VLOOKUP(J341,color!A:C,2,0)</f>
        <v/>
      </c>
      <c r="L341" s="31" t="n">
        <v>1</v>
      </c>
      <c r="M341" s="31">
        <f>VLOOKUP(F341,'卖场库存0422-0512'!M:R,5,0)</f>
        <v/>
      </c>
      <c r="N341" s="31">
        <f>VLOOKUP(F341,'卖场库存0422-0512'!M:S,6,0)</f>
        <v/>
      </c>
      <c r="O341" s="31" t="inlineStr">
        <is>
          <t>Sleeve out</t>
        </is>
      </c>
      <c r="P341" s="30">
        <f>VLOOKUP(F341,'卖场库存0422-0512'!M:S,7,0)</f>
        <v/>
      </c>
      <c r="Q341" s="31">
        <f>VLOOKUP(H341,color!E:G,3,0)</f>
        <v/>
      </c>
    </row>
    <row r="342">
      <c r="A342" s="31" t="n">
        <v>341</v>
      </c>
      <c r="B342" s="22" t="inlineStr">
        <is>
          <t>H002</t>
        </is>
      </c>
      <c r="C342" s="31" t="inlineStr">
        <is>
          <t>HANGER 002</t>
        </is>
      </c>
      <c r="D342" s="31" t="inlineStr">
        <is>
          <t>HANGER</t>
        </is>
      </c>
      <c r="E342" s="29" t="inlineStr">
        <is>
          <t>여성존</t>
        </is>
      </c>
      <c r="F342" s="31" t="inlineStr">
        <is>
          <t>EETAG24B0359155</t>
        </is>
      </c>
      <c r="G342" s="31">
        <f>LEFT(F342,10)</f>
        <v/>
      </c>
      <c r="H342" s="31">
        <f>MID(G342,3,2)</f>
        <v/>
      </c>
      <c r="I342" s="31">
        <f>VLOOKUP(H342,color!E:G,2,0)</f>
        <v/>
      </c>
      <c r="J342" s="31" t="n">
        <v>59</v>
      </c>
      <c r="K342" s="31">
        <f>VLOOKUP(J342,color!A:C,2,0)</f>
        <v/>
      </c>
      <c r="L342" s="31" t="n">
        <v>1</v>
      </c>
      <c r="M342" s="31">
        <f>VLOOKUP(F342,'卖场库存0422-0512'!M:R,5,0)</f>
        <v/>
      </c>
      <c r="N342" s="31">
        <f>VLOOKUP(F342,'卖场库存0422-0512'!M:S,6,0)</f>
        <v/>
      </c>
      <c r="O342" s="31" t="inlineStr">
        <is>
          <t>Sleeve out</t>
        </is>
      </c>
      <c r="P342" s="30">
        <f>VLOOKUP(F342,'卖场库存0422-0512'!M:S,7,0)</f>
        <v/>
      </c>
      <c r="Q342" s="31">
        <f>VLOOKUP(H342,color!E:G,3,0)</f>
        <v/>
      </c>
    </row>
    <row r="343">
      <c r="A343" s="31" t="n">
        <v>342</v>
      </c>
      <c r="B343" s="22" t="inlineStr">
        <is>
          <t>H002</t>
        </is>
      </c>
      <c r="C343" s="31" t="inlineStr">
        <is>
          <t>HANGER 002</t>
        </is>
      </c>
      <c r="D343" s="31" t="inlineStr">
        <is>
          <t>HANGER</t>
        </is>
      </c>
      <c r="E343" s="29" t="inlineStr">
        <is>
          <t>여성존</t>
        </is>
      </c>
      <c r="F343" s="31" t="inlineStr">
        <is>
          <t>EETCG23E0259165</t>
        </is>
      </c>
      <c r="G343" s="31">
        <f>LEFT(F343,10)</f>
        <v/>
      </c>
      <c r="H343" s="31">
        <f>MID(G343,3,2)</f>
        <v/>
      </c>
      <c r="I343" s="31">
        <f>VLOOKUP(H343,color!E:G,2,0)</f>
        <v/>
      </c>
      <c r="J343" s="31" t="n">
        <v>59</v>
      </c>
      <c r="K343" s="31">
        <f>VLOOKUP(J343,color!A:C,2,0)</f>
        <v/>
      </c>
      <c r="L343" s="31" t="n">
        <v>1</v>
      </c>
      <c r="M343" s="31">
        <f>VLOOKUP(F343,'卖场库存0422-0512'!M:R,5,0)</f>
        <v/>
      </c>
      <c r="N343" s="31">
        <f>VLOOKUP(F343,'卖场库存0422-0512'!M:S,6,0)</f>
        <v/>
      </c>
      <c r="O343" s="31" t="inlineStr">
        <is>
          <t>Sleeve out</t>
        </is>
      </c>
      <c r="P343" s="30">
        <f>VLOOKUP(F343,'卖场库存0422-0512'!M:S,7,0)</f>
        <v/>
      </c>
      <c r="Q343" s="31">
        <f>VLOOKUP(H343,color!E:G,3,0)</f>
        <v/>
      </c>
    </row>
    <row r="344">
      <c r="A344" s="31" t="n">
        <v>343</v>
      </c>
      <c r="B344" s="22" t="inlineStr">
        <is>
          <t>H002</t>
        </is>
      </c>
      <c r="C344" s="31" t="inlineStr">
        <is>
          <t>HANGER 002</t>
        </is>
      </c>
      <c r="D344" s="31" t="inlineStr">
        <is>
          <t>HANGER</t>
        </is>
      </c>
      <c r="E344" s="29" t="inlineStr">
        <is>
          <t>여성존</t>
        </is>
      </c>
      <c r="F344" s="31" t="inlineStr">
        <is>
          <t>EETAG24E0259155</t>
        </is>
      </c>
      <c r="G344" s="31">
        <f>LEFT(F344,10)</f>
        <v/>
      </c>
      <c r="H344" s="31">
        <f>MID(G344,3,2)</f>
        <v/>
      </c>
      <c r="I344" s="31">
        <f>VLOOKUP(H344,color!E:G,2,0)</f>
        <v/>
      </c>
      <c r="J344" s="31" t="n">
        <v>59</v>
      </c>
      <c r="K344" s="31">
        <f>VLOOKUP(J344,color!A:C,2,0)</f>
        <v/>
      </c>
      <c r="L344" s="31" t="n">
        <v>1</v>
      </c>
      <c r="M344" s="31">
        <f>VLOOKUP(F344,'卖场库存0422-0512'!M:R,5,0)</f>
        <v/>
      </c>
      <c r="N344" s="31">
        <f>VLOOKUP(F344,'卖场库存0422-0512'!M:S,6,0)</f>
        <v/>
      </c>
      <c r="O344" s="31" t="inlineStr">
        <is>
          <t>Sleeve out</t>
        </is>
      </c>
      <c r="P344" s="30">
        <f>VLOOKUP(F344,'卖场库存0422-0512'!M:S,7,0)</f>
        <v/>
      </c>
      <c r="Q344" s="31">
        <f>VLOOKUP(H344,color!E:G,3,0)</f>
        <v/>
      </c>
    </row>
    <row r="345">
      <c r="A345" s="31" t="n">
        <v>344</v>
      </c>
      <c r="B345" s="22" t="inlineStr">
        <is>
          <t>H002</t>
        </is>
      </c>
      <c r="C345" s="31" t="inlineStr">
        <is>
          <t>HANGER 002</t>
        </is>
      </c>
      <c r="D345" s="31" t="inlineStr">
        <is>
          <t>HANGER</t>
        </is>
      </c>
      <c r="E345" s="29" t="inlineStr">
        <is>
          <t>여성존</t>
        </is>
      </c>
      <c r="F345" s="31" t="inlineStr">
        <is>
          <t>EEWHG23E0159170</t>
        </is>
      </c>
      <c r="G345" s="31">
        <f>LEFT(F345,10)</f>
        <v/>
      </c>
      <c r="H345" s="31">
        <f>MID(G345,3,2)</f>
        <v/>
      </c>
      <c r="I345" s="31">
        <f>VLOOKUP(H345,color!E:G,2,0)</f>
        <v/>
      </c>
      <c r="J345" s="31" t="n">
        <v>59</v>
      </c>
      <c r="K345" s="31">
        <f>VLOOKUP(J345,color!A:C,2,0)</f>
        <v/>
      </c>
      <c r="L345" s="31" t="n">
        <v>1</v>
      </c>
      <c r="M345" s="31">
        <f>VLOOKUP(F345,'卖场库存0422-0512'!M:R,5,0)</f>
        <v/>
      </c>
      <c r="N345" s="31">
        <f>VLOOKUP(F345,'卖场库存0422-0512'!M:S,6,0)</f>
        <v/>
      </c>
      <c r="O345" s="31" t="inlineStr">
        <is>
          <t>Sleeve out</t>
        </is>
      </c>
      <c r="P345" s="30">
        <f>VLOOKUP(F345,'卖场库存0422-0512'!M:S,7,0)</f>
        <v/>
      </c>
      <c r="Q345" s="31">
        <f>VLOOKUP(H345,color!E:G,3,0)</f>
        <v/>
      </c>
    </row>
    <row r="346">
      <c r="A346" s="31" t="n">
        <v>345</v>
      </c>
      <c r="B346" s="22" t="inlineStr">
        <is>
          <t>H002</t>
        </is>
      </c>
      <c r="C346" s="31" t="inlineStr">
        <is>
          <t>HANGER 002</t>
        </is>
      </c>
      <c r="D346" s="31" t="inlineStr">
        <is>
          <t>HANGER</t>
        </is>
      </c>
      <c r="E346" s="29" t="inlineStr">
        <is>
          <t>여성존</t>
        </is>
      </c>
      <c r="F346" s="31" t="inlineStr">
        <is>
          <t>EETJG24E0139027</t>
        </is>
      </c>
      <c r="G346" s="31">
        <f>LEFT(F346,10)</f>
        <v/>
      </c>
      <c r="H346" s="31">
        <f>MID(G346,3,2)</f>
        <v/>
      </c>
      <c r="I346" s="31">
        <f>VLOOKUP(H346,color!E:G,2,0)</f>
        <v/>
      </c>
      <c r="J346" s="31" t="n">
        <v>39</v>
      </c>
      <c r="K346" s="31">
        <f>VLOOKUP(J346,color!A:C,2,0)</f>
        <v/>
      </c>
      <c r="L346" s="31" t="n">
        <v>1</v>
      </c>
      <c r="M346" s="31">
        <f>VLOOKUP(F346,'卖场库存0422-0512'!M:R,5,0)</f>
        <v/>
      </c>
      <c r="N346" s="31">
        <f>VLOOKUP(F346,'卖场库存0422-0512'!M:S,6,0)</f>
        <v/>
      </c>
      <c r="O346" s="31" t="inlineStr">
        <is>
          <t>Sleeve out</t>
        </is>
      </c>
      <c r="P346" s="30">
        <f>VLOOKUP(F346,'卖场库存0422-0512'!M:S,7,0)</f>
        <v/>
      </c>
      <c r="Q346" s="31">
        <f>VLOOKUP(H346,color!E:G,3,0)</f>
        <v/>
      </c>
    </row>
    <row r="347">
      <c r="A347" s="31" t="n">
        <v>346</v>
      </c>
      <c r="B347" s="22" t="inlineStr">
        <is>
          <t>H002</t>
        </is>
      </c>
      <c r="C347" s="31" t="inlineStr">
        <is>
          <t>HANGER 002</t>
        </is>
      </c>
      <c r="D347" s="31" t="inlineStr">
        <is>
          <t>HANGER</t>
        </is>
      </c>
      <c r="E347" s="29" t="inlineStr">
        <is>
          <t>여성존</t>
        </is>
      </c>
      <c r="F347" s="31" t="inlineStr">
        <is>
          <t>EETJG24E0139028</t>
        </is>
      </c>
      <c r="G347" s="31">
        <f>LEFT(F347,10)</f>
        <v/>
      </c>
      <c r="H347" s="31">
        <f>MID(G347,3,2)</f>
        <v/>
      </c>
      <c r="I347" s="31">
        <f>VLOOKUP(H347,color!E:G,2,0)</f>
        <v/>
      </c>
      <c r="J347" s="31" t="n">
        <v>39</v>
      </c>
      <c r="K347" s="31">
        <f>VLOOKUP(J347,color!A:C,2,0)</f>
        <v/>
      </c>
      <c r="L347" s="31" t="n">
        <v>1</v>
      </c>
      <c r="M347" s="31">
        <f>VLOOKUP(F347,'卖场库存0422-0512'!M:R,5,0)</f>
        <v/>
      </c>
      <c r="N347" s="31">
        <f>VLOOKUP(F347,'卖场库存0422-0512'!M:S,6,0)</f>
        <v/>
      </c>
      <c r="O347" s="31" t="inlineStr">
        <is>
          <t>Sleeve out</t>
        </is>
      </c>
      <c r="P347" s="30">
        <f>VLOOKUP(F347,'卖场库存0422-0512'!M:S,7,0)</f>
        <v/>
      </c>
      <c r="Q347" s="31">
        <f>VLOOKUP(H347,color!E:G,3,0)</f>
        <v/>
      </c>
    </row>
    <row r="348">
      <c r="A348" s="31" t="n">
        <v>347</v>
      </c>
      <c r="B348" s="22" t="inlineStr">
        <is>
          <t>H002</t>
        </is>
      </c>
      <c r="C348" s="31" t="inlineStr">
        <is>
          <t>HANGER 002</t>
        </is>
      </c>
      <c r="D348" s="31" t="inlineStr">
        <is>
          <t>HANGER</t>
        </is>
      </c>
      <c r="E348" s="29" t="inlineStr">
        <is>
          <t>여성존</t>
        </is>
      </c>
      <c r="F348" s="31" t="inlineStr">
        <is>
          <t>EETJG24E0236026</t>
        </is>
      </c>
      <c r="G348" s="31">
        <f>LEFT(F348,10)</f>
        <v/>
      </c>
      <c r="H348" s="31">
        <f>MID(G348,3,2)</f>
        <v/>
      </c>
      <c r="I348" s="31">
        <f>VLOOKUP(H348,color!E:G,2,0)</f>
        <v/>
      </c>
      <c r="J348" s="31" t="n">
        <v>36</v>
      </c>
      <c r="K348" s="31">
        <f>VLOOKUP(J348,color!A:C,2,0)</f>
        <v/>
      </c>
      <c r="L348" s="31" t="n">
        <v>1</v>
      </c>
      <c r="M348" s="31">
        <f>VLOOKUP(F348,'卖场库存0422-0512'!M:R,5,0)</f>
        <v/>
      </c>
      <c r="N348" s="31">
        <f>VLOOKUP(F348,'卖场库存0422-0512'!M:S,6,0)</f>
        <v/>
      </c>
      <c r="O348" s="31" t="inlineStr">
        <is>
          <t>Sleeve out</t>
        </is>
      </c>
      <c r="P348" s="30">
        <f>VLOOKUP(F348,'卖场库存0422-0512'!M:S,7,0)</f>
        <v/>
      </c>
      <c r="Q348" s="31">
        <f>VLOOKUP(H348,color!E:G,3,0)</f>
        <v/>
      </c>
    </row>
    <row r="349">
      <c r="A349" s="31" t="n">
        <v>348</v>
      </c>
      <c r="B349" s="22" t="inlineStr">
        <is>
          <t>H002</t>
        </is>
      </c>
      <c r="C349" s="31" t="inlineStr">
        <is>
          <t>HANGER 002</t>
        </is>
      </c>
      <c r="D349" s="31" t="inlineStr">
        <is>
          <t>HANGER</t>
        </is>
      </c>
      <c r="E349" s="29" t="inlineStr">
        <is>
          <t>여성존</t>
        </is>
      </c>
      <c r="F349" s="31" t="inlineStr">
        <is>
          <t>EETJG24E0236027</t>
        </is>
      </c>
      <c r="G349" s="31">
        <f>LEFT(F349,10)</f>
        <v/>
      </c>
      <c r="H349" s="31">
        <f>MID(G349,3,2)</f>
        <v/>
      </c>
      <c r="I349" s="31">
        <f>VLOOKUP(H349,color!E:G,2,0)</f>
        <v/>
      </c>
      <c r="J349" s="31" t="n">
        <v>36</v>
      </c>
      <c r="K349" s="31">
        <f>VLOOKUP(J349,color!A:C,2,0)</f>
        <v/>
      </c>
      <c r="L349" s="31" t="n">
        <v>1</v>
      </c>
      <c r="M349" s="31">
        <f>VLOOKUP(F349,'卖场库存0422-0512'!M:R,5,0)</f>
        <v/>
      </c>
      <c r="N349" s="31">
        <f>VLOOKUP(F349,'卖场库存0422-0512'!M:S,6,0)</f>
        <v/>
      </c>
      <c r="O349" s="31" t="inlineStr">
        <is>
          <t>Sleeve out</t>
        </is>
      </c>
      <c r="P349" s="30">
        <f>VLOOKUP(F349,'卖场库存0422-0512'!M:S,7,0)</f>
        <v/>
      </c>
      <c r="Q349" s="31">
        <f>VLOOKUP(H349,color!E:G,3,0)</f>
        <v/>
      </c>
    </row>
    <row r="350">
      <c r="A350" s="31" t="n">
        <v>349</v>
      </c>
      <c r="B350" s="22" t="inlineStr">
        <is>
          <t>H002</t>
        </is>
      </c>
      <c r="C350" s="31" t="inlineStr">
        <is>
          <t>HANGER 002</t>
        </is>
      </c>
      <c r="D350" s="31" t="inlineStr">
        <is>
          <t>HANGER</t>
        </is>
      </c>
      <c r="E350" s="29" t="inlineStr">
        <is>
          <t>여성존</t>
        </is>
      </c>
      <c r="F350" s="31" t="inlineStr">
        <is>
          <t>EETMG25B5164165</t>
        </is>
      </c>
      <c r="G350" s="31">
        <f>LEFT(F350,10)</f>
        <v/>
      </c>
      <c r="H350" s="31">
        <f>MID(G350,3,2)</f>
        <v/>
      </c>
      <c r="I350" s="31">
        <f>VLOOKUP(H350,color!E:G,2,0)</f>
        <v/>
      </c>
      <c r="J350" s="31" t="n">
        <v>64</v>
      </c>
      <c r="K350" s="31">
        <f>VLOOKUP(J350,color!A:C,2,0)</f>
        <v/>
      </c>
      <c r="L350" s="31" t="n">
        <v>1</v>
      </c>
      <c r="M350" s="31">
        <f>VLOOKUP(F350,'卖场库存0422-0512'!M:R,5,0)</f>
        <v/>
      </c>
      <c r="N350" s="31">
        <f>VLOOKUP(F350,'卖场库存0422-0512'!M:S,6,0)</f>
        <v/>
      </c>
      <c r="O350" s="31" t="inlineStr">
        <is>
          <t>Sleeve out</t>
        </is>
      </c>
      <c r="P350" s="30">
        <f>VLOOKUP(F350,'卖场库存0422-0512'!M:S,7,0)</f>
        <v/>
      </c>
      <c r="Q350" s="31">
        <f>VLOOKUP(H350,color!E:G,3,0)</f>
        <v/>
      </c>
    </row>
    <row r="351">
      <c r="A351" s="31" t="n">
        <v>350</v>
      </c>
      <c r="B351" s="22" t="inlineStr">
        <is>
          <t>H002</t>
        </is>
      </c>
      <c r="C351" s="31" t="inlineStr">
        <is>
          <t>HANGER 002</t>
        </is>
      </c>
      <c r="D351" s="31" t="inlineStr">
        <is>
          <t>HANGER</t>
        </is>
      </c>
      <c r="E351" s="29" t="inlineStr">
        <is>
          <t>여성존</t>
        </is>
      </c>
      <c r="F351" s="31" t="inlineStr">
        <is>
          <t>EETMG25B5164160</t>
        </is>
      </c>
      <c r="G351" s="31">
        <f>LEFT(F351,10)</f>
        <v/>
      </c>
      <c r="H351" s="31">
        <f>MID(G351,3,2)</f>
        <v/>
      </c>
      <c r="I351" s="31">
        <f>VLOOKUP(H351,color!E:G,2,0)</f>
        <v/>
      </c>
      <c r="J351" s="31" t="n">
        <v>64</v>
      </c>
      <c r="K351" s="31">
        <f>VLOOKUP(J351,color!A:C,2,0)</f>
        <v/>
      </c>
      <c r="L351" s="31" t="n">
        <v>1</v>
      </c>
      <c r="M351" s="31">
        <f>VLOOKUP(F351,'卖场库存0422-0512'!M:R,5,0)</f>
        <v/>
      </c>
      <c r="N351" s="31">
        <f>VLOOKUP(F351,'卖场库存0422-0512'!M:S,6,0)</f>
        <v/>
      </c>
      <c r="O351" s="31" t="inlineStr">
        <is>
          <t>Sleeve out</t>
        </is>
      </c>
      <c r="P351" s="30">
        <f>VLOOKUP(F351,'卖场库存0422-0512'!M:S,7,0)</f>
        <v/>
      </c>
      <c r="Q351" s="31">
        <f>VLOOKUP(H351,color!E:G,3,0)</f>
        <v/>
      </c>
    </row>
    <row r="352">
      <c r="A352" s="31" t="n">
        <v>351</v>
      </c>
      <c r="B352" s="22" t="inlineStr">
        <is>
          <t>H002</t>
        </is>
      </c>
      <c r="C352" s="31" t="inlineStr">
        <is>
          <t>HANGER 002</t>
        </is>
      </c>
      <c r="D352" s="31" t="inlineStr">
        <is>
          <t>HANGER</t>
        </is>
      </c>
      <c r="E352" s="29" t="inlineStr">
        <is>
          <t>여성존</t>
        </is>
      </c>
      <c r="F352" s="31" t="inlineStr">
        <is>
          <t>EETJG23E0439027</t>
        </is>
      </c>
      <c r="G352" s="31">
        <f>LEFT(F352,10)</f>
        <v/>
      </c>
      <c r="H352" s="31">
        <f>MID(G352,3,2)</f>
        <v/>
      </c>
      <c r="I352" s="31">
        <f>VLOOKUP(H352,color!E:G,2,0)</f>
        <v/>
      </c>
      <c r="J352" s="31" t="n">
        <v>39</v>
      </c>
      <c r="K352" s="31">
        <f>VLOOKUP(J352,color!A:C,2,0)</f>
        <v/>
      </c>
      <c r="L352" s="31" t="n">
        <v>1</v>
      </c>
      <c r="M352" s="31">
        <f>VLOOKUP(F352,'卖场库存0422-0512'!M:R,5,0)</f>
        <v/>
      </c>
      <c r="N352" s="31">
        <f>VLOOKUP(F352,'卖场库存0422-0512'!M:S,6,0)</f>
        <v/>
      </c>
      <c r="O352" s="31" t="inlineStr">
        <is>
          <t>Sleeve out</t>
        </is>
      </c>
      <c r="P352" s="30">
        <f>VLOOKUP(F352,'卖场库存0422-0512'!M:S,7,0)</f>
        <v/>
      </c>
      <c r="Q352" s="31">
        <f>VLOOKUP(H352,color!E:G,3,0)</f>
        <v/>
      </c>
    </row>
    <row r="353">
      <c r="A353" s="31" t="n">
        <v>352</v>
      </c>
      <c r="B353" s="22" t="inlineStr">
        <is>
          <t>H002</t>
        </is>
      </c>
      <c r="C353" s="31" t="inlineStr">
        <is>
          <t>HANGER 002</t>
        </is>
      </c>
      <c r="D353" s="31" t="inlineStr">
        <is>
          <t>HANGER</t>
        </is>
      </c>
      <c r="E353" s="29" t="inlineStr">
        <is>
          <t>여성존</t>
        </is>
      </c>
      <c r="F353" s="31" t="inlineStr">
        <is>
          <t>EETCG64S0115165</t>
        </is>
      </c>
      <c r="G353" s="31">
        <f>LEFT(F353,10)</f>
        <v/>
      </c>
      <c r="H353" s="31">
        <f>MID(G353,3,2)</f>
        <v/>
      </c>
      <c r="I353" s="31">
        <f>VLOOKUP(H353,color!E:G,2,0)</f>
        <v/>
      </c>
      <c r="J353" s="31" t="n">
        <v>15</v>
      </c>
      <c r="K353" s="31">
        <f>VLOOKUP(J353,color!A:C,2,0)</f>
        <v/>
      </c>
      <c r="L353" s="31" t="n">
        <v>1</v>
      </c>
      <c r="M353" s="31">
        <f>VLOOKUP(F353,'卖场库存0422-0512'!M:R,5,0)</f>
        <v/>
      </c>
      <c r="N353" s="31">
        <f>VLOOKUP(F353,'卖场库存0422-0512'!M:S,6,0)</f>
        <v/>
      </c>
      <c r="O353" s="31" t="inlineStr">
        <is>
          <t>Sleeve out</t>
        </is>
      </c>
      <c r="P353" s="30">
        <f>VLOOKUP(F353,'卖场库存0422-0512'!M:S,7,0)</f>
        <v/>
      </c>
      <c r="Q353" s="31">
        <f>VLOOKUP(H353,color!E:G,3,0)</f>
        <v/>
      </c>
    </row>
    <row r="354">
      <c r="A354" s="31" t="n">
        <v>353</v>
      </c>
      <c r="B354" s="22" t="inlineStr">
        <is>
          <t>H002</t>
        </is>
      </c>
      <c r="C354" s="31" t="inlineStr">
        <is>
          <t>HANGER 002</t>
        </is>
      </c>
      <c r="D354" s="31" t="inlineStr">
        <is>
          <t>HANGER</t>
        </is>
      </c>
      <c r="E354" s="29" t="inlineStr">
        <is>
          <t>여성존</t>
        </is>
      </c>
      <c r="F354" s="31" t="inlineStr">
        <is>
          <t>EETCG24E0159160</t>
        </is>
      </c>
      <c r="G354" s="31">
        <f>LEFT(F354,10)</f>
        <v/>
      </c>
      <c r="H354" s="31">
        <f>MID(G354,3,2)</f>
        <v/>
      </c>
      <c r="I354" s="31">
        <f>VLOOKUP(H354,color!E:G,2,0)</f>
        <v/>
      </c>
      <c r="J354" s="31" t="n">
        <v>59</v>
      </c>
      <c r="K354" s="31">
        <f>VLOOKUP(J354,color!A:C,2,0)</f>
        <v/>
      </c>
      <c r="L354" s="31" t="n">
        <v>1</v>
      </c>
      <c r="M354" s="31">
        <f>VLOOKUP(F354,'卖场库存0422-0512'!M:R,5,0)</f>
        <v/>
      </c>
      <c r="N354" s="31">
        <f>VLOOKUP(F354,'卖场库存0422-0512'!M:S,6,0)</f>
        <v/>
      </c>
      <c r="O354" s="31" t="inlineStr">
        <is>
          <t>Sleeve out</t>
        </is>
      </c>
      <c r="P354" s="30">
        <f>VLOOKUP(F354,'卖场库存0422-0512'!M:S,7,0)</f>
        <v/>
      </c>
      <c r="Q354" s="31">
        <f>VLOOKUP(H354,color!E:G,3,0)</f>
        <v/>
      </c>
    </row>
    <row r="355">
      <c r="A355" s="31" t="n">
        <v>354</v>
      </c>
      <c r="B355" s="22" t="inlineStr">
        <is>
          <t>H002</t>
        </is>
      </c>
      <c r="C355" s="31" t="inlineStr">
        <is>
          <t>HANGER 002</t>
        </is>
      </c>
      <c r="D355" s="31" t="inlineStr">
        <is>
          <t>HANGER</t>
        </is>
      </c>
      <c r="E355" s="29" t="inlineStr">
        <is>
          <t>여성존</t>
        </is>
      </c>
      <c r="F355" s="31" t="inlineStr">
        <is>
          <t>EETCG24E0159160</t>
        </is>
      </c>
      <c r="G355" s="31">
        <f>LEFT(F355,10)</f>
        <v/>
      </c>
      <c r="H355" s="31">
        <f>MID(G355,3,2)</f>
        <v/>
      </c>
      <c r="I355" s="31">
        <f>VLOOKUP(H355,color!E:G,2,0)</f>
        <v/>
      </c>
      <c r="J355" s="31" t="n">
        <v>59</v>
      </c>
      <c r="K355" s="31">
        <f>VLOOKUP(J355,color!A:C,2,0)</f>
        <v/>
      </c>
      <c r="L355" s="31" t="n">
        <v>1</v>
      </c>
      <c r="M355" s="31">
        <f>VLOOKUP(F355,'卖场库存0422-0512'!M:R,5,0)</f>
        <v/>
      </c>
      <c r="N355" s="31">
        <f>VLOOKUP(F355,'卖场库存0422-0512'!M:S,6,0)</f>
        <v/>
      </c>
      <c r="O355" s="31" t="inlineStr">
        <is>
          <t>Sleeve out</t>
        </is>
      </c>
      <c r="P355" s="30">
        <f>VLOOKUP(F355,'卖场库存0422-0512'!M:S,7,0)</f>
        <v/>
      </c>
      <c r="Q355" s="31">
        <f>VLOOKUP(H355,color!E:G,3,0)</f>
        <v/>
      </c>
    </row>
    <row r="356">
      <c r="A356" s="31" t="n">
        <v>355</v>
      </c>
      <c r="B356" s="22" t="inlineStr">
        <is>
          <t>H002</t>
        </is>
      </c>
      <c r="C356" s="31" t="inlineStr">
        <is>
          <t>HANGER 002</t>
        </is>
      </c>
      <c r="D356" s="31" t="inlineStr">
        <is>
          <t>HANGER</t>
        </is>
      </c>
      <c r="E356" s="29" t="inlineStr">
        <is>
          <t>여성존</t>
        </is>
      </c>
      <c r="F356" s="31" t="inlineStr">
        <is>
          <t>EETJG24B5756026</t>
        </is>
      </c>
      <c r="G356" s="31">
        <f>LEFT(F356,10)</f>
        <v/>
      </c>
      <c r="H356" s="31">
        <f>MID(G356,3,2)</f>
        <v/>
      </c>
      <c r="I356" s="31">
        <f>VLOOKUP(H356,color!E:G,2,0)</f>
        <v/>
      </c>
      <c r="J356" s="31" t="n">
        <v>56</v>
      </c>
      <c r="K356" s="31">
        <f>VLOOKUP(J356,color!A:C,2,0)</f>
        <v/>
      </c>
      <c r="L356" s="31" t="n">
        <v>1</v>
      </c>
      <c r="M356" s="31">
        <f>VLOOKUP(F356,'卖场库存0422-0512'!M:R,5,0)</f>
        <v/>
      </c>
      <c r="N356" s="31">
        <f>VLOOKUP(F356,'卖场库存0422-0512'!M:S,6,0)</f>
        <v/>
      </c>
      <c r="O356" s="31" t="inlineStr">
        <is>
          <t>Sleeve out</t>
        </is>
      </c>
      <c r="P356" s="30">
        <f>VLOOKUP(F356,'卖场库存0422-0512'!M:S,7,0)</f>
        <v/>
      </c>
      <c r="Q356" s="31">
        <f>VLOOKUP(H356,color!E:G,3,0)</f>
        <v/>
      </c>
    </row>
    <row r="357">
      <c r="A357" s="31" t="n">
        <v>356</v>
      </c>
      <c r="B357" s="22" t="inlineStr">
        <is>
          <t>H002</t>
        </is>
      </c>
      <c r="C357" s="31" t="inlineStr">
        <is>
          <t>HANGER 002</t>
        </is>
      </c>
      <c r="D357" s="31" t="inlineStr">
        <is>
          <t>HANGER</t>
        </is>
      </c>
      <c r="E357" s="29" t="inlineStr">
        <is>
          <t>여성존</t>
        </is>
      </c>
      <c r="F357" s="31" t="inlineStr">
        <is>
          <t>EETJG24B5756027</t>
        </is>
      </c>
      <c r="G357" s="31">
        <f>LEFT(F357,10)</f>
        <v/>
      </c>
      <c r="H357" s="31">
        <f>MID(G357,3,2)</f>
        <v/>
      </c>
      <c r="I357" s="31">
        <f>VLOOKUP(H357,color!E:G,2,0)</f>
        <v/>
      </c>
      <c r="J357" s="31" t="n">
        <v>56</v>
      </c>
      <c r="K357" s="31">
        <f>VLOOKUP(J357,color!A:C,2,0)</f>
        <v/>
      </c>
      <c r="L357" s="31" t="n">
        <v>1</v>
      </c>
      <c r="M357" s="31">
        <f>VLOOKUP(F357,'卖场库存0422-0512'!M:R,5,0)</f>
        <v/>
      </c>
      <c r="N357" s="31">
        <f>VLOOKUP(F357,'卖场库存0422-0512'!M:S,6,0)</f>
        <v/>
      </c>
      <c r="O357" s="31" t="inlineStr">
        <is>
          <t>Sleeve out</t>
        </is>
      </c>
      <c r="P357" s="30">
        <f>VLOOKUP(F357,'卖场库存0422-0512'!M:S,7,0)</f>
        <v/>
      </c>
      <c r="Q357" s="31">
        <f>VLOOKUP(H357,color!E:G,3,0)</f>
        <v/>
      </c>
    </row>
    <row r="358">
      <c r="A358" s="31" t="n">
        <v>357</v>
      </c>
      <c r="B358" s="22" t="inlineStr">
        <is>
          <t>H002</t>
        </is>
      </c>
      <c r="C358" s="31" t="inlineStr">
        <is>
          <t>HANGER 002</t>
        </is>
      </c>
      <c r="D358" s="31" t="inlineStr">
        <is>
          <t>HANGER</t>
        </is>
      </c>
      <c r="E358" s="29" t="inlineStr">
        <is>
          <t>여성존</t>
        </is>
      </c>
      <c r="F358" s="31" t="inlineStr">
        <is>
          <t>EETJG23E0657026</t>
        </is>
      </c>
      <c r="G358" s="31">
        <f>LEFT(F358,10)</f>
        <v/>
      </c>
      <c r="H358" s="31">
        <f>MID(G358,3,2)</f>
        <v/>
      </c>
      <c r="I358" s="31">
        <f>VLOOKUP(H358,color!E:G,2,0)</f>
        <v/>
      </c>
      <c r="J358" s="31" t="n">
        <v>57</v>
      </c>
      <c r="K358" s="31">
        <f>VLOOKUP(J358,color!A:C,2,0)</f>
        <v/>
      </c>
      <c r="L358" s="31" t="n">
        <v>1</v>
      </c>
      <c r="M358" s="31">
        <f>VLOOKUP(F358,'卖场库存0422-0512'!M:R,5,0)</f>
        <v/>
      </c>
      <c r="N358" s="31">
        <f>VLOOKUP(F358,'卖场库存0422-0512'!M:S,6,0)</f>
        <v/>
      </c>
      <c r="O358" s="31" t="inlineStr">
        <is>
          <t>Sleeve out</t>
        </is>
      </c>
      <c r="P358" s="30">
        <f>VLOOKUP(F358,'卖场库存0422-0512'!M:S,7,0)</f>
        <v/>
      </c>
      <c r="Q358" s="31">
        <f>VLOOKUP(H358,color!E:G,3,0)</f>
        <v/>
      </c>
    </row>
    <row r="359">
      <c r="A359" s="31" t="n">
        <v>358</v>
      </c>
      <c r="B359" s="22" t="inlineStr">
        <is>
          <t>H002</t>
        </is>
      </c>
      <c r="C359" s="31" t="inlineStr">
        <is>
          <t>HANGER 002</t>
        </is>
      </c>
      <c r="D359" s="31" t="inlineStr">
        <is>
          <t>HANGER</t>
        </is>
      </c>
      <c r="E359" s="29" t="inlineStr">
        <is>
          <t>여성존</t>
        </is>
      </c>
      <c r="F359" s="31" t="inlineStr">
        <is>
          <t>EETJG23E0157026</t>
        </is>
      </c>
      <c r="G359" s="31">
        <f>LEFT(F359,10)</f>
        <v/>
      </c>
      <c r="H359" s="31">
        <f>MID(G359,3,2)</f>
        <v/>
      </c>
      <c r="I359" s="31">
        <f>VLOOKUP(H359,color!E:G,2,0)</f>
        <v/>
      </c>
      <c r="J359" s="31" t="n">
        <v>57</v>
      </c>
      <c r="K359" s="31">
        <f>VLOOKUP(J359,color!A:C,2,0)</f>
        <v/>
      </c>
      <c r="L359" s="31" t="n">
        <v>1</v>
      </c>
      <c r="M359" s="31">
        <f>VLOOKUP(F359,'卖场库存0422-0512'!M:R,5,0)</f>
        <v/>
      </c>
      <c r="N359" s="31">
        <f>VLOOKUP(F359,'卖场库存0422-0512'!M:S,6,0)</f>
        <v/>
      </c>
      <c r="O359" s="31" t="inlineStr">
        <is>
          <t>Sleeve out</t>
        </is>
      </c>
      <c r="P359" s="30">
        <f>VLOOKUP(F359,'卖场库存0422-0512'!M:S,7,0)</f>
        <v/>
      </c>
      <c r="Q359" s="31">
        <f>VLOOKUP(H359,color!E:G,3,0)</f>
        <v/>
      </c>
    </row>
    <row r="360">
      <c r="A360" s="31" t="n">
        <v>359</v>
      </c>
      <c r="B360" s="22" t="inlineStr">
        <is>
          <t>H002</t>
        </is>
      </c>
      <c r="C360" s="31" t="inlineStr">
        <is>
          <t>HANGER 002</t>
        </is>
      </c>
      <c r="D360" s="31" t="inlineStr">
        <is>
          <t>HANGER</t>
        </is>
      </c>
      <c r="E360" s="29" t="inlineStr">
        <is>
          <t>여성존</t>
        </is>
      </c>
      <c r="F360" s="31" t="inlineStr">
        <is>
          <t>EETJG23E0157028</t>
        </is>
      </c>
      <c r="G360" s="31">
        <f>LEFT(F360,10)</f>
        <v/>
      </c>
      <c r="H360" s="31">
        <f>MID(G360,3,2)</f>
        <v/>
      </c>
      <c r="I360" s="31">
        <f>VLOOKUP(H360,color!E:G,2,0)</f>
        <v/>
      </c>
      <c r="J360" s="31" t="n">
        <v>57</v>
      </c>
      <c r="K360" s="31">
        <f>VLOOKUP(J360,color!A:C,2,0)</f>
        <v/>
      </c>
      <c r="L360" s="31" t="n">
        <v>1</v>
      </c>
      <c r="M360" s="31">
        <f>VLOOKUP(F360,'卖场库存0422-0512'!M:R,5,0)</f>
        <v/>
      </c>
      <c r="N360" s="31">
        <f>VLOOKUP(F360,'卖场库存0422-0512'!M:S,6,0)</f>
        <v/>
      </c>
      <c r="O360" s="31" t="inlineStr">
        <is>
          <t>Sleeve out</t>
        </is>
      </c>
      <c r="P360" s="30">
        <f>VLOOKUP(F360,'卖场库存0422-0512'!M:S,7,0)</f>
        <v/>
      </c>
      <c r="Q360" s="31">
        <f>VLOOKUP(H360,color!E:G,3,0)</f>
        <v/>
      </c>
    </row>
    <row r="361">
      <c r="A361" s="31" t="n">
        <v>360</v>
      </c>
      <c r="B361" s="22" t="inlineStr">
        <is>
          <t>H002</t>
        </is>
      </c>
      <c r="C361" s="31" t="inlineStr">
        <is>
          <t>HANGER 002</t>
        </is>
      </c>
      <c r="D361" s="31" t="inlineStr">
        <is>
          <t>HANGER</t>
        </is>
      </c>
      <c r="E361" s="29" t="inlineStr">
        <is>
          <t>여성존</t>
        </is>
      </c>
      <c r="F361" s="31" t="inlineStr">
        <is>
          <t>EETJG24E0157027</t>
        </is>
      </c>
      <c r="G361" s="31">
        <f>LEFT(F361,10)</f>
        <v/>
      </c>
      <c r="H361" s="31">
        <f>MID(G361,3,2)</f>
        <v/>
      </c>
      <c r="I361" s="31">
        <f>VLOOKUP(H361,color!E:G,2,0)</f>
        <v/>
      </c>
      <c r="J361" s="31" t="n">
        <v>57</v>
      </c>
      <c r="K361" s="31">
        <f>VLOOKUP(J361,color!A:C,2,0)</f>
        <v/>
      </c>
      <c r="L361" s="31" t="n">
        <v>1</v>
      </c>
      <c r="M361" s="31">
        <f>VLOOKUP(F361,'卖场库存0422-0512'!M:R,5,0)</f>
        <v/>
      </c>
      <c r="N361" s="31">
        <f>VLOOKUP(F361,'卖场库存0422-0512'!M:S,6,0)</f>
        <v/>
      </c>
      <c r="O361" s="31" t="inlineStr">
        <is>
          <t>Sleeve out</t>
        </is>
      </c>
      <c r="P361" s="30">
        <f>VLOOKUP(F361,'卖场库存0422-0512'!M:S,7,0)</f>
        <v/>
      </c>
      <c r="Q361" s="31">
        <f>VLOOKUP(H361,color!E:G,3,0)</f>
        <v/>
      </c>
    </row>
    <row r="362">
      <c r="A362" s="31" t="n">
        <v>361</v>
      </c>
      <c r="B362" s="22" t="inlineStr">
        <is>
          <t>H002</t>
        </is>
      </c>
      <c r="C362" s="31" t="inlineStr">
        <is>
          <t>HANGER 002</t>
        </is>
      </c>
      <c r="D362" s="31" t="inlineStr">
        <is>
          <t>HANGER</t>
        </is>
      </c>
      <c r="E362" s="29" t="inlineStr">
        <is>
          <t>여성존</t>
        </is>
      </c>
      <c r="F362" s="31" t="inlineStr">
        <is>
          <t>EETJG24E0157029</t>
        </is>
      </c>
      <c r="G362" s="31">
        <f>LEFT(F362,10)</f>
        <v/>
      </c>
      <c r="H362" s="31">
        <f>MID(G362,3,2)</f>
        <v/>
      </c>
      <c r="I362" s="31">
        <f>VLOOKUP(H362,color!E:G,2,0)</f>
        <v/>
      </c>
      <c r="J362" s="31" t="n">
        <v>57</v>
      </c>
      <c r="K362" s="31">
        <f>VLOOKUP(J362,color!A:C,2,0)</f>
        <v/>
      </c>
      <c r="L362" s="31" t="n">
        <v>1</v>
      </c>
      <c r="M362" s="31">
        <f>VLOOKUP(F362,'卖场库存0422-0512'!M:R,5,0)</f>
        <v/>
      </c>
      <c r="N362" s="31">
        <f>VLOOKUP(F362,'卖场库存0422-0512'!M:S,6,0)</f>
        <v/>
      </c>
      <c r="O362" s="31" t="inlineStr">
        <is>
          <t>Sleeve out</t>
        </is>
      </c>
      <c r="P362" s="30">
        <f>VLOOKUP(F362,'卖场库存0422-0512'!M:S,7,0)</f>
        <v/>
      </c>
      <c r="Q362" s="31">
        <f>VLOOKUP(H362,color!E:G,3,0)</f>
        <v/>
      </c>
    </row>
    <row r="363">
      <c r="A363" s="31" t="n">
        <v>362</v>
      </c>
      <c r="B363" s="22" t="inlineStr">
        <is>
          <t>H002</t>
        </is>
      </c>
      <c r="C363" s="31" t="inlineStr">
        <is>
          <t>HANGER 002</t>
        </is>
      </c>
      <c r="D363" s="31" t="inlineStr">
        <is>
          <t>HANGER</t>
        </is>
      </c>
      <c r="E363" s="29" t="inlineStr">
        <is>
          <t>여성존</t>
        </is>
      </c>
      <c r="F363" s="31" t="inlineStr">
        <is>
          <t>EETJG23E0256026</t>
        </is>
      </c>
      <c r="G363" s="31">
        <f>LEFT(F363,10)</f>
        <v/>
      </c>
      <c r="H363" s="31">
        <f>MID(G363,3,2)</f>
        <v/>
      </c>
      <c r="I363" s="31">
        <f>VLOOKUP(H363,color!E:G,2,0)</f>
        <v/>
      </c>
      <c r="J363" s="31" t="n">
        <v>56</v>
      </c>
      <c r="K363" s="31">
        <f>VLOOKUP(J363,color!A:C,2,0)</f>
        <v/>
      </c>
      <c r="L363" s="31" t="n">
        <v>1</v>
      </c>
      <c r="M363" s="31">
        <f>VLOOKUP(F363,'卖场库存0422-0512'!M:R,5,0)</f>
        <v/>
      </c>
      <c r="N363" s="31">
        <f>VLOOKUP(F363,'卖场库存0422-0512'!M:S,6,0)</f>
        <v/>
      </c>
      <c r="O363" s="31" t="inlineStr">
        <is>
          <t>Sleeve out</t>
        </is>
      </c>
      <c r="P363" s="30">
        <f>VLOOKUP(F363,'卖场库存0422-0512'!M:S,7,0)</f>
        <v/>
      </c>
      <c r="Q363" s="31">
        <f>VLOOKUP(H363,color!E:G,3,0)</f>
        <v/>
      </c>
    </row>
    <row r="364">
      <c r="A364" s="31" t="n">
        <v>363</v>
      </c>
      <c r="B364" s="22" t="inlineStr">
        <is>
          <t>H002</t>
        </is>
      </c>
      <c r="C364" s="31" t="inlineStr">
        <is>
          <t>HANGER 002</t>
        </is>
      </c>
      <c r="D364" s="31" t="inlineStr">
        <is>
          <t>HANGER</t>
        </is>
      </c>
      <c r="E364" s="29" t="inlineStr">
        <is>
          <t>여성존</t>
        </is>
      </c>
      <c r="F364" s="31" t="inlineStr">
        <is>
          <t>EETJG23B0856025</t>
        </is>
      </c>
      <c r="G364" s="31">
        <f>LEFT(F364,10)</f>
        <v/>
      </c>
      <c r="H364" s="31">
        <f>MID(G364,3,2)</f>
        <v/>
      </c>
      <c r="I364" s="31">
        <f>VLOOKUP(H364,color!E:G,2,0)</f>
        <v/>
      </c>
      <c r="J364" s="31" t="n">
        <v>56</v>
      </c>
      <c r="K364" s="31">
        <f>VLOOKUP(J364,color!A:C,2,0)</f>
        <v/>
      </c>
      <c r="L364" s="31" t="n">
        <v>1</v>
      </c>
      <c r="M364" s="31">
        <f>VLOOKUP(F364,'卖场库存0422-0512'!M:R,5,0)</f>
        <v/>
      </c>
      <c r="N364" s="31">
        <f>VLOOKUP(F364,'卖场库存0422-0512'!M:S,6,0)</f>
        <v/>
      </c>
      <c r="O364" s="31" t="inlineStr">
        <is>
          <t>Sleeve out</t>
        </is>
      </c>
      <c r="P364" s="30">
        <f>VLOOKUP(F364,'卖场库存0422-0512'!M:S,7,0)</f>
        <v/>
      </c>
      <c r="Q364" s="31">
        <f>VLOOKUP(H364,color!E:G,3,0)</f>
        <v/>
      </c>
    </row>
    <row r="365">
      <c r="A365" s="31" t="n">
        <v>364</v>
      </c>
      <c r="B365" s="22" t="inlineStr">
        <is>
          <t>H002</t>
        </is>
      </c>
      <c r="C365" s="31" t="inlineStr">
        <is>
          <t>HANGER 002</t>
        </is>
      </c>
      <c r="D365" s="31" t="inlineStr">
        <is>
          <t>HANGER</t>
        </is>
      </c>
      <c r="E365" s="29" t="inlineStr">
        <is>
          <t>여성존</t>
        </is>
      </c>
      <c r="F365" s="31" t="inlineStr">
        <is>
          <t>EETJG23E0256027</t>
        </is>
      </c>
      <c r="G365" s="31">
        <f>LEFT(F365,10)</f>
        <v/>
      </c>
      <c r="H365" s="31">
        <f>MID(G365,3,2)</f>
        <v/>
      </c>
      <c r="I365" s="31">
        <f>VLOOKUP(H365,color!E:G,2,0)</f>
        <v/>
      </c>
      <c r="J365" s="31" t="n">
        <v>56</v>
      </c>
      <c r="K365" s="31">
        <f>VLOOKUP(J365,color!A:C,2,0)</f>
        <v/>
      </c>
      <c r="L365" s="31" t="n">
        <v>1</v>
      </c>
      <c r="M365" s="31">
        <f>VLOOKUP(F365,'卖场库存0422-0512'!M:R,5,0)</f>
        <v/>
      </c>
      <c r="N365" s="31">
        <f>VLOOKUP(F365,'卖场库存0422-0512'!M:S,6,0)</f>
        <v/>
      </c>
      <c r="O365" s="31" t="inlineStr">
        <is>
          <t>Sleeve out</t>
        </is>
      </c>
      <c r="P365" s="30">
        <f>VLOOKUP(F365,'卖场库存0422-0512'!M:S,7,0)</f>
        <v/>
      </c>
      <c r="Q365" s="31">
        <f>VLOOKUP(H365,color!E:G,3,0)</f>
        <v/>
      </c>
    </row>
    <row r="366">
      <c r="A366" s="31" t="n">
        <v>365</v>
      </c>
      <c r="B366" s="22" t="inlineStr">
        <is>
          <t>H002</t>
        </is>
      </c>
      <c r="C366" s="31" t="inlineStr">
        <is>
          <t>HANGER 002</t>
        </is>
      </c>
      <c r="D366" s="31" t="inlineStr">
        <is>
          <t>HANGER</t>
        </is>
      </c>
      <c r="E366" s="29" t="inlineStr">
        <is>
          <t>여성존</t>
        </is>
      </c>
      <c r="F366" s="31" t="inlineStr">
        <is>
          <t>EETJG23E0655026</t>
        </is>
      </c>
      <c r="G366" s="31">
        <f>LEFT(F366,10)</f>
        <v/>
      </c>
      <c r="H366" s="31">
        <f>MID(G366,3,2)</f>
        <v/>
      </c>
      <c r="I366" s="31">
        <f>VLOOKUP(H366,color!E:G,2,0)</f>
        <v/>
      </c>
      <c r="J366" s="31" t="n">
        <v>55</v>
      </c>
      <c r="K366" s="31">
        <f>VLOOKUP(J366,color!A:C,2,0)</f>
        <v/>
      </c>
      <c r="L366" s="31" t="n">
        <v>1</v>
      </c>
      <c r="M366" s="31">
        <f>VLOOKUP(F366,'卖场库存0422-0512'!M:R,5,0)</f>
        <v/>
      </c>
      <c r="N366" s="31">
        <f>VLOOKUP(F366,'卖场库存0422-0512'!M:S,6,0)</f>
        <v/>
      </c>
      <c r="O366" s="31" t="inlineStr">
        <is>
          <t>Sleeve out</t>
        </is>
      </c>
      <c r="P366" s="30">
        <f>VLOOKUP(F366,'卖场库存0422-0512'!M:S,7,0)</f>
        <v/>
      </c>
      <c r="Q366" s="31">
        <f>VLOOKUP(H366,color!E:G,3,0)</f>
        <v/>
      </c>
    </row>
    <row r="367">
      <c r="A367" s="31" t="n">
        <v>366</v>
      </c>
      <c r="B367" s="22" t="inlineStr">
        <is>
          <t>H002</t>
        </is>
      </c>
      <c r="C367" s="31" t="inlineStr">
        <is>
          <t>HANGER 002</t>
        </is>
      </c>
      <c r="D367" s="31" t="inlineStr">
        <is>
          <t>HANGER</t>
        </is>
      </c>
      <c r="E367" s="29" t="inlineStr">
        <is>
          <t>여성존</t>
        </is>
      </c>
      <c r="F367" s="31" t="inlineStr">
        <is>
          <t>EETJG23E0655027</t>
        </is>
      </c>
      <c r="G367" s="31">
        <f>LEFT(F367,10)</f>
        <v/>
      </c>
      <c r="H367" s="31">
        <f>MID(G367,3,2)</f>
        <v/>
      </c>
      <c r="I367" s="31">
        <f>VLOOKUP(H367,color!E:G,2,0)</f>
        <v/>
      </c>
      <c r="J367" s="31" t="n">
        <v>55</v>
      </c>
      <c r="K367" s="31">
        <f>VLOOKUP(J367,color!A:C,2,0)</f>
        <v/>
      </c>
      <c r="L367" s="31" t="n">
        <v>1</v>
      </c>
      <c r="M367" s="31">
        <f>VLOOKUP(F367,'卖场库存0422-0512'!M:R,5,0)</f>
        <v/>
      </c>
      <c r="N367" s="31">
        <f>VLOOKUP(F367,'卖场库存0422-0512'!M:S,6,0)</f>
        <v/>
      </c>
      <c r="O367" s="31" t="inlineStr">
        <is>
          <t>Sleeve out</t>
        </is>
      </c>
      <c r="P367" s="30">
        <f>VLOOKUP(F367,'卖场库存0422-0512'!M:S,7,0)</f>
        <v/>
      </c>
      <c r="Q367" s="31">
        <f>VLOOKUP(H367,color!E:G,3,0)</f>
        <v/>
      </c>
    </row>
    <row r="368">
      <c r="A368" s="31" t="n">
        <v>367</v>
      </c>
      <c r="B368" s="22" t="inlineStr">
        <is>
          <t>H002</t>
        </is>
      </c>
      <c r="C368" s="31" t="inlineStr">
        <is>
          <t>HANGER 002</t>
        </is>
      </c>
      <c r="D368" s="31" t="inlineStr">
        <is>
          <t>HANGER</t>
        </is>
      </c>
      <c r="E368" s="29" t="inlineStr">
        <is>
          <t>여성존</t>
        </is>
      </c>
      <c r="F368" s="31" t="inlineStr">
        <is>
          <t>EETJG24B5716025</t>
        </is>
      </c>
      <c r="G368" s="31">
        <f>LEFT(F368,10)</f>
        <v/>
      </c>
      <c r="H368" s="31">
        <f>MID(G368,3,2)</f>
        <v/>
      </c>
      <c r="I368" s="31">
        <f>VLOOKUP(H368,color!E:G,2,0)</f>
        <v/>
      </c>
      <c r="J368" s="31" t="n">
        <v>16</v>
      </c>
      <c r="K368" s="31">
        <f>VLOOKUP(J368,color!A:C,2,0)</f>
        <v/>
      </c>
      <c r="L368" s="31" t="n">
        <v>1</v>
      </c>
      <c r="M368" s="31">
        <f>VLOOKUP(F368,'卖场库存0422-0512'!M:R,5,0)</f>
        <v/>
      </c>
      <c r="N368" s="31">
        <f>VLOOKUP(F368,'卖场库存0422-0512'!M:S,6,0)</f>
        <v/>
      </c>
      <c r="O368" s="31" t="inlineStr">
        <is>
          <t>Sleeve out</t>
        </is>
      </c>
      <c r="P368" s="30">
        <f>VLOOKUP(F368,'卖场库存0422-0512'!M:S,7,0)</f>
        <v/>
      </c>
      <c r="Q368" s="31">
        <f>VLOOKUP(H368,color!E:G,3,0)</f>
        <v/>
      </c>
    </row>
    <row r="369">
      <c r="A369" s="31" t="n">
        <v>368</v>
      </c>
      <c r="B369" s="22" t="inlineStr">
        <is>
          <t>H002</t>
        </is>
      </c>
      <c r="C369" s="31" t="inlineStr">
        <is>
          <t>HANGER 002</t>
        </is>
      </c>
      <c r="D369" s="31" t="inlineStr">
        <is>
          <t>HANGER</t>
        </is>
      </c>
      <c r="E369" s="29" t="inlineStr">
        <is>
          <t>여성존</t>
        </is>
      </c>
      <c r="F369" s="31" t="inlineStr">
        <is>
          <t>EETJG23E0757026</t>
        </is>
      </c>
      <c r="G369" s="31">
        <f>LEFT(F369,10)</f>
        <v/>
      </c>
      <c r="H369" s="31">
        <f>MID(G369,3,2)</f>
        <v/>
      </c>
      <c r="I369" s="31">
        <f>VLOOKUP(H369,color!E:G,2,0)</f>
        <v/>
      </c>
      <c r="J369" s="31" t="n">
        <v>57</v>
      </c>
      <c r="K369" s="31">
        <f>VLOOKUP(J369,color!A:C,2,0)</f>
        <v/>
      </c>
      <c r="L369" s="31" t="n">
        <v>1</v>
      </c>
      <c r="M369" s="31">
        <f>VLOOKUP(F369,'卖场库存0422-0512'!M:R,5,0)</f>
        <v/>
      </c>
      <c r="N369" s="31">
        <f>VLOOKUP(F369,'卖场库存0422-0512'!M:S,6,0)</f>
        <v/>
      </c>
      <c r="O369" s="31" t="inlineStr">
        <is>
          <t>Sleeve out</t>
        </is>
      </c>
      <c r="P369" s="30">
        <f>VLOOKUP(F369,'卖场库存0422-0512'!M:S,7,0)</f>
        <v/>
      </c>
      <c r="Q369" s="31">
        <f>VLOOKUP(H369,color!E:G,3,0)</f>
        <v/>
      </c>
    </row>
    <row r="370">
      <c r="A370" s="31" t="n">
        <v>369</v>
      </c>
      <c r="B370" s="22" t="inlineStr">
        <is>
          <t>H002</t>
        </is>
      </c>
      <c r="C370" s="31" t="inlineStr">
        <is>
          <t>HANGER 002</t>
        </is>
      </c>
      <c r="D370" s="31" t="inlineStr">
        <is>
          <t>HANGER</t>
        </is>
      </c>
      <c r="E370" s="29" t="inlineStr">
        <is>
          <t>여성존</t>
        </is>
      </c>
      <c r="F370" s="31" t="inlineStr">
        <is>
          <t>EETJG23E0757027</t>
        </is>
      </c>
      <c r="G370" s="31">
        <f>LEFT(F370,10)</f>
        <v/>
      </c>
      <c r="H370" s="31">
        <f>MID(G370,3,2)</f>
        <v/>
      </c>
      <c r="I370" s="31">
        <f>VLOOKUP(H370,color!E:G,2,0)</f>
        <v/>
      </c>
      <c r="J370" s="31" t="n">
        <v>57</v>
      </c>
      <c r="K370" s="31">
        <f>VLOOKUP(J370,color!A:C,2,0)</f>
        <v/>
      </c>
      <c r="L370" s="31" t="n">
        <v>1</v>
      </c>
      <c r="M370" s="31">
        <f>VLOOKUP(F370,'卖场库存0422-0512'!M:R,5,0)</f>
        <v/>
      </c>
      <c r="N370" s="31">
        <f>VLOOKUP(F370,'卖场库存0422-0512'!M:S,6,0)</f>
        <v/>
      </c>
      <c r="O370" s="31" t="inlineStr">
        <is>
          <t>Sleeve out</t>
        </is>
      </c>
      <c r="P370" s="30">
        <f>VLOOKUP(F370,'卖场库存0422-0512'!M:S,7,0)</f>
        <v/>
      </c>
      <c r="Q370" s="31">
        <f>VLOOKUP(H370,color!E:G,3,0)</f>
        <v/>
      </c>
    </row>
    <row r="371">
      <c r="A371" s="31" t="n">
        <v>370</v>
      </c>
      <c r="B371" s="22" t="inlineStr">
        <is>
          <t>H002</t>
        </is>
      </c>
      <c r="C371" s="31" t="inlineStr">
        <is>
          <t>HANGER 002</t>
        </is>
      </c>
      <c r="D371" s="31" t="inlineStr">
        <is>
          <t>HANGER</t>
        </is>
      </c>
      <c r="E371" s="29" t="inlineStr">
        <is>
          <t>여성존</t>
        </is>
      </c>
      <c r="F371" s="31" t="inlineStr">
        <is>
          <t>EETJG23E0457028</t>
        </is>
      </c>
      <c r="G371" s="31">
        <f>LEFT(F371,10)</f>
        <v/>
      </c>
      <c r="H371" s="31">
        <f>MID(G371,3,2)</f>
        <v/>
      </c>
      <c r="I371" s="31">
        <f>VLOOKUP(H371,color!E:G,2,0)</f>
        <v/>
      </c>
      <c r="J371" s="31" t="n">
        <v>57</v>
      </c>
      <c r="K371" s="31">
        <f>VLOOKUP(J371,color!A:C,2,0)</f>
        <v/>
      </c>
      <c r="L371" s="31" t="n">
        <v>1</v>
      </c>
      <c r="M371" s="31">
        <f>VLOOKUP(F371,'卖场库存0422-0512'!M:R,5,0)</f>
        <v/>
      </c>
      <c r="N371" s="31">
        <f>VLOOKUP(F371,'卖场库存0422-0512'!M:S,6,0)</f>
        <v/>
      </c>
      <c r="O371" s="31" t="inlineStr">
        <is>
          <t>Sleeve out</t>
        </is>
      </c>
      <c r="P371" s="30">
        <f>VLOOKUP(F371,'卖场库存0422-0512'!M:S,7,0)</f>
        <v/>
      </c>
      <c r="Q371" s="31">
        <f>VLOOKUP(H371,color!E:G,3,0)</f>
        <v/>
      </c>
    </row>
    <row r="372">
      <c r="A372" s="31" t="n">
        <v>371</v>
      </c>
      <c r="B372" s="22" t="inlineStr">
        <is>
          <t>H002</t>
        </is>
      </c>
      <c r="C372" s="31" t="inlineStr">
        <is>
          <t>HANGER 002</t>
        </is>
      </c>
      <c r="D372" s="31" t="inlineStr">
        <is>
          <t>HANGER</t>
        </is>
      </c>
      <c r="E372" s="29" t="inlineStr">
        <is>
          <t>여성존</t>
        </is>
      </c>
      <c r="F372" s="31" t="inlineStr">
        <is>
          <t>EETJG23E0439026</t>
        </is>
      </c>
      <c r="G372" s="31">
        <f>LEFT(F372,10)</f>
        <v/>
      </c>
      <c r="H372" s="31">
        <f>MID(G372,3,2)</f>
        <v/>
      </c>
      <c r="I372" s="31">
        <f>VLOOKUP(H372,color!E:G,2,0)</f>
        <v/>
      </c>
      <c r="J372" s="31" t="n">
        <v>39</v>
      </c>
      <c r="K372" s="31">
        <f>VLOOKUP(J372,color!A:C,2,0)</f>
        <v/>
      </c>
      <c r="L372" s="31" t="n">
        <v>1</v>
      </c>
      <c r="M372" s="31">
        <f>VLOOKUP(F372,'卖场库存0422-0512'!M:R,5,0)</f>
        <v/>
      </c>
      <c r="N372" s="31">
        <f>VLOOKUP(F372,'卖场库存0422-0512'!M:S,6,0)</f>
        <v/>
      </c>
      <c r="O372" s="31" t="inlineStr">
        <is>
          <t>Sleeve out</t>
        </is>
      </c>
      <c r="P372" s="30">
        <f>VLOOKUP(F372,'卖场库存0422-0512'!M:S,7,0)</f>
        <v/>
      </c>
      <c r="Q372" s="31">
        <f>VLOOKUP(H372,color!E:G,3,0)</f>
        <v/>
      </c>
    </row>
    <row r="373">
      <c r="A373" s="31" t="n">
        <v>372</v>
      </c>
      <c r="B373" s="22" t="inlineStr">
        <is>
          <t>H003</t>
        </is>
      </c>
      <c r="C373" s="31" t="inlineStr">
        <is>
          <t>HANGER 002</t>
        </is>
      </c>
      <c r="D373" s="31" t="inlineStr">
        <is>
          <t>HANGER</t>
        </is>
      </c>
      <c r="E373" s="29" t="inlineStr">
        <is>
          <t>여성존</t>
        </is>
      </c>
      <c r="F373" s="31" t="inlineStr">
        <is>
          <t>EEKWG24E0230160</t>
        </is>
      </c>
      <c r="G373" s="31">
        <f>LEFT(F373,10)</f>
        <v/>
      </c>
      <c r="H373" s="31">
        <f>MID(G373,3,2)</f>
        <v/>
      </c>
      <c r="I373" s="31">
        <f>VLOOKUP(H373,color!E:G,2,0)</f>
        <v/>
      </c>
      <c r="J373" s="31" t="n">
        <v>30</v>
      </c>
      <c r="K373" s="31">
        <f>VLOOKUP(J373,color!A:C,2,0)</f>
        <v/>
      </c>
      <c r="L373" s="31" t="n">
        <v>1</v>
      </c>
      <c r="M373" s="31">
        <f>VLOOKUP(F373,'卖场库存0422-0512'!M:R,5,0)</f>
        <v/>
      </c>
      <c r="N373" s="31">
        <f>VLOOKUP(F373,'卖场库存0422-0512'!M:S,6,0)</f>
        <v/>
      </c>
      <c r="O373" s="31" t="inlineStr">
        <is>
          <t>Sleeve out</t>
        </is>
      </c>
      <c r="P373" s="30">
        <f>VLOOKUP(F373,'卖场库存0422-0512'!M:S,7,0)</f>
        <v/>
      </c>
      <c r="Q373" s="31">
        <f>VLOOKUP(H373,color!E:G,3,0)</f>
        <v/>
      </c>
    </row>
    <row r="374">
      <c r="A374" s="31" t="n">
        <v>373</v>
      </c>
      <c r="B374" s="22" t="inlineStr">
        <is>
          <t>H003</t>
        </is>
      </c>
      <c r="C374" s="31" t="inlineStr">
        <is>
          <t>HANGER 003</t>
        </is>
      </c>
      <c r="D374" s="31" t="inlineStr">
        <is>
          <t>HANGER</t>
        </is>
      </c>
      <c r="E374" s="29" t="inlineStr">
        <is>
          <t>여성존</t>
        </is>
      </c>
      <c r="F374" s="31" t="inlineStr">
        <is>
          <t>EEOWG64S0226165</t>
        </is>
      </c>
      <c r="G374" s="31">
        <f>LEFT(F374,10)</f>
        <v/>
      </c>
      <c r="H374" s="31">
        <f>MID(G374,3,2)</f>
        <v/>
      </c>
      <c r="I374" s="31">
        <f>VLOOKUP(H374,color!E:G,2,0)</f>
        <v/>
      </c>
      <c r="J374" s="31" t="n">
        <v>26</v>
      </c>
      <c r="K374" s="31">
        <f>VLOOKUP(J374,color!A:C,2,0)</f>
        <v/>
      </c>
      <c r="L374" s="31" t="n">
        <v>1</v>
      </c>
      <c r="M374" s="31">
        <f>VLOOKUP(F374,'卖场库存0422-0512'!M:R,5,0)</f>
        <v/>
      </c>
      <c r="N374" s="31">
        <f>VLOOKUP(F374,'卖场库存0422-0512'!M:S,6,0)</f>
        <v/>
      </c>
      <c r="O374" s="31" t="inlineStr">
        <is>
          <t>Sleeve out</t>
        </is>
      </c>
      <c r="P374" s="30">
        <f>VLOOKUP(F374,'卖场库存0422-0512'!M:S,7,0)</f>
        <v/>
      </c>
      <c r="Q374" s="31">
        <f>VLOOKUP(H374,color!E:G,3,0)</f>
        <v/>
      </c>
    </row>
    <row r="375">
      <c r="A375" s="31" t="n">
        <v>374</v>
      </c>
      <c r="B375" s="22" t="inlineStr">
        <is>
          <t>H003</t>
        </is>
      </c>
      <c r="C375" s="31" t="inlineStr">
        <is>
          <t>HANGER 003</t>
        </is>
      </c>
      <c r="D375" s="31" t="inlineStr">
        <is>
          <t>HANGER</t>
        </is>
      </c>
      <c r="E375" s="29" t="inlineStr">
        <is>
          <t>여성존</t>
        </is>
      </c>
      <c r="F375" s="31" t="inlineStr">
        <is>
          <t>EEOWG64S0226160</t>
        </is>
      </c>
      <c r="G375" s="31">
        <f>LEFT(F375,10)</f>
        <v/>
      </c>
      <c r="H375" s="31">
        <f>MID(G375,3,2)</f>
        <v/>
      </c>
      <c r="I375" s="31">
        <f>VLOOKUP(H375,color!E:G,2,0)</f>
        <v/>
      </c>
      <c r="J375" s="31" t="n">
        <v>26</v>
      </c>
      <c r="K375" s="31">
        <f>VLOOKUP(J375,color!A:C,2,0)</f>
        <v/>
      </c>
      <c r="L375" s="31" t="n">
        <v>1</v>
      </c>
      <c r="M375" s="31">
        <f>VLOOKUP(F375,'卖场库存0422-0512'!M:R,5,0)</f>
        <v/>
      </c>
      <c r="N375" s="31">
        <f>VLOOKUP(F375,'卖场库存0422-0512'!M:S,6,0)</f>
        <v/>
      </c>
      <c r="O375" s="31" t="inlineStr">
        <is>
          <t>Sleeve out</t>
        </is>
      </c>
      <c r="P375" s="30">
        <f>VLOOKUP(F375,'卖场库存0422-0512'!M:S,7,0)</f>
        <v/>
      </c>
      <c r="Q375" s="31">
        <f>VLOOKUP(H375,color!E:G,3,0)</f>
        <v/>
      </c>
    </row>
    <row r="376">
      <c r="A376" s="31" t="n">
        <v>375</v>
      </c>
      <c r="B376" s="22" t="inlineStr">
        <is>
          <t>H003</t>
        </is>
      </c>
      <c r="C376" s="31" t="inlineStr">
        <is>
          <t>HANGER 003</t>
        </is>
      </c>
      <c r="D376" s="31" t="inlineStr">
        <is>
          <t>HANGER</t>
        </is>
      </c>
      <c r="E376" s="29" t="inlineStr">
        <is>
          <t>여성존</t>
        </is>
      </c>
      <c r="F376" s="31" t="inlineStr">
        <is>
          <t>EEOWG24E0135165</t>
        </is>
      </c>
      <c r="G376" s="31">
        <f>LEFT(F376,10)</f>
        <v/>
      </c>
      <c r="H376" s="31">
        <f>MID(G376,3,2)</f>
        <v/>
      </c>
      <c r="I376" s="31">
        <f>VLOOKUP(H376,color!E:G,2,0)</f>
        <v/>
      </c>
      <c r="J376" s="31" t="n">
        <v>35</v>
      </c>
      <c r="K376" s="31">
        <f>VLOOKUP(J376,color!A:C,2,0)</f>
        <v/>
      </c>
      <c r="L376" s="31" t="n">
        <v>1</v>
      </c>
      <c r="M376" s="31">
        <f>VLOOKUP(F376,'卖场库存0422-0512'!M:R,5,0)</f>
        <v/>
      </c>
      <c r="N376" s="31">
        <f>VLOOKUP(F376,'卖场库存0422-0512'!M:S,6,0)</f>
        <v/>
      </c>
      <c r="O376" s="31" t="inlineStr">
        <is>
          <t>Sleeve out</t>
        </is>
      </c>
      <c r="P376" s="30">
        <f>VLOOKUP(F376,'卖场库存0422-0512'!M:S,7,0)</f>
        <v/>
      </c>
      <c r="Q376" s="31">
        <f>VLOOKUP(H376,color!E:G,3,0)</f>
        <v/>
      </c>
    </row>
    <row r="377">
      <c r="A377" s="31" t="n">
        <v>376</v>
      </c>
      <c r="B377" s="22" t="inlineStr">
        <is>
          <t>H003</t>
        </is>
      </c>
      <c r="C377" s="31" t="inlineStr">
        <is>
          <t>HANGER 003</t>
        </is>
      </c>
      <c r="D377" s="31" t="inlineStr">
        <is>
          <t>HANGER</t>
        </is>
      </c>
      <c r="E377" s="29" t="inlineStr">
        <is>
          <t>여성존</t>
        </is>
      </c>
      <c r="F377" s="31" t="inlineStr">
        <is>
          <t>EEOWG24E0135160</t>
        </is>
      </c>
      <c r="G377" s="31">
        <f>LEFT(F377,10)</f>
        <v/>
      </c>
      <c r="H377" s="31">
        <f>MID(G377,3,2)</f>
        <v/>
      </c>
      <c r="I377" s="31">
        <f>VLOOKUP(H377,color!E:G,2,0)</f>
        <v/>
      </c>
      <c r="J377" s="31" t="n">
        <v>35</v>
      </c>
      <c r="K377" s="31">
        <f>VLOOKUP(J377,color!A:C,2,0)</f>
        <v/>
      </c>
      <c r="L377" s="31" t="n">
        <v>1</v>
      </c>
      <c r="M377" s="31">
        <f>VLOOKUP(F377,'卖场库存0422-0512'!M:R,5,0)</f>
        <v/>
      </c>
      <c r="N377" s="31">
        <f>VLOOKUP(F377,'卖场库存0422-0512'!M:S,6,0)</f>
        <v/>
      </c>
      <c r="O377" s="31" t="inlineStr">
        <is>
          <t>Sleeve out</t>
        </is>
      </c>
      <c r="P377" s="30">
        <f>VLOOKUP(F377,'卖场库存0422-0512'!M:S,7,0)</f>
        <v/>
      </c>
      <c r="Q377" s="31">
        <f>VLOOKUP(H377,color!E:G,3,0)</f>
        <v/>
      </c>
    </row>
    <row r="378">
      <c r="A378" s="31" t="n">
        <v>377</v>
      </c>
      <c r="B378" s="22" t="inlineStr">
        <is>
          <t>H003</t>
        </is>
      </c>
      <c r="C378" s="31" t="inlineStr">
        <is>
          <t>HANGER 003</t>
        </is>
      </c>
      <c r="D378" s="31" t="inlineStr">
        <is>
          <t>HANGER</t>
        </is>
      </c>
      <c r="E378" s="29" t="inlineStr">
        <is>
          <t>여성존</t>
        </is>
      </c>
      <c r="F378" s="31" t="inlineStr">
        <is>
          <t>EEOWG24B0250165</t>
        </is>
      </c>
      <c r="G378" s="31">
        <f>LEFT(F378,10)</f>
        <v/>
      </c>
      <c r="H378" s="31">
        <f>MID(G378,3,2)</f>
        <v/>
      </c>
      <c r="I378" s="31">
        <f>VLOOKUP(H378,color!E:G,2,0)</f>
        <v/>
      </c>
      <c r="J378" s="31" t="n">
        <v>50</v>
      </c>
      <c r="K378" s="31">
        <f>VLOOKUP(J378,color!A:C,2,0)</f>
        <v/>
      </c>
      <c r="L378" s="31" t="n">
        <v>1</v>
      </c>
      <c r="M378" s="31">
        <f>VLOOKUP(F378,'卖场库存0422-0512'!M:R,5,0)</f>
        <v/>
      </c>
      <c r="N378" s="31">
        <f>VLOOKUP(F378,'卖场库存0422-0512'!M:S,6,0)</f>
        <v/>
      </c>
      <c r="O378" s="31" t="inlineStr">
        <is>
          <t>Sleeve out</t>
        </is>
      </c>
      <c r="P378" s="30">
        <f>VLOOKUP(F378,'卖场库存0422-0512'!M:S,7,0)</f>
        <v/>
      </c>
      <c r="Q378" s="31">
        <f>VLOOKUP(H378,color!E:G,3,0)</f>
        <v/>
      </c>
    </row>
    <row r="379">
      <c r="A379" s="31" t="n">
        <v>378</v>
      </c>
      <c r="B379" s="22" t="inlineStr">
        <is>
          <t>H003</t>
        </is>
      </c>
      <c r="C379" s="31" t="inlineStr">
        <is>
          <t>HANGER 003</t>
        </is>
      </c>
      <c r="D379" s="31" t="inlineStr">
        <is>
          <t>HANGER</t>
        </is>
      </c>
      <c r="E379" s="29" t="inlineStr">
        <is>
          <t>여성존</t>
        </is>
      </c>
      <c r="F379" s="31" t="inlineStr">
        <is>
          <t>EEOWG24B0250160</t>
        </is>
      </c>
      <c r="G379" s="31">
        <f>LEFT(F379,10)</f>
        <v/>
      </c>
      <c r="H379" s="31">
        <f>MID(G379,3,2)</f>
        <v/>
      </c>
      <c r="I379" s="31">
        <f>VLOOKUP(H379,color!E:G,2,0)</f>
        <v/>
      </c>
      <c r="J379" s="31" t="n">
        <v>50</v>
      </c>
      <c r="K379" s="31">
        <f>VLOOKUP(J379,color!A:C,2,0)</f>
        <v/>
      </c>
      <c r="L379" s="31" t="n">
        <v>1</v>
      </c>
      <c r="M379" s="31">
        <f>VLOOKUP(F379,'卖场库存0422-0512'!M:R,5,0)</f>
        <v/>
      </c>
      <c r="N379" s="31">
        <f>VLOOKUP(F379,'卖场库存0422-0512'!M:S,6,0)</f>
        <v/>
      </c>
      <c r="O379" s="31" t="inlineStr">
        <is>
          <t>Sleeve out</t>
        </is>
      </c>
      <c r="P379" s="30">
        <f>VLOOKUP(F379,'卖场库存0422-0512'!M:S,7,0)</f>
        <v/>
      </c>
      <c r="Q379" s="31">
        <f>VLOOKUP(H379,color!E:G,3,0)</f>
        <v/>
      </c>
    </row>
    <row r="380">
      <c r="A380" s="31" t="n">
        <v>379</v>
      </c>
      <c r="B380" s="22" t="inlineStr">
        <is>
          <t>H003</t>
        </is>
      </c>
      <c r="C380" s="31" t="inlineStr">
        <is>
          <t>HANGER 003</t>
        </is>
      </c>
      <c r="D380" s="31" t="inlineStr">
        <is>
          <t>HANGER</t>
        </is>
      </c>
      <c r="E380" s="29" t="inlineStr">
        <is>
          <t>여성존</t>
        </is>
      </c>
      <c r="F380" s="31" t="inlineStr">
        <is>
          <t>EEOWG24E0259160</t>
        </is>
      </c>
      <c r="G380" s="31">
        <f>LEFT(F380,10)</f>
        <v/>
      </c>
      <c r="H380" s="31">
        <f>MID(G380,3,2)</f>
        <v/>
      </c>
      <c r="I380" s="31">
        <f>VLOOKUP(H380,color!E:G,2,0)</f>
        <v/>
      </c>
      <c r="J380" s="31" t="n">
        <v>59</v>
      </c>
      <c r="K380" s="31">
        <f>VLOOKUP(J380,color!A:C,2,0)</f>
        <v/>
      </c>
      <c r="L380" s="31" t="n">
        <v>1</v>
      </c>
      <c r="M380" s="31">
        <f>VLOOKUP(F380,'卖场库存0422-0512'!M:R,5,0)</f>
        <v/>
      </c>
      <c r="N380" s="31">
        <f>VLOOKUP(F380,'卖场库存0422-0512'!M:S,6,0)</f>
        <v/>
      </c>
      <c r="O380" s="31" t="inlineStr">
        <is>
          <t>Sleeve out</t>
        </is>
      </c>
      <c r="P380" s="30">
        <f>VLOOKUP(F380,'卖场库存0422-0512'!M:S,7,0)</f>
        <v/>
      </c>
      <c r="Q380" s="31">
        <f>VLOOKUP(H380,color!E:G,3,0)</f>
        <v/>
      </c>
    </row>
    <row r="381">
      <c r="A381" s="31" t="n">
        <v>380</v>
      </c>
      <c r="B381" s="22" t="inlineStr">
        <is>
          <t>H003</t>
        </is>
      </c>
      <c r="C381" s="31" t="inlineStr">
        <is>
          <t>HANGER 003</t>
        </is>
      </c>
      <c r="D381" s="31" t="inlineStr">
        <is>
          <t>HANGER</t>
        </is>
      </c>
      <c r="E381" s="29" t="inlineStr">
        <is>
          <t>여성존</t>
        </is>
      </c>
      <c r="F381" s="31" t="inlineStr">
        <is>
          <t>EEOWG24E0259165</t>
        </is>
      </c>
      <c r="G381" s="31">
        <f>LEFT(F381,10)</f>
        <v/>
      </c>
      <c r="H381" s="31">
        <f>MID(G381,3,2)</f>
        <v/>
      </c>
      <c r="I381" s="31">
        <f>VLOOKUP(H381,color!E:G,2,0)</f>
        <v/>
      </c>
      <c r="J381" s="31" t="n">
        <v>59</v>
      </c>
      <c r="K381" s="31">
        <f>VLOOKUP(J381,color!A:C,2,0)</f>
        <v/>
      </c>
      <c r="L381" s="31" t="n">
        <v>1</v>
      </c>
      <c r="M381" s="31">
        <f>VLOOKUP(F381,'卖场库存0422-0512'!M:R,5,0)</f>
        <v/>
      </c>
      <c r="N381" s="31">
        <f>VLOOKUP(F381,'卖场库存0422-0512'!M:S,6,0)</f>
        <v/>
      </c>
      <c r="O381" s="31" t="inlineStr">
        <is>
          <t>Sleeve out</t>
        </is>
      </c>
      <c r="P381" s="30">
        <f>VLOOKUP(F381,'卖场库存0422-0512'!M:S,7,0)</f>
        <v/>
      </c>
      <c r="Q381" s="31">
        <f>VLOOKUP(H381,color!E:G,3,0)</f>
        <v/>
      </c>
    </row>
    <row r="382">
      <c r="A382" s="31" t="n">
        <v>381</v>
      </c>
      <c r="B382" s="22" t="inlineStr">
        <is>
          <t>H003</t>
        </is>
      </c>
      <c r="C382" s="31" t="inlineStr">
        <is>
          <t>HANGER 003</t>
        </is>
      </c>
      <c r="D382" s="31" t="inlineStr">
        <is>
          <t>HANGER</t>
        </is>
      </c>
      <c r="E382" s="29" t="inlineStr">
        <is>
          <t>여성존</t>
        </is>
      </c>
      <c r="F382" s="31" t="inlineStr">
        <is>
          <t>EEOWG24E0159165</t>
        </is>
      </c>
      <c r="G382" s="31">
        <f>LEFT(F382,10)</f>
        <v/>
      </c>
      <c r="H382" s="31">
        <f>MID(G382,3,2)</f>
        <v/>
      </c>
      <c r="I382" s="31">
        <f>VLOOKUP(H382,color!E:G,2,0)</f>
        <v/>
      </c>
      <c r="J382" s="31" t="n">
        <v>59</v>
      </c>
      <c r="K382" s="31">
        <f>VLOOKUP(J382,color!A:C,2,0)</f>
        <v/>
      </c>
      <c r="L382" s="31" t="n">
        <v>1</v>
      </c>
      <c r="M382" s="31">
        <f>VLOOKUP(F382,'卖场库存0422-0512'!M:R,5,0)</f>
        <v/>
      </c>
      <c r="N382" s="31">
        <f>VLOOKUP(F382,'卖场库存0422-0512'!M:S,6,0)</f>
        <v/>
      </c>
      <c r="O382" s="31" t="inlineStr">
        <is>
          <t>Sleeve out</t>
        </is>
      </c>
      <c r="P382" s="30">
        <f>VLOOKUP(F382,'卖场库存0422-0512'!M:S,7,0)</f>
        <v/>
      </c>
      <c r="Q382" s="31">
        <f>VLOOKUP(H382,color!E:G,3,0)</f>
        <v/>
      </c>
    </row>
    <row r="383">
      <c r="A383" s="31" t="n">
        <v>382</v>
      </c>
      <c r="B383" s="22" t="inlineStr">
        <is>
          <t>H003</t>
        </is>
      </c>
      <c r="C383" s="31" t="inlineStr">
        <is>
          <t>HANGER 003</t>
        </is>
      </c>
      <c r="D383" s="31" t="inlineStr">
        <is>
          <t>HANGER</t>
        </is>
      </c>
      <c r="E383" s="29" t="inlineStr">
        <is>
          <t>여성존</t>
        </is>
      </c>
      <c r="F383" s="31" t="inlineStr">
        <is>
          <t>EEOWG24E0159160</t>
        </is>
      </c>
      <c r="G383" s="31">
        <f>LEFT(F383,10)</f>
        <v/>
      </c>
      <c r="H383" s="31">
        <f>MID(G383,3,2)</f>
        <v/>
      </c>
      <c r="I383" s="31">
        <f>VLOOKUP(H383,color!E:G,2,0)</f>
        <v/>
      </c>
      <c r="J383" s="31" t="n">
        <v>59</v>
      </c>
      <c r="K383" s="31">
        <f>VLOOKUP(J383,color!A:C,2,0)</f>
        <v/>
      </c>
      <c r="L383" s="31" t="n">
        <v>1</v>
      </c>
      <c r="M383" s="31">
        <f>VLOOKUP(F383,'卖场库存0422-0512'!M:R,5,0)</f>
        <v/>
      </c>
      <c r="N383" s="31">
        <f>VLOOKUP(F383,'卖场库存0422-0512'!M:S,6,0)</f>
        <v/>
      </c>
      <c r="O383" s="31" t="inlineStr">
        <is>
          <t>Sleeve out</t>
        </is>
      </c>
      <c r="P383" s="30">
        <f>VLOOKUP(F383,'卖场库存0422-0512'!M:S,7,0)</f>
        <v/>
      </c>
      <c r="Q383" s="31">
        <f>VLOOKUP(H383,color!E:G,3,0)</f>
        <v/>
      </c>
    </row>
    <row r="384">
      <c r="A384" s="31" t="n">
        <v>383</v>
      </c>
      <c r="B384" s="22" t="inlineStr">
        <is>
          <t>H003</t>
        </is>
      </c>
      <c r="C384" s="31" t="inlineStr">
        <is>
          <t>HANGER 003</t>
        </is>
      </c>
      <c r="D384" s="31" t="inlineStr">
        <is>
          <t>HANGER</t>
        </is>
      </c>
      <c r="E384" s="29" t="inlineStr">
        <is>
          <t>여성존</t>
        </is>
      </c>
      <c r="F384" s="31" t="inlineStr">
        <is>
          <t>EEYAG26B0359170</t>
        </is>
      </c>
      <c r="G384" s="31">
        <f>LEFT(F384,10)</f>
        <v/>
      </c>
      <c r="H384" s="31">
        <f>MID(G384,3,2)</f>
        <v/>
      </c>
      <c r="I384" s="31">
        <f>VLOOKUP(H384,color!E:G,2,0)</f>
        <v/>
      </c>
      <c r="J384" s="31" t="n">
        <v>59</v>
      </c>
      <c r="K384" s="31">
        <f>VLOOKUP(J384,color!A:C,2,0)</f>
        <v/>
      </c>
      <c r="L384" s="31" t="n">
        <v>1</v>
      </c>
      <c r="M384" s="31">
        <f>VLOOKUP(F384,'卖场库存0422-0512'!M:R,5,0)</f>
        <v/>
      </c>
      <c r="N384" s="31">
        <f>VLOOKUP(F384,'卖场库存0422-0512'!M:S,6,0)</f>
        <v/>
      </c>
      <c r="O384" s="31" t="inlineStr">
        <is>
          <t>Sleeve out</t>
        </is>
      </c>
      <c r="P384" s="30">
        <f>VLOOKUP(F384,'卖场库存0422-0512'!M:S,7,0)</f>
        <v/>
      </c>
      <c r="Q384" s="31">
        <f>VLOOKUP(H384,color!E:G,3,0)</f>
        <v/>
      </c>
    </row>
    <row r="385">
      <c r="A385" s="31" t="n">
        <v>384</v>
      </c>
      <c r="B385" s="22" t="inlineStr">
        <is>
          <t>H003</t>
        </is>
      </c>
      <c r="C385" s="31" t="inlineStr">
        <is>
          <t>HANGER 003</t>
        </is>
      </c>
      <c r="D385" s="31" t="inlineStr">
        <is>
          <t>HANGER</t>
        </is>
      </c>
      <c r="E385" s="29" t="inlineStr">
        <is>
          <t>여성존</t>
        </is>
      </c>
      <c r="F385" s="31" t="inlineStr">
        <is>
          <t>EEOWG25B0959165</t>
        </is>
      </c>
      <c r="G385" s="31">
        <f>LEFT(F385,10)</f>
        <v/>
      </c>
      <c r="H385" s="31">
        <f>MID(G385,3,2)</f>
        <v/>
      </c>
      <c r="I385" s="31">
        <f>VLOOKUP(H385,color!E:G,2,0)</f>
        <v/>
      </c>
      <c r="J385" s="31" t="n">
        <v>59</v>
      </c>
      <c r="K385" s="31">
        <f>VLOOKUP(J385,color!A:C,2,0)</f>
        <v/>
      </c>
      <c r="L385" s="31" t="n">
        <v>1</v>
      </c>
      <c r="M385" s="31">
        <f>VLOOKUP(F385,'卖场库存0422-0512'!M:R,5,0)</f>
        <v/>
      </c>
      <c r="N385" s="31">
        <f>VLOOKUP(F385,'卖场库存0422-0512'!M:S,6,0)</f>
        <v/>
      </c>
      <c r="O385" s="31" t="inlineStr">
        <is>
          <t>Sleeve out</t>
        </is>
      </c>
      <c r="P385" s="30">
        <f>VLOOKUP(F385,'卖场库存0422-0512'!M:S,7,0)</f>
        <v/>
      </c>
      <c r="Q385" s="31">
        <f>VLOOKUP(H385,color!E:G,3,0)</f>
        <v/>
      </c>
    </row>
    <row r="386">
      <c r="A386" s="31" t="n">
        <v>385</v>
      </c>
      <c r="B386" s="22" t="inlineStr">
        <is>
          <t>H003</t>
        </is>
      </c>
      <c r="C386" s="31" t="inlineStr">
        <is>
          <t>HANGER 003</t>
        </is>
      </c>
      <c r="D386" s="31" t="inlineStr">
        <is>
          <t>HANGER</t>
        </is>
      </c>
      <c r="E386" s="29" t="inlineStr">
        <is>
          <t>여성존</t>
        </is>
      </c>
      <c r="F386" s="31" t="inlineStr">
        <is>
          <t>EEYAG26B0359160</t>
        </is>
      </c>
      <c r="G386" s="31">
        <f>LEFT(F386,10)</f>
        <v/>
      </c>
      <c r="H386" s="31">
        <f>MID(G386,3,2)</f>
        <v/>
      </c>
      <c r="I386" s="31">
        <f>VLOOKUP(H386,color!E:G,2,0)</f>
        <v/>
      </c>
      <c r="J386" s="31" t="n">
        <v>59</v>
      </c>
      <c r="K386" s="31">
        <f>VLOOKUP(J386,color!A:C,2,0)</f>
        <v/>
      </c>
      <c r="L386" s="31" t="n">
        <v>1</v>
      </c>
      <c r="M386" s="31">
        <f>VLOOKUP(F386,'卖场库存0422-0512'!M:R,5,0)</f>
        <v/>
      </c>
      <c r="N386" s="31">
        <f>VLOOKUP(F386,'卖场库存0422-0512'!M:S,6,0)</f>
        <v/>
      </c>
      <c r="O386" s="31" t="inlineStr">
        <is>
          <t>Sleeve out</t>
        </is>
      </c>
      <c r="P386" s="30">
        <f>VLOOKUP(F386,'卖场库存0422-0512'!M:S,7,0)</f>
        <v/>
      </c>
      <c r="Q386" s="31">
        <f>VLOOKUP(H386,color!E:G,3,0)</f>
        <v/>
      </c>
    </row>
    <row r="387">
      <c r="A387" s="31" t="n">
        <v>386</v>
      </c>
      <c r="B387" s="22" t="inlineStr">
        <is>
          <t>H003</t>
        </is>
      </c>
      <c r="C387" s="31" t="inlineStr">
        <is>
          <t>HANGER 003</t>
        </is>
      </c>
      <c r="D387" s="31" t="inlineStr">
        <is>
          <t>HANGER</t>
        </is>
      </c>
      <c r="E387" s="29" t="inlineStr">
        <is>
          <t>여성존</t>
        </is>
      </c>
      <c r="F387" s="31" t="inlineStr">
        <is>
          <t>EEKWG24E0388165</t>
        </is>
      </c>
      <c r="G387" s="31">
        <f>LEFT(F387,10)</f>
        <v/>
      </c>
      <c r="H387" s="31">
        <f>MID(G387,3,2)</f>
        <v/>
      </c>
      <c r="I387" s="31">
        <f>VLOOKUP(H387,color!E:G,2,0)</f>
        <v/>
      </c>
      <c r="J387" s="31" t="n">
        <v>88</v>
      </c>
      <c r="K387" s="31">
        <f>VLOOKUP(J387,color!A:C,2,0)</f>
        <v/>
      </c>
      <c r="L387" s="31" t="n">
        <v>1</v>
      </c>
      <c r="M387" s="31">
        <f>VLOOKUP(F387,'卖场库存0422-0512'!M:R,5,0)</f>
        <v/>
      </c>
      <c r="N387" s="31">
        <f>VLOOKUP(F387,'卖场库存0422-0512'!M:S,6,0)</f>
        <v/>
      </c>
      <c r="O387" s="31" t="inlineStr">
        <is>
          <t>Sleeve out</t>
        </is>
      </c>
      <c r="P387" s="30">
        <f>VLOOKUP(F387,'卖场库存0422-0512'!M:S,7,0)</f>
        <v/>
      </c>
      <c r="Q387" s="31">
        <f>VLOOKUP(H387,color!E:G,3,0)</f>
        <v/>
      </c>
    </row>
    <row r="388">
      <c r="A388" s="31" t="n">
        <v>387</v>
      </c>
      <c r="B388" s="22" t="inlineStr">
        <is>
          <t>H003</t>
        </is>
      </c>
      <c r="C388" s="31" t="inlineStr">
        <is>
          <t>HANGER 003</t>
        </is>
      </c>
      <c r="D388" s="31" t="inlineStr">
        <is>
          <t>HANGER</t>
        </is>
      </c>
      <c r="E388" s="29" t="inlineStr">
        <is>
          <t>여성존</t>
        </is>
      </c>
      <c r="F388" s="31" t="inlineStr">
        <is>
          <t>EEKWG24E0388160</t>
        </is>
      </c>
      <c r="G388" s="31">
        <f>LEFT(F388,10)</f>
        <v/>
      </c>
      <c r="H388" s="31">
        <f>MID(G388,3,2)</f>
        <v/>
      </c>
      <c r="I388" s="31">
        <f>VLOOKUP(H388,color!E:G,2,0)</f>
        <v/>
      </c>
      <c r="J388" s="31" t="n">
        <v>88</v>
      </c>
      <c r="K388" s="31">
        <f>VLOOKUP(J388,color!A:C,2,0)</f>
        <v/>
      </c>
      <c r="L388" s="31" t="n">
        <v>1</v>
      </c>
      <c r="M388" s="31">
        <f>VLOOKUP(F388,'卖场库存0422-0512'!M:R,5,0)</f>
        <v/>
      </c>
      <c r="N388" s="31">
        <f>VLOOKUP(F388,'卖场库存0422-0512'!M:S,6,0)</f>
        <v/>
      </c>
      <c r="O388" s="31" t="inlineStr">
        <is>
          <t>Sleeve out</t>
        </is>
      </c>
      <c r="P388" s="30">
        <f>VLOOKUP(F388,'卖场库存0422-0512'!M:S,7,0)</f>
        <v/>
      </c>
      <c r="Q388" s="31">
        <f>VLOOKUP(H388,color!E:G,3,0)</f>
        <v/>
      </c>
    </row>
    <row r="389">
      <c r="A389" s="31" t="n">
        <v>388</v>
      </c>
      <c r="B389" s="22" t="inlineStr">
        <is>
          <t>H003</t>
        </is>
      </c>
      <c r="C389" s="31" t="inlineStr">
        <is>
          <t>HANGER 003</t>
        </is>
      </c>
      <c r="D389" s="31" t="inlineStr">
        <is>
          <t>HANGER</t>
        </is>
      </c>
      <c r="E389" s="29" t="inlineStr">
        <is>
          <t>여성존</t>
        </is>
      </c>
      <c r="F389" s="31" t="inlineStr">
        <is>
          <t>EEKWG24E0359170</t>
        </is>
      </c>
      <c r="G389" s="31">
        <f>LEFT(F389,10)</f>
        <v/>
      </c>
      <c r="H389" s="31">
        <f>MID(G389,3,2)</f>
        <v/>
      </c>
      <c r="I389" s="31">
        <f>VLOOKUP(H389,color!E:G,2,0)</f>
        <v/>
      </c>
      <c r="J389" s="31" t="n">
        <v>59</v>
      </c>
      <c r="K389" s="31">
        <f>VLOOKUP(J389,color!A:C,2,0)</f>
        <v/>
      </c>
      <c r="L389" s="31" t="n">
        <v>1</v>
      </c>
      <c r="M389" s="31">
        <f>VLOOKUP(F389,'卖场库存0422-0512'!M:R,5,0)</f>
        <v/>
      </c>
      <c r="N389" s="31">
        <f>VLOOKUP(F389,'卖场库存0422-0512'!M:S,6,0)</f>
        <v/>
      </c>
      <c r="O389" s="31" t="inlineStr">
        <is>
          <t>Sleeve out</t>
        </is>
      </c>
      <c r="P389" s="30">
        <f>VLOOKUP(F389,'卖场库存0422-0512'!M:S,7,0)</f>
        <v/>
      </c>
      <c r="Q389" s="31">
        <f>VLOOKUP(H389,color!E:G,3,0)</f>
        <v/>
      </c>
    </row>
    <row r="390">
      <c r="A390" s="31" t="n">
        <v>389</v>
      </c>
      <c r="B390" s="22" t="inlineStr">
        <is>
          <t>H003</t>
        </is>
      </c>
      <c r="C390" s="31" t="inlineStr">
        <is>
          <t>HANGER 003</t>
        </is>
      </c>
      <c r="D390" s="31" t="inlineStr">
        <is>
          <t>HANGER</t>
        </is>
      </c>
      <c r="E390" s="29" t="inlineStr">
        <is>
          <t>여성존</t>
        </is>
      </c>
      <c r="F390" s="31" t="inlineStr">
        <is>
          <t>EEKWG24E0359165</t>
        </is>
      </c>
      <c r="G390" s="31">
        <f>LEFT(F390,10)</f>
        <v/>
      </c>
      <c r="H390" s="31">
        <f>MID(G390,3,2)</f>
        <v/>
      </c>
      <c r="I390" s="31">
        <f>VLOOKUP(H390,color!E:G,2,0)</f>
        <v/>
      </c>
      <c r="J390" s="31" t="n">
        <v>59</v>
      </c>
      <c r="K390" s="31">
        <f>VLOOKUP(J390,color!A:C,2,0)</f>
        <v/>
      </c>
      <c r="L390" s="31" t="n">
        <v>1</v>
      </c>
      <c r="M390" s="31">
        <f>VLOOKUP(F390,'卖场库存0422-0512'!M:R,5,0)</f>
        <v/>
      </c>
      <c r="N390" s="31">
        <f>VLOOKUP(F390,'卖场库存0422-0512'!M:S,6,0)</f>
        <v/>
      </c>
      <c r="O390" s="31" t="inlineStr">
        <is>
          <t>Sleeve out</t>
        </is>
      </c>
      <c r="P390" s="30">
        <f>VLOOKUP(F390,'卖场库存0422-0512'!M:S,7,0)</f>
        <v/>
      </c>
      <c r="Q390" s="31">
        <f>VLOOKUP(H390,color!E:G,3,0)</f>
        <v/>
      </c>
    </row>
    <row r="391">
      <c r="A391" s="31" t="n">
        <v>390</v>
      </c>
      <c r="B391" s="22" t="inlineStr">
        <is>
          <t>H003</t>
        </is>
      </c>
      <c r="C391" s="31" t="inlineStr">
        <is>
          <t>HANGER 003</t>
        </is>
      </c>
      <c r="D391" s="31" t="inlineStr">
        <is>
          <t>HANGER</t>
        </is>
      </c>
      <c r="E391" s="29" t="inlineStr">
        <is>
          <t>여성존</t>
        </is>
      </c>
      <c r="F391" s="31" t="inlineStr">
        <is>
          <t>EEKWG24E0318165</t>
        </is>
      </c>
      <c r="G391" s="31">
        <f>LEFT(F391,10)</f>
        <v/>
      </c>
      <c r="H391" s="31">
        <f>MID(G391,3,2)</f>
        <v/>
      </c>
      <c r="I391" s="31">
        <f>VLOOKUP(H391,color!E:G,2,0)</f>
        <v/>
      </c>
      <c r="J391" s="31" t="n">
        <v>18</v>
      </c>
      <c r="K391" s="31">
        <f>VLOOKUP(J391,color!A:C,2,0)</f>
        <v/>
      </c>
      <c r="L391" s="31" t="n">
        <v>1</v>
      </c>
      <c r="M391" s="31">
        <f>VLOOKUP(F391,'卖场库存0422-0512'!M:R,5,0)</f>
        <v/>
      </c>
      <c r="N391" s="31">
        <f>VLOOKUP(F391,'卖场库存0422-0512'!M:S,6,0)</f>
        <v/>
      </c>
      <c r="O391" s="31" t="inlineStr">
        <is>
          <t>Sleeve out</t>
        </is>
      </c>
      <c r="P391" s="30">
        <f>VLOOKUP(F391,'卖场库存0422-0512'!M:S,7,0)</f>
        <v/>
      </c>
      <c r="Q391" s="31">
        <f>VLOOKUP(H391,color!E:G,3,0)</f>
        <v/>
      </c>
    </row>
    <row r="392">
      <c r="A392" s="31" t="n">
        <v>391</v>
      </c>
      <c r="B392" s="22" t="inlineStr">
        <is>
          <t>H003</t>
        </is>
      </c>
      <c r="C392" s="31" t="inlineStr">
        <is>
          <t>HANGER 003</t>
        </is>
      </c>
      <c r="D392" s="31" t="inlineStr">
        <is>
          <t>HANGER</t>
        </is>
      </c>
      <c r="E392" s="29" t="inlineStr">
        <is>
          <t>여성존</t>
        </is>
      </c>
      <c r="F392" s="31" t="inlineStr">
        <is>
          <t>EEKWG24E0318175</t>
        </is>
      </c>
      <c r="G392" s="31">
        <f>LEFT(F392,10)</f>
        <v/>
      </c>
      <c r="H392" s="31">
        <f>MID(G392,3,2)</f>
        <v/>
      </c>
      <c r="I392" s="31">
        <f>VLOOKUP(H392,color!E:G,2,0)</f>
        <v/>
      </c>
      <c r="J392" s="31" t="n">
        <v>18</v>
      </c>
      <c r="K392" s="31">
        <f>VLOOKUP(J392,color!A:C,2,0)</f>
        <v/>
      </c>
      <c r="L392" s="31" t="n">
        <v>1</v>
      </c>
      <c r="M392" s="31">
        <f>VLOOKUP(F392,'卖场库存0422-0512'!M:R,5,0)</f>
        <v/>
      </c>
      <c r="N392" s="31">
        <f>VLOOKUP(F392,'卖场库存0422-0512'!M:S,6,0)</f>
        <v/>
      </c>
      <c r="O392" s="31" t="inlineStr">
        <is>
          <t>Sleeve out</t>
        </is>
      </c>
      <c r="P392" s="30">
        <f>VLOOKUP(F392,'卖场库存0422-0512'!M:S,7,0)</f>
        <v/>
      </c>
      <c r="Q392" s="31">
        <f>VLOOKUP(H392,color!E:G,3,0)</f>
        <v/>
      </c>
    </row>
    <row r="393">
      <c r="A393" s="31" t="n">
        <v>392</v>
      </c>
      <c r="B393" s="22" t="inlineStr">
        <is>
          <t>H003</t>
        </is>
      </c>
      <c r="C393" s="31" t="inlineStr">
        <is>
          <t>HANGER 003</t>
        </is>
      </c>
      <c r="D393" s="31" t="inlineStr">
        <is>
          <t>HANGER</t>
        </is>
      </c>
      <c r="E393" s="29" t="inlineStr">
        <is>
          <t>여성존</t>
        </is>
      </c>
      <c r="F393" s="31" t="inlineStr">
        <is>
          <t>EEKWG24B5131165</t>
        </is>
      </c>
      <c r="G393" s="31">
        <f>LEFT(F393,10)</f>
        <v/>
      </c>
      <c r="H393" s="31">
        <f>MID(G393,3,2)</f>
        <v/>
      </c>
      <c r="I393" s="31">
        <f>VLOOKUP(H393,color!E:G,2,0)</f>
        <v/>
      </c>
      <c r="J393" s="31" t="n">
        <v>31</v>
      </c>
      <c r="K393" s="31">
        <f>VLOOKUP(J393,color!A:C,2,0)</f>
        <v/>
      </c>
      <c r="L393" s="31" t="n">
        <v>1</v>
      </c>
      <c r="M393" s="31">
        <f>VLOOKUP(F393,'卖场库存0422-0512'!M:R,5,0)</f>
        <v/>
      </c>
      <c r="N393" s="31">
        <f>VLOOKUP(F393,'卖场库存0422-0512'!M:S,6,0)</f>
        <v/>
      </c>
      <c r="O393" s="31" t="inlineStr">
        <is>
          <t>Sleeve out</t>
        </is>
      </c>
      <c r="P393" s="30">
        <f>VLOOKUP(F393,'卖场库存0422-0512'!M:S,7,0)</f>
        <v/>
      </c>
      <c r="Q393" s="31">
        <f>VLOOKUP(H393,color!E:G,3,0)</f>
        <v/>
      </c>
    </row>
    <row r="394">
      <c r="A394" s="31" t="n">
        <v>393</v>
      </c>
      <c r="B394" s="22" t="inlineStr">
        <is>
          <t>H003</t>
        </is>
      </c>
      <c r="C394" s="31" t="inlineStr">
        <is>
          <t>HANGER 003</t>
        </is>
      </c>
      <c r="D394" s="31" t="inlineStr">
        <is>
          <t>HANGER</t>
        </is>
      </c>
      <c r="E394" s="29" t="inlineStr">
        <is>
          <t>여성존</t>
        </is>
      </c>
      <c r="F394" s="31" t="inlineStr">
        <is>
          <t>EEKWG24B5131170</t>
        </is>
      </c>
      <c r="G394" s="31">
        <f>LEFT(F394,10)</f>
        <v/>
      </c>
      <c r="H394" s="31">
        <f>MID(G394,3,2)</f>
        <v/>
      </c>
      <c r="I394" s="31">
        <f>VLOOKUP(H394,color!E:G,2,0)</f>
        <v/>
      </c>
      <c r="J394" s="31" t="n">
        <v>31</v>
      </c>
      <c r="K394" s="31">
        <f>VLOOKUP(J394,color!A:C,2,0)</f>
        <v/>
      </c>
      <c r="L394" s="31" t="n">
        <v>1</v>
      </c>
      <c r="M394" s="31">
        <f>VLOOKUP(F394,'卖场库存0422-0512'!M:R,5,0)</f>
        <v/>
      </c>
      <c r="N394" s="31">
        <f>VLOOKUP(F394,'卖场库存0422-0512'!M:S,6,0)</f>
        <v/>
      </c>
      <c r="O394" s="31" t="inlineStr">
        <is>
          <t>Sleeve out</t>
        </is>
      </c>
      <c r="P394" s="30">
        <f>VLOOKUP(F394,'卖场库存0422-0512'!M:S,7,0)</f>
        <v/>
      </c>
      <c r="Q394" s="31">
        <f>VLOOKUP(H394,color!E:G,3,0)</f>
        <v/>
      </c>
    </row>
    <row r="395">
      <c r="A395" s="31" t="n">
        <v>394</v>
      </c>
      <c r="B395" s="22" t="inlineStr">
        <is>
          <t>H003</t>
        </is>
      </c>
      <c r="C395" s="31" t="inlineStr">
        <is>
          <t>HANGER 003</t>
        </is>
      </c>
      <c r="D395" s="31" t="inlineStr">
        <is>
          <t>HANGER</t>
        </is>
      </c>
      <c r="E395" s="29" t="inlineStr">
        <is>
          <t>여성존</t>
        </is>
      </c>
      <c r="F395" s="31" t="inlineStr">
        <is>
          <t>EEKWG24B5188170</t>
        </is>
      </c>
      <c r="G395" s="31">
        <f>LEFT(F395,10)</f>
        <v/>
      </c>
      <c r="H395" s="31">
        <f>MID(G395,3,2)</f>
        <v/>
      </c>
      <c r="I395" s="31">
        <f>VLOOKUP(H395,color!E:G,2,0)</f>
        <v/>
      </c>
      <c r="J395" s="31" t="n">
        <v>88</v>
      </c>
      <c r="K395" s="31">
        <f>VLOOKUP(J395,color!A:C,2,0)</f>
        <v/>
      </c>
      <c r="L395" s="31" t="n">
        <v>1</v>
      </c>
      <c r="M395" s="31">
        <f>VLOOKUP(F395,'卖场库存0422-0512'!M:R,5,0)</f>
        <v/>
      </c>
      <c r="N395" s="31">
        <f>VLOOKUP(F395,'卖场库存0422-0512'!M:S,6,0)</f>
        <v/>
      </c>
      <c r="O395" s="31" t="inlineStr">
        <is>
          <t>Sleeve out</t>
        </is>
      </c>
      <c r="P395" s="30">
        <f>VLOOKUP(F395,'卖场库存0422-0512'!M:S,7,0)</f>
        <v/>
      </c>
      <c r="Q395" s="31">
        <f>VLOOKUP(H395,color!E:G,3,0)</f>
        <v/>
      </c>
    </row>
    <row r="396">
      <c r="A396" s="31" t="n">
        <v>395</v>
      </c>
      <c r="B396" s="22" t="inlineStr">
        <is>
          <t>H003</t>
        </is>
      </c>
      <c r="C396" s="31" t="inlineStr">
        <is>
          <t>HANGER 003</t>
        </is>
      </c>
      <c r="D396" s="31" t="inlineStr">
        <is>
          <t>HANGER</t>
        </is>
      </c>
      <c r="E396" s="29" t="inlineStr">
        <is>
          <t>여성존</t>
        </is>
      </c>
      <c r="F396" s="31" t="inlineStr">
        <is>
          <t>EEKWG24B5139160</t>
        </is>
      </c>
      <c r="G396" s="31">
        <f>LEFT(F396,10)</f>
        <v/>
      </c>
      <c r="H396" s="31">
        <f>MID(G396,3,2)</f>
        <v/>
      </c>
      <c r="I396" s="31">
        <f>VLOOKUP(H396,color!E:G,2,0)</f>
        <v/>
      </c>
      <c r="J396" s="31" t="n">
        <v>39</v>
      </c>
      <c r="K396" s="31">
        <f>VLOOKUP(J396,color!A:C,2,0)</f>
        <v/>
      </c>
      <c r="L396" s="31" t="n">
        <v>1</v>
      </c>
      <c r="M396" s="31">
        <f>VLOOKUP(F396,'卖场库存0422-0512'!M:R,5,0)</f>
        <v/>
      </c>
      <c r="N396" s="31">
        <f>VLOOKUP(F396,'卖场库存0422-0512'!M:S,6,0)</f>
        <v/>
      </c>
      <c r="O396" s="31" t="inlineStr">
        <is>
          <t>Sleeve out</t>
        </is>
      </c>
      <c r="P396" s="30">
        <f>VLOOKUP(F396,'卖场库存0422-0512'!M:S,7,0)</f>
        <v/>
      </c>
      <c r="Q396" s="31">
        <f>VLOOKUP(H396,color!E:G,3,0)</f>
        <v/>
      </c>
    </row>
    <row r="397">
      <c r="A397" s="31" t="n">
        <v>396</v>
      </c>
      <c r="B397" s="22" t="inlineStr">
        <is>
          <t>H003</t>
        </is>
      </c>
      <c r="C397" s="31" t="inlineStr">
        <is>
          <t>HANGER 003</t>
        </is>
      </c>
      <c r="D397" s="31" t="inlineStr">
        <is>
          <t>HANGER</t>
        </is>
      </c>
      <c r="E397" s="29" t="inlineStr">
        <is>
          <t>여성존</t>
        </is>
      </c>
      <c r="F397" s="31" t="inlineStr">
        <is>
          <t>EEKWG24B5139165</t>
        </is>
      </c>
      <c r="G397" s="31">
        <f>LEFT(F397,10)</f>
        <v/>
      </c>
      <c r="H397" s="31">
        <f>MID(G397,3,2)</f>
        <v/>
      </c>
      <c r="I397" s="31">
        <f>VLOOKUP(H397,color!E:G,2,0)</f>
        <v/>
      </c>
      <c r="J397" s="31" t="n">
        <v>39</v>
      </c>
      <c r="K397" s="31">
        <f>VLOOKUP(J397,color!A:C,2,0)</f>
        <v/>
      </c>
      <c r="L397" s="31" t="n">
        <v>1</v>
      </c>
      <c r="M397" s="31">
        <f>VLOOKUP(F397,'卖场库存0422-0512'!M:R,5,0)</f>
        <v/>
      </c>
      <c r="N397" s="31">
        <f>VLOOKUP(F397,'卖场库存0422-0512'!M:S,6,0)</f>
        <v/>
      </c>
      <c r="O397" s="31" t="inlineStr">
        <is>
          <t>Sleeve out</t>
        </is>
      </c>
      <c r="P397" s="30">
        <f>VLOOKUP(F397,'卖场库存0422-0512'!M:S,7,0)</f>
        <v/>
      </c>
      <c r="Q397" s="31">
        <f>VLOOKUP(H397,color!E:G,3,0)</f>
        <v/>
      </c>
    </row>
    <row r="398">
      <c r="A398" s="31" t="n">
        <v>397</v>
      </c>
      <c r="B398" s="22" t="inlineStr">
        <is>
          <t>H003</t>
        </is>
      </c>
      <c r="C398" s="31" t="inlineStr">
        <is>
          <t>HANGER 003</t>
        </is>
      </c>
      <c r="D398" s="31" t="inlineStr">
        <is>
          <t>HANGER</t>
        </is>
      </c>
      <c r="E398" s="29" t="inlineStr">
        <is>
          <t>여성존</t>
        </is>
      </c>
      <c r="F398" s="31" t="inlineStr">
        <is>
          <t>EEVKG24E0139165</t>
        </is>
      </c>
      <c r="G398" s="31">
        <f>LEFT(F398,10)</f>
        <v/>
      </c>
      <c r="H398" s="31">
        <f>MID(G398,3,2)</f>
        <v/>
      </c>
      <c r="I398" s="31">
        <f>VLOOKUP(H398,color!E:G,2,0)</f>
        <v/>
      </c>
      <c r="J398" s="31" t="n">
        <v>39</v>
      </c>
      <c r="K398" s="31">
        <f>VLOOKUP(J398,color!A:C,2,0)</f>
        <v/>
      </c>
      <c r="L398" s="31" t="n">
        <v>1</v>
      </c>
      <c r="M398" s="31">
        <f>VLOOKUP(F398,'卖场库存0422-0512'!M:R,5,0)</f>
        <v/>
      </c>
      <c r="N398" s="31">
        <f>VLOOKUP(F398,'卖场库存0422-0512'!M:S,6,0)</f>
        <v/>
      </c>
      <c r="O398" s="31" t="inlineStr">
        <is>
          <t>Sleeve out</t>
        </is>
      </c>
      <c r="P398" s="30">
        <f>VLOOKUP(F398,'卖场库存0422-0512'!M:S,7,0)</f>
        <v/>
      </c>
      <c r="Q398" s="31">
        <f>VLOOKUP(H398,color!E:G,3,0)</f>
        <v/>
      </c>
    </row>
    <row r="399">
      <c r="A399" s="31" t="n">
        <v>398</v>
      </c>
      <c r="B399" s="22" t="inlineStr">
        <is>
          <t>H003</t>
        </is>
      </c>
      <c r="C399" s="31" t="inlineStr">
        <is>
          <t>HANGER 003</t>
        </is>
      </c>
      <c r="D399" s="31" t="inlineStr">
        <is>
          <t>HANGER</t>
        </is>
      </c>
      <c r="E399" s="29" t="inlineStr">
        <is>
          <t>여성존</t>
        </is>
      </c>
      <c r="F399" s="31" t="inlineStr">
        <is>
          <t>EEVKG24E0139160</t>
        </is>
      </c>
      <c r="G399" s="31">
        <f>LEFT(F399,10)</f>
        <v/>
      </c>
      <c r="H399" s="31">
        <f>MID(G399,3,2)</f>
        <v/>
      </c>
      <c r="I399" s="31">
        <f>VLOOKUP(H399,color!E:G,2,0)</f>
        <v/>
      </c>
      <c r="J399" s="31" t="n">
        <v>39</v>
      </c>
      <c r="K399" s="31">
        <f>VLOOKUP(J399,color!A:C,2,0)</f>
        <v/>
      </c>
      <c r="L399" s="31" t="n">
        <v>1</v>
      </c>
      <c r="M399" s="31">
        <f>VLOOKUP(F399,'卖场库存0422-0512'!M:R,5,0)</f>
        <v/>
      </c>
      <c r="N399" s="31">
        <f>VLOOKUP(F399,'卖场库存0422-0512'!M:S,6,0)</f>
        <v/>
      </c>
      <c r="O399" s="31" t="inlineStr">
        <is>
          <t>Sleeve out</t>
        </is>
      </c>
      <c r="P399" s="30">
        <f>VLOOKUP(F399,'卖场库存0422-0512'!M:S,7,0)</f>
        <v/>
      </c>
      <c r="Q399" s="31">
        <f>VLOOKUP(H399,color!E:G,3,0)</f>
        <v/>
      </c>
    </row>
    <row r="400">
      <c r="A400" s="31" t="n">
        <v>399</v>
      </c>
      <c r="B400" s="22" t="inlineStr">
        <is>
          <t>H003</t>
        </is>
      </c>
      <c r="C400" s="31" t="inlineStr">
        <is>
          <t>HANGER 003</t>
        </is>
      </c>
      <c r="D400" s="31" t="inlineStr">
        <is>
          <t>HANGER</t>
        </is>
      </c>
      <c r="E400" s="29" t="inlineStr">
        <is>
          <t>여성존</t>
        </is>
      </c>
      <c r="F400" s="31" t="inlineStr">
        <is>
          <t>EEVKG24E0118165</t>
        </is>
      </c>
      <c r="G400" s="31">
        <f>LEFT(F400,10)</f>
        <v/>
      </c>
      <c r="H400" s="31">
        <f>MID(G400,3,2)</f>
        <v/>
      </c>
      <c r="I400" s="31">
        <f>VLOOKUP(H400,color!E:G,2,0)</f>
        <v/>
      </c>
      <c r="J400" s="31" t="n">
        <v>18</v>
      </c>
      <c r="K400" s="31">
        <f>VLOOKUP(J400,color!A:C,2,0)</f>
        <v/>
      </c>
      <c r="L400" s="31" t="n">
        <v>1</v>
      </c>
      <c r="M400" s="31">
        <f>VLOOKUP(F400,'卖场库存0422-0512'!M:R,5,0)</f>
        <v/>
      </c>
      <c r="N400" s="31">
        <f>VLOOKUP(F400,'卖场库存0422-0512'!M:S,6,0)</f>
        <v/>
      </c>
      <c r="O400" s="31" t="inlineStr">
        <is>
          <t>Sleeve out</t>
        </is>
      </c>
      <c r="P400" s="30">
        <f>VLOOKUP(F400,'卖场库存0422-0512'!M:S,7,0)</f>
        <v/>
      </c>
      <c r="Q400" s="31">
        <f>VLOOKUP(H400,color!E:G,3,0)</f>
        <v/>
      </c>
    </row>
    <row r="401">
      <c r="A401" s="31" t="n">
        <v>400</v>
      </c>
      <c r="B401" s="22" t="inlineStr">
        <is>
          <t>H003</t>
        </is>
      </c>
      <c r="C401" s="31" t="inlineStr">
        <is>
          <t>HANGER 003</t>
        </is>
      </c>
      <c r="D401" s="31" t="inlineStr">
        <is>
          <t>HANGER</t>
        </is>
      </c>
      <c r="E401" s="29" t="inlineStr">
        <is>
          <t>여성존</t>
        </is>
      </c>
      <c r="F401" s="31" t="inlineStr">
        <is>
          <t>EEVKG24E0118160</t>
        </is>
      </c>
      <c r="G401" s="31">
        <f>LEFT(F401,10)</f>
        <v/>
      </c>
      <c r="H401" s="31">
        <f>MID(G401,3,2)</f>
        <v/>
      </c>
      <c r="I401" s="31">
        <f>VLOOKUP(H401,color!E:G,2,0)</f>
        <v/>
      </c>
      <c r="J401" s="31" t="n">
        <v>18</v>
      </c>
      <c r="K401" s="31">
        <f>VLOOKUP(J401,color!A:C,2,0)</f>
        <v/>
      </c>
      <c r="L401" s="31" t="n">
        <v>1</v>
      </c>
      <c r="M401" s="31">
        <f>VLOOKUP(F401,'卖场库存0422-0512'!M:R,5,0)</f>
        <v/>
      </c>
      <c r="N401" s="31">
        <f>VLOOKUP(F401,'卖场库存0422-0512'!M:S,6,0)</f>
        <v/>
      </c>
      <c r="O401" s="31" t="inlineStr">
        <is>
          <t>Sleeve out</t>
        </is>
      </c>
      <c r="P401" s="30">
        <f>VLOOKUP(F401,'卖场库存0422-0512'!M:S,7,0)</f>
        <v/>
      </c>
      <c r="Q401" s="31">
        <f>VLOOKUP(H401,color!E:G,3,0)</f>
        <v/>
      </c>
    </row>
    <row r="402">
      <c r="A402" s="31" t="n">
        <v>401</v>
      </c>
      <c r="B402" s="22" t="inlineStr">
        <is>
          <t>H003</t>
        </is>
      </c>
      <c r="C402" s="31" t="inlineStr">
        <is>
          <t>HANGER 003</t>
        </is>
      </c>
      <c r="D402" s="31" t="inlineStr">
        <is>
          <t>HANGER</t>
        </is>
      </c>
      <c r="E402" s="29" t="inlineStr">
        <is>
          <t>여성존</t>
        </is>
      </c>
      <c r="F402" s="31" t="inlineStr">
        <is>
          <t>EEKWG24E0215160</t>
        </is>
      </c>
      <c r="G402" s="31">
        <f>LEFT(F402,10)</f>
        <v/>
      </c>
      <c r="H402" s="31">
        <f>MID(G402,3,2)</f>
        <v/>
      </c>
      <c r="I402" s="31">
        <f>VLOOKUP(H402,color!E:G,2,0)</f>
        <v/>
      </c>
      <c r="J402" s="31" t="n">
        <v>15</v>
      </c>
      <c r="K402" s="31">
        <f>VLOOKUP(J402,color!A:C,2,0)</f>
        <v/>
      </c>
      <c r="L402" s="31" t="n">
        <v>1</v>
      </c>
      <c r="M402" s="31">
        <f>VLOOKUP(F402,'卖场库存0422-0512'!M:R,5,0)</f>
        <v/>
      </c>
      <c r="N402" s="31">
        <f>VLOOKUP(F402,'卖场库存0422-0512'!M:S,6,0)</f>
        <v/>
      </c>
      <c r="O402" s="31" t="inlineStr">
        <is>
          <t>Sleeve out</t>
        </is>
      </c>
      <c r="P402" s="30">
        <f>VLOOKUP(F402,'卖场库存0422-0512'!M:S,7,0)</f>
        <v/>
      </c>
      <c r="Q402" s="31">
        <f>VLOOKUP(H402,color!E:G,3,0)</f>
        <v/>
      </c>
    </row>
    <row r="403">
      <c r="A403" s="31" t="n">
        <v>402</v>
      </c>
      <c r="B403" s="22" t="inlineStr">
        <is>
          <t>H003</t>
        </is>
      </c>
      <c r="C403" s="31" t="inlineStr">
        <is>
          <t>HANGER 003</t>
        </is>
      </c>
      <c r="D403" s="31" t="inlineStr">
        <is>
          <t>HANGER</t>
        </is>
      </c>
      <c r="E403" s="29" t="inlineStr">
        <is>
          <t>여성존</t>
        </is>
      </c>
      <c r="F403" s="31" t="inlineStr">
        <is>
          <t>EEKWG24E0215165</t>
        </is>
      </c>
      <c r="G403" s="31">
        <f>LEFT(F403,10)</f>
        <v/>
      </c>
      <c r="H403" s="31">
        <f>MID(G403,3,2)</f>
        <v/>
      </c>
      <c r="I403" s="31">
        <f>VLOOKUP(H403,color!E:G,2,0)</f>
        <v/>
      </c>
      <c r="J403" s="31" t="n">
        <v>15</v>
      </c>
      <c r="K403" s="31">
        <f>VLOOKUP(J403,color!A:C,2,0)</f>
        <v/>
      </c>
      <c r="L403" s="31" t="n">
        <v>1</v>
      </c>
      <c r="M403" s="31">
        <f>VLOOKUP(F403,'卖场库存0422-0512'!M:R,5,0)</f>
        <v/>
      </c>
      <c r="N403" s="31">
        <f>VLOOKUP(F403,'卖场库存0422-0512'!M:S,6,0)</f>
        <v/>
      </c>
      <c r="O403" s="31" t="inlineStr">
        <is>
          <t>Sleeve out</t>
        </is>
      </c>
      <c r="P403" s="30">
        <f>VLOOKUP(F403,'卖场库存0422-0512'!M:S,7,0)</f>
        <v/>
      </c>
      <c r="Q403" s="31">
        <f>VLOOKUP(H403,color!E:G,3,0)</f>
        <v/>
      </c>
    </row>
    <row r="404">
      <c r="A404" s="31" t="n">
        <v>403</v>
      </c>
      <c r="B404" s="22" t="inlineStr">
        <is>
          <t>H003</t>
        </is>
      </c>
      <c r="C404" s="31" t="inlineStr">
        <is>
          <t>HANGER 003</t>
        </is>
      </c>
      <c r="D404" s="31" t="inlineStr">
        <is>
          <t>HANGER</t>
        </is>
      </c>
      <c r="E404" s="29" t="inlineStr">
        <is>
          <t>여성존</t>
        </is>
      </c>
      <c r="F404" s="31" t="inlineStr">
        <is>
          <t>EEKWG24E0118170</t>
        </is>
      </c>
      <c r="G404" s="31">
        <f>LEFT(F404,10)</f>
        <v/>
      </c>
      <c r="H404" s="31">
        <f>MID(G404,3,2)</f>
        <v/>
      </c>
      <c r="I404" s="31">
        <f>VLOOKUP(H404,color!E:G,2,0)</f>
        <v/>
      </c>
      <c r="J404" s="31" t="n">
        <v>18</v>
      </c>
      <c r="K404" s="31">
        <f>VLOOKUP(J404,color!A:C,2,0)</f>
        <v/>
      </c>
      <c r="L404" s="31" t="n">
        <v>1</v>
      </c>
      <c r="M404" s="31">
        <f>VLOOKUP(F404,'卖场库存0422-0512'!M:R,5,0)</f>
        <v/>
      </c>
      <c r="N404" s="31">
        <f>VLOOKUP(F404,'卖场库存0422-0512'!M:S,6,0)</f>
        <v/>
      </c>
      <c r="O404" s="31" t="inlineStr">
        <is>
          <t>Sleeve out</t>
        </is>
      </c>
      <c r="P404" s="30">
        <f>VLOOKUP(F404,'卖场库存0422-0512'!M:S,7,0)</f>
        <v/>
      </c>
      <c r="Q404" s="31">
        <f>VLOOKUP(H404,color!E:G,3,0)</f>
        <v/>
      </c>
    </row>
    <row r="405">
      <c r="A405" s="31" t="n">
        <v>404</v>
      </c>
      <c r="B405" s="22" t="inlineStr">
        <is>
          <t>H003</t>
        </is>
      </c>
      <c r="C405" s="31" t="inlineStr">
        <is>
          <t>HANGER 003</t>
        </is>
      </c>
      <c r="D405" s="31" t="inlineStr">
        <is>
          <t>HANGER</t>
        </is>
      </c>
      <c r="E405" s="29" t="inlineStr">
        <is>
          <t>여성존</t>
        </is>
      </c>
      <c r="F405" s="31" t="inlineStr">
        <is>
          <t>EEKWG24E0118160</t>
        </is>
      </c>
      <c r="G405" s="31">
        <f>LEFT(F405,10)</f>
        <v/>
      </c>
      <c r="H405" s="31">
        <f>MID(G405,3,2)</f>
        <v/>
      </c>
      <c r="I405" s="31">
        <f>VLOOKUP(H405,color!E:G,2,0)</f>
        <v/>
      </c>
      <c r="J405" s="31" t="n">
        <v>18</v>
      </c>
      <c r="K405" s="31">
        <f>VLOOKUP(J405,color!A:C,2,0)</f>
        <v/>
      </c>
      <c r="L405" s="31" t="n">
        <v>1</v>
      </c>
      <c r="M405" s="31">
        <f>VLOOKUP(F405,'卖场库存0422-0512'!M:R,5,0)</f>
        <v/>
      </c>
      <c r="N405" s="31">
        <f>VLOOKUP(F405,'卖场库存0422-0512'!M:S,6,0)</f>
        <v/>
      </c>
      <c r="O405" s="31" t="inlineStr">
        <is>
          <t>Sleeve out</t>
        </is>
      </c>
      <c r="P405" s="30">
        <f>VLOOKUP(F405,'卖场库存0422-0512'!M:S,7,0)</f>
        <v/>
      </c>
      <c r="Q405" s="31">
        <f>VLOOKUP(H405,color!E:G,3,0)</f>
        <v/>
      </c>
    </row>
    <row r="406">
      <c r="A406" s="31" t="n">
        <v>405</v>
      </c>
      <c r="B406" s="22" t="inlineStr">
        <is>
          <t>H003</t>
        </is>
      </c>
      <c r="C406" s="31" t="inlineStr">
        <is>
          <t>HANGER 003</t>
        </is>
      </c>
      <c r="D406" s="31" t="inlineStr">
        <is>
          <t>HANGER</t>
        </is>
      </c>
      <c r="E406" s="29" t="inlineStr">
        <is>
          <t>여성존</t>
        </is>
      </c>
      <c r="F406" s="31" t="inlineStr">
        <is>
          <t>EEKWG24E0251160</t>
        </is>
      </c>
      <c r="G406" s="31">
        <f>LEFT(F406,10)</f>
        <v/>
      </c>
      <c r="H406" s="31">
        <f>MID(G406,3,2)</f>
        <v/>
      </c>
      <c r="I406" s="31">
        <f>VLOOKUP(H406,color!E:G,2,0)</f>
        <v/>
      </c>
      <c r="J406" s="31" t="n">
        <v>51</v>
      </c>
      <c r="K406" s="31">
        <f>VLOOKUP(J406,color!A:C,2,0)</f>
        <v/>
      </c>
      <c r="L406" s="31" t="n">
        <v>1</v>
      </c>
      <c r="M406" s="31">
        <f>VLOOKUP(F406,'卖场库存0422-0512'!M:R,5,0)</f>
        <v/>
      </c>
      <c r="N406" s="31">
        <f>VLOOKUP(F406,'卖场库存0422-0512'!M:S,6,0)</f>
        <v/>
      </c>
      <c r="O406" s="31" t="inlineStr">
        <is>
          <t>Sleeve out</t>
        </is>
      </c>
      <c r="P406" s="30">
        <f>VLOOKUP(F406,'卖场库存0422-0512'!M:S,7,0)</f>
        <v/>
      </c>
      <c r="Q406" s="31">
        <f>VLOOKUP(H406,color!E:G,3,0)</f>
        <v/>
      </c>
    </row>
    <row r="407">
      <c r="A407" s="31" t="n">
        <v>406</v>
      </c>
      <c r="B407" s="22" t="inlineStr">
        <is>
          <t>H003</t>
        </is>
      </c>
      <c r="C407" s="31" t="inlineStr">
        <is>
          <t>HANGER 003</t>
        </is>
      </c>
      <c r="D407" s="31" t="inlineStr">
        <is>
          <t>HANGER</t>
        </is>
      </c>
      <c r="E407" s="29" t="inlineStr">
        <is>
          <t>여성존</t>
        </is>
      </c>
      <c r="F407" s="31" t="inlineStr">
        <is>
          <t>EEKWG24E0251170</t>
        </is>
      </c>
      <c r="G407" s="31">
        <f>LEFT(F407,10)</f>
        <v/>
      </c>
      <c r="H407" s="31">
        <f>MID(G407,3,2)</f>
        <v/>
      </c>
      <c r="I407" s="31">
        <f>VLOOKUP(H407,color!E:G,2,0)</f>
        <v/>
      </c>
      <c r="J407" s="31" t="n">
        <v>51</v>
      </c>
      <c r="K407" s="31">
        <f>VLOOKUP(J407,color!A:C,2,0)</f>
        <v/>
      </c>
      <c r="L407" s="31" t="n">
        <v>1</v>
      </c>
      <c r="M407" s="31">
        <f>VLOOKUP(F407,'卖场库存0422-0512'!M:R,5,0)</f>
        <v/>
      </c>
      <c r="N407" s="31">
        <f>VLOOKUP(F407,'卖场库存0422-0512'!M:S,6,0)</f>
        <v/>
      </c>
      <c r="O407" s="31" t="inlineStr">
        <is>
          <t>Sleeve out</t>
        </is>
      </c>
      <c r="P407" s="30">
        <f>VLOOKUP(F407,'卖场库存0422-0512'!M:S,7,0)</f>
        <v/>
      </c>
      <c r="Q407" s="31">
        <f>VLOOKUP(H407,color!E:G,3,0)</f>
        <v/>
      </c>
    </row>
    <row r="408">
      <c r="A408" s="31" t="n">
        <v>407</v>
      </c>
      <c r="B408" s="22" t="inlineStr">
        <is>
          <t>H003</t>
        </is>
      </c>
      <c r="C408" s="31" t="inlineStr">
        <is>
          <t>HANGER 003</t>
        </is>
      </c>
      <c r="D408" s="31" t="inlineStr">
        <is>
          <t>HANGER</t>
        </is>
      </c>
      <c r="E408" s="29" t="inlineStr">
        <is>
          <t>여성존</t>
        </is>
      </c>
      <c r="F408" s="31" t="inlineStr">
        <is>
          <t>EEKWG24E0288165</t>
        </is>
      </c>
      <c r="G408" s="31">
        <f>LEFT(F408,10)</f>
        <v/>
      </c>
      <c r="H408" s="31">
        <f>MID(G408,3,2)</f>
        <v/>
      </c>
      <c r="I408" s="31">
        <f>VLOOKUP(H408,color!E:G,2,0)</f>
        <v/>
      </c>
      <c r="J408" s="31" t="n">
        <v>88</v>
      </c>
      <c r="K408" s="31">
        <f>VLOOKUP(J408,color!A:C,2,0)</f>
        <v/>
      </c>
      <c r="L408" s="31" t="n">
        <v>1</v>
      </c>
      <c r="M408" s="31">
        <f>VLOOKUP(F408,'卖场库存0422-0512'!M:R,5,0)</f>
        <v/>
      </c>
      <c r="N408" s="31">
        <f>VLOOKUP(F408,'卖场库存0422-0512'!M:S,6,0)</f>
        <v/>
      </c>
      <c r="O408" s="31" t="inlineStr">
        <is>
          <t>Sleeve out</t>
        </is>
      </c>
      <c r="P408" s="30">
        <f>VLOOKUP(F408,'卖场库存0422-0512'!M:S,7,0)</f>
        <v/>
      </c>
      <c r="Q408" s="31">
        <f>VLOOKUP(H408,color!E:G,3,0)</f>
        <v/>
      </c>
    </row>
    <row r="409">
      <c r="A409" s="31" t="n">
        <v>408</v>
      </c>
      <c r="B409" s="22" t="inlineStr">
        <is>
          <t>H003</t>
        </is>
      </c>
      <c r="C409" s="31" t="inlineStr">
        <is>
          <t>HANGER 003</t>
        </is>
      </c>
      <c r="D409" s="31" t="inlineStr">
        <is>
          <t>HANGER</t>
        </is>
      </c>
      <c r="E409" s="29" t="inlineStr">
        <is>
          <t>여성존</t>
        </is>
      </c>
      <c r="F409" s="31" t="inlineStr">
        <is>
          <t>EEKWG24E0239160</t>
        </is>
      </c>
      <c r="G409" s="31">
        <f>LEFT(F409,10)</f>
        <v/>
      </c>
      <c r="H409" s="31">
        <f>MID(G409,3,2)</f>
        <v/>
      </c>
      <c r="I409" s="31">
        <f>VLOOKUP(H409,color!E:G,2,0)</f>
        <v/>
      </c>
      <c r="J409" s="31" t="n">
        <v>39</v>
      </c>
      <c r="K409" s="31">
        <f>VLOOKUP(J409,color!A:C,2,0)</f>
        <v/>
      </c>
      <c r="L409" s="31" t="n">
        <v>1</v>
      </c>
      <c r="M409" s="31">
        <f>VLOOKUP(F409,'卖场库存0422-0512'!M:R,5,0)</f>
        <v/>
      </c>
      <c r="N409" s="31">
        <f>VLOOKUP(F409,'卖场库存0422-0512'!M:S,6,0)</f>
        <v/>
      </c>
      <c r="O409" s="31" t="inlineStr">
        <is>
          <t>Sleeve out</t>
        </is>
      </c>
      <c r="P409" s="30">
        <f>VLOOKUP(F409,'卖场库存0422-0512'!M:S,7,0)</f>
        <v/>
      </c>
      <c r="Q409" s="31">
        <f>VLOOKUP(H409,color!E:G,3,0)</f>
        <v/>
      </c>
    </row>
    <row r="410">
      <c r="A410" s="31" t="n">
        <v>409</v>
      </c>
      <c r="B410" s="22" t="inlineStr">
        <is>
          <t>H003</t>
        </is>
      </c>
      <c r="C410" s="31" t="inlineStr">
        <is>
          <t>HANGER 003</t>
        </is>
      </c>
      <c r="D410" s="31" t="inlineStr">
        <is>
          <t>HANGER</t>
        </is>
      </c>
      <c r="E410" s="29" t="inlineStr">
        <is>
          <t>여성존</t>
        </is>
      </c>
      <c r="F410" s="31" t="inlineStr">
        <is>
          <t>EEKWG24E0230165</t>
        </is>
      </c>
      <c r="G410" s="31">
        <f>LEFT(F410,10)</f>
        <v/>
      </c>
      <c r="H410" s="31">
        <f>MID(G410,3,2)</f>
        <v/>
      </c>
      <c r="I410" s="31">
        <f>VLOOKUP(H410,color!E:G,2,0)</f>
        <v/>
      </c>
      <c r="J410" s="31" t="n">
        <v>30</v>
      </c>
      <c r="K410" s="31">
        <f>VLOOKUP(J410,color!A:C,2,0)</f>
        <v/>
      </c>
      <c r="L410" s="31" t="n">
        <v>1</v>
      </c>
      <c r="M410" s="31">
        <f>VLOOKUP(F410,'卖场库存0422-0512'!M:R,5,0)</f>
        <v/>
      </c>
      <c r="N410" s="31">
        <f>VLOOKUP(F410,'卖场库存0422-0512'!M:S,6,0)</f>
        <v/>
      </c>
      <c r="O410" s="31" t="inlineStr">
        <is>
          <t>Sleeve out</t>
        </is>
      </c>
      <c r="P410" s="30">
        <f>VLOOKUP(F410,'卖场库存0422-0512'!M:S,7,0)</f>
        <v/>
      </c>
      <c r="Q410" s="31">
        <f>VLOOKUP(H410,color!E:G,3,0)</f>
        <v/>
      </c>
    </row>
    <row r="411">
      <c r="A411" s="31" t="n">
        <v>410</v>
      </c>
      <c r="B411" s="22" t="inlineStr">
        <is>
          <t>H003</t>
        </is>
      </c>
      <c r="C411" s="31" t="inlineStr">
        <is>
          <t>HANGER 003</t>
        </is>
      </c>
      <c r="D411" s="31" t="inlineStr">
        <is>
          <t>HANGER</t>
        </is>
      </c>
      <c r="E411" s="29" t="inlineStr">
        <is>
          <t>여성존</t>
        </is>
      </c>
      <c r="F411" s="31" t="inlineStr">
        <is>
          <t>EEKWG24E0230160</t>
        </is>
      </c>
      <c r="G411" s="31">
        <f>LEFT(F411,10)</f>
        <v/>
      </c>
      <c r="H411" s="31">
        <f>MID(G411,3,2)</f>
        <v/>
      </c>
      <c r="I411" s="31">
        <f>VLOOKUP(H411,color!E:G,2,0)</f>
        <v/>
      </c>
      <c r="J411" s="31" t="n">
        <v>30</v>
      </c>
      <c r="K411" s="31">
        <f>VLOOKUP(J411,color!A:C,2,0)</f>
        <v/>
      </c>
      <c r="L411" s="31" t="n">
        <v>1</v>
      </c>
      <c r="M411" s="31">
        <f>VLOOKUP(F411,'卖场库存0422-0512'!M:R,5,0)</f>
        <v/>
      </c>
      <c r="N411" s="31">
        <f>VLOOKUP(F411,'卖场库存0422-0512'!M:S,6,0)</f>
        <v/>
      </c>
      <c r="O411" s="31" t="inlineStr">
        <is>
          <t>Sleeve out</t>
        </is>
      </c>
      <c r="P411" s="30">
        <f>VLOOKUP(F411,'卖场库存0422-0512'!M:S,7,0)</f>
        <v/>
      </c>
      <c r="Q411" s="31">
        <f>VLOOKUP(H411,color!E:G,3,0)</f>
        <v/>
      </c>
    </row>
    <row r="412">
      <c r="A412" s="31" t="n">
        <v>411</v>
      </c>
      <c r="B412" s="22" t="inlineStr">
        <is>
          <t>H004</t>
        </is>
      </c>
      <c r="C412" s="31" t="inlineStr">
        <is>
          <t xml:space="preserve">HANGER 004 </t>
        </is>
      </c>
      <c r="D412" s="31" t="inlineStr">
        <is>
          <t>HANGER</t>
        </is>
      </c>
      <c r="E412" s="29" t="inlineStr">
        <is>
          <t>여성존</t>
        </is>
      </c>
      <c r="F412" s="31" t="inlineStr">
        <is>
          <t>EEWHG23E0359160</t>
        </is>
      </c>
      <c r="G412" s="31">
        <f>LEFT(F412,10)</f>
        <v/>
      </c>
      <c r="H412" s="31">
        <f>MID(G412,3,2)</f>
        <v/>
      </c>
      <c r="I412" s="31">
        <f>VLOOKUP(H412,color!E:G,2,0)</f>
        <v/>
      </c>
      <c r="J412" s="31" t="n">
        <v>59</v>
      </c>
      <c r="K412" s="31">
        <f>VLOOKUP(J412,color!A:C,2,0)</f>
        <v/>
      </c>
      <c r="L412" s="31" t="n">
        <v>1</v>
      </c>
      <c r="M412" s="31">
        <f>VLOOKUP(F412,'卖场库存0422-0512'!M:R,5,0)</f>
        <v/>
      </c>
      <c r="N412" s="31">
        <f>VLOOKUP(F412,'卖场库存0422-0512'!M:S,6,0)</f>
        <v/>
      </c>
      <c r="O412" s="31" t="inlineStr">
        <is>
          <t>Sleeve out</t>
        </is>
      </c>
      <c r="P412" s="30">
        <f>VLOOKUP(F412,'卖场库存0422-0512'!M:S,7,0)</f>
        <v/>
      </c>
      <c r="Q412" s="31">
        <f>VLOOKUP(H412,color!E:G,3,0)</f>
        <v/>
      </c>
    </row>
    <row r="413">
      <c r="A413" s="31" t="n">
        <v>412</v>
      </c>
      <c r="B413" s="22" t="inlineStr">
        <is>
          <t>H004</t>
        </is>
      </c>
      <c r="C413" s="31" t="inlineStr">
        <is>
          <t xml:space="preserve">HANGER 004 </t>
        </is>
      </c>
      <c r="D413" s="31" t="inlineStr">
        <is>
          <t>HANGER</t>
        </is>
      </c>
      <c r="E413" s="29" t="inlineStr">
        <is>
          <t>여성존</t>
        </is>
      </c>
      <c r="F413" s="31" t="inlineStr">
        <is>
          <t>EEWHG23E0335160</t>
        </is>
      </c>
      <c r="G413" s="31">
        <f>LEFT(F413,10)</f>
        <v/>
      </c>
      <c r="H413" s="31">
        <f>MID(G413,3,2)</f>
        <v/>
      </c>
      <c r="I413" s="31">
        <f>VLOOKUP(H413,color!E:G,2,0)</f>
        <v/>
      </c>
      <c r="J413" s="31" t="n">
        <v>35</v>
      </c>
      <c r="K413" s="31">
        <f>VLOOKUP(J413,color!A:C,2,0)</f>
        <v/>
      </c>
      <c r="L413" s="31" t="n">
        <v>1</v>
      </c>
      <c r="M413" s="31">
        <f>VLOOKUP(F413,'卖场库存0422-0512'!M:R,5,0)</f>
        <v/>
      </c>
      <c r="N413" s="31">
        <f>VLOOKUP(F413,'卖场库存0422-0512'!M:S,6,0)</f>
        <v/>
      </c>
      <c r="O413" s="31" t="inlineStr">
        <is>
          <t>Sleeve out</t>
        </is>
      </c>
      <c r="P413" s="30">
        <f>VLOOKUP(F413,'卖场库存0422-0512'!M:S,7,0)</f>
        <v/>
      </c>
      <c r="Q413" s="31">
        <f>VLOOKUP(H413,color!E:G,3,0)</f>
        <v/>
      </c>
    </row>
    <row r="414">
      <c r="A414" s="31" t="n">
        <v>413</v>
      </c>
      <c r="B414" s="22" t="inlineStr">
        <is>
          <t>H004</t>
        </is>
      </c>
      <c r="C414" s="31" t="inlineStr">
        <is>
          <t xml:space="preserve">HANGER 004 </t>
        </is>
      </c>
      <c r="D414" s="31" t="inlineStr">
        <is>
          <t>HANGER</t>
        </is>
      </c>
      <c r="E414" s="29" t="inlineStr">
        <is>
          <t>여성존</t>
        </is>
      </c>
      <c r="F414" s="31" t="inlineStr">
        <is>
          <t>EEWJG24E0139155</t>
        </is>
      </c>
      <c r="G414" s="31">
        <f>LEFT(F414,10)</f>
        <v/>
      </c>
      <c r="H414" s="31">
        <f>MID(G414,3,2)</f>
        <v/>
      </c>
      <c r="I414" s="31">
        <f>VLOOKUP(H414,color!E:G,2,0)</f>
        <v/>
      </c>
      <c r="J414" s="31" t="n">
        <v>39</v>
      </c>
      <c r="K414" s="31">
        <f>VLOOKUP(J414,color!A:C,2,0)</f>
        <v/>
      </c>
      <c r="L414" s="31" t="n">
        <v>1</v>
      </c>
      <c r="M414" s="31">
        <f>VLOOKUP(F414,'卖场库存0422-0512'!M:R,5,0)</f>
        <v/>
      </c>
      <c r="N414" s="31">
        <f>VLOOKUP(F414,'卖场库存0422-0512'!M:S,6,0)</f>
        <v/>
      </c>
      <c r="O414" s="31" t="inlineStr">
        <is>
          <t>Sleeve out</t>
        </is>
      </c>
      <c r="P414" s="30">
        <f>VLOOKUP(F414,'卖场库存0422-0512'!M:S,7,0)</f>
        <v/>
      </c>
      <c r="Q414" s="31">
        <f>VLOOKUP(H414,color!E:G,3,0)</f>
        <v/>
      </c>
    </row>
    <row r="415">
      <c r="A415" s="31" t="n">
        <v>414</v>
      </c>
      <c r="B415" s="22" t="inlineStr">
        <is>
          <t>H004</t>
        </is>
      </c>
      <c r="C415" s="31" t="inlineStr">
        <is>
          <t xml:space="preserve">HANGER 004 </t>
        </is>
      </c>
      <c r="D415" s="31" t="inlineStr">
        <is>
          <t>HANGER</t>
        </is>
      </c>
      <c r="E415" s="29" t="inlineStr">
        <is>
          <t>여성존</t>
        </is>
      </c>
      <c r="F415" s="31" t="inlineStr">
        <is>
          <t>EEWJG24E0139170</t>
        </is>
      </c>
      <c r="G415" s="31">
        <f>LEFT(F415,10)</f>
        <v/>
      </c>
      <c r="H415" s="31">
        <f>MID(G415,3,2)</f>
        <v/>
      </c>
      <c r="I415" s="31">
        <f>VLOOKUP(H415,color!E:G,2,0)</f>
        <v/>
      </c>
      <c r="J415" s="31" t="n">
        <v>39</v>
      </c>
      <c r="K415" s="31">
        <f>VLOOKUP(J415,color!A:C,2,0)</f>
        <v/>
      </c>
      <c r="L415" s="31" t="n">
        <v>1</v>
      </c>
      <c r="M415" s="31">
        <f>VLOOKUP(F415,'卖场库存0422-0512'!M:R,5,0)</f>
        <v/>
      </c>
      <c r="N415" s="31">
        <f>VLOOKUP(F415,'卖场库存0422-0512'!M:S,6,0)</f>
        <v/>
      </c>
      <c r="O415" s="31" t="inlineStr">
        <is>
          <t>Sleeve out</t>
        </is>
      </c>
      <c r="P415" s="30">
        <f>VLOOKUP(F415,'卖场库存0422-0512'!M:S,7,0)</f>
        <v/>
      </c>
      <c r="Q415" s="31">
        <f>VLOOKUP(H415,color!E:G,3,0)</f>
        <v/>
      </c>
    </row>
    <row r="416">
      <c r="A416" s="31" t="n">
        <v>415</v>
      </c>
      <c r="B416" s="22" t="inlineStr">
        <is>
          <t>H004</t>
        </is>
      </c>
      <c r="C416" s="31" t="inlineStr">
        <is>
          <t xml:space="preserve">HANGER 004 </t>
        </is>
      </c>
      <c r="D416" s="31" t="inlineStr">
        <is>
          <t>HANGER</t>
        </is>
      </c>
      <c r="E416" s="29" t="inlineStr">
        <is>
          <t>여성존</t>
        </is>
      </c>
      <c r="F416" s="31" t="inlineStr">
        <is>
          <t>EEWJG23B0156160</t>
        </is>
      </c>
      <c r="G416" s="31">
        <f>LEFT(F416,10)</f>
        <v/>
      </c>
      <c r="H416" s="31">
        <f>MID(G416,3,2)</f>
        <v/>
      </c>
      <c r="I416" s="31">
        <f>VLOOKUP(H416,color!E:G,2,0)</f>
        <v/>
      </c>
      <c r="J416" s="31" t="n">
        <v>56</v>
      </c>
      <c r="K416" s="31">
        <f>VLOOKUP(J416,color!A:C,2,0)</f>
        <v/>
      </c>
      <c r="L416" s="31" t="n">
        <v>1</v>
      </c>
      <c r="M416" s="31">
        <f>VLOOKUP(F416,'卖场库存0422-0512'!M:R,5,0)</f>
        <v/>
      </c>
      <c r="N416" s="31">
        <f>VLOOKUP(F416,'卖场库存0422-0512'!M:S,6,0)</f>
        <v/>
      </c>
      <c r="O416" s="31" t="inlineStr">
        <is>
          <t>Sleeve out</t>
        </is>
      </c>
      <c r="P416" s="30">
        <f>VLOOKUP(F416,'卖场库存0422-0512'!M:S,7,0)</f>
        <v/>
      </c>
      <c r="Q416" s="31">
        <f>VLOOKUP(H416,color!E:G,3,0)</f>
        <v/>
      </c>
    </row>
    <row r="417">
      <c r="A417" s="31" t="n">
        <v>416</v>
      </c>
      <c r="B417" s="22" t="inlineStr">
        <is>
          <t>H004</t>
        </is>
      </c>
      <c r="C417" s="31" t="inlineStr">
        <is>
          <t xml:space="preserve">HANGER 004 </t>
        </is>
      </c>
      <c r="D417" s="31" t="inlineStr">
        <is>
          <t>HANGER</t>
        </is>
      </c>
      <c r="E417" s="29" t="inlineStr">
        <is>
          <t>여성존</t>
        </is>
      </c>
      <c r="F417" s="31" t="inlineStr">
        <is>
          <t>EETHG25E0135160</t>
        </is>
      </c>
      <c r="G417" s="31">
        <f>LEFT(F417,10)</f>
        <v/>
      </c>
      <c r="H417" s="31">
        <f>MID(G417,3,2)</f>
        <v/>
      </c>
      <c r="I417" s="31">
        <f>VLOOKUP(H417,color!E:G,2,0)</f>
        <v/>
      </c>
      <c r="J417" s="31" t="n">
        <v>35</v>
      </c>
      <c r="K417" s="31">
        <f>VLOOKUP(J417,color!A:C,2,0)</f>
        <v/>
      </c>
      <c r="L417" s="31" t="n">
        <v>1</v>
      </c>
      <c r="M417" s="31">
        <f>VLOOKUP(F417,'卖场库存0422-0512'!M:R,5,0)</f>
        <v/>
      </c>
      <c r="N417" s="31">
        <f>VLOOKUP(F417,'卖场库存0422-0512'!M:S,6,0)</f>
        <v/>
      </c>
      <c r="O417" s="31" t="inlineStr">
        <is>
          <t>Sleeve out</t>
        </is>
      </c>
      <c r="P417" s="30">
        <f>VLOOKUP(F417,'卖场库存0422-0512'!M:S,7,0)</f>
        <v/>
      </c>
      <c r="Q417" s="31">
        <f>VLOOKUP(H417,color!E:G,3,0)</f>
        <v/>
      </c>
    </row>
    <row r="418">
      <c r="A418" s="31" t="n">
        <v>417</v>
      </c>
      <c r="B418" s="22" t="inlineStr">
        <is>
          <t>H004</t>
        </is>
      </c>
      <c r="C418" s="31" t="inlineStr">
        <is>
          <t xml:space="preserve">HANGER 004 </t>
        </is>
      </c>
      <c r="D418" s="31" t="inlineStr">
        <is>
          <t>HANGER</t>
        </is>
      </c>
      <c r="E418" s="29" t="inlineStr">
        <is>
          <t>여성존</t>
        </is>
      </c>
      <c r="F418" s="31" t="inlineStr">
        <is>
          <t>EETHG25E0135155</t>
        </is>
      </c>
      <c r="G418" s="31">
        <f>LEFT(F418,10)</f>
        <v/>
      </c>
      <c r="H418" s="31">
        <f>MID(G418,3,2)</f>
        <v/>
      </c>
      <c r="I418" s="31">
        <f>VLOOKUP(H418,color!E:G,2,0)</f>
        <v/>
      </c>
      <c r="J418" s="31" t="n">
        <v>35</v>
      </c>
      <c r="K418" s="31">
        <f>VLOOKUP(J418,color!A:C,2,0)</f>
        <v/>
      </c>
      <c r="L418" s="31" t="n">
        <v>1</v>
      </c>
      <c r="M418" s="31">
        <f>VLOOKUP(F418,'卖场库存0422-0512'!M:R,5,0)</f>
        <v/>
      </c>
      <c r="N418" s="31">
        <f>VLOOKUP(F418,'卖场库存0422-0512'!M:S,6,0)</f>
        <v/>
      </c>
      <c r="O418" s="31" t="inlineStr">
        <is>
          <t>Sleeve out</t>
        </is>
      </c>
      <c r="P418" s="30">
        <f>VLOOKUP(F418,'卖场库存0422-0512'!M:S,7,0)</f>
        <v/>
      </c>
      <c r="Q418" s="31">
        <f>VLOOKUP(H418,color!E:G,3,0)</f>
        <v/>
      </c>
    </row>
    <row r="419">
      <c r="A419" s="31" t="n">
        <v>418</v>
      </c>
      <c r="B419" s="22" t="inlineStr">
        <is>
          <t>H004</t>
        </is>
      </c>
      <c r="C419" s="31" t="inlineStr">
        <is>
          <t xml:space="preserve">HANGER 004 </t>
        </is>
      </c>
      <c r="D419" s="31" t="inlineStr">
        <is>
          <t>HANGER</t>
        </is>
      </c>
      <c r="E419" s="29" t="inlineStr">
        <is>
          <t>여성존</t>
        </is>
      </c>
      <c r="F419" s="31" t="inlineStr">
        <is>
          <t>EETHG24E0259160</t>
        </is>
      </c>
      <c r="G419" s="31">
        <f>LEFT(F419,10)</f>
        <v/>
      </c>
      <c r="H419" s="31">
        <f>MID(G419,3,2)</f>
        <v/>
      </c>
      <c r="I419" s="31">
        <f>VLOOKUP(H419,color!E:G,2,0)</f>
        <v/>
      </c>
      <c r="J419" s="31" t="n">
        <v>59</v>
      </c>
      <c r="K419" s="31">
        <f>VLOOKUP(J419,color!A:C,2,0)</f>
        <v/>
      </c>
      <c r="L419" s="31" t="n">
        <v>1</v>
      </c>
      <c r="M419" s="31">
        <f>VLOOKUP(F419,'卖场库存0422-0512'!M:R,5,0)</f>
        <v/>
      </c>
      <c r="N419" s="31">
        <f>VLOOKUP(F419,'卖场库存0422-0512'!M:S,6,0)</f>
        <v/>
      </c>
      <c r="O419" s="31" t="inlineStr">
        <is>
          <t>Sleeve out</t>
        </is>
      </c>
      <c r="P419" s="30">
        <f>VLOOKUP(F419,'卖场库存0422-0512'!M:S,7,0)</f>
        <v/>
      </c>
      <c r="Q419" s="31">
        <f>VLOOKUP(H419,color!E:G,3,0)</f>
        <v/>
      </c>
    </row>
    <row r="420">
      <c r="A420" s="31" t="n">
        <v>419</v>
      </c>
      <c r="B420" s="22" t="inlineStr">
        <is>
          <t>H004</t>
        </is>
      </c>
      <c r="C420" s="31" t="inlineStr">
        <is>
          <t xml:space="preserve">HANGER 004 </t>
        </is>
      </c>
      <c r="D420" s="31" t="inlineStr">
        <is>
          <t>HANGER</t>
        </is>
      </c>
      <c r="E420" s="29" t="inlineStr">
        <is>
          <t>여성존</t>
        </is>
      </c>
      <c r="F420" s="31" t="inlineStr">
        <is>
          <t>EETHG24E0259170</t>
        </is>
      </c>
      <c r="G420" s="31">
        <f>LEFT(F420,10)</f>
        <v/>
      </c>
      <c r="H420" s="31">
        <f>MID(G420,3,2)</f>
        <v/>
      </c>
      <c r="I420" s="31">
        <f>VLOOKUP(H420,color!E:G,2,0)</f>
        <v/>
      </c>
      <c r="J420" s="31" t="n">
        <v>59</v>
      </c>
      <c r="K420" s="31">
        <f>VLOOKUP(J420,color!A:C,2,0)</f>
        <v/>
      </c>
      <c r="L420" s="31" t="n">
        <v>1</v>
      </c>
      <c r="M420" s="31">
        <f>VLOOKUP(F420,'卖场库存0422-0512'!M:R,5,0)</f>
        <v/>
      </c>
      <c r="N420" s="31">
        <f>VLOOKUP(F420,'卖场库存0422-0512'!M:S,6,0)</f>
        <v/>
      </c>
      <c r="O420" s="31" t="inlineStr">
        <is>
          <t>Sleeve out</t>
        </is>
      </c>
      <c r="P420" s="30">
        <f>VLOOKUP(F420,'卖场库存0422-0512'!M:S,7,0)</f>
        <v/>
      </c>
      <c r="Q420" s="31">
        <f>VLOOKUP(H420,color!E:G,3,0)</f>
        <v/>
      </c>
    </row>
    <row r="421">
      <c r="A421" s="31" t="n">
        <v>420</v>
      </c>
      <c r="B421" s="22" t="inlineStr">
        <is>
          <t>H004</t>
        </is>
      </c>
      <c r="C421" s="31" t="inlineStr">
        <is>
          <t xml:space="preserve">HANGER 004 </t>
        </is>
      </c>
      <c r="D421" s="31" t="inlineStr">
        <is>
          <t>HANGER</t>
        </is>
      </c>
      <c r="E421" s="29" t="inlineStr">
        <is>
          <t>여성존</t>
        </is>
      </c>
      <c r="F421" s="31" t="inlineStr">
        <is>
          <t>EETJG24E0557026</t>
        </is>
      </c>
      <c r="G421" s="31">
        <f>LEFT(F421,10)</f>
        <v/>
      </c>
      <c r="H421" s="31">
        <f>MID(G421,3,2)</f>
        <v/>
      </c>
      <c r="I421" s="31">
        <f>VLOOKUP(H421,color!E:G,2,0)</f>
        <v/>
      </c>
      <c r="J421" s="31" t="n">
        <v>57</v>
      </c>
      <c r="K421" s="31">
        <f>VLOOKUP(J421,color!A:C,2,0)</f>
        <v/>
      </c>
      <c r="L421" s="31" t="n">
        <v>1</v>
      </c>
      <c r="M421" s="31">
        <f>VLOOKUP(F421,'卖场库存0422-0512'!M:R,5,0)</f>
        <v/>
      </c>
      <c r="N421" s="31">
        <f>VLOOKUP(F421,'卖场库存0422-0512'!M:S,6,0)</f>
        <v/>
      </c>
      <c r="O421" s="31" t="inlineStr">
        <is>
          <t>Sleeve out</t>
        </is>
      </c>
      <c r="P421" s="30">
        <f>VLOOKUP(F421,'卖场库存0422-0512'!M:S,7,0)</f>
        <v/>
      </c>
      <c r="Q421" s="31">
        <f>VLOOKUP(H421,color!E:G,3,0)</f>
        <v/>
      </c>
    </row>
    <row r="422">
      <c r="A422" s="31" t="n">
        <v>421</v>
      </c>
      <c r="B422" s="22" t="inlineStr">
        <is>
          <t>H004</t>
        </is>
      </c>
      <c r="C422" s="31" t="inlineStr">
        <is>
          <t xml:space="preserve">HANGER 004 </t>
        </is>
      </c>
      <c r="D422" s="31" t="inlineStr">
        <is>
          <t>HANGER</t>
        </is>
      </c>
      <c r="E422" s="29" t="inlineStr">
        <is>
          <t>여성존</t>
        </is>
      </c>
      <c r="F422" s="31" t="inlineStr">
        <is>
          <t>EETJG24E0556027</t>
        </is>
      </c>
      <c r="G422" s="31">
        <f>LEFT(F422,10)</f>
        <v/>
      </c>
      <c r="H422" s="31">
        <f>MID(G422,3,2)</f>
        <v/>
      </c>
      <c r="I422" s="31">
        <f>VLOOKUP(H422,color!E:G,2,0)</f>
        <v/>
      </c>
      <c r="J422" s="31" t="n">
        <v>56</v>
      </c>
      <c r="K422" s="31">
        <f>VLOOKUP(J422,color!A:C,2,0)</f>
        <v/>
      </c>
      <c r="L422" s="31" t="n">
        <v>1</v>
      </c>
      <c r="M422" s="31">
        <f>VLOOKUP(F422,'卖场库存0422-0512'!M:R,5,0)</f>
        <v/>
      </c>
      <c r="N422" s="31">
        <f>VLOOKUP(F422,'卖场库存0422-0512'!M:S,6,0)</f>
        <v/>
      </c>
      <c r="O422" s="31" t="inlineStr">
        <is>
          <t>Sleeve out</t>
        </is>
      </c>
      <c r="P422" s="30">
        <f>VLOOKUP(F422,'卖场库存0422-0512'!M:S,7,0)</f>
        <v/>
      </c>
      <c r="Q422" s="31">
        <f>VLOOKUP(H422,color!E:G,3,0)</f>
        <v/>
      </c>
    </row>
    <row r="423">
      <c r="A423" s="31" t="n">
        <v>422</v>
      </c>
      <c r="B423" s="22" t="inlineStr">
        <is>
          <t>H004</t>
        </is>
      </c>
      <c r="C423" s="31" t="inlineStr">
        <is>
          <t xml:space="preserve">HANGER 004 </t>
        </is>
      </c>
      <c r="D423" s="31" t="inlineStr">
        <is>
          <t>HANGER</t>
        </is>
      </c>
      <c r="E423" s="29" t="inlineStr">
        <is>
          <t>여성존</t>
        </is>
      </c>
      <c r="F423" s="31" t="inlineStr">
        <is>
          <t>EETJG24E0639026</t>
        </is>
      </c>
      <c r="G423" s="31">
        <f>LEFT(F423,10)</f>
        <v/>
      </c>
      <c r="H423" s="31">
        <f>MID(G423,3,2)</f>
        <v/>
      </c>
      <c r="I423" s="31">
        <f>VLOOKUP(H423,color!E:G,2,0)</f>
        <v/>
      </c>
      <c r="J423" s="31" t="n">
        <v>39</v>
      </c>
      <c r="K423" s="31">
        <f>VLOOKUP(J423,color!A:C,2,0)</f>
        <v/>
      </c>
      <c r="L423" s="31" t="n">
        <v>1</v>
      </c>
      <c r="M423" s="31">
        <f>VLOOKUP(F423,'卖场库存0422-0512'!M:R,5,0)</f>
        <v/>
      </c>
      <c r="N423" s="31">
        <f>VLOOKUP(F423,'卖场库存0422-0512'!M:S,6,0)</f>
        <v/>
      </c>
      <c r="O423" s="31" t="inlineStr">
        <is>
          <t>Sleeve out</t>
        </is>
      </c>
      <c r="P423" s="30">
        <f>VLOOKUP(F423,'卖场库存0422-0512'!M:S,7,0)</f>
        <v/>
      </c>
      <c r="Q423" s="31">
        <f>VLOOKUP(H423,color!E:G,3,0)</f>
        <v/>
      </c>
    </row>
    <row r="424">
      <c r="A424" s="31" t="n">
        <v>423</v>
      </c>
      <c r="B424" s="22" t="inlineStr">
        <is>
          <t>H004</t>
        </is>
      </c>
      <c r="C424" s="31" t="inlineStr">
        <is>
          <t xml:space="preserve">HANGER 004 </t>
        </is>
      </c>
      <c r="D424" s="31" t="inlineStr">
        <is>
          <t>HANGER</t>
        </is>
      </c>
      <c r="E424" s="29" t="inlineStr">
        <is>
          <t>여성존</t>
        </is>
      </c>
      <c r="F424" s="31" t="inlineStr">
        <is>
          <t>EETJG24E0639027</t>
        </is>
      </c>
      <c r="G424" s="31">
        <f>LEFT(F424,10)</f>
        <v/>
      </c>
      <c r="H424" s="31">
        <f>MID(G424,3,2)</f>
        <v/>
      </c>
      <c r="I424" s="31">
        <f>VLOOKUP(H424,color!E:G,2,0)</f>
        <v/>
      </c>
      <c r="J424" s="31" t="n">
        <v>39</v>
      </c>
      <c r="K424" s="31">
        <f>VLOOKUP(J424,color!A:C,2,0)</f>
        <v/>
      </c>
      <c r="L424" s="31" t="n">
        <v>1</v>
      </c>
      <c r="M424" s="31">
        <f>VLOOKUP(F424,'卖场库存0422-0512'!M:R,5,0)</f>
        <v/>
      </c>
      <c r="N424" s="31">
        <f>VLOOKUP(F424,'卖场库存0422-0512'!M:S,6,0)</f>
        <v/>
      </c>
      <c r="O424" s="31" t="inlineStr">
        <is>
          <t>Sleeve out</t>
        </is>
      </c>
      <c r="P424" s="30">
        <f>VLOOKUP(F424,'卖场库存0422-0512'!M:S,7,0)</f>
        <v/>
      </c>
      <c r="Q424" s="31">
        <f>VLOOKUP(H424,color!E:G,3,0)</f>
        <v/>
      </c>
    </row>
    <row r="425">
      <c r="A425" s="31" t="n">
        <v>424</v>
      </c>
      <c r="B425" s="22" t="inlineStr">
        <is>
          <t>H004</t>
        </is>
      </c>
      <c r="C425" s="31" t="inlineStr">
        <is>
          <t xml:space="preserve">HANGER 004 </t>
        </is>
      </c>
      <c r="D425" s="31" t="inlineStr">
        <is>
          <t>HANGER</t>
        </is>
      </c>
      <c r="E425" s="29" t="inlineStr">
        <is>
          <t>여성존</t>
        </is>
      </c>
      <c r="F425" s="31" t="inlineStr">
        <is>
          <t>EETJG24E0536028</t>
        </is>
      </c>
      <c r="G425" s="31">
        <f>LEFT(F425,10)</f>
        <v/>
      </c>
      <c r="H425" s="31">
        <f>MID(G425,3,2)</f>
        <v/>
      </c>
      <c r="I425" s="31">
        <f>VLOOKUP(H425,color!E:G,2,0)</f>
        <v/>
      </c>
      <c r="J425" s="31" t="n">
        <v>36</v>
      </c>
      <c r="K425" s="31">
        <f>VLOOKUP(J425,color!A:C,2,0)</f>
        <v/>
      </c>
      <c r="L425" s="31" t="n">
        <v>1</v>
      </c>
      <c r="M425" s="31">
        <f>VLOOKUP(F425,'卖场库存0422-0512'!M:R,5,0)</f>
        <v/>
      </c>
      <c r="N425" s="31">
        <f>VLOOKUP(F425,'卖场库存0422-0512'!M:S,6,0)</f>
        <v/>
      </c>
      <c r="O425" s="31" t="inlineStr">
        <is>
          <t>Sleeve out</t>
        </is>
      </c>
      <c r="P425" s="30">
        <f>VLOOKUP(F425,'卖场库存0422-0512'!M:S,7,0)</f>
        <v/>
      </c>
      <c r="Q425" s="31">
        <f>VLOOKUP(H425,color!E:G,3,0)</f>
        <v/>
      </c>
    </row>
    <row r="426">
      <c r="A426" s="31" t="n">
        <v>425</v>
      </c>
      <c r="B426" s="22" t="inlineStr">
        <is>
          <t>H004</t>
        </is>
      </c>
      <c r="C426" s="31" t="inlineStr">
        <is>
          <t xml:space="preserve">HANGER 004 </t>
        </is>
      </c>
      <c r="D426" s="31" t="inlineStr">
        <is>
          <t>HANGER</t>
        </is>
      </c>
      <c r="E426" s="29" t="inlineStr">
        <is>
          <t>여성존</t>
        </is>
      </c>
      <c r="F426" s="31" t="inlineStr">
        <is>
          <t>EEWHG25E5259160</t>
        </is>
      </c>
      <c r="G426" s="31">
        <f>LEFT(F426,10)</f>
        <v/>
      </c>
      <c r="H426" s="31">
        <f>MID(G426,3,2)</f>
        <v/>
      </c>
      <c r="I426" s="31">
        <f>VLOOKUP(H426,color!E:G,2,0)</f>
        <v/>
      </c>
      <c r="J426" s="31" t="n">
        <v>59</v>
      </c>
      <c r="K426" s="31">
        <f>VLOOKUP(J426,color!A:C,2,0)</f>
        <v/>
      </c>
      <c r="L426" s="31" t="n">
        <v>1</v>
      </c>
      <c r="M426" s="31">
        <f>VLOOKUP(F426,'卖场库存0422-0512'!M:R,5,0)</f>
        <v/>
      </c>
      <c r="N426" s="31">
        <f>VLOOKUP(F426,'卖场库存0422-0512'!M:S,6,0)</f>
        <v/>
      </c>
      <c r="O426" s="31" t="inlineStr">
        <is>
          <t>Sleeve out</t>
        </is>
      </c>
      <c r="P426" s="30">
        <f>VLOOKUP(F426,'卖场库存0422-0512'!M:S,7,0)</f>
        <v/>
      </c>
      <c r="Q426" s="31">
        <f>VLOOKUP(H426,color!E:G,3,0)</f>
        <v/>
      </c>
    </row>
    <row r="427">
      <c r="A427" s="31" t="n">
        <v>426</v>
      </c>
      <c r="B427" s="22" t="inlineStr">
        <is>
          <t>H004</t>
        </is>
      </c>
      <c r="C427" s="31" t="inlineStr">
        <is>
          <t xml:space="preserve">HANGER 004 </t>
        </is>
      </c>
      <c r="D427" s="31" t="inlineStr">
        <is>
          <t>HANGER</t>
        </is>
      </c>
      <c r="E427" s="29" t="inlineStr">
        <is>
          <t>여성존</t>
        </is>
      </c>
      <c r="F427" s="31" t="inlineStr">
        <is>
          <t>EEWHG25E5259165</t>
        </is>
      </c>
      <c r="G427" s="31">
        <f>LEFT(F427,10)</f>
        <v/>
      </c>
      <c r="H427" s="31">
        <f>MID(G427,3,2)</f>
        <v/>
      </c>
      <c r="I427" s="31">
        <f>VLOOKUP(H427,color!E:G,2,0)</f>
        <v/>
      </c>
      <c r="J427" s="31" t="n">
        <v>59</v>
      </c>
      <c r="K427" s="31">
        <f>VLOOKUP(J427,color!A:C,2,0)</f>
        <v/>
      </c>
      <c r="L427" s="31" t="n">
        <v>1</v>
      </c>
      <c r="M427" s="31">
        <f>VLOOKUP(F427,'卖场库存0422-0512'!M:R,5,0)</f>
        <v/>
      </c>
      <c r="N427" s="31">
        <f>VLOOKUP(F427,'卖场库存0422-0512'!M:S,6,0)</f>
        <v/>
      </c>
      <c r="O427" s="31" t="inlineStr">
        <is>
          <t>Sleeve out</t>
        </is>
      </c>
      <c r="P427" s="30">
        <f>VLOOKUP(F427,'卖场库存0422-0512'!M:S,7,0)</f>
        <v/>
      </c>
      <c r="Q427" s="31">
        <f>VLOOKUP(H427,color!E:G,3,0)</f>
        <v/>
      </c>
    </row>
    <row r="428">
      <c r="A428" s="31" t="n">
        <v>427</v>
      </c>
      <c r="B428" s="22" t="inlineStr">
        <is>
          <t>H004</t>
        </is>
      </c>
      <c r="C428" s="31" t="inlineStr">
        <is>
          <t xml:space="preserve">HANGER 004 </t>
        </is>
      </c>
      <c r="D428" s="31" t="inlineStr">
        <is>
          <t>HANGER</t>
        </is>
      </c>
      <c r="E428" s="29" t="inlineStr">
        <is>
          <t>여성존</t>
        </is>
      </c>
      <c r="F428" s="31" t="inlineStr">
        <is>
          <t>EEVKG25E0118160</t>
        </is>
      </c>
      <c r="G428" s="31">
        <f>LEFT(F428,10)</f>
        <v/>
      </c>
      <c r="H428" s="31">
        <f>MID(G428,3,2)</f>
        <v/>
      </c>
      <c r="I428" s="31">
        <f>VLOOKUP(H428,color!E:G,2,0)</f>
        <v/>
      </c>
      <c r="J428" s="31" t="n">
        <v>18</v>
      </c>
      <c r="K428" s="31">
        <f>VLOOKUP(J428,color!A:C,2,0)</f>
        <v/>
      </c>
      <c r="L428" s="31" t="n">
        <v>1</v>
      </c>
      <c r="M428" s="31">
        <f>VLOOKUP(F428,'卖场库存0422-0512'!M:R,5,0)</f>
        <v/>
      </c>
      <c r="N428" s="31">
        <f>VLOOKUP(F428,'卖场库存0422-0512'!M:S,6,0)</f>
        <v/>
      </c>
      <c r="O428" s="31" t="inlineStr">
        <is>
          <t>Sleeve out</t>
        </is>
      </c>
      <c r="P428" s="30">
        <f>VLOOKUP(F428,'卖场库存0422-0512'!M:S,7,0)</f>
        <v/>
      </c>
      <c r="Q428" s="31">
        <f>VLOOKUP(H428,color!E:G,3,0)</f>
        <v/>
      </c>
    </row>
    <row r="429">
      <c r="A429" s="31" t="n">
        <v>428</v>
      </c>
      <c r="B429" s="22" t="inlineStr">
        <is>
          <t>H004</t>
        </is>
      </c>
      <c r="C429" s="31" t="inlineStr">
        <is>
          <t xml:space="preserve">HANGER 004 </t>
        </is>
      </c>
      <c r="D429" s="31" t="inlineStr">
        <is>
          <t>HANGER</t>
        </is>
      </c>
      <c r="E429" s="29" t="inlineStr">
        <is>
          <t>여성존</t>
        </is>
      </c>
      <c r="F429" s="31" t="inlineStr">
        <is>
          <t>EEVKG25E0118170</t>
        </is>
      </c>
      <c r="G429" s="31">
        <f>LEFT(F429,10)</f>
        <v/>
      </c>
      <c r="H429" s="31">
        <f>MID(G429,3,2)</f>
        <v/>
      </c>
      <c r="I429" s="31">
        <f>VLOOKUP(H429,color!E:G,2,0)</f>
        <v/>
      </c>
      <c r="J429" s="31" t="n">
        <v>18</v>
      </c>
      <c r="K429" s="31">
        <f>VLOOKUP(J429,color!A:C,2,0)</f>
        <v/>
      </c>
      <c r="L429" s="31" t="n">
        <v>1</v>
      </c>
      <c r="M429" s="31">
        <f>VLOOKUP(F429,'卖场库存0422-0512'!M:R,5,0)</f>
        <v/>
      </c>
      <c r="N429" s="31">
        <f>VLOOKUP(F429,'卖场库存0422-0512'!M:S,6,0)</f>
        <v/>
      </c>
      <c r="O429" s="31" t="inlineStr">
        <is>
          <t>Sleeve out</t>
        </is>
      </c>
      <c r="P429" s="30">
        <f>VLOOKUP(F429,'卖场库存0422-0512'!M:S,7,0)</f>
        <v/>
      </c>
      <c r="Q429" s="31">
        <f>VLOOKUP(H429,color!E:G,3,0)</f>
        <v/>
      </c>
    </row>
    <row r="430">
      <c r="A430" s="31" t="n">
        <v>429</v>
      </c>
      <c r="B430" s="22" t="inlineStr">
        <is>
          <t>H004</t>
        </is>
      </c>
      <c r="C430" s="31" t="inlineStr">
        <is>
          <t xml:space="preserve">HANGER 004 </t>
        </is>
      </c>
      <c r="D430" s="31" t="inlineStr">
        <is>
          <t>HANGER</t>
        </is>
      </c>
      <c r="E430" s="29" t="inlineStr">
        <is>
          <t>여성존</t>
        </is>
      </c>
      <c r="F430" s="31" t="inlineStr">
        <is>
          <t>EEKWG24B5216160</t>
        </is>
      </c>
      <c r="G430" s="31">
        <f>LEFT(F430,10)</f>
        <v/>
      </c>
      <c r="H430" s="31">
        <f>MID(G430,3,2)</f>
        <v/>
      </c>
      <c r="I430" s="31">
        <f>VLOOKUP(H430,color!E:G,2,0)</f>
        <v/>
      </c>
      <c r="J430" s="31" t="n">
        <v>16</v>
      </c>
      <c r="K430" s="31">
        <f>VLOOKUP(J430,color!A:C,2,0)</f>
        <v/>
      </c>
      <c r="L430" s="31" t="n">
        <v>1</v>
      </c>
      <c r="M430" s="31">
        <f>VLOOKUP(F430,'卖场库存0422-0512'!M:R,5,0)</f>
        <v/>
      </c>
      <c r="N430" s="31">
        <f>VLOOKUP(F430,'卖场库存0422-0512'!M:S,6,0)</f>
        <v/>
      </c>
      <c r="O430" s="31" t="inlineStr">
        <is>
          <t>Sleeve out</t>
        </is>
      </c>
      <c r="P430" s="30">
        <f>VLOOKUP(F430,'卖场库存0422-0512'!M:S,7,0)</f>
        <v/>
      </c>
      <c r="Q430" s="31">
        <f>VLOOKUP(H430,color!E:G,3,0)</f>
        <v/>
      </c>
    </row>
    <row r="431">
      <c r="A431" s="31" t="n">
        <v>430</v>
      </c>
      <c r="B431" s="22" t="inlineStr">
        <is>
          <t>H004</t>
        </is>
      </c>
      <c r="C431" s="31" t="inlineStr">
        <is>
          <t xml:space="preserve">HANGER 004 </t>
        </is>
      </c>
      <c r="D431" s="31" t="inlineStr">
        <is>
          <t>HANGER</t>
        </is>
      </c>
      <c r="E431" s="29" t="inlineStr">
        <is>
          <t>여성존</t>
        </is>
      </c>
      <c r="F431" s="31" t="inlineStr">
        <is>
          <t>EEKWG25E0215160</t>
        </is>
      </c>
      <c r="G431" s="31">
        <f>LEFT(F431,10)</f>
        <v/>
      </c>
      <c r="H431" s="31">
        <f>MID(G431,3,2)</f>
        <v/>
      </c>
      <c r="I431" s="31">
        <f>VLOOKUP(H431,color!E:G,2,0)</f>
        <v/>
      </c>
      <c r="J431" s="31" t="n">
        <v>15</v>
      </c>
      <c r="K431" s="31">
        <f>VLOOKUP(J431,color!A:C,2,0)</f>
        <v/>
      </c>
      <c r="L431" s="31" t="n">
        <v>1</v>
      </c>
      <c r="M431" s="31">
        <f>VLOOKUP(F431,'卖场库存0422-0512'!M:R,5,0)</f>
        <v/>
      </c>
      <c r="N431" s="31">
        <f>VLOOKUP(F431,'卖场库存0422-0512'!M:S,6,0)</f>
        <v/>
      </c>
      <c r="O431" s="31" t="inlineStr">
        <is>
          <t>Sleeve out</t>
        </is>
      </c>
      <c r="P431" s="30">
        <f>VLOOKUP(F431,'卖场库存0422-0512'!M:S,7,0)</f>
        <v/>
      </c>
      <c r="Q431" s="31">
        <f>VLOOKUP(H431,color!E:G,3,0)</f>
        <v/>
      </c>
    </row>
    <row r="432">
      <c r="A432" s="31" t="n">
        <v>431</v>
      </c>
      <c r="B432" s="22" t="inlineStr">
        <is>
          <t>H004</t>
        </is>
      </c>
      <c r="C432" s="31" t="inlineStr">
        <is>
          <t xml:space="preserve">HANGER 004 </t>
        </is>
      </c>
      <c r="D432" s="31" t="inlineStr">
        <is>
          <t>HANGER</t>
        </is>
      </c>
      <c r="E432" s="29" t="inlineStr">
        <is>
          <t>여성존</t>
        </is>
      </c>
      <c r="F432" s="31" t="inlineStr">
        <is>
          <t>EEKWG25E0215165</t>
        </is>
      </c>
      <c r="G432" s="31">
        <f>LEFT(F432,10)</f>
        <v/>
      </c>
      <c r="H432" s="31">
        <f>MID(G432,3,2)</f>
        <v/>
      </c>
      <c r="I432" s="31">
        <f>VLOOKUP(H432,color!E:G,2,0)</f>
        <v/>
      </c>
      <c r="J432" s="31" t="n">
        <v>15</v>
      </c>
      <c r="K432" s="31">
        <f>VLOOKUP(J432,color!A:C,2,0)</f>
        <v/>
      </c>
      <c r="L432" s="31" t="n">
        <v>1</v>
      </c>
      <c r="M432" s="31">
        <f>VLOOKUP(F432,'卖场库存0422-0512'!M:R,5,0)</f>
        <v/>
      </c>
      <c r="N432" s="31">
        <f>VLOOKUP(F432,'卖场库存0422-0512'!M:S,6,0)</f>
        <v/>
      </c>
      <c r="O432" s="31" t="inlineStr">
        <is>
          <t>Sleeve out</t>
        </is>
      </c>
      <c r="P432" s="30">
        <f>VLOOKUP(F432,'卖场库存0422-0512'!M:S,7,0)</f>
        <v/>
      </c>
      <c r="Q432" s="31">
        <f>VLOOKUP(H432,color!E:G,3,0)</f>
        <v/>
      </c>
    </row>
    <row r="433">
      <c r="A433" s="31" t="n">
        <v>432</v>
      </c>
      <c r="B433" s="22" t="inlineStr">
        <is>
          <t>H004</t>
        </is>
      </c>
      <c r="C433" s="31" t="inlineStr">
        <is>
          <t xml:space="preserve">HANGER 004 </t>
        </is>
      </c>
      <c r="D433" s="31" t="inlineStr">
        <is>
          <t>HANGER</t>
        </is>
      </c>
      <c r="E433" s="29" t="inlineStr">
        <is>
          <t>여성존</t>
        </is>
      </c>
      <c r="F433" s="31" t="inlineStr">
        <is>
          <t>EECKG23E0227160</t>
        </is>
      </c>
      <c r="G433" s="31">
        <f>LEFT(F433,10)</f>
        <v/>
      </c>
      <c r="H433" s="31">
        <f>MID(G433,3,2)</f>
        <v/>
      </c>
      <c r="I433" s="31">
        <f>VLOOKUP(H433,color!E:G,2,0)</f>
        <v/>
      </c>
      <c r="J433" s="31" t="n">
        <v>27</v>
      </c>
      <c r="K433" s="31">
        <f>VLOOKUP(J433,color!A:C,2,0)</f>
        <v/>
      </c>
      <c r="L433" s="31" t="n">
        <v>1</v>
      </c>
      <c r="M433" s="31">
        <f>VLOOKUP(F433,'卖场库存0422-0512'!M:R,5,0)</f>
        <v/>
      </c>
      <c r="N433" s="31">
        <f>VLOOKUP(F433,'卖场库存0422-0512'!M:S,6,0)</f>
        <v/>
      </c>
      <c r="O433" s="31" t="inlineStr">
        <is>
          <t>Sleeve out</t>
        </is>
      </c>
      <c r="P433" s="30">
        <f>VLOOKUP(F433,'卖场库存0422-0512'!M:S,7,0)</f>
        <v/>
      </c>
      <c r="Q433" s="31">
        <f>VLOOKUP(H433,color!E:G,3,0)</f>
        <v/>
      </c>
    </row>
    <row r="434">
      <c r="A434" s="31" t="n">
        <v>433</v>
      </c>
      <c r="B434" s="22" t="inlineStr">
        <is>
          <t>H004</t>
        </is>
      </c>
      <c r="C434" s="31" t="inlineStr">
        <is>
          <t xml:space="preserve">HANGER 004 </t>
        </is>
      </c>
      <c r="D434" s="31" t="inlineStr">
        <is>
          <t>HANGER</t>
        </is>
      </c>
      <c r="E434" s="29" t="inlineStr">
        <is>
          <t>여성존</t>
        </is>
      </c>
      <c r="F434" s="31" t="inlineStr">
        <is>
          <t>EECKG23E0227165</t>
        </is>
      </c>
      <c r="G434" s="31">
        <f>LEFT(F434,10)</f>
        <v/>
      </c>
      <c r="H434" s="31">
        <f>MID(G434,3,2)</f>
        <v/>
      </c>
      <c r="I434" s="31">
        <f>VLOOKUP(H434,color!E:G,2,0)</f>
        <v/>
      </c>
      <c r="J434" s="31" t="n">
        <v>27</v>
      </c>
      <c r="K434" s="31">
        <f>VLOOKUP(J434,color!A:C,2,0)</f>
        <v/>
      </c>
      <c r="L434" s="31" t="n">
        <v>1</v>
      </c>
      <c r="M434" s="31">
        <f>VLOOKUP(F434,'卖场库存0422-0512'!M:R,5,0)</f>
        <v/>
      </c>
      <c r="N434" s="31">
        <f>VLOOKUP(F434,'卖场库存0422-0512'!M:S,6,0)</f>
        <v/>
      </c>
      <c r="O434" s="31" t="inlineStr">
        <is>
          <t>Sleeve out</t>
        </is>
      </c>
      <c r="P434" s="30">
        <f>VLOOKUP(F434,'卖场库存0422-0512'!M:S,7,0)</f>
        <v/>
      </c>
      <c r="Q434" s="31">
        <f>VLOOKUP(H434,color!E:G,3,0)</f>
        <v/>
      </c>
    </row>
    <row r="435">
      <c r="A435" s="31" t="n">
        <v>434</v>
      </c>
      <c r="B435" s="22" t="inlineStr">
        <is>
          <t>H004</t>
        </is>
      </c>
      <c r="C435" s="31" t="inlineStr">
        <is>
          <t xml:space="preserve">HANGER 004 </t>
        </is>
      </c>
      <c r="D435" s="31" t="inlineStr">
        <is>
          <t>HANGER</t>
        </is>
      </c>
      <c r="E435" s="29" t="inlineStr">
        <is>
          <t>여성존</t>
        </is>
      </c>
      <c r="F435" s="31" t="inlineStr">
        <is>
          <t>EECKG23E0231165</t>
        </is>
      </c>
      <c r="G435" s="31">
        <f>LEFT(F435,10)</f>
        <v/>
      </c>
      <c r="H435" s="31">
        <f>MID(G435,3,2)</f>
        <v/>
      </c>
      <c r="I435" s="31">
        <f>VLOOKUP(H435,color!E:G,2,0)</f>
        <v/>
      </c>
      <c r="J435" s="31" t="n">
        <v>31</v>
      </c>
      <c r="K435" s="31">
        <f>VLOOKUP(J435,color!A:C,2,0)</f>
        <v/>
      </c>
      <c r="L435" s="31" t="n">
        <v>1</v>
      </c>
      <c r="M435" s="31">
        <f>VLOOKUP(F435,'卖场库存0422-0512'!M:R,5,0)</f>
        <v/>
      </c>
      <c r="N435" s="31">
        <f>VLOOKUP(F435,'卖场库存0422-0512'!M:S,6,0)</f>
        <v/>
      </c>
      <c r="O435" s="31" t="inlineStr">
        <is>
          <t>Sleeve out</t>
        </is>
      </c>
      <c r="P435" s="30">
        <f>VLOOKUP(F435,'卖场库存0422-0512'!M:S,7,0)</f>
        <v/>
      </c>
      <c r="Q435" s="31">
        <f>VLOOKUP(H435,color!E:G,3,0)</f>
        <v/>
      </c>
    </row>
    <row r="436">
      <c r="A436" s="31" t="n">
        <v>435</v>
      </c>
      <c r="B436" s="22" t="inlineStr">
        <is>
          <t>H004</t>
        </is>
      </c>
      <c r="C436" s="31" t="inlineStr">
        <is>
          <t xml:space="preserve">HANGER 004 </t>
        </is>
      </c>
      <c r="D436" s="31" t="inlineStr">
        <is>
          <t>HANGER</t>
        </is>
      </c>
      <c r="E436" s="29" t="inlineStr">
        <is>
          <t>여성존</t>
        </is>
      </c>
      <c r="F436" s="31" t="inlineStr">
        <is>
          <t>EECKG23E0231175</t>
        </is>
      </c>
      <c r="G436" s="31">
        <f>LEFT(F436,10)</f>
        <v/>
      </c>
      <c r="H436" s="31">
        <f>MID(G436,3,2)</f>
        <v/>
      </c>
      <c r="I436" s="31">
        <f>VLOOKUP(H436,color!E:G,2,0)</f>
        <v/>
      </c>
      <c r="J436" s="31" t="n">
        <v>31</v>
      </c>
      <c r="K436" s="31">
        <f>VLOOKUP(J436,color!A:C,2,0)</f>
        <v/>
      </c>
      <c r="L436" s="31" t="n">
        <v>1</v>
      </c>
      <c r="M436" s="31">
        <f>VLOOKUP(F436,'卖场库存0422-0512'!M:R,5,0)</f>
        <v/>
      </c>
      <c r="N436" s="31">
        <f>VLOOKUP(F436,'卖场库存0422-0512'!M:S,6,0)</f>
        <v/>
      </c>
      <c r="O436" s="31" t="inlineStr">
        <is>
          <t>Sleeve out</t>
        </is>
      </c>
      <c r="P436" s="30">
        <f>VLOOKUP(F436,'卖场库存0422-0512'!M:S,7,0)</f>
        <v/>
      </c>
      <c r="Q436" s="31">
        <f>VLOOKUP(H436,color!E:G,3,0)</f>
        <v/>
      </c>
    </row>
    <row r="437">
      <c r="A437" s="31" t="n">
        <v>436</v>
      </c>
      <c r="B437" s="22" t="inlineStr">
        <is>
          <t>H004</t>
        </is>
      </c>
      <c r="C437" s="31" t="inlineStr">
        <is>
          <t xml:space="preserve">HANGER 004 </t>
        </is>
      </c>
      <c r="D437" s="31" t="inlineStr">
        <is>
          <t>HANGER</t>
        </is>
      </c>
      <c r="E437" s="29" t="inlineStr">
        <is>
          <t>여성존</t>
        </is>
      </c>
      <c r="F437" s="31" t="inlineStr">
        <is>
          <t>EEKWG24B5239160</t>
        </is>
      </c>
      <c r="G437" s="31">
        <f>LEFT(F437,10)</f>
        <v/>
      </c>
      <c r="H437" s="31">
        <f>MID(G437,3,2)</f>
        <v/>
      </c>
      <c r="I437" s="31">
        <f>VLOOKUP(H437,color!E:G,2,0)</f>
        <v/>
      </c>
      <c r="J437" s="31" t="n">
        <v>39</v>
      </c>
      <c r="K437" s="31">
        <f>VLOOKUP(J437,color!A:C,2,0)</f>
        <v/>
      </c>
      <c r="L437" s="31" t="n">
        <v>1</v>
      </c>
      <c r="M437" s="31">
        <f>VLOOKUP(F437,'卖场库存0422-0512'!M:R,5,0)</f>
        <v/>
      </c>
      <c r="N437" s="31">
        <f>VLOOKUP(F437,'卖场库存0422-0512'!M:S,6,0)</f>
        <v/>
      </c>
      <c r="O437" s="31" t="inlineStr">
        <is>
          <t>Sleeve out</t>
        </is>
      </c>
      <c r="P437" s="30">
        <f>VLOOKUP(F437,'卖场库存0422-0512'!M:S,7,0)</f>
        <v/>
      </c>
      <c r="Q437" s="31">
        <f>VLOOKUP(H437,color!E:G,3,0)</f>
        <v/>
      </c>
    </row>
    <row r="438">
      <c r="A438" s="31" t="n">
        <v>437</v>
      </c>
      <c r="B438" s="22" t="inlineStr">
        <is>
          <t>H004</t>
        </is>
      </c>
      <c r="C438" s="31" t="inlineStr">
        <is>
          <t xml:space="preserve">HANGER 004 </t>
        </is>
      </c>
      <c r="D438" s="31" t="inlineStr">
        <is>
          <t>HANGER</t>
        </is>
      </c>
      <c r="E438" s="29" t="inlineStr">
        <is>
          <t>여성존</t>
        </is>
      </c>
      <c r="F438" s="31" t="inlineStr">
        <is>
          <t>EEKWG24B5239160</t>
        </is>
      </c>
      <c r="G438" s="31">
        <f>LEFT(F438,10)</f>
        <v/>
      </c>
      <c r="H438" s="31">
        <f>MID(G438,3,2)</f>
        <v/>
      </c>
      <c r="I438" s="31">
        <f>VLOOKUP(H438,color!E:G,2,0)</f>
        <v/>
      </c>
      <c r="J438" s="31" t="n">
        <v>39</v>
      </c>
      <c r="K438" s="31">
        <f>VLOOKUP(J438,color!A:C,2,0)</f>
        <v/>
      </c>
      <c r="L438" s="31" t="n">
        <v>1</v>
      </c>
      <c r="M438" s="31">
        <f>VLOOKUP(F438,'卖场库存0422-0512'!M:R,5,0)</f>
        <v/>
      </c>
      <c r="N438" s="31">
        <f>VLOOKUP(F438,'卖场库存0422-0512'!M:S,6,0)</f>
        <v/>
      </c>
      <c r="O438" s="31" t="inlineStr">
        <is>
          <t>Sleeve out</t>
        </is>
      </c>
      <c r="P438" s="30">
        <f>VLOOKUP(F438,'卖场库存0422-0512'!M:S,7,0)</f>
        <v/>
      </c>
      <c r="Q438" s="31">
        <f>VLOOKUP(H438,color!E:G,3,0)</f>
        <v/>
      </c>
    </row>
    <row r="439">
      <c r="A439" s="31" t="n">
        <v>438</v>
      </c>
      <c r="B439" s="22" t="inlineStr">
        <is>
          <t>H004</t>
        </is>
      </c>
      <c r="C439" s="31" t="inlineStr">
        <is>
          <t xml:space="preserve">HANGER 004 </t>
        </is>
      </c>
      <c r="D439" s="31" t="inlineStr">
        <is>
          <t>HANGER</t>
        </is>
      </c>
      <c r="E439" s="29" t="inlineStr">
        <is>
          <t>여성존</t>
        </is>
      </c>
      <c r="F439" s="31" t="inlineStr">
        <is>
          <t>EECKG23E0239175</t>
        </is>
      </c>
      <c r="G439" s="31">
        <f>LEFT(F439,10)</f>
        <v/>
      </c>
      <c r="H439" s="31">
        <f>MID(G439,3,2)</f>
        <v/>
      </c>
      <c r="I439" s="31">
        <f>VLOOKUP(H439,color!E:G,2,0)</f>
        <v/>
      </c>
      <c r="J439" s="31" t="n">
        <v>39</v>
      </c>
      <c r="K439" s="31">
        <f>VLOOKUP(J439,color!A:C,2,0)</f>
        <v/>
      </c>
      <c r="L439" s="31" t="n">
        <v>1</v>
      </c>
      <c r="M439" s="31">
        <f>VLOOKUP(F439,'卖场库存0422-0512'!M:R,5,0)</f>
        <v/>
      </c>
      <c r="N439" s="31">
        <f>VLOOKUP(F439,'卖场库存0422-0512'!M:S,6,0)</f>
        <v/>
      </c>
      <c r="O439" s="31" t="inlineStr">
        <is>
          <t>Sleeve out</t>
        </is>
      </c>
      <c r="P439" s="30">
        <f>VLOOKUP(F439,'卖场库存0422-0512'!M:S,7,0)</f>
        <v/>
      </c>
      <c r="Q439" s="31">
        <f>VLOOKUP(H439,color!E:G,3,0)</f>
        <v/>
      </c>
    </row>
    <row r="440">
      <c r="A440" s="31" t="n">
        <v>439</v>
      </c>
      <c r="B440" s="22" t="inlineStr">
        <is>
          <t>H004</t>
        </is>
      </c>
      <c r="C440" s="31" t="inlineStr">
        <is>
          <t xml:space="preserve">HANGER 004 </t>
        </is>
      </c>
      <c r="D440" s="31" t="inlineStr">
        <is>
          <t>HANGER</t>
        </is>
      </c>
      <c r="E440" s="29" t="inlineStr">
        <is>
          <t>여성존</t>
        </is>
      </c>
      <c r="F440" s="31" t="inlineStr">
        <is>
          <t>EECKG23E0239170</t>
        </is>
      </c>
      <c r="G440" s="31">
        <f>LEFT(F440,10)</f>
        <v/>
      </c>
      <c r="H440" s="31">
        <f>MID(G440,3,2)</f>
        <v/>
      </c>
      <c r="I440" s="31">
        <f>VLOOKUP(H440,color!E:G,2,0)</f>
        <v/>
      </c>
      <c r="J440" s="31" t="n">
        <v>39</v>
      </c>
      <c r="K440" s="31">
        <f>VLOOKUP(J440,color!A:C,2,0)</f>
        <v/>
      </c>
      <c r="L440" s="31" t="n">
        <v>1</v>
      </c>
      <c r="M440" s="31">
        <f>VLOOKUP(F440,'卖场库存0422-0512'!M:R,5,0)</f>
        <v/>
      </c>
      <c r="N440" s="31">
        <f>VLOOKUP(F440,'卖场库存0422-0512'!M:S,6,0)</f>
        <v/>
      </c>
      <c r="O440" s="31" t="inlineStr">
        <is>
          <t>Sleeve out</t>
        </is>
      </c>
      <c r="P440" s="30">
        <f>VLOOKUP(F440,'卖场库存0422-0512'!M:S,7,0)</f>
        <v/>
      </c>
      <c r="Q440" s="31">
        <f>VLOOKUP(H440,color!E:G,3,0)</f>
        <v/>
      </c>
    </row>
    <row r="441">
      <c r="A441" s="31" t="n">
        <v>440</v>
      </c>
      <c r="B441" s="22" t="inlineStr">
        <is>
          <t>H004</t>
        </is>
      </c>
      <c r="C441" s="31" t="inlineStr">
        <is>
          <t xml:space="preserve">HANGER 004 </t>
        </is>
      </c>
      <c r="D441" s="31" t="inlineStr">
        <is>
          <t>HANGER</t>
        </is>
      </c>
      <c r="E441" s="29" t="inlineStr">
        <is>
          <t>여성존</t>
        </is>
      </c>
      <c r="F441" s="31" t="inlineStr">
        <is>
          <t>EECKG23E0250175</t>
        </is>
      </c>
      <c r="G441" s="31">
        <f>LEFT(F441,10)</f>
        <v/>
      </c>
      <c r="H441" s="31">
        <f>MID(G441,3,2)</f>
        <v/>
      </c>
      <c r="I441" s="31">
        <f>VLOOKUP(H441,color!E:G,2,0)</f>
        <v/>
      </c>
      <c r="J441" s="31" t="n">
        <v>50</v>
      </c>
      <c r="K441" s="31">
        <f>VLOOKUP(J441,color!A:C,2,0)</f>
        <v/>
      </c>
      <c r="L441" s="31" t="n">
        <v>1</v>
      </c>
      <c r="M441" s="31">
        <f>VLOOKUP(F441,'卖场库存0422-0512'!M:R,5,0)</f>
        <v/>
      </c>
      <c r="N441" s="31">
        <f>VLOOKUP(F441,'卖场库存0422-0512'!M:S,6,0)</f>
        <v/>
      </c>
      <c r="O441" s="31" t="inlineStr">
        <is>
          <t>Sleeve out</t>
        </is>
      </c>
      <c r="P441" s="30">
        <f>VLOOKUP(F441,'卖场库存0422-0512'!M:S,7,0)</f>
        <v/>
      </c>
      <c r="Q441" s="31">
        <f>VLOOKUP(H441,color!E:G,3,0)</f>
        <v/>
      </c>
    </row>
    <row r="442">
      <c r="A442" s="31" t="n">
        <v>441</v>
      </c>
      <c r="B442" s="22" t="inlineStr">
        <is>
          <t>H004</t>
        </is>
      </c>
      <c r="C442" s="31" t="inlineStr">
        <is>
          <t xml:space="preserve">HANGER 004 </t>
        </is>
      </c>
      <c r="D442" s="31" t="inlineStr">
        <is>
          <t>HANGER</t>
        </is>
      </c>
      <c r="E442" s="29" t="inlineStr">
        <is>
          <t>여성존</t>
        </is>
      </c>
      <c r="F442" s="31" t="inlineStr">
        <is>
          <t>EECKG23E0250160</t>
        </is>
      </c>
      <c r="G442" s="31">
        <f>LEFT(F442,10)</f>
        <v/>
      </c>
      <c r="H442" s="31">
        <f>MID(G442,3,2)</f>
        <v/>
      </c>
      <c r="I442" s="31">
        <f>VLOOKUP(H442,color!E:G,2,0)</f>
        <v/>
      </c>
      <c r="J442" s="31" t="n">
        <v>50</v>
      </c>
      <c r="K442" s="31">
        <f>VLOOKUP(J442,color!A:C,2,0)</f>
        <v/>
      </c>
      <c r="L442" s="31" t="n">
        <v>1</v>
      </c>
      <c r="M442" s="31">
        <f>VLOOKUP(F442,'卖场库存0422-0512'!M:R,5,0)</f>
        <v/>
      </c>
      <c r="N442" s="31">
        <f>VLOOKUP(F442,'卖场库存0422-0512'!M:S,6,0)</f>
        <v/>
      </c>
      <c r="O442" s="31" t="inlineStr">
        <is>
          <t>Sleeve out</t>
        </is>
      </c>
      <c r="P442" s="30">
        <f>VLOOKUP(F442,'卖场库存0422-0512'!M:S,7,0)</f>
        <v/>
      </c>
      <c r="Q442" s="31">
        <f>VLOOKUP(H442,color!E:G,3,0)</f>
        <v/>
      </c>
    </row>
    <row r="443">
      <c r="A443" s="31" t="n">
        <v>442</v>
      </c>
      <c r="B443" s="22" t="inlineStr">
        <is>
          <t>H005</t>
        </is>
      </c>
      <c r="C443" s="31" t="inlineStr">
        <is>
          <t>HANGER 005</t>
        </is>
      </c>
      <c r="D443" s="31" t="inlineStr">
        <is>
          <t>HANGER</t>
        </is>
      </c>
      <c r="E443" s="33" t="inlineStr">
        <is>
          <t>남성존</t>
        </is>
      </c>
      <c r="F443" s="31" t="inlineStr">
        <is>
          <t>EEYSG63S0250165</t>
        </is>
      </c>
      <c r="G443" s="31">
        <f>LEFT(F443,10)</f>
        <v/>
      </c>
      <c r="H443" s="31">
        <f>MID(G443,3,2)</f>
        <v/>
      </c>
      <c r="I443" s="31">
        <f>VLOOKUP(H443,color!E:G,2,0)</f>
        <v/>
      </c>
      <c r="J443" s="31" t="n">
        <v>50</v>
      </c>
      <c r="K443" s="31">
        <f>VLOOKUP(J443,color!A:C,2,0)</f>
        <v/>
      </c>
      <c r="L443" s="31" t="n">
        <v>1</v>
      </c>
      <c r="M443" s="31">
        <f>VLOOKUP(F443,'卖场库存0422-0512'!M:R,5,0)</f>
        <v/>
      </c>
      <c r="N443" s="31">
        <f>VLOOKUP(F443,'卖场库存0422-0512'!M:S,6,0)</f>
        <v/>
      </c>
      <c r="O443" s="31" t="inlineStr">
        <is>
          <t>Sleeve out</t>
        </is>
      </c>
      <c r="P443" s="30">
        <f>VLOOKUP(F443,'卖场库存0422-0512'!M:S,7,0)</f>
        <v/>
      </c>
      <c r="Q443" s="31">
        <f>VLOOKUP(H443,color!E:G,3,0)</f>
        <v/>
      </c>
    </row>
    <row r="444">
      <c r="A444" s="31" t="n">
        <v>443</v>
      </c>
      <c r="B444" s="22" t="inlineStr">
        <is>
          <t>H005</t>
        </is>
      </c>
      <c r="C444" s="31" t="inlineStr">
        <is>
          <t>HANGER 005</t>
        </is>
      </c>
      <c r="D444" s="31" t="inlineStr">
        <is>
          <t>HANGER</t>
        </is>
      </c>
      <c r="E444" s="33" t="inlineStr">
        <is>
          <t>남성존</t>
        </is>
      </c>
      <c r="F444" s="31" t="inlineStr">
        <is>
          <t>EEYSG63S0250160</t>
        </is>
      </c>
      <c r="G444" s="31">
        <f>LEFT(F444,10)</f>
        <v/>
      </c>
      <c r="H444" s="31">
        <f>MID(G444,3,2)</f>
        <v/>
      </c>
      <c r="I444" s="31">
        <f>VLOOKUP(H444,color!E:G,2,0)</f>
        <v/>
      </c>
      <c r="J444" s="31" t="n">
        <v>50</v>
      </c>
      <c r="K444" s="31">
        <f>VLOOKUP(J444,color!A:C,2,0)</f>
        <v/>
      </c>
      <c r="L444" s="31" t="n">
        <v>1</v>
      </c>
      <c r="M444" s="31">
        <f>VLOOKUP(F444,'卖场库存0422-0512'!M:R,5,0)</f>
        <v/>
      </c>
      <c r="N444" s="31">
        <f>VLOOKUP(F444,'卖场库存0422-0512'!M:S,6,0)</f>
        <v/>
      </c>
      <c r="O444" s="31" t="inlineStr">
        <is>
          <t>Sleeve out</t>
        </is>
      </c>
      <c r="P444" s="30">
        <f>VLOOKUP(F444,'卖场库存0422-0512'!M:S,7,0)</f>
        <v/>
      </c>
      <c r="Q444" s="31">
        <f>VLOOKUP(H444,color!E:G,3,0)</f>
        <v/>
      </c>
    </row>
    <row r="445">
      <c r="A445" s="31" t="n">
        <v>444</v>
      </c>
      <c r="B445" s="22" t="inlineStr">
        <is>
          <t>H005</t>
        </is>
      </c>
      <c r="C445" s="31" t="inlineStr">
        <is>
          <t>HANGER 005</t>
        </is>
      </c>
      <c r="D445" s="31" t="inlineStr">
        <is>
          <t>HANGER</t>
        </is>
      </c>
      <c r="E445" s="33" t="inlineStr">
        <is>
          <t>남성존</t>
        </is>
      </c>
      <c r="F445" s="31" t="inlineStr">
        <is>
          <t>EEYCG63S0151160</t>
        </is>
      </c>
      <c r="G445" s="31">
        <f>LEFT(F445,10)</f>
        <v/>
      </c>
      <c r="H445" s="31">
        <f>MID(G445,3,2)</f>
        <v/>
      </c>
      <c r="I445" s="31">
        <f>VLOOKUP(H445,color!E:G,2,0)</f>
        <v/>
      </c>
      <c r="J445" s="31" t="n">
        <v>51</v>
      </c>
      <c r="K445" s="31">
        <f>VLOOKUP(J445,color!A:C,2,0)</f>
        <v/>
      </c>
      <c r="L445" s="31" t="n">
        <v>1</v>
      </c>
      <c r="M445" s="31">
        <f>VLOOKUP(F445,'卖场库存0422-0512'!M:R,5,0)</f>
        <v/>
      </c>
      <c r="N445" s="31">
        <f>VLOOKUP(F445,'卖场库存0422-0512'!M:S,6,0)</f>
        <v/>
      </c>
      <c r="O445" s="31" t="inlineStr">
        <is>
          <t>Sleeve out</t>
        </is>
      </c>
      <c r="P445" s="30">
        <f>VLOOKUP(F445,'卖场库存0422-0512'!M:S,7,0)</f>
        <v/>
      </c>
      <c r="Q445" s="31">
        <f>VLOOKUP(H445,color!E:G,3,0)</f>
        <v/>
      </c>
    </row>
    <row r="446">
      <c r="A446" s="31" t="n">
        <v>445</v>
      </c>
      <c r="B446" s="22" t="inlineStr">
        <is>
          <t>H005</t>
        </is>
      </c>
      <c r="C446" s="31" t="inlineStr">
        <is>
          <t>HANGER 005</t>
        </is>
      </c>
      <c r="D446" s="31" t="inlineStr">
        <is>
          <t>HANGER</t>
        </is>
      </c>
      <c r="E446" s="33" t="inlineStr">
        <is>
          <t>남성존</t>
        </is>
      </c>
      <c r="F446" s="31" t="inlineStr">
        <is>
          <t>EEYSG23E0151170</t>
        </is>
      </c>
      <c r="G446" s="31">
        <f>LEFT(F446,10)</f>
        <v/>
      </c>
      <c r="H446" s="31">
        <f>MID(G446,3,2)</f>
        <v/>
      </c>
      <c r="I446" s="31">
        <f>VLOOKUP(H446,color!E:G,2,0)</f>
        <v/>
      </c>
      <c r="J446" s="31" t="n">
        <v>51</v>
      </c>
      <c r="K446" s="31">
        <f>VLOOKUP(J446,color!A:C,2,0)</f>
        <v/>
      </c>
      <c r="L446" s="31" t="n">
        <v>1</v>
      </c>
      <c r="M446" s="31">
        <f>VLOOKUP(F446,'卖场库存0422-0512'!M:R,5,0)</f>
        <v/>
      </c>
      <c r="N446" s="31">
        <f>VLOOKUP(F446,'卖场库存0422-0512'!M:S,6,0)</f>
        <v/>
      </c>
      <c r="O446" s="31" t="inlineStr">
        <is>
          <t>Sleeve out</t>
        </is>
      </c>
      <c r="P446" s="30">
        <f>VLOOKUP(F446,'卖场库存0422-0512'!M:S,7,0)</f>
        <v/>
      </c>
      <c r="Q446" s="31">
        <f>VLOOKUP(H446,color!E:G,3,0)</f>
        <v/>
      </c>
    </row>
    <row r="447">
      <c r="A447" s="31" t="n">
        <v>446</v>
      </c>
      <c r="B447" s="22" t="inlineStr">
        <is>
          <t>H005</t>
        </is>
      </c>
      <c r="C447" s="31" t="inlineStr">
        <is>
          <t>HANGER 005</t>
        </is>
      </c>
      <c r="D447" s="31" t="inlineStr">
        <is>
          <t>HANGER</t>
        </is>
      </c>
      <c r="E447" s="33" t="inlineStr">
        <is>
          <t>남성존</t>
        </is>
      </c>
      <c r="F447" s="31" t="inlineStr">
        <is>
          <t>EEYSG63S0126160</t>
        </is>
      </c>
      <c r="G447" s="31">
        <f>LEFT(F447,10)</f>
        <v/>
      </c>
      <c r="H447" s="31">
        <f>MID(G447,3,2)</f>
        <v/>
      </c>
      <c r="I447" s="31">
        <f>VLOOKUP(H447,color!E:G,2,0)</f>
        <v/>
      </c>
      <c r="J447" s="31" t="n">
        <v>26</v>
      </c>
      <c r="K447" s="31">
        <f>VLOOKUP(J447,color!A:C,2,0)</f>
        <v/>
      </c>
      <c r="L447" s="31" t="n">
        <v>1</v>
      </c>
      <c r="M447" s="31">
        <f>VLOOKUP(F447,'卖场库存0422-0512'!M:R,5,0)</f>
        <v/>
      </c>
      <c r="N447" s="31">
        <f>VLOOKUP(F447,'卖场库存0422-0512'!M:S,6,0)</f>
        <v/>
      </c>
      <c r="O447" s="31" t="inlineStr">
        <is>
          <t>Sleeve out</t>
        </is>
      </c>
      <c r="P447" s="30">
        <f>VLOOKUP(F447,'卖场库存0422-0512'!M:S,7,0)</f>
        <v/>
      </c>
      <c r="Q447" s="31">
        <f>VLOOKUP(H447,color!E:G,3,0)</f>
        <v/>
      </c>
    </row>
    <row r="448">
      <c r="A448" s="31" t="n">
        <v>447</v>
      </c>
      <c r="B448" s="22" t="inlineStr">
        <is>
          <t>H005</t>
        </is>
      </c>
      <c r="C448" s="31" t="inlineStr">
        <is>
          <t>HANGER 005</t>
        </is>
      </c>
      <c r="D448" s="31" t="inlineStr">
        <is>
          <t>HANGER</t>
        </is>
      </c>
      <c r="E448" s="33" t="inlineStr">
        <is>
          <t>남성존</t>
        </is>
      </c>
      <c r="F448" s="31" t="inlineStr">
        <is>
          <t>EEYSG23E0188165</t>
        </is>
      </c>
      <c r="G448" s="31">
        <f>LEFT(F448,10)</f>
        <v/>
      </c>
      <c r="H448" s="31">
        <f>MID(G448,3,2)</f>
        <v/>
      </c>
      <c r="I448" s="31">
        <f>VLOOKUP(H448,color!E:G,2,0)</f>
        <v/>
      </c>
      <c r="J448" s="31" t="n">
        <v>88</v>
      </c>
      <c r="K448" s="31">
        <f>VLOOKUP(J448,color!A:C,2,0)</f>
        <v/>
      </c>
      <c r="L448" s="31" t="n">
        <v>1</v>
      </c>
      <c r="M448" s="31">
        <f>VLOOKUP(F448,'卖场库存0422-0512'!M:R,5,0)</f>
        <v/>
      </c>
      <c r="N448" s="31">
        <f>VLOOKUP(F448,'卖场库存0422-0512'!M:S,6,0)</f>
        <v/>
      </c>
      <c r="O448" s="31" t="inlineStr">
        <is>
          <t>Sleeve out</t>
        </is>
      </c>
      <c r="P448" s="30">
        <f>VLOOKUP(F448,'卖场库存0422-0512'!M:S,7,0)</f>
        <v/>
      </c>
      <c r="Q448" s="31">
        <f>VLOOKUP(H448,color!E:G,3,0)</f>
        <v/>
      </c>
    </row>
    <row r="449">
      <c r="A449" s="31" t="n">
        <v>448</v>
      </c>
      <c r="B449" s="22" t="inlineStr">
        <is>
          <t>H005</t>
        </is>
      </c>
      <c r="C449" s="31" t="inlineStr">
        <is>
          <t>HANGER 005</t>
        </is>
      </c>
      <c r="D449" s="31" t="inlineStr">
        <is>
          <t>HANGER</t>
        </is>
      </c>
      <c r="E449" s="33" t="inlineStr">
        <is>
          <t>남성존</t>
        </is>
      </c>
      <c r="F449" s="31" t="inlineStr">
        <is>
          <t>EEYSG23E0188160</t>
        </is>
      </c>
      <c r="G449" s="31">
        <f>LEFT(F449,10)</f>
        <v/>
      </c>
      <c r="H449" s="31">
        <f>MID(G449,3,2)</f>
        <v/>
      </c>
      <c r="I449" s="31">
        <f>VLOOKUP(H449,color!E:G,2,0)</f>
        <v/>
      </c>
      <c r="J449" s="31" t="n">
        <v>88</v>
      </c>
      <c r="K449" s="31">
        <f>VLOOKUP(J449,color!A:C,2,0)</f>
        <v/>
      </c>
      <c r="L449" s="31" t="n">
        <v>1</v>
      </c>
      <c r="M449" s="31">
        <f>VLOOKUP(F449,'卖场库存0422-0512'!M:R,5,0)</f>
        <v/>
      </c>
      <c r="N449" s="31">
        <f>VLOOKUP(F449,'卖场库存0422-0512'!M:S,6,0)</f>
        <v/>
      </c>
      <c r="O449" s="31" t="inlineStr">
        <is>
          <t>Sleeve out</t>
        </is>
      </c>
      <c r="P449" s="30">
        <f>VLOOKUP(F449,'卖场库存0422-0512'!M:S,7,0)</f>
        <v/>
      </c>
      <c r="Q449" s="31">
        <f>VLOOKUP(H449,color!E:G,3,0)</f>
        <v/>
      </c>
    </row>
    <row r="450">
      <c r="A450" s="31" t="n">
        <v>449</v>
      </c>
      <c r="B450" s="22" t="inlineStr">
        <is>
          <t>H005</t>
        </is>
      </c>
      <c r="C450" s="31" t="inlineStr">
        <is>
          <t>HANGER 005</t>
        </is>
      </c>
      <c r="D450" s="31" t="inlineStr">
        <is>
          <t>HANGER</t>
        </is>
      </c>
      <c r="E450" s="33" t="inlineStr">
        <is>
          <t>남성존</t>
        </is>
      </c>
      <c r="F450" s="31" t="inlineStr">
        <is>
          <t>EEYSG23E0126165</t>
        </is>
      </c>
      <c r="G450" s="31">
        <f>LEFT(F450,10)</f>
        <v/>
      </c>
      <c r="H450" s="31">
        <f>MID(G450,3,2)</f>
        <v/>
      </c>
      <c r="I450" s="31">
        <f>VLOOKUP(H450,color!E:G,2,0)</f>
        <v/>
      </c>
      <c r="J450" s="31" t="n">
        <v>26</v>
      </c>
      <c r="K450" s="31">
        <f>VLOOKUP(J450,color!A:C,2,0)</f>
        <v/>
      </c>
      <c r="L450" s="31" t="n">
        <v>1</v>
      </c>
      <c r="M450" s="31">
        <f>VLOOKUP(F450,'卖场库存0422-0512'!M:R,5,0)</f>
        <v/>
      </c>
      <c r="N450" s="31">
        <f>VLOOKUP(F450,'卖场库存0422-0512'!M:S,6,0)</f>
        <v/>
      </c>
      <c r="O450" s="31" t="inlineStr">
        <is>
          <t>Sleeve out</t>
        </is>
      </c>
      <c r="P450" s="30">
        <f>VLOOKUP(F450,'卖场库存0422-0512'!M:S,7,0)</f>
        <v/>
      </c>
      <c r="Q450" s="31">
        <f>VLOOKUP(H450,color!E:G,3,0)</f>
        <v/>
      </c>
    </row>
    <row r="451">
      <c r="A451" s="31" t="n">
        <v>450</v>
      </c>
      <c r="B451" s="22" t="inlineStr">
        <is>
          <t>H005</t>
        </is>
      </c>
      <c r="C451" s="31" t="inlineStr">
        <is>
          <t>HANGER 005</t>
        </is>
      </c>
      <c r="D451" s="31" t="inlineStr">
        <is>
          <t>HANGER</t>
        </is>
      </c>
      <c r="E451" s="33" t="inlineStr">
        <is>
          <t>남성존</t>
        </is>
      </c>
      <c r="F451" s="31" t="inlineStr">
        <is>
          <t>EEYSG23E0126160</t>
        </is>
      </c>
      <c r="G451" s="31">
        <f>LEFT(F451,10)</f>
        <v/>
      </c>
      <c r="H451" s="31">
        <f>MID(G451,3,2)</f>
        <v/>
      </c>
      <c r="I451" s="31">
        <f>VLOOKUP(H451,color!E:G,2,0)</f>
        <v/>
      </c>
      <c r="J451" s="31" t="n">
        <v>26</v>
      </c>
      <c r="K451" s="31">
        <f>VLOOKUP(J451,color!A:C,2,0)</f>
        <v/>
      </c>
      <c r="L451" s="31" t="n">
        <v>1</v>
      </c>
      <c r="M451" s="31">
        <f>VLOOKUP(F451,'卖场库存0422-0512'!M:R,5,0)</f>
        <v/>
      </c>
      <c r="N451" s="31">
        <f>VLOOKUP(F451,'卖场库存0422-0512'!M:S,6,0)</f>
        <v/>
      </c>
      <c r="O451" s="31" t="inlineStr">
        <is>
          <t>Sleeve out</t>
        </is>
      </c>
      <c r="P451" s="30">
        <f>VLOOKUP(F451,'卖场库存0422-0512'!M:S,7,0)</f>
        <v/>
      </c>
      <c r="Q451" s="31">
        <f>VLOOKUP(H451,color!E:G,3,0)</f>
        <v/>
      </c>
    </row>
    <row r="452">
      <c r="A452" s="31" t="n">
        <v>451</v>
      </c>
      <c r="B452" s="22" t="inlineStr">
        <is>
          <t>H005</t>
        </is>
      </c>
      <c r="C452" s="31" t="inlineStr">
        <is>
          <t>HANGER 005</t>
        </is>
      </c>
      <c r="D452" s="31" t="inlineStr">
        <is>
          <t>HANGER</t>
        </is>
      </c>
      <c r="E452" s="33" t="inlineStr">
        <is>
          <t>남성존</t>
        </is>
      </c>
      <c r="F452" s="31" t="inlineStr">
        <is>
          <t>EEYSG63S0288160</t>
        </is>
      </c>
      <c r="G452" s="31">
        <f>LEFT(F452,10)</f>
        <v/>
      </c>
      <c r="H452" s="31">
        <f>MID(G452,3,2)</f>
        <v/>
      </c>
      <c r="I452" s="31">
        <f>VLOOKUP(H452,color!E:G,2,0)</f>
        <v/>
      </c>
      <c r="J452" s="31" t="n">
        <v>88</v>
      </c>
      <c r="K452" s="31">
        <f>VLOOKUP(J452,color!A:C,2,0)</f>
        <v/>
      </c>
      <c r="L452" s="31" t="n">
        <v>1</v>
      </c>
      <c r="M452" s="31">
        <f>VLOOKUP(F452,'卖场库存0422-0512'!M:R,5,0)</f>
        <v/>
      </c>
      <c r="N452" s="31">
        <f>VLOOKUP(F452,'卖场库存0422-0512'!M:S,6,0)</f>
        <v/>
      </c>
      <c r="O452" s="31" t="inlineStr">
        <is>
          <t>Sleeve out</t>
        </is>
      </c>
      <c r="P452" s="30">
        <f>VLOOKUP(F452,'卖场库存0422-0512'!M:S,7,0)</f>
        <v/>
      </c>
      <c r="Q452" s="31">
        <f>VLOOKUP(H452,color!E:G,3,0)</f>
        <v/>
      </c>
    </row>
    <row r="453">
      <c r="A453" s="31" t="n">
        <v>452</v>
      </c>
      <c r="B453" s="22" t="inlineStr">
        <is>
          <t>H005</t>
        </is>
      </c>
      <c r="C453" s="31" t="inlineStr">
        <is>
          <t>HANGER 005</t>
        </is>
      </c>
      <c r="D453" s="31" t="inlineStr">
        <is>
          <t>HANGER</t>
        </is>
      </c>
      <c r="E453" s="33" t="inlineStr">
        <is>
          <t>남성존</t>
        </is>
      </c>
      <c r="F453" s="31" t="inlineStr">
        <is>
          <t>EEYSG63S0288165</t>
        </is>
      </c>
      <c r="G453" s="31">
        <f>LEFT(F453,10)</f>
        <v/>
      </c>
      <c r="H453" s="31">
        <f>MID(G453,3,2)</f>
        <v/>
      </c>
      <c r="I453" s="31">
        <f>VLOOKUP(H453,color!E:G,2,0)</f>
        <v/>
      </c>
      <c r="J453" s="31" t="n">
        <v>88</v>
      </c>
      <c r="K453" s="31">
        <f>VLOOKUP(J453,color!A:C,2,0)</f>
        <v/>
      </c>
      <c r="L453" s="31" t="n">
        <v>1</v>
      </c>
      <c r="M453" s="31">
        <f>VLOOKUP(F453,'卖场库存0422-0512'!M:R,5,0)</f>
        <v/>
      </c>
      <c r="N453" s="31">
        <f>VLOOKUP(F453,'卖场库存0422-0512'!M:S,6,0)</f>
        <v/>
      </c>
      <c r="O453" s="31" t="inlineStr">
        <is>
          <t>Sleeve out</t>
        </is>
      </c>
      <c r="P453" s="30">
        <f>VLOOKUP(F453,'卖场库存0422-0512'!M:S,7,0)</f>
        <v/>
      </c>
      <c r="Q453" s="31">
        <f>VLOOKUP(H453,color!E:G,3,0)</f>
        <v/>
      </c>
    </row>
    <row r="454">
      <c r="A454" s="31" t="n">
        <v>453</v>
      </c>
      <c r="B454" s="22" t="inlineStr">
        <is>
          <t>H005</t>
        </is>
      </c>
      <c r="C454" s="31" t="inlineStr">
        <is>
          <t>HANGER 005</t>
        </is>
      </c>
      <c r="D454" s="31" t="inlineStr">
        <is>
          <t>HANGER</t>
        </is>
      </c>
      <c r="E454" s="33" t="inlineStr">
        <is>
          <t>남성존</t>
        </is>
      </c>
      <c r="F454" s="31" t="inlineStr">
        <is>
          <t>EEYSG63S0226160</t>
        </is>
      </c>
      <c r="G454" s="31">
        <f>LEFT(F454,10)</f>
        <v/>
      </c>
      <c r="H454" s="31">
        <f>MID(G454,3,2)</f>
        <v/>
      </c>
      <c r="I454" s="31">
        <f>VLOOKUP(H454,color!E:G,2,0)</f>
        <v/>
      </c>
      <c r="J454" s="31" t="n">
        <v>26</v>
      </c>
      <c r="K454" s="31">
        <f>VLOOKUP(J454,color!A:C,2,0)</f>
        <v/>
      </c>
      <c r="L454" s="31" t="n">
        <v>1</v>
      </c>
      <c r="M454" s="31">
        <f>VLOOKUP(F454,'卖场库存0422-0512'!M:R,5,0)</f>
        <v/>
      </c>
      <c r="N454" s="31">
        <f>VLOOKUP(F454,'卖场库存0422-0512'!M:S,6,0)</f>
        <v/>
      </c>
      <c r="O454" s="31" t="inlineStr">
        <is>
          <t>Sleeve out</t>
        </is>
      </c>
      <c r="P454" s="30">
        <f>VLOOKUP(F454,'卖场库存0422-0512'!M:S,7,0)</f>
        <v/>
      </c>
      <c r="Q454" s="31">
        <f>VLOOKUP(H454,color!E:G,3,0)</f>
        <v/>
      </c>
    </row>
    <row r="455">
      <c r="A455" s="31" t="n">
        <v>454</v>
      </c>
      <c r="B455" s="22" t="inlineStr">
        <is>
          <t>H005</t>
        </is>
      </c>
      <c r="C455" s="31" t="inlineStr">
        <is>
          <t>HANGER 005</t>
        </is>
      </c>
      <c r="D455" s="31" t="inlineStr">
        <is>
          <t>HANGER</t>
        </is>
      </c>
      <c r="E455" s="33" t="inlineStr">
        <is>
          <t>남성존</t>
        </is>
      </c>
      <c r="F455" s="31" t="inlineStr">
        <is>
          <t>EEYSG63S0226165</t>
        </is>
      </c>
      <c r="G455" s="31">
        <f>LEFT(F455,10)</f>
        <v/>
      </c>
      <c r="H455" s="31">
        <f>MID(G455,3,2)</f>
        <v/>
      </c>
      <c r="I455" s="31">
        <f>VLOOKUP(H455,color!E:G,2,0)</f>
        <v/>
      </c>
      <c r="J455" s="31" t="n">
        <v>26</v>
      </c>
      <c r="K455" s="31">
        <f>VLOOKUP(J455,color!A:C,2,0)</f>
        <v/>
      </c>
      <c r="L455" s="31" t="n">
        <v>1</v>
      </c>
      <c r="M455" s="31">
        <f>VLOOKUP(F455,'卖场库存0422-0512'!M:R,5,0)</f>
        <v/>
      </c>
      <c r="N455" s="31">
        <f>VLOOKUP(F455,'卖场库存0422-0512'!M:S,6,0)</f>
        <v/>
      </c>
      <c r="O455" s="31" t="inlineStr">
        <is>
          <t>Sleeve out</t>
        </is>
      </c>
      <c r="P455" s="30">
        <f>VLOOKUP(F455,'卖场库存0422-0512'!M:S,7,0)</f>
        <v/>
      </c>
      <c r="Q455" s="31">
        <f>VLOOKUP(H455,color!E:G,3,0)</f>
        <v/>
      </c>
    </row>
    <row r="456">
      <c r="A456" s="31" t="n">
        <v>455</v>
      </c>
      <c r="B456" s="22" t="inlineStr">
        <is>
          <t>H005</t>
        </is>
      </c>
      <c r="C456" s="31" t="inlineStr">
        <is>
          <t>HANGER 005</t>
        </is>
      </c>
      <c r="D456" s="31" t="inlineStr">
        <is>
          <t>HANGER</t>
        </is>
      </c>
      <c r="E456" s="33" t="inlineStr">
        <is>
          <t>남성존</t>
        </is>
      </c>
      <c r="F456" s="31" t="inlineStr">
        <is>
          <t>EEYCG63S0126160</t>
        </is>
      </c>
      <c r="G456" s="31">
        <f>LEFT(F456,10)</f>
        <v/>
      </c>
      <c r="H456" s="31">
        <f>MID(G456,3,2)</f>
        <v/>
      </c>
      <c r="I456" s="31">
        <f>VLOOKUP(H456,color!E:G,2,0)</f>
        <v/>
      </c>
      <c r="J456" s="31" t="n">
        <v>26</v>
      </c>
      <c r="K456" s="31">
        <f>VLOOKUP(J456,color!A:C,2,0)</f>
        <v/>
      </c>
      <c r="L456" s="31" t="n">
        <v>1</v>
      </c>
      <c r="M456" s="31">
        <f>VLOOKUP(F456,'卖场库存0422-0512'!M:R,5,0)</f>
        <v/>
      </c>
      <c r="N456" s="31">
        <f>VLOOKUP(F456,'卖场库存0422-0512'!M:S,6,0)</f>
        <v/>
      </c>
      <c r="O456" s="31" t="inlineStr">
        <is>
          <t>Sleeve out</t>
        </is>
      </c>
      <c r="P456" s="30">
        <f>VLOOKUP(F456,'卖场库存0422-0512'!M:S,7,0)</f>
        <v/>
      </c>
      <c r="Q456" s="31">
        <f>VLOOKUP(H456,color!E:G,3,0)</f>
        <v/>
      </c>
    </row>
    <row r="457">
      <c r="A457" s="31" t="n">
        <v>456</v>
      </c>
      <c r="B457" s="22" t="inlineStr">
        <is>
          <t>H005</t>
        </is>
      </c>
      <c r="C457" s="31" t="inlineStr">
        <is>
          <t>HANGER 005</t>
        </is>
      </c>
      <c r="D457" s="31" t="inlineStr">
        <is>
          <t>HANGER</t>
        </is>
      </c>
      <c r="E457" s="33" t="inlineStr">
        <is>
          <t>남성존</t>
        </is>
      </c>
      <c r="F457" s="31" t="inlineStr">
        <is>
          <t>EEYCG63S0126165</t>
        </is>
      </c>
      <c r="G457" s="31">
        <f>LEFT(F457,10)</f>
        <v/>
      </c>
      <c r="H457" s="31">
        <f>MID(G457,3,2)</f>
        <v/>
      </c>
      <c r="I457" s="31">
        <f>VLOOKUP(H457,color!E:G,2,0)</f>
        <v/>
      </c>
      <c r="J457" s="31" t="n">
        <v>26</v>
      </c>
      <c r="K457" s="31">
        <f>VLOOKUP(J457,color!A:C,2,0)</f>
        <v/>
      </c>
      <c r="L457" s="31" t="n">
        <v>1</v>
      </c>
      <c r="M457" s="31">
        <f>VLOOKUP(F457,'卖场库存0422-0512'!M:R,5,0)</f>
        <v/>
      </c>
      <c r="N457" s="31">
        <f>VLOOKUP(F457,'卖场库存0422-0512'!M:S,6,0)</f>
        <v/>
      </c>
      <c r="O457" s="31" t="inlineStr">
        <is>
          <t>Sleeve out</t>
        </is>
      </c>
      <c r="P457" s="30">
        <f>VLOOKUP(F457,'卖场库存0422-0512'!M:S,7,0)</f>
        <v/>
      </c>
      <c r="Q457" s="31">
        <f>VLOOKUP(H457,color!E:G,3,0)</f>
        <v/>
      </c>
    </row>
    <row r="458">
      <c r="A458" s="31" t="n">
        <v>457</v>
      </c>
      <c r="B458" s="22" t="inlineStr">
        <is>
          <t>H005</t>
        </is>
      </c>
      <c r="C458" s="31" t="inlineStr">
        <is>
          <t>HANGER 005</t>
        </is>
      </c>
      <c r="D458" s="31" t="inlineStr">
        <is>
          <t>HANGER</t>
        </is>
      </c>
      <c r="E458" s="33" t="inlineStr">
        <is>
          <t>남성존</t>
        </is>
      </c>
      <c r="F458" s="31" t="inlineStr">
        <is>
          <t>EEJAG24B0349165</t>
        </is>
      </c>
      <c r="G458" s="31">
        <f>LEFT(F458,10)</f>
        <v/>
      </c>
      <c r="H458" s="31">
        <f>MID(G458,3,2)</f>
        <v/>
      </c>
      <c r="I458" s="31">
        <f>VLOOKUP(H458,color!E:G,2,0)</f>
        <v/>
      </c>
      <c r="J458" s="31" t="n">
        <v>49</v>
      </c>
      <c r="K458" s="31">
        <f>VLOOKUP(J458,color!A:C,2,0)</f>
        <v/>
      </c>
      <c r="L458" s="31" t="n">
        <v>1</v>
      </c>
      <c r="M458" s="31">
        <f>VLOOKUP(F458,'卖场库存0422-0512'!M:R,5,0)</f>
        <v/>
      </c>
      <c r="N458" s="31">
        <f>VLOOKUP(F458,'卖场库存0422-0512'!M:S,6,0)</f>
        <v/>
      </c>
      <c r="O458" s="31" t="inlineStr">
        <is>
          <t>Sleeve out</t>
        </is>
      </c>
      <c r="P458" s="30">
        <f>VLOOKUP(F458,'卖场库存0422-0512'!M:S,7,0)</f>
        <v/>
      </c>
      <c r="Q458" s="31">
        <f>VLOOKUP(H458,color!E:G,3,0)</f>
        <v/>
      </c>
    </row>
    <row r="459">
      <c r="A459" s="31" t="n">
        <v>458</v>
      </c>
      <c r="B459" s="22" t="inlineStr">
        <is>
          <t>H005</t>
        </is>
      </c>
      <c r="C459" s="31" t="inlineStr">
        <is>
          <t>HANGER 005</t>
        </is>
      </c>
      <c r="D459" s="31" t="inlineStr">
        <is>
          <t>HANGER</t>
        </is>
      </c>
      <c r="E459" s="33" t="inlineStr">
        <is>
          <t>남성존</t>
        </is>
      </c>
      <c r="F459" s="31" t="inlineStr">
        <is>
          <t>EEJAG24B0349160</t>
        </is>
      </c>
      <c r="G459" s="31">
        <f>LEFT(F459,10)</f>
        <v/>
      </c>
      <c r="H459" s="31">
        <f>MID(G459,3,2)</f>
        <v/>
      </c>
      <c r="I459" s="31">
        <f>VLOOKUP(H459,color!E:G,2,0)</f>
        <v/>
      </c>
      <c r="J459" s="31" t="n">
        <v>49</v>
      </c>
      <c r="K459" s="31">
        <f>VLOOKUP(J459,color!A:C,2,0)</f>
        <v/>
      </c>
      <c r="L459" s="31" t="n">
        <v>1</v>
      </c>
      <c r="M459" s="31">
        <f>VLOOKUP(F459,'卖场库存0422-0512'!M:R,5,0)</f>
        <v/>
      </c>
      <c r="N459" s="31">
        <f>VLOOKUP(F459,'卖场库存0422-0512'!M:S,6,0)</f>
        <v/>
      </c>
      <c r="O459" s="31" t="inlineStr">
        <is>
          <t>Sleeve out</t>
        </is>
      </c>
      <c r="P459" s="30">
        <f>VLOOKUP(F459,'卖场库存0422-0512'!M:S,7,0)</f>
        <v/>
      </c>
      <c r="Q459" s="31">
        <f>VLOOKUP(H459,color!E:G,3,0)</f>
        <v/>
      </c>
    </row>
    <row r="460">
      <c r="A460" s="31" t="n">
        <v>459</v>
      </c>
      <c r="B460" s="22" t="inlineStr">
        <is>
          <t>H005</t>
        </is>
      </c>
      <c r="C460" s="31" t="inlineStr">
        <is>
          <t>HANGER 005</t>
        </is>
      </c>
      <c r="D460" s="31" t="inlineStr">
        <is>
          <t>HANGER</t>
        </is>
      </c>
      <c r="E460" s="33" t="inlineStr">
        <is>
          <t>남성존</t>
        </is>
      </c>
      <c r="F460" s="31" t="inlineStr">
        <is>
          <t>EEJAG24B0339165</t>
        </is>
      </c>
      <c r="G460" s="31">
        <f>LEFT(F460,10)</f>
        <v/>
      </c>
      <c r="H460" s="31">
        <f>MID(G460,3,2)</f>
        <v/>
      </c>
      <c r="I460" s="31">
        <f>VLOOKUP(H460,color!E:G,2,0)</f>
        <v/>
      </c>
      <c r="J460" s="31" t="n">
        <v>39</v>
      </c>
      <c r="K460" s="31">
        <f>VLOOKUP(J460,color!A:C,2,0)</f>
        <v/>
      </c>
      <c r="L460" s="31" t="n">
        <v>1</v>
      </c>
      <c r="M460" s="31">
        <f>VLOOKUP(F460,'卖场库存0422-0512'!M:R,5,0)</f>
        <v/>
      </c>
      <c r="N460" s="31">
        <f>VLOOKUP(F460,'卖场库存0422-0512'!M:S,6,0)</f>
        <v/>
      </c>
      <c r="O460" s="31" t="inlineStr">
        <is>
          <t>Sleeve out</t>
        </is>
      </c>
      <c r="P460" s="30">
        <f>VLOOKUP(F460,'卖场库存0422-0512'!M:S,7,0)</f>
        <v/>
      </c>
      <c r="Q460" s="31">
        <f>VLOOKUP(H460,color!E:G,3,0)</f>
        <v/>
      </c>
    </row>
    <row r="461">
      <c r="A461" s="31" t="n">
        <v>460</v>
      </c>
      <c r="B461" s="22" t="inlineStr">
        <is>
          <t>H005</t>
        </is>
      </c>
      <c r="C461" s="31" t="inlineStr">
        <is>
          <t>HANGER 005</t>
        </is>
      </c>
      <c r="D461" s="31" t="inlineStr">
        <is>
          <t>HANGER</t>
        </is>
      </c>
      <c r="E461" s="33" t="inlineStr">
        <is>
          <t>남성존</t>
        </is>
      </c>
      <c r="F461" s="31" t="inlineStr">
        <is>
          <t>EEJAG24B0339160</t>
        </is>
      </c>
      <c r="G461" s="31">
        <f>LEFT(F461,10)</f>
        <v/>
      </c>
      <c r="H461" s="31">
        <f>MID(G461,3,2)</f>
        <v/>
      </c>
      <c r="I461" s="31">
        <f>VLOOKUP(H461,color!E:G,2,0)</f>
        <v/>
      </c>
      <c r="J461" s="31" t="n">
        <v>39</v>
      </c>
      <c r="K461" s="31">
        <f>VLOOKUP(J461,color!A:C,2,0)</f>
        <v/>
      </c>
      <c r="L461" s="31" t="n">
        <v>1</v>
      </c>
      <c r="M461" s="31">
        <f>VLOOKUP(F461,'卖场库存0422-0512'!M:R,5,0)</f>
        <v/>
      </c>
      <c r="N461" s="31">
        <f>VLOOKUP(F461,'卖场库存0422-0512'!M:S,6,0)</f>
        <v/>
      </c>
      <c r="O461" s="31" t="inlineStr">
        <is>
          <t>Sleeve out</t>
        </is>
      </c>
      <c r="P461" s="30">
        <f>VLOOKUP(F461,'卖场库存0422-0512'!M:S,7,0)</f>
        <v/>
      </c>
      <c r="Q461" s="31">
        <f>VLOOKUP(H461,color!E:G,3,0)</f>
        <v/>
      </c>
    </row>
    <row r="462">
      <c r="A462" s="31" t="n">
        <v>461</v>
      </c>
      <c r="B462" s="22" t="inlineStr">
        <is>
          <t>H005</t>
        </is>
      </c>
      <c r="C462" s="31" t="inlineStr">
        <is>
          <t>HANGER 005</t>
        </is>
      </c>
      <c r="D462" s="31" t="inlineStr">
        <is>
          <t>HANGER</t>
        </is>
      </c>
      <c r="E462" s="33" t="inlineStr">
        <is>
          <t>남성존</t>
        </is>
      </c>
      <c r="F462" s="31" t="inlineStr">
        <is>
          <t>EEJAG24B0136160</t>
        </is>
      </c>
      <c r="G462" s="31">
        <f>LEFT(F462,10)</f>
        <v/>
      </c>
      <c r="H462" s="31">
        <f>MID(G462,3,2)</f>
        <v/>
      </c>
      <c r="I462" s="31">
        <f>VLOOKUP(H462,color!E:G,2,0)</f>
        <v/>
      </c>
      <c r="J462" s="31" t="n">
        <v>36</v>
      </c>
      <c r="K462" s="31">
        <f>VLOOKUP(J462,color!A:C,2,0)</f>
        <v/>
      </c>
      <c r="L462" s="31" t="n">
        <v>1</v>
      </c>
      <c r="M462" s="31">
        <f>VLOOKUP(F462,'卖场库存0422-0512'!M:R,5,0)</f>
        <v/>
      </c>
      <c r="N462" s="31">
        <f>VLOOKUP(F462,'卖场库存0422-0512'!M:S,6,0)</f>
        <v/>
      </c>
      <c r="O462" s="31" t="inlineStr">
        <is>
          <t>Sleeve out</t>
        </is>
      </c>
      <c r="P462" s="30">
        <f>VLOOKUP(F462,'卖场库存0422-0512'!M:S,7,0)</f>
        <v/>
      </c>
      <c r="Q462" s="31">
        <f>VLOOKUP(H462,color!E:G,3,0)</f>
        <v/>
      </c>
    </row>
    <row r="463">
      <c r="A463" s="31" t="n">
        <v>462</v>
      </c>
      <c r="B463" s="22" t="inlineStr">
        <is>
          <t>H005</t>
        </is>
      </c>
      <c r="C463" s="31" t="inlineStr">
        <is>
          <t>HANGER 005</t>
        </is>
      </c>
      <c r="D463" s="31" t="inlineStr">
        <is>
          <t>HANGER</t>
        </is>
      </c>
      <c r="E463" s="33" t="inlineStr">
        <is>
          <t>남성존</t>
        </is>
      </c>
      <c r="F463" s="31" t="inlineStr">
        <is>
          <t>EEJAG24B0136165</t>
        </is>
      </c>
      <c r="G463" s="31">
        <f>LEFT(F463,10)</f>
        <v/>
      </c>
      <c r="H463" s="31">
        <f>MID(G463,3,2)</f>
        <v/>
      </c>
      <c r="I463" s="31">
        <f>VLOOKUP(H463,color!E:G,2,0)</f>
        <v/>
      </c>
      <c r="J463" s="31" t="n">
        <v>36</v>
      </c>
      <c r="K463" s="31">
        <f>VLOOKUP(J463,color!A:C,2,0)</f>
        <v/>
      </c>
      <c r="L463" s="31" t="n">
        <v>1</v>
      </c>
      <c r="M463" s="31">
        <f>VLOOKUP(F463,'卖场库存0422-0512'!M:R,5,0)</f>
        <v/>
      </c>
      <c r="N463" s="31">
        <f>VLOOKUP(F463,'卖场库存0422-0512'!M:S,6,0)</f>
        <v/>
      </c>
      <c r="O463" s="31" t="inlineStr">
        <is>
          <t>Sleeve out</t>
        </is>
      </c>
      <c r="P463" s="30">
        <f>VLOOKUP(F463,'卖场库存0422-0512'!M:S,7,0)</f>
        <v/>
      </c>
      <c r="Q463" s="31">
        <f>VLOOKUP(H463,color!E:G,3,0)</f>
        <v/>
      </c>
    </row>
    <row r="464">
      <c r="A464" s="31" t="n">
        <v>463</v>
      </c>
      <c r="B464" s="22" t="inlineStr">
        <is>
          <t>H005</t>
        </is>
      </c>
      <c r="C464" s="31" t="inlineStr">
        <is>
          <t>HANGER 005</t>
        </is>
      </c>
      <c r="D464" s="31" t="inlineStr">
        <is>
          <t>HANGER</t>
        </is>
      </c>
      <c r="E464" s="33" t="inlineStr">
        <is>
          <t>남성존</t>
        </is>
      </c>
      <c r="F464" s="31" t="inlineStr">
        <is>
          <t>EETKG25D0139160</t>
        </is>
      </c>
      <c r="G464" s="31">
        <f>LEFT(F464,10)</f>
        <v/>
      </c>
      <c r="H464" s="31">
        <f>MID(G464,3,2)</f>
        <v/>
      </c>
      <c r="I464" s="31">
        <f>VLOOKUP(H464,color!E:G,2,0)</f>
        <v/>
      </c>
      <c r="J464" s="31" t="n">
        <v>39</v>
      </c>
      <c r="K464" s="31">
        <f>VLOOKUP(J464,color!A:C,2,0)</f>
        <v/>
      </c>
      <c r="L464" s="31" t="n">
        <v>1</v>
      </c>
      <c r="M464" s="31">
        <f>VLOOKUP(F464,'卖场库存0422-0512'!M:R,5,0)</f>
        <v/>
      </c>
      <c r="N464" s="31">
        <f>VLOOKUP(F464,'卖场库存0422-0512'!M:S,6,0)</f>
        <v/>
      </c>
      <c r="O464" s="31" t="inlineStr">
        <is>
          <t>Sleeve out</t>
        </is>
      </c>
      <c r="P464" s="30">
        <f>VLOOKUP(F464,'卖场库存0422-0512'!M:S,7,0)</f>
        <v/>
      </c>
      <c r="Q464" s="31">
        <f>VLOOKUP(H464,color!E:G,3,0)</f>
        <v/>
      </c>
    </row>
    <row r="465">
      <c r="A465" s="31" t="n">
        <v>464</v>
      </c>
      <c r="B465" s="22" t="inlineStr">
        <is>
          <t>H005</t>
        </is>
      </c>
      <c r="C465" s="31" t="inlineStr">
        <is>
          <t>HANGER 005</t>
        </is>
      </c>
      <c r="D465" s="31" t="inlineStr">
        <is>
          <t>HANGER</t>
        </is>
      </c>
      <c r="E465" s="33" t="inlineStr">
        <is>
          <t>남성존</t>
        </is>
      </c>
      <c r="F465" s="31" t="inlineStr">
        <is>
          <t>EETKG25D0139160</t>
        </is>
      </c>
      <c r="G465" s="31">
        <f>LEFT(F465,10)</f>
        <v/>
      </c>
      <c r="H465" s="31">
        <f>MID(G465,3,2)</f>
        <v/>
      </c>
      <c r="I465" s="31">
        <f>VLOOKUP(H465,color!E:G,2,0)</f>
        <v/>
      </c>
      <c r="J465" s="31" t="n">
        <v>39</v>
      </c>
      <c r="K465" s="31">
        <f>VLOOKUP(J465,color!A:C,2,0)</f>
        <v/>
      </c>
      <c r="L465" s="31" t="n">
        <v>1</v>
      </c>
      <c r="M465" s="31">
        <f>VLOOKUP(F465,'卖场库存0422-0512'!M:R,5,0)</f>
        <v/>
      </c>
      <c r="N465" s="31">
        <f>VLOOKUP(F465,'卖场库存0422-0512'!M:S,6,0)</f>
        <v/>
      </c>
      <c r="O465" s="31" t="inlineStr">
        <is>
          <t>Sleeve out</t>
        </is>
      </c>
      <c r="P465" s="30">
        <f>VLOOKUP(F465,'卖场库存0422-0512'!M:S,7,0)</f>
        <v/>
      </c>
      <c r="Q465" s="31">
        <f>VLOOKUP(H465,color!E:G,3,0)</f>
        <v/>
      </c>
    </row>
    <row r="466">
      <c r="A466" s="31" t="n">
        <v>465</v>
      </c>
      <c r="B466" s="22" t="inlineStr">
        <is>
          <t>H005</t>
        </is>
      </c>
      <c r="C466" s="31" t="inlineStr">
        <is>
          <t>HANGER 005</t>
        </is>
      </c>
      <c r="D466" s="31" t="inlineStr">
        <is>
          <t>HANGER</t>
        </is>
      </c>
      <c r="E466" s="33" t="inlineStr">
        <is>
          <t>남성존</t>
        </is>
      </c>
      <c r="F466" s="31" t="inlineStr">
        <is>
          <t>EEOWG25B1032165</t>
        </is>
      </c>
      <c r="G466" s="31">
        <f>LEFT(F466,10)</f>
        <v/>
      </c>
      <c r="H466" s="31">
        <f>MID(G466,3,2)</f>
        <v/>
      </c>
      <c r="I466" s="31">
        <f>VLOOKUP(H466,color!E:G,2,0)</f>
        <v/>
      </c>
      <c r="J466" s="31" t="n">
        <v>32</v>
      </c>
      <c r="K466" s="31">
        <f>VLOOKUP(J466,color!A:C,2,0)</f>
        <v/>
      </c>
      <c r="L466" s="31" t="n">
        <v>1</v>
      </c>
      <c r="M466" s="31">
        <f>VLOOKUP(F466,'卖场库存0422-0512'!M:R,5,0)</f>
        <v/>
      </c>
      <c r="N466" s="31">
        <f>VLOOKUP(F466,'卖场库存0422-0512'!M:S,6,0)</f>
        <v/>
      </c>
      <c r="O466" s="31" t="inlineStr">
        <is>
          <t>Sleeve out</t>
        </is>
      </c>
      <c r="P466" s="30">
        <f>VLOOKUP(F466,'卖场库存0422-0512'!M:S,7,0)</f>
        <v/>
      </c>
      <c r="Q466" s="31">
        <f>VLOOKUP(H466,color!E:G,3,0)</f>
        <v/>
      </c>
    </row>
    <row r="467">
      <c r="A467" s="31" t="n">
        <v>466</v>
      </c>
      <c r="B467" s="22" t="inlineStr">
        <is>
          <t>H005</t>
        </is>
      </c>
      <c r="C467" s="31" t="inlineStr">
        <is>
          <t>HANGER 005</t>
        </is>
      </c>
      <c r="D467" s="31" t="inlineStr">
        <is>
          <t>HANGER</t>
        </is>
      </c>
      <c r="E467" s="33" t="inlineStr">
        <is>
          <t>남성존</t>
        </is>
      </c>
      <c r="F467" s="31" t="inlineStr">
        <is>
          <t>EEOWG25B1032160</t>
        </is>
      </c>
      <c r="G467" s="31">
        <f>LEFT(F467,10)</f>
        <v/>
      </c>
      <c r="H467" s="31">
        <f>MID(G467,3,2)</f>
        <v/>
      </c>
      <c r="I467" s="31">
        <f>VLOOKUP(H467,color!E:G,2,0)</f>
        <v/>
      </c>
      <c r="J467" s="31" t="n">
        <v>32</v>
      </c>
      <c r="K467" s="31">
        <f>VLOOKUP(J467,color!A:C,2,0)</f>
        <v/>
      </c>
      <c r="L467" s="31" t="n">
        <v>1</v>
      </c>
      <c r="M467" s="31">
        <f>VLOOKUP(F467,'卖场库存0422-0512'!M:R,5,0)</f>
        <v/>
      </c>
      <c r="N467" s="31">
        <f>VLOOKUP(F467,'卖场库存0422-0512'!M:S,6,0)</f>
        <v/>
      </c>
      <c r="O467" s="31" t="inlineStr">
        <is>
          <t>Sleeve out</t>
        </is>
      </c>
      <c r="P467" s="30">
        <f>VLOOKUP(F467,'卖场库存0422-0512'!M:S,7,0)</f>
        <v/>
      </c>
      <c r="Q467" s="31">
        <f>VLOOKUP(H467,color!E:G,3,0)</f>
        <v/>
      </c>
    </row>
    <row r="468">
      <c r="A468" s="31" t="n">
        <v>467</v>
      </c>
      <c r="B468" s="22" t="inlineStr">
        <is>
          <t>H005</t>
        </is>
      </c>
      <c r="C468" s="31" t="inlineStr">
        <is>
          <t>HANGER 005</t>
        </is>
      </c>
      <c r="D468" s="31" t="inlineStr">
        <is>
          <t>HANGER</t>
        </is>
      </c>
      <c r="E468" s="33" t="inlineStr">
        <is>
          <t>남성존</t>
        </is>
      </c>
      <c r="F468" s="31" t="inlineStr">
        <is>
          <t>EEYCG24E0188165</t>
        </is>
      </c>
      <c r="G468" s="31">
        <f>LEFT(F468,10)</f>
        <v/>
      </c>
      <c r="H468" s="31">
        <f>MID(G468,3,2)</f>
        <v/>
      </c>
      <c r="I468" s="31">
        <f>VLOOKUP(H468,color!E:G,2,0)</f>
        <v/>
      </c>
      <c r="J468" s="31" t="n">
        <v>88</v>
      </c>
      <c r="K468" s="31">
        <f>VLOOKUP(J468,color!A:C,2,0)</f>
        <v/>
      </c>
      <c r="L468" s="31" t="n">
        <v>1</v>
      </c>
      <c r="M468" s="31">
        <f>VLOOKUP(F468,'卖场库存0422-0512'!M:R,5,0)</f>
        <v/>
      </c>
      <c r="N468" s="31">
        <f>VLOOKUP(F468,'卖场库存0422-0512'!M:S,6,0)</f>
        <v/>
      </c>
      <c r="O468" s="31" t="inlineStr">
        <is>
          <t>Sleeve out</t>
        </is>
      </c>
      <c r="P468" s="30">
        <f>VLOOKUP(F468,'卖场库存0422-0512'!M:S,7,0)</f>
        <v/>
      </c>
      <c r="Q468" s="31">
        <f>VLOOKUP(H468,color!E:G,3,0)</f>
        <v/>
      </c>
    </row>
    <row r="469">
      <c r="A469" s="31" t="n">
        <v>468</v>
      </c>
      <c r="B469" s="22" t="inlineStr">
        <is>
          <t>H005</t>
        </is>
      </c>
      <c r="C469" s="31" t="inlineStr">
        <is>
          <t>HANGER 005</t>
        </is>
      </c>
      <c r="D469" s="31" t="inlineStr">
        <is>
          <t>HANGER</t>
        </is>
      </c>
      <c r="E469" s="33" t="inlineStr">
        <is>
          <t>남성존</t>
        </is>
      </c>
      <c r="F469" s="31" t="inlineStr">
        <is>
          <t>EEKWG24B0888165</t>
        </is>
      </c>
      <c r="G469" s="31">
        <f>LEFT(F469,10)</f>
        <v/>
      </c>
      <c r="H469" s="31">
        <f>MID(G469,3,2)</f>
        <v/>
      </c>
      <c r="I469" s="31">
        <f>VLOOKUP(H469,color!E:G,2,0)</f>
        <v/>
      </c>
      <c r="J469" s="31" t="n">
        <v>88</v>
      </c>
      <c r="K469" s="31">
        <f>VLOOKUP(J469,color!A:C,2,0)</f>
        <v/>
      </c>
      <c r="L469" s="31" t="n">
        <v>1</v>
      </c>
      <c r="M469" s="31">
        <f>VLOOKUP(F469,'卖场库存0422-0512'!M:R,5,0)</f>
        <v/>
      </c>
      <c r="N469" s="31">
        <f>VLOOKUP(F469,'卖场库存0422-0512'!M:S,6,0)</f>
        <v/>
      </c>
      <c r="O469" s="31" t="inlineStr">
        <is>
          <t>Sleeve out</t>
        </is>
      </c>
      <c r="P469" s="30">
        <f>VLOOKUP(F469,'卖场库存0422-0512'!M:S,7,0)</f>
        <v/>
      </c>
      <c r="Q469" s="31">
        <f>VLOOKUP(H469,color!E:G,3,0)</f>
        <v/>
      </c>
    </row>
    <row r="470">
      <c r="A470" s="31" t="n">
        <v>469</v>
      </c>
      <c r="B470" s="22" t="inlineStr">
        <is>
          <t>H005</t>
        </is>
      </c>
      <c r="C470" s="31" t="inlineStr">
        <is>
          <t>HANGER 005</t>
        </is>
      </c>
      <c r="D470" s="31" t="inlineStr">
        <is>
          <t>HANGER</t>
        </is>
      </c>
      <c r="E470" s="33" t="inlineStr">
        <is>
          <t>남성존</t>
        </is>
      </c>
      <c r="F470" s="31" t="inlineStr">
        <is>
          <t>EEKWG24B0851160</t>
        </is>
      </c>
      <c r="G470" s="31">
        <f>LEFT(F470,10)</f>
        <v/>
      </c>
      <c r="H470" s="31">
        <f>MID(G470,3,2)</f>
        <v/>
      </c>
      <c r="I470" s="31">
        <f>VLOOKUP(H470,color!E:G,2,0)</f>
        <v/>
      </c>
      <c r="J470" s="31" t="n">
        <v>51</v>
      </c>
      <c r="K470" s="31">
        <f>VLOOKUP(J470,color!A:C,2,0)</f>
        <v/>
      </c>
      <c r="L470" s="31" t="n">
        <v>1</v>
      </c>
      <c r="M470" s="31">
        <f>VLOOKUP(F470,'卖场库存0422-0512'!M:R,5,0)</f>
        <v/>
      </c>
      <c r="N470" s="31">
        <f>VLOOKUP(F470,'卖场库存0422-0512'!M:S,6,0)</f>
        <v/>
      </c>
      <c r="O470" s="31" t="inlineStr">
        <is>
          <t>Sleeve out</t>
        </is>
      </c>
      <c r="P470" s="30">
        <f>VLOOKUP(F470,'卖场库存0422-0512'!M:S,7,0)</f>
        <v/>
      </c>
      <c r="Q470" s="31">
        <f>VLOOKUP(H470,color!E:G,3,0)</f>
        <v/>
      </c>
    </row>
    <row r="471">
      <c r="A471" s="31" t="n">
        <v>470</v>
      </c>
      <c r="B471" s="22" t="inlineStr">
        <is>
          <t>H005</t>
        </is>
      </c>
      <c r="C471" s="31" t="inlineStr">
        <is>
          <t>HANGER 005</t>
        </is>
      </c>
      <c r="D471" s="31" t="inlineStr">
        <is>
          <t>HANGER</t>
        </is>
      </c>
      <c r="E471" s="33" t="inlineStr">
        <is>
          <t>남성존</t>
        </is>
      </c>
      <c r="F471" s="31" t="inlineStr">
        <is>
          <t>EEHWG24E0239165</t>
        </is>
      </c>
      <c r="G471" s="31">
        <f>LEFT(F471,10)</f>
        <v/>
      </c>
      <c r="H471" s="31">
        <f>MID(G471,3,2)</f>
        <v/>
      </c>
      <c r="I471" s="31">
        <f>VLOOKUP(H471,color!E:G,2,0)</f>
        <v/>
      </c>
      <c r="J471" s="31" t="n">
        <v>39</v>
      </c>
      <c r="K471" s="31">
        <f>VLOOKUP(J471,color!A:C,2,0)</f>
        <v/>
      </c>
      <c r="L471" s="31" t="n">
        <v>1</v>
      </c>
      <c r="M471" s="31">
        <f>VLOOKUP(F471,'卖场库存0422-0512'!M:R,5,0)</f>
        <v/>
      </c>
      <c r="N471" s="31">
        <f>VLOOKUP(F471,'卖场库存0422-0512'!M:S,6,0)</f>
        <v/>
      </c>
      <c r="O471" s="31" t="inlineStr">
        <is>
          <t>Sleeve out</t>
        </is>
      </c>
      <c r="P471" s="30">
        <f>VLOOKUP(F471,'卖场库存0422-0512'!M:S,7,0)</f>
        <v/>
      </c>
      <c r="Q471" s="31">
        <f>VLOOKUP(H471,color!E:G,3,0)</f>
        <v/>
      </c>
    </row>
    <row r="472">
      <c r="A472" s="31" t="n">
        <v>471</v>
      </c>
      <c r="B472" s="22" t="inlineStr">
        <is>
          <t>H005</t>
        </is>
      </c>
      <c r="C472" s="31" t="inlineStr">
        <is>
          <t>HANGER 005</t>
        </is>
      </c>
      <c r="D472" s="31" t="inlineStr">
        <is>
          <t>HANGER</t>
        </is>
      </c>
      <c r="E472" s="33" t="inlineStr">
        <is>
          <t>남성존</t>
        </is>
      </c>
      <c r="F472" s="31" t="inlineStr">
        <is>
          <t>EEKWG24Q9388160</t>
        </is>
      </c>
      <c r="G472" s="31">
        <f>LEFT(F472,10)</f>
        <v/>
      </c>
      <c r="H472" s="31">
        <f>MID(G472,3,2)</f>
        <v/>
      </c>
      <c r="I472" s="31">
        <f>VLOOKUP(H472,color!E:G,2,0)</f>
        <v/>
      </c>
      <c r="J472" s="31" t="n">
        <v>88</v>
      </c>
      <c r="K472" s="31">
        <f>VLOOKUP(J472,color!A:C,2,0)</f>
        <v/>
      </c>
      <c r="L472" s="31" t="n">
        <v>1</v>
      </c>
      <c r="M472" s="31">
        <f>VLOOKUP(F472,'卖场库存0422-0512'!M:R,5,0)</f>
        <v/>
      </c>
      <c r="N472" s="31">
        <f>VLOOKUP(F472,'卖场库存0422-0512'!M:S,6,0)</f>
        <v/>
      </c>
      <c r="O472" s="31" t="inlineStr">
        <is>
          <t>Sleeve out</t>
        </is>
      </c>
      <c r="P472" s="30">
        <f>VLOOKUP(F472,'卖场库存0422-0512'!M:S,7,0)</f>
        <v/>
      </c>
      <c r="Q472" s="31">
        <f>VLOOKUP(H472,color!E:G,3,0)</f>
        <v/>
      </c>
    </row>
    <row r="473">
      <c r="A473" s="31" t="n">
        <v>472</v>
      </c>
      <c r="B473" s="22" t="inlineStr">
        <is>
          <t>H005</t>
        </is>
      </c>
      <c r="C473" s="31" t="inlineStr">
        <is>
          <t>HANGER 005</t>
        </is>
      </c>
      <c r="D473" s="31" t="inlineStr">
        <is>
          <t>HANGER</t>
        </is>
      </c>
      <c r="E473" s="33" t="inlineStr">
        <is>
          <t>남성존</t>
        </is>
      </c>
      <c r="F473" s="31" t="inlineStr">
        <is>
          <t>EEKWG24Q9388165</t>
        </is>
      </c>
      <c r="G473" s="31">
        <f>LEFT(F473,10)</f>
        <v/>
      </c>
      <c r="H473" s="31">
        <f>MID(G473,3,2)</f>
        <v/>
      </c>
      <c r="I473" s="31">
        <f>VLOOKUP(H473,color!E:G,2,0)</f>
        <v/>
      </c>
      <c r="J473" s="31" t="n">
        <v>88</v>
      </c>
      <c r="K473" s="31">
        <f>VLOOKUP(J473,color!A:C,2,0)</f>
        <v/>
      </c>
      <c r="L473" s="31" t="n">
        <v>1</v>
      </c>
      <c r="M473" s="31">
        <f>VLOOKUP(F473,'卖场库存0422-0512'!M:R,5,0)</f>
        <v/>
      </c>
      <c r="N473" s="31">
        <f>VLOOKUP(F473,'卖场库存0422-0512'!M:S,6,0)</f>
        <v/>
      </c>
      <c r="O473" s="31" t="inlineStr">
        <is>
          <t>Sleeve out</t>
        </is>
      </c>
      <c r="P473" s="30">
        <f>VLOOKUP(F473,'卖场库存0422-0512'!M:S,7,0)</f>
        <v/>
      </c>
      <c r="Q473" s="31">
        <f>VLOOKUP(H473,color!E:G,3,0)</f>
        <v/>
      </c>
    </row>
    <row r="474">
      <c r="A474" s="31" t="n">
        <v>473</v>
      </c>
      <c r="B474" s="22" t="inlineStr">
        <is>
          <t>H005</t>
        </is>
      </c>
      <c r="C474" s="31" t="inlineStr">
        <is>
          <t>HANGER 005</t>
        </is>
      </c>
      <c r="D474" s="31" t="inlineStr">
        <is>
          <t>HANGER</t>
        </is>
      </c>
      <c r="E474" s="33" t="inlineStr">
        <is>
          <t>남성존</t>
        </is>
      </c>
      <c r="F474" s="31" t="inlineStr">
        <is>
          <t>EEKWG23E0151175</t>
        </is>
      </c>
      <c r="G474" s="31">
        <f>LEFT(F474,10)</f>
        <v/>
      </c>
      <c r="H474" s="31">
        <f>MID(G474,3,2)</f>
        <v/>
      </c>
      <c r="I474" s="31">
        <f>VLOOKUP(H474,color!E:G,2,0)</f>
        <v/>
      </c>
      <c r="J474" s="31" t="n">
        <v>51</v>
      </c>
      <c r="K474" s="31">
        <f>VLOOKUP(J474,color!A:C,2,0)</f>
        <v/>
      </c>
      <c r="L474" s="31" t="n">
        <v>1</v>
      </c>
      <c r="M474" s="31">
        <f>VLOOKUP(F474,'卖场库存0422-0512'!M:R,5,0)</f>
        <v/>
      </c>
      <c r="N474" s="31">
        <f>VLOOKUP(F474,'卖场库存0422-0512'!M:S,6,0)</f>
        <v/>
      </c>
      <c r="O474" s="31" t="inlineStr">
        <is>
          <t>Sleeve out</t>
        </is>
      </c>
      <c r="P474" s="30">
        <f>VLOOKUP(F474,'卖场库存0422-0512'!M:S,7,0)</f>
        <v/>
      </c>
      <c r="Q474" s="31">
        <f>VLOOKUP(H474,color!E:G,3,0)</f>
        <v/>
      </c>
    </row>
    <row r="475">
      <c r="A475" s="31" t="n">
        <v>474</v>
      </c>
      <c r="B475" s="22" t="inlineStr">
        <is>
          <t>H005</t>
        </is>
      </c>
      <c r="C475" s="31" t="inlineStr">
        <is>
          <t>HANGER 005</t>
        </is>
      </c>
      <c r="D475" s="31" t="inlineStr">
        <is>
          <t>HANGER</t>
        </is>
      </c>
      <c r="E475" s="33" t="inlineStr">
        <is>
          <t>남성존</t>
        </is>
      </c>
      <c r="F475" s="31" t="inlineStr">
        <is>
          <t>EEKWG23E0159165</t>
        </is>
      </c>
      <c r="G475" s="31">
        <f>LEFT(F475,10)</f>
        <v/>
      </c>
      <c r="H475" s="31">
        <f>MID(G475,3,2)</f>
        <v/>
      </c>
      <c r="I475" s="31">
        <f>VLOOKUP(H475,color!E:G,2,0)</f>
        <v/>
      </c>
      <c r="J475" s="31" t="n">
        <v>59</v>
      </c>
      <c r="K475" s="31">
        <f>VLOOKUP(J475,color!A:C,2,0)</f>
        <v/>
      </c>
      <c r="L475" s="31" t="n">
        <v>1</v>
      </c>
      <c r="M475" s="31">
        <f>VLOOKUP(F475,'卖场库存0422-0512'!M:R,5,0)</f>
        <v/>
      </c>
      <c r="N475" s="31">
        <f>VLOOKUP(F475,'卖场库存0422-0512'!M:S,6,0)</f>
        <v/>
      </c>
      <c r="O475" s="31" t="inlineStr">
        <is>
          <t>Sleeve out</t>
        </is>
      </c>
      <c r="P475" s="30">
        <f>VLOOKUP(F475,'卖场库存0422-0512'!M:S,7,0)</f>
        <v/>
      </c>
      <c r="Q475" s="31">
        <f>VLOOKUP(H475,color!E:G,3,0)</f>
        <v/>
      </c>
    </row>
    <row r="476">
      <c r="A476" s="31" t="n">
        <v>475</v>
      </c>
      <c r="B476" s="22" t="inlineStr">
        <is>
          <t>H005</t>
        </is>
      </c>
      <c r="C476" s="31" t="inlineStr">
        <is>
          <t>HANGER 005</t>
        </is>
      </c>
      <c r="D476" s="31" t="inlineStr">
        <is>
          <t>HANGER</t>
        </is>
      </c>
      <c r="E476" s="33" t="inlineStr">
        <is>
          <t>남성존</t>
        </is>
      </c>
      <c r="F476" s="31" t="inlineStr">
        <is>
          <t>EEKWG62S0118165</t>
        </is>
      </c>
      <c r="G476" s="31">
        <f>LEFT(F476,10)</f>
        <v/>
      </c>
      <c r="H476" s="31">
        <f>MID(G476,3,2)</f>
        <v/>
      </c>
      <c r="I476" s="31">
        <f>VLOOKUP(H476,color!E:G,2,0)</f>
        <v/>
      </c>
      <c r="J476" s="31" t="n">
        <v>18</v>
      </c>
      <c r="K476" s="31">
        <f>VLOOKUP(J476,color!A:C,2,0)</f>
        <v/>
      </c>
      <c r="L476" s="31" t="n">
        <v>1</v>
      </c>
      <c r="M476" s="31">
        <f>VLOOKUP(F476,'卖场库存0422-0512'!M:R,5,0)</f>
        <v/>
      </c>
      <c r="N476" s="31">
        <f>VLOOKUP(F476,'卖场库存0422-0512'!M:S,6,0)</f>
        <v/>
      </c>
      <c r="O476" s="31" t="inlineStr">
        <is>
          <t>Sleeve out</t>
        </is>
      </c>
      <c r="P476" s="30">
        <f>VLOOKUP(F476,'卖场库存0422-0512'!M:S,7,0)</f>
        <v/>
      </c>
      <c r="Q476" s="31">
        <f>VLOOKUP(H476,color!E:G,3,0)</f>
        <v/>
      </c>
    </row>
    <row r="477">
      <c r="A477" s="31" t="n">
        <v>476</v>
      </c>
      <c r="B477" s="22" t="inlineStr">
        <is>
          <t>H005</t>
        </is>
      </c>
      <c r="C477" s="31" t="inlineStr">
        <is>
          <t>HANGER 005</t>
        </is>
      </c>
      <c r="D477" s="31" t="inlineStr">
        <is>
          <t>HANGER</t>
        </is>
      </c>
      <c r="E477" s="33" t="inlineStr">
        <is>
          <t>남성존</t>
        </is>
      </c>
      <c r="F477" s="31" t="inlineStr">
        <is>
          <t>EEKWG23E0115175</t>
        </is>
      </c>
      <c r="G477" s="31">
        <f>LEFT(F477,10)</f>
        <v/>
      </c>
      <c r="H477" s="31">
        <f>MID(G477,3,2)</f>
        <v/>
      </c>
      <c r="I477" s="31">
        <f>VLOOKUP(H477,color!E:G,2,0)</f>
        <v/>
      </c>
      <c r="J477" s="31" t="n">
        <v>15</v>
      </c>
      <c r="K477" s="31">
        <f>VLOOKUP(J477,color!A:C,2,0)</f>
        <v/>
      </c>
      <c r="L477" s="31" t="n">
        <v>1</v>
      </c>
      <c r="M477" s="31">
        <f>VLOOKUP(F477,'卖场库存0422-0512'!M:R,5,0)</f>
        <v/>
      </c>
      <c r="N477" s="31">
        <f>VLOOKUP(F477,'卖场库存0422-0512'!M:S,6,0)</f>
        <v/>
      </c>
      <c r="O477" s="31" t="inlineStr">
        <is>
          <t>Sleeve out</t>
        </is>
      </c>
      <c r="P477" s="30">
        <f>VLOOKUP(F477,'卖场库存0422-0512'!M:S,7,0)</f>
        <v/>
      </c>
      <c r="Q477" s="31">
        <f>VLOOKUP(H477,color!E:G,3,0)</f>
        <v/>
      </c>
    </row>
    <row r="478">
      <c r="A478" s="31" t="n">
        <v>477</v>
      </c>
      <c r="B478" s="22" t="inlineStr">
        <is>
          <t>H005</t>
        </is>
      </c>
      <c r="C478" s="31" t="inlineStr">
        <is>
          <t>HANGER 005</t>
        </is>
      </c>
      <c r="D478" s="31" t="inlineStr">
        <is>
          <t>HANGER</t>
        </is>
      </c>
      <c r="E478" s="33" t="inlineStr">
        <is>
          <t>남성존</t>
        </is>
      </c>
      <c r="F478" s="31" t="inlineStr">
        <is>
          <t>EEKWG23E0115165</t>
        </is>
      </c>
      <c r="G478" s="31">
        <f>LEFT(F478,10)</f>
        <v/>
      </c>
      <c r="H478" s="31">
        <f>MID(G478,3,2)</f>
        <v/>
      </c>
      <c r="I478" s="31">
        <f>VLOOKUP(H478,color!E:G,2,0)</f>
        <v/>
      </c>
      <c r="J478" s="31" t="n">
        <v>15</v>
      </c>
      <c r="K478" s="31">
        <f>VLOOKUP(J478,color!A:C,2,0)</f>
        <v/>
      </c>
      <c r="L478" s="31" t="n">
        <v>1</v>
      </c>
      <c r="M478" s="31">
        <f>VLOOKUP(F478,'卖场库存0422-0512'!M:R,5,0)</f>
        <v/>
      </c>
      <c r="N478" s="31">
        <f>VLOOKUP(F478,'卖场库存0422-0512'!M:S,6,0)</f>
        <v/>
      </c>
      <c r="O478" s="31" t="inlineStr">
        <is>
          <t>Sleeve out</t>
        </is>
      </c>
      <c r="P478" s="30">
        <f>VLOOKUP(F478,'卖场库存0422-0512'!M:S,7,0)</f>
        <v/>
      </c>
      <c r="Q478" s="31">
        <f>VLOOKUP(H478,color!E:G,3,0)</f>
        <v/>
      </c>
    </row>
    <row r="479">
      <c r="A479" s="31" t="n">
        <v>478</v>
      </c>
      <c r="B479" s="22" t="inlineStr">
        <is>
          <t>H005</t>
        </is>
      </c>
      <c r="C479" s="31" t="inlineStr">
        <is>
          <t>HANGER 005</t>
        </is>
      </c>
      <c r="D479" s="31" t="inlineStr">
        <is>
          <t>HANGER</t>
        </is>
      </c>
      <c r="E479" s="33" t="inlineStr">
        <is>
          <t>남성존</t>
        </is>
      </c>
      <c r="F479" s="31" t="inlineStr">
        <is>
          <t>EEKWG64L0330165</t>
        </is>
      </c>
      <c r="G479" s="31">
        <f>LEFT(F479,10)</f>
        <v/>
      </c>
      <c r="H479" s="31">
        <f>MID(G479,3,2)</f>
        <v/>
      </c>
      <c r="I479" s="31">
        <f>VLOOKUP(H479,color!E:G,2,0)</f>
        <v/>
      </c>
      <c r="J479" s="31" t="n">
        <v>30</v>
      </c>
      <c r="K479" s="31">
        <f>VLOOKUP(J479,color!A:C,2,0)</f>
        <v/>
      </c>
      <c r="L479" s="31" t="n">
        <v>1</v>
      </c>
      <c r="M479" s="31">
        <f>VLOOKUP(F479,'卖场库存0422-0512'!M:R,5,0)</f>
        <v/>
      </c>
      <c r="N479" s="31">
        <f>VLOOKUP(F479,'卖场库存0422-0512'!M:S,6,0)</f>
        <v/>
      </c>
      <c r="O479" s="31" t="inlineStr">
        <is>
          <t>Sleeve out</t>
        </is>
      </c>
      <c r="P479" s="30">
        <f>VLOOKUP(F479,'卖场库存0422-0512'!M:S,7,0)</f>
        <v/>
      </c>
      <c r="Q479" s="31">
        <f>VLOOKUP(H479,color!E:G,3,0)</f>
        <v/>
      </c>
    </row>
    <row r="480">
      <c r="A480" s="31" t="n">
        <v>479</v>
      </c>
      <c r="B480" s="22" t="inlineStr">
        <is>
          <t>H005</t>
        </is>
      </c>
      <c r="C480" s="31" t="inlineStr">
        <is>
          <t>HANGER 005</t>
        </is>
      </c>
      <c r="D480" s="31" t="inlineStr">
        <is>
          <t>HANGER</t>
        </is>
      </c>
      <c r="E480" s="33" t="inlineStr">
        <is>
          <t>남성존</t>
        </is>
      </c>
      <c r="F480" s="31" t="inlineStr">
        <is>
          <t>EEKWG64L0330160</t>
        </is>
      </c>
      <c r="G480" s="31">
        <f>LEFT(F480,10)</f>
        <v/>
      </c>
      <c r="H480" s="31">
        <f>MID(G480,3,2)</f>
        <v/>
      </c>
      <c r="I480" s="31">
        <f>VLOOKUP(H480,color!E:G,2,0)</f>
        <v/>
      </c>
      <c r="J480" s="31" t="n">
        <v>30</v>
      </c>
      <c r="K480" s="31">
        <f>VLOOKUP(J480,color!A:C,2,0)</f>
        <v/>
      </c>
      <c r="L480" s="31" t="n">
        <v>1</v>
      </c>
      <c r="M480" s="31">
        <f>VLOOKUP(F480,'卖场库存0422-0512'!M:R,5,0)</f>
        <v/>
      </c>
      <c r="N480" s="31">
        <f>VLOOKUP(F480,'卖场库存0422-0512'!M:S,6,0)</f>
        <v/>
      </c>
      <c r="O480" s="31" t="inlineStr">
        <is>
          <t>Sleeve out</t>
        </is>
      </c>
      <c r="P480" s="30">
        <f>VLOOKUP(F480,'卖场库存0422-0512'!M:S,7,0)</f>
        <v/>
      </c>
      <c r="Q480" s="31">
        <f>VLOOKUP(H480,color!E:G,3,0)</f>
        <v/>
      </c>
    </row>
    <row r="481">
      <c r="A481" s="31" t="n">
        <v>480</v>
      </c>
      <c r="B481" s="22" t="inlineStr">
        <is>
          <t>H005</t>
        </is>
      </c>
      <c r="C481" s="31" t="inlineStr">
        <is>
          <t>HANGER 005</t>
        </is>
      </c>
      <c r="D481" s="31" t="inlineStr">
        <is>
          <t>HANGER</t>
        </is>
      </c>
      <c r="E481" s="33" t="inlineStr">
        <is>
          <t>남성존</t>
        </is>
      </c>
      <c r="F481" s="31" t="inlineStr">
        <is>
          <t>EEKWG64L0326160</t>
        </is>
      </c>
      <c r="G481" s="31">
        <f>LEFT(F481,10)</f>
        <v/>
      </c>
      <c r="H481" s="31">
        <f>MID(G481,3,2)</f>
        <v/>
      </c>
      <c r="I481" s="31">
        <f>VLOOKUP(H481,color!E:G,2,0)</f>
        <v/>
      </c>
      <c r="J481" s="31" t="n">
        <v>26</v>
      </c>
      <c r="K481" s="31">
        <f>VLOOKUP(J481,color!A:C,2,0)</f>
        <v/>
      </c>
      <c r="L481" s="31" t="n">
        <v>1</v>
      </c>
      <c r="M481" s="31">
        <f>VLOOKUP(F481,'卖场库存0422-0512'!M:R,5,0)</f>
        <v/>
      </c>
      <c r="N481" s="31">
        <f>VLOOKUP(F481,'卖场库存0422-0512'!M:S,6,0)</f>
        <v/>
      </c>
      <c r="O481" s="31" t="inlineStr">
        <is>
          <t>Sleeve out</t>
        </is>
      </c>
      <c r="P481" s="30">
        <f>VLOOKUP(F481,'卖场库存0422-0512'!M:S,7,0)</f>
        <v/>
      </c>
      <c r="Q481" s="31">
        <f>VLOOKUP(H481,color!E:G,3,0)</f>
        <v/>
      </c>
    </row>
    <row r="482">
      <c r="A482" s="31" t="n">
        <v>481</v>
      </c>
      <c r="B482" s="22" t="inlineStr">
        <is>
          <t>H005</t>
        </is>
      </c>
      <c r="C482" s="31" t="inlineStr">
        <is>
          <t>HANGER 005</t>
        </is>
      </c>
      <c r="D482" s="31" t="inlineStr">
        <is>
          <t>HANGER</t>
        </is>
      </c>
      <c r="E482" s="33" t="inlineStr">
        <is>
          <t>남성존</t>
        </is>
      </c>
      <c r="F482" s="31" t="inlineStr">
        <is>
          <t>EEKWG62S0131160</t>
        </is>
      </c>
      <c r="G482" s="31">
        <f>LEFT(F482,10)</f>
        <v/>
      </c>
      <c r="H482" s="31">
        <f>MID(G482,3,2)</f>
        <v/>
      </c>
      <c r="I482" s="31">
        <f>VLOOKUP(H482,color!E:G,2,0)</f>
        <v/>
      </c>
      <c r="J482" s="31" t="n">
        <v>31</v>
      </c>
      <c r="K482" s="31">
        <f>VLOOKUP(J482,color!A:C,2,0)</f>
        <v/>
      </c>
      <c r="L482" s="31" t="n">
        <v>1</v>
      </c>
      <c r="M482" s="31">
        <f>VLOOKUP(F482,'卖场库存0422-0512'!M:R,5,0)</f>
        <v/>
      </c>
      <c r="N482" s="31">
        <f>VLOOKUP(F482,'卖场库存0422-0512'!M:S,6,0)</f>
        <v/>
      </c>
      <c r="O482" s="31" t="inlineStr">
        <is>
          <t>Sleeve out</t>
        </is>
      </c>
      <c r="P482" s="30">
        <f>VLOOKUP(F482,'卖场库存0422-0512'!M:S,7,0)</f>
        <v/>
      </c>
      <c r="Q482" s="31">
        <f>VLOOKUP(H482,color!E:G,3,0)</f>
        <v/>
      </c>
    </row>
    <row r="483">
      <c r="A483" s="31" t="n">
        <v>482</v>
      </c>
      <c r="B483" s="22" t="inlineStr">
        <is>
          <t>H005</t>
        </is>
      </c>
      <c r="C483" s="31" t="inlineStr">
        <is>
          <t>HANGER 005</t>
        </is>
      </c>
      <c r="D483" s="31" t="inlineStr">
        <is>
          <t>HANGER</t>
        </is>
      </c>
      <c r="E483" s="33" t="inlineStr">
        <is>
          <t>남성존</t>
        </is>
      </c>
      <c r="F483" s="31" t="inlineStr">
        <is>
          <t>EEKWG62S0131165</t>
        </is>
      </c>
      <c r="G483" s="31">
        <f>LEFT(F483,10)</f>
        <v/>
      </c>
      <c r="H483" s="31">
        <f>MID(G483,3,2)</f>
        <v/>
      </c>
      <c r="I483" s="31">
        <f>VLOOKUP(H483,color!E:G,2,0)</f>
        <v/>
      </c>
      <c r="J483" s="31" t="n">
        <v>31</v>
      </c>
      <c r="K483" s="31">
        <f>VLOOKUP(J483,color!A:C,2,0)</f>
        <v/>
      </c>
      <c r="L483" s="31" t="n">
        <v>1</v>
      </c>
      <c r="M483" s="31">
        <f>VLOOKUP(F483,'卖场库存0422-0512'!M:R,5,0)</f>
        <v/>
      </c>
      <c r="N483" s="31">
        <f>VLOOKUP(F483,'卖场库存0422-0512'!M:S,6,0)</f>
        <v/>
      </c>
      <c r="O483" s="31" t="inlineStr">
        <is>
          <t>Sleeve out</t>
        </is>
      </c>
      <c r="P483" s="30">
        <f>VLOOKUP(F483,'卖场库存0422-0512'!M:S,7,0)</f>
        <v/>
      </c>
      <c r="Q483" s="31">
        <f>VLOOKUP(H483,color!E:G,3,0)</f>
        <v/>
      </c>
    </row>
    <row r="484">
      <c r="A484" s="31" t="n">
        <v>483</v>
      </c>
      <c r="B484" s="22" t="inlineStr">
        <is>
          <t>H005</t>
        </is>
      </c>
      <c r="C484" s="31" t="inlineStr">
        <is>
          <t>HANGER 005</t>
        </is>
      </c>
      <c r="D484" s="31" t="inlineStr">
        <is>
          <t>HANGER</t>
        </is>
      </c>
      <c r="E484" s="33" t="inlineStr">
        <is>
          <t>남성존</t>
        </is>
      </c>
      <c r="F484" s="31" t="inlineStr">
        <is>
          <t>EEKWG24E0130165</t>
        </is>
      </c>
      <c r="G484" s="31">
        <f>LEFT(F484,10)</f>
        <v/>
      </c>
      <c r="H484" s="31">
        <f>MID(G484,3,2)</f>
        <v/>
      </c>
      <c r="I484" s="31">
        <f>VLOOKUP(H484,color!E:G,2,0)</f>
        <v/>
      </c>
      <c r="J484" s="31" t="n">
        <v>30</v>
      </c>
      <c r="K484" s="31">
        <f>VLOOKUP(J484,color!A:C,2,0)</f>
        <v/>
      </c>
      <c r="L484" s="31" t="n">
        <v>1</v>
      </c>
      <c r="M484" s="31">
        <f>VLOOKUP(F484,'卖场库存0422-0512'!M:R,5,0)</f>
        <v/>
      </c>
      <c r="N484" s="31">
        <f>VLOOKUP(F484,'卖场库存0422-0512'!M:S,6,0)</f>
        <v/>
      </c>
      <c r="O484" s="31" t="inlineStr">
        <is>
          <t>Sleeve out</t>
        </is>
      </c>
      <c r="P484" s="30">
        <f>VLOOKUP(F484,'卖场库存0422-0512'!M:S,7,0)</f>
        <v/>
      </c>
      <c r="Q484" s="31">
        <f>VLOOKUP(H484,color!E:G,3,0)</f>
        <v/>
      </c>
    </row>
    <row r="485">
      <c r="A485" s="31" t="n">
        <v>484</v>
      </c>
      <c r="B485" s="22" t="inlineStr">
        <is>
          <t>H005</t>
        </is>
      </c>
      <c r="C485" s="31" t="inlineStr">
        <is>
          <t>HANGER 005</t>
        </is>
      </c>
      <c r="D485" s="31" t="inlineStr">
        <is>
          <t>HANGER</t>
        </is>
      </c>
      <c r="E485" s="33" t="inlineStr">
        <is>
          <t>남성존</t>
        </is>
      </c>
      <c r="F485" s="31" t="inlineStr">
        <is>
          <t>EEKWG64S0239165</t>
        </is>
      </c>
      <c r="G485" s="31">
        <f>LEFT(F485,10)</f>
        <v/>
      </c>
      <c r="H485" s="31">
        <f>MID(G485,3,2)</f>
        <v/>
      </c>
      <c r="I485" s="31">
        <f>VLOOKUP(H485,color!E:G,2,0)</f>
        <v/>
      </c>
      <c r="J485" s="31" t="n">
        <v>39</v>
      </c>
      <c r="K485" s="31">
        <f>VLOOKUP(J485,color!A:C,2,0)</f>
        <v/>
      </c>
      <c r="L485" s="31" t="n">
        <v>1</v>
      </c>
      <c r="M485" s="31">
        <f>VLOOKUP(F485,'卖场库存0422-0512'!M:R,5,0)</f>
        <v/>
      </c>
      <c r="N485" s="31">
        <f>VLOOKUP(F485,'卖场库存0422-0512'!M:S,6,0)</f>
        <v/>
      </c>
      <c r="O485" s="31" t="inlineStr">
        <is>
          <t>Sleeve out</t>
        </is>
      </c>
      <c r="P485" s="30">
        <f>VLOOKUP(F485,'卖场库存0422-0512'!M:S,7,0)</f>
        <v/>
      </c>
      <c r="Q485" s="31">
        <f>VLOOKUP(H485,color!E:G,3,0)</f>
        <v/>
      </c>
    </row>
    <row r="486">
      <c r="A486" s="31" t="n">
        <v>485</v>
      </c>
      <c r="B486" s="22" t="inlineStr">
        <is>
          <t>H005</t>
        </is>
      </c>
      <c r="C486" s="31" t="inlineStr">
        <is>
          <t>HANGER 005</t>
        </is>
      </c>
      <c r="D486" s="31" t="inlineStr">
        <is>
          <t>HANGER</t>
        </is>
      </c>
      <c r="E486" s="33" t="inlineStr">
        <is>
          <t>남성존</t>
        </is>
      </c>
      <c r="F486" s="31" t="inlineStr">
        <is>
          <t>EEKWG24E0139160</t>
        </is>
      </c>
      <c r="G486" s="31">
        <f>LEFT(F486,10)</f>
        <v/>
      </c>
      <c r="H486" s="31">
        <f>MID(G486,3,2)</f>
        <v/>
      </c>
      <c r="I486" s="31">
        <f>VLOOKUP(H486,color!E:G,2,0)</f>
        <v/>
      </c>
      <c r="J486" s="31" t="n">
        <v>39</v>
      </c>
      <c r="K486" s="31">
        <f>VLOOKUP(J486,color!A:C,2,0)</f>
        <v/>
      </c>
      <c r="L486" s="31" t="n">
        <v>1</v>
      </c>
      <c r="M486" s="31">
        <f>VLOOKUP(F486,'卖场库存0422-0512'!M:R,5,0)</f>
        <v/>
      </c>
      <c r="N486" s="31">
        <f>VLOOKUP(F486,'卖场库存0422-0512'!M:S,6,0)</f>
        <v/>
      </c>
      <c r="O486" s="31" t="inlineStr">
        <is>
          <t>Sleeve out</t>
        </is>
      </c>
      <c r="P486" s="30">
        <f>VLOOKUP(F486,'卖场库存0422-0512'!M:S,7,0)</f>
        <v/>
      </c>
      <c r="Q486" s="31">
        <f>VLOOKUP(H486,color!E:G,3,0)</f>
        <v/>
      </c>
    </row>
    <row r="487">
      <c r="A487" s="31" t="n">
        <v>486</v>
      </c>
      <c r="B487" s="22" t="inlineStr">
        <is>
          <t>H005</t>
        </is>
      </c>
      <c r="C487" s="31" t="inlineStr">
        <is>
          <t>HANGER 005</t>
        </is>
      </c>
      <c r="D487" s="31" t="inlineStr">
        <is>
          <t>HANGER</t>
        </is>
      </c>
      <c r="E487" s="33" t="inlineStr">
        <is>
          <t>남성존</t>
        </is>
      </c>
      <c r="F487" s="31" t="inlineStr">
        <is>
          <t>EEKWG24E0139175</t>
        </is>
      </c>
      <c r="G487" s="31">
        <f>LEFT(F487,10)</f>
        <v/>
      </c>
      <c r="H487" s="31">
        <f>MID(G487,3,2)</f>
        <v/>
      </c>
      <c r="I487" s="31">
        <f>VLOOKUP(H487,color!E:G,2,0)</f>
        <v/>
      </c>
      <c r="J487" s="31" t="n">
        <v>39</v>
      </c>
      <c r="K487" s="31">
        <f>VLOOKUP(J487,color!A:C,2,0)</f>
        <v/>
      </c>
      <c r="L487" s="31" t="n">
        <v>1</v>
      </c>
      <c r="M487" s="31">
        <f>VLOOKUP(F487,'卖场库存0422-0512'!M:R,5,0)</f>
        <v/>
      </c>
      <c r="N487" s="31">
        <f>VLOOKUP(F487,'卖场库存0422-0512'!M:S,6,0)</f>
        <v/>
      </c>
      <c r="O487" s="31" t="inlineStr">
        <is>
          <t>Sleeve out</t>
        </is>
      </c>
      <c r="P487" s="30">
        <f>VLOOKUP(F487,'卖场库存0422-0512'!M:S,7,0)</f>
        <v/>
      </c>
      <c r="Q487" s="31">
        <f>VLOOKUP(H487,color!E:G,3,0)</f>
        <v/>
      </c>
    </row>
    <row r="488">
      <c r="A488" s="31" t="n">
        <v>487</v>
      </c>
      <c r="B488" s="22" t="inlineStr">
        <is>
          <t>H009</t>
        </is>
      </c>
      <c r="C488" s="31" t="inlineStr">
        <is>
          <t>HANGER 009</t>
        </is>
      </c>
      <c r="D488" s="31" t="inlineStr">
        <is>
          <t>HANGER</t>
        </is>
      </c>
      <c r="E488" s="33" t="inlineStr">
        <is>
          <t>남성존</t>
        </is>
      </c>
      <c r="F488" s="31" t="inlineStr">
        <is>
          <t>EERAG24E0436160</t>
        </is>
      </c>
      <c r="G488" s="31">
        <f>LEFT(F488,10)</f>
        <v/>
      </c>
      <c r="H488" s="31">
        <f>MID(G488,3,2)</f>
        <v/>
      </c>
      <c r="I488" s="31">
        <f>VLOOKUP(H488,color!E:G,2,0)</f>
        <v/>
      </c>
      <c r="J488" s="31" t="n">
        <v>36</v>
      </c>
      <c r="K488" s="31">
        <f>VLOOKUP(J488,color!A:C,2,0)</f>
        <v/>
      </c>
      <c r="L488" s="31" t="n">
        <v>1</v>
      </c>
      <c r="M488" s="31">
        <f>VLOOKUP(F488,'卖场库存0422-0512'!M:R,5,0)</f>
        <v/>
      </c>
      <c r="N488" s="31">
        <f>VLOOKUP(F488,'卖场库存0422-0512'!M:S,6,0)</f>
        <v/>
      </c>
      <c r="O488" s="31" t="inlineStr">
        <is>
          <t>Sleeve out</t>
        </is>
      </c>
      <c r="P488" s="30">
        <f>VLOOKUP(F488,'卖场库存0422-0512'!M:S,7,0)</f>
        <v/>
      </c>
      <c r="Q488" s="31">
        <f>VLOOKUP(H488,color!E:G,3,0)</f>
        <v/>
      </c>
    </row>
    <row r="489">
      <c r="A489" s="31" t="n">
        <v>488</v>
      </c>
      <c r="B489" s="22" t="inlineStr">
        <is>
          <t>H009</t>
        </is>
      </c>
      <c r="C489" s="31" t="inlineStr">
        <is>
          <t>HANGER 009</t>
        </is>
      </c>
      <c r="D489" s="31" t="inlineStr">
        <is>
          <t>HANGER</t>
        </is>
      </c>
      <c r="E489" s="33" t="inlineStr">
        <is>
          <t>남성존</t>
        </is>
      </c>
      <c r="F489" s="31" t="inlineStr">
        <is>
          <t>EEWJG24E0139160</t>
        </is>
      </c>
      <c r="G489" s="31">
        <f>LEFT(F489,10)</f>
        <v/>
      </c>
      <c r="H489" s="31">
        <f>MID(G489,3,2)</f>
        <v/>
      </c>
      <c r="I489" s="31">
        <f>VLOOKUP(H489,color!E:G,2,0)</f>
        <v/>
      </c>
      <c r="J489" s="31" t="n">
        <v>39</v>
      </c>
      <c r="K489" s="31">
        <f>VLOOKUP(J489,color!A:C,2,0)</f>
        <v/>
      </c>
      <c r="L489" s="31" t="n">
        <v>1</v>
      </c>
      <c r="M489" s="31">
        <f>VLOOKUP(F489,'卖场库存0422-0512'!M:R,5,0)</f>
        <v/>
      </c>
      <c r="N489" s="31">
        <f>VLOOKUP(F489,'卖场库存0422-0512'!M:S,6,0)</f>
        <v/>
      </c>
      <c r="O489" s="31" t="inlineStr">
        <is>
          <t>Sleeve out</t>
        </is>
      </c>
      <c r="P489" s="30">
        <f>VLOOKUP(F489,'卖场库存0422-0512'!M:S,7,0)</f>
        <v/>
      </c>
      <c r="Q489" s="31">
        <f>VLOOKUP(H489,color!E:G,3,0)</f>
        <v/>
      </c>
    </row>
    <row r="490">
      <c r="A490" s="31" t="n">
        <v>489</v>
      </c>
      <c r="B490" s="22" t="inlineStr">
        <is>
          <t>H009</t>
        </is>
      </c>
      <c r="C490" s="31" t="inlineStr">
        <is>
          <t>HANGER 009</t>
        </is>
      </c>
      <c r="D490" s="31" t="inlineStr">
        <is>
          <t>HANGER</t>
        </is>
      </c>
      <c r="E490" s="33" t="inlineStr">
        <is>
          <t>남성존</t>
        </is>
      </c>
      <c r="F490" s="31" t="inlineStr">
        <is>
          <t>EEYCG23E0150170</t>
        </is>
      </c>
      <c r="G490" s="31">
        <f>LEFT(F490,10)</f>
        <v/>
      </c>
      <c r="H490" s="31">
        <f>MID(G490,3,2)</f>
        <v/>
      </c>
      <c r="I490" s="31">
        <f>VLOOKUP(H490,color!E:G,2,0)</f>
        <v/>
      </c>
      <c r="J490" s="31" t="n">
        <v>50</v>
      </c>
      <c r="K490" s="31">
        <f>VLOOKUP(J490,color!A:C,2,0)</f>
        <v/>
      </c>
      <c r="L490" s="31" t="n">
        <v>1</v>
      </c>
      <c r="M490" s="31">
        <f>VLOOKUP(F490,'卖场库存0422-0512'!M:R,5,0)</f>
        <v/>
      </c>
      <c r="N490" s="31">
        <f>VLOOKUP(F490,'卖场库存0422-0512'!M:S,6,0)</f>
        <v/>
      </c>
      <c r="O490" s="31" t="inlineStr">
        <is>
          <t>Sleeve out</t>
        </is>
      </c>
      <c r="P490" s="30">
        <f>VLOOKUP(F490,'卖场库存0422-0512'!M:S,7,0)</f>
        <v/>
      </c>
      <c r="Q490" s="31">
        <f>VLOOKUP(H490,color!E:G,3,0)</f>
        <v/>
      </c>
    </row>
    <row r="491">
      <c r="A491" s="31" t="n">
        <v>490</v>
      </c>
      <c r="B491" s="22" t="inlineStr">
        <is>
          <t>H009</t>
        </is>
      </c>
      <c r="C491" s="31" t="inlineStr">
        <is>
          <t>HANGER 009</t>
        </is>
      </c>
      <c r="D491" s="31" t="inlineStr">
        <is>
          <t>HANGER</t>
        </is>
      </c>
      <c r="E491" s="33" t="inlineStr">
        <is>
          <t>남성존</t>
        </is>
      </c>
      <c r="F491" s="31" t="inlineStr">
        <is>
          <t>EEYCG23E0150160</t>
        </is>
      </c>
      <c r="G491" s="31">
        <f>LEFT(F491,10)</f>
        <v/>
      </c>
      <c r="H491" s="31">
        <f>MID(G491,3,2)</f>
        <v/>
      </c>
      <c r="I491" s="31">
        <f>VLOOKUP(H491,color!E:G,2,0)</f>
        <v/>
      </c>
      <c r="J491" s="31" t="n">
        <v>50</v>
      </c>
      <c r="K491" s="31">
        <f>VLOOKUP(J491,color!A:C,2,0)</f>
        <v/>
      </c>
      <c r="L491" s="31" t="n">
        <v>1</v>
      </c>
      <c r="M491" s="31">
        <f>VLOOKUP(F491,'卖场库存0422-0512'!M:R,5,0)</f>
        <v/>
      </c>
      <c r="N491" s="31">
        <f>VLOOKUP(F491,'卖场库存0422-0512'!M:S,6,0)</f>
        <v/>
      </c>
      <c r="O491" s="31" t="inlineStr">
        <is>
          <t>Sleeve out</t>
        </is>
      </c>
      <c r="P491" s="30">
        <f>VLOOKUP(F491,'卖场库存0422-0512'!M:S,7,0)</f>
        <v/>
      </c>
      <c r="Q491" s="31">
        <f>VLOOKUP(H491,color!E:G,3,0)</f>
        <v/>
      </c>
    </row>
    <row r="492">
      <c r="A492" s="31" t="n">
        <v>491</v>
      </c>
      <c r="B492" s="22" t="inlineStr">
        <is>
          <t>H009</t>
        </is>
      </c>
      <c r="C492" s="31" t="inlineStr">
        <is>
          <t>HANGER 009</t>
        </is>
      </c>
      <c r="D492" s="31" t="inlineStr">
        <is>
          <t>HANGER</t>
        </is>
      </c>
      <c r="E492" s="33" t="inlineStr">
        <is>
          <t>남성존</t>
        </is>
      </c>
      <c r="F492" s="31" t="inlineStr">
        <is>
          <t>EECKG23E0150165</t>
        </is>
      </c>
      <c r="G492" s="31">
        <f>LEFT(F492,10)</f>
        <v/>
      </c>
      <c r="H492" s="31">
        <f>MID(G492,3,2)</f>
        <v/>
      </c>
      <c r="I492" s="31">
        <f>VLOOKUP(H492,color!E:G,2,0)</f>
        <v/>
      </c>
      <c r="J492" s="31" t="n">
        <v>50</v>
      </c>
      <c r="K492" s="31">
        <f>VLOOKUP(J492,color!A:C,2,0)</f>
        <v/>
      </c>
      <c r="L492" s="31" t="n">
        <v>1</v>
      </c>
      <c r="M492" s="31">
        <f>VLOOKUP(F492,'卖场库存0422-0512'!M:R,5,0)</f>
        <v/>
      </c>
      <c r="N492" s="31">
        <f>VLOOKUP(F492,'卖场库存0422-0512'!M:S,6,0)</f>
        <v/>
      </c>
      <c r="O492" s="31" t="inlineStr">
        <is>
          <t>Sleeve out</t>
        </is>
      </c>
      <c r="P492" s="30">
        <f>VLOOKUP(F492,'卖场库存0422-0512'!M:S,7,0)</f>
        <v/>
      </c>
      <c r="Q492" s="31">
        <f>VLOOKUP(H492,color!E:G,3,0)</f>
        <v/>
      </c>
    </row>
    <row r="493">
      <c r="A493" s="31" t="n">
        <v>492</v>
      </c>
      <c r="B493" s="22" t="inlineStr">
        <is>
          <t>H009</t>
        </is>
      </c>
      <c r="C493" s="31" t="inlineStr">
        <is>
          <t>HANGER 009</t>
        </is>
      </c>
      <c r="D493" s="31" t="inlineStr">
        <is>
          <t>HANGER</t>
        </is>
      </c>
      <c r="E493" s="33" t="inlineStr">
        <is>
          <t>남성존</t>
        </is>
      </c>
      <c r="F493" s="31" t="inlineStr">
        <is>
          <t>EECKG23E0150160</t>
        </is>
      </c>
      <c r="G493" s="31">
        <f>LEFT(F493,10)</f>
        <v/>
      </c>
      <c r="H493" s="31">
        <f>MID(G493,3,2)</f>
        <v/>
      </c>
      <c r="I493" s="31">
        <f>VLOOKUP(H493,color!E:G,2,0)</f>
        <v/>
      </c>
      <c r="J493" s="31" t="n">
        <v>50</v>
      </c>
      <c r="K493" s="31">
        <f>VLOOKUP(J493,color!A:C,2,0)</f>
        <v/>
      </c>
      <c r="L493" s="31" t="n">
        <v>1</v>
      </c>
      <c r="M493" s="31">
        <f>VLOOKUP(F493,'卖场库存0422-0512'!M:R,5,0)</f>
        <v/>
      </c>
      <c r="N493" s="31">
        <f>VLOOKUP(F493,'卖场库存0422-0512'!M:S,6,0)</f>
        <v/>
      </c>
      <c r="O493" s="31" t="inlineStr">
        <is>
          <t>Sleeve out</t>
        </is>
      </c>
      <c r="P493" s="30">
        <f>VLOOKUP(F493,'卖场库存0422-0512'!M:S,7,0)</f>
        <v/>
      </c>
      <c r="Q493" s="31">
        <f>VLOOKUP(H493,color!E:G,3,0)</f>
        <v/>
      </c>
    </row>
    <row r="494">
      <c r="A494" s="31" t="n">
        <v>493</v>
      </c>
      <c r="B494" s="22" t="inlineStr">
        <is>
          <t>H009</t>
        </is>
      </c>
      <c r="C494" s="31" t="inlineStr">
        <is>
          <t>HANGER 009</t>
        </is>
      </c>
      <c r="D494" s="31" t="inlineStr">
        <is>
          <t>HANGER</t>
        </is>
      </c>
      <c r="E494" s="33" t="inlineStr">
        <is>
          <t>남성존</t>
        </is>
      </c>
      <c r="F494" s="31" t="inlineStr">
        <is>
          <t>EECKG23E0115165</t>
        </is>
      </c>
      <c r="G494" s="31">
        <f>LEFT(F494,10)</f>
        <v/>
      </c>
      <c r="H494" s="31">
        <f>MID(G494,3,2)</f>
        <v/>
      </c>
      <c r="I494" s="31">
        <f>VLOOKUP(H494,color!E:G,2,0)</f>
        <v/>
      </c>
      <c r="J494" s="31" t="n">
        <v>15</v>
      </c>
      <c r="K494" s="31">
        <f>VLOOKUP(J494,color!A:C,2,0)</f>
        <v/>
      </c>
      <c r="L494" s="31" t="n">
        <v>1</v>
      </c>
      <c r="M494" s="31">
        <f>VLOOKUP(F494,'卖场库存0422-0512'!M:R,5,0)</f>
        <v/>
      </c>
      <c r="N494" s="31">
        <f>VLOOKUP(F494,'卖场库存0422-0512'!M:S,6,0)</f>
        <v/>
      </c>
      <c r="O494" s="31" t="inlineStr">
        <is>
          <t>Sleeve out</t>
        </is>
      </c>
      <c r="P494" s="30">
        <f>VLOOKUP(F494,'卖场库存0422-0512'!M:S,7,0)</f>
        <v/>
      </c>
      <c r="Q494" s="31">
        <f>VLOOKUP(H494,color!E:G,3,0)</f>
        <v/>
      </c>
    </row>
    <row r="495">
      <c r="A495" s="31" t="n">
        <v>494</v>
      </c>
      <c r="B495" s="22" t="inlineStr">
        <is>
          <t>H009</t>
        </is>
      </c>
      <c r="C495" s="31" t="inlineStr">
        <is>
          <t>HANGER 009</t>
        </is>
      </c>
      <c r="D495" s="31" t="inlineStr">
        <is>
          <t>HANGER</t>
        </is>
      </c>
      <c r="E495" s="33" t="inlineStr">
        <is>
          <t>남성존</t>
        </is>
      </c>
      <c r="F495" s="31" t="inlineStr">
        <is>
          <t>EECKG23E0115160</t>
        </is>
      </c>
      <c r="G495" s="31">
        <f>LEFT(F495,10)</f>
        <v/>
      </c>
      <c r="H495" s="31">
        <f>MID(G495,3,2)</f>
        <v/>
      </c>
      <c r="I495" s="31">
        <f>VLOOKUP(H495,color!E:G,2,0)</f>
        <v/>
      </c>
      <c r="J495" s="31" t="n">
        <v>15</v>
      </c>
      <c r="K495" s="31">
        <f>VLOOKUP(J495,color!A:C,2,0)</f>
        <v/>
      </c>
      <c r="L495" s="31" t="n">
        <v>1</v>
      </c>
      <c r="M495" s="31">
        <f>VLOOKUP(F495,'卖场库存0422-0512'!M:R,5,0)</f>
        <v/>
      </c>
      <c r="N495" s="31">
        <f>VLOOKUP(F495,'卖场库存0422-0512'!M:S,6,0)</f>
        <v/>
      </c>
      <c r="O495" s="31" t="inlineStr">
        <is>
          <t>Sleeve out</t>
        </is>
      </c>
      <c r="P495" s="30">
        <f>VLOOKUP(F495,'卖场库存0422-0512'!M:S,7,0)</f>
        <v/>
      </c>
      <c r="Q495" s="31">
        <f>VLOOKUP(H495,color!E:G,3,0)</f>
        <v/>
      </c>
    </row>
    <row r="496">
      <c r="A496" s="31" t="n">
        <v>495</v>
      </c>
      <c r="B496" s="22" t="inlineStr">
        <is>
          <t>H009</t>
        </is>
      </c>
      <c r="C496" s="31" t="inlineStr">
        <is>
          <t>HANGER 009</t>
        </is>
      </c>
      <c r="D496" s="31" t="inlineStr">
        <is>
          <t>HANGER</t>
        </is>
      </c>
      <c r="E496" s="33" t="inlineStr">
        <is>
          <t>남성존</t>
        </is>
      </c>
      <c r="F496" s="31" t="inlineStr">
        <is>
          <t>EELAG64S0139160</t>
        </is>
      </c>
      <c r="G496" s="31">
        <f>LEFT(F496,10)</f>
        <v/>
      </c>
      <c r="H496" s="31">
        <f>MID(G496,3,2)</f>
        <v/>
      </c>
      <c r="I496" s="31">
        <f>VLOOKUP(H496,color!E:G,2,0)</f>
        <v/>
      </c>
      <c r="J496" s="31" t="n">
        <v>39</v>
      </c>
      <c r="K496" s="31">
        <f>VLOOKUP(J496,color!A:C,2,0)</f>
        <v/>
      </c>
      <c r="L496" s="31" t="n">
        <v>1</v>
      </c>
      <c r="M496" s="31">
        <f>VLOOKUP(F496,'卖场库存0422-0512'!M:R,5,0)</f>
        <v/>
      </c>
      <c r="N496" s="31">
        <f>VLOOKUP(F496,'卖场库存0422-0512'!M:S,6,0)</f>
        <v/>
      </c>
      <c r="O496" s="31" t="inlineStr">
        <is>
          <t>Sleeve out</t>
        </is>
      </c>
      <c r="P496" s="30">
        <f>VLOOKUP(F496,'卖场库存0422-0512'!M:S,7,0)</f>
        <v/>
      </c>
      <c r="Q496" s="31">
        <f>VLOOKUP(H496,color!E:G,3,0)</f>
        <v/>
      </c>
    </row>
    <row r="497">
      <c r="A497" s="31" t="n">
        <v>496</v>
      </c>
      <c r="B497" s="22" t="inlineStr">
        <is>
          <t>H009</t>
        </is>
      </c>
      <c r="C497" s="31" t="inlineStr">
        <is>
          <t>HANGER 009</t>
        </is>
      </c>
      <c r="D497" s="31" t="inlineStr">
        <is>
          <t>HANGER</t>
        </is>
      </c>
      <c r="E497" s="33" t="inlineStr">
        <is>
          <t>남성존</t>
        </is>
      </c>
      <c r="F497" s="31" t="inlineStr">
        <is>
          <t>EEKWG24B0959160</t>
        </is>
      </c>
      <c r="G497" s="31">
        <f>LEFT(F497,10)</f>
        <v/>
      </c>
      <c r="H497" s="31">
        <f>MID(G497,3,2)</f>
        <v/>
      </c>
      <c r="I497" s="31">
        <f>VLOOKUP(H497,color!E:G,2,0)</f>
        <v/>
      </c>
      <c r="J497" s="31" t="n">
        <v>59</v>
      </c>
      <c r="K497" s="31">
        <f>VLOOKUP(J497,color!A:C,2,0)</f>
        <v/>
      </c>
      <c r="L497" s="31" t="n">
        <v>1</v>
      </c>
      <c r="M497" s="31">
        <f>VLOOKUP(F497,'卖场库存0422-0512'!M:R,5,0)</f>
        <v/>
      </c>
      <c r="N497" s="31">
        <f>VLOOKUP(F497,'卖场库存0422-0512'!M:S,6,0)</f>
        <v/>
      </c>
      <c r="O497" s="31" t="inlineStr">
        <is>
          <t>Sleeve out</t>
        </is>
      </c>
      <c r="P497" s="30">
        <f>VLOOKUP(F497,'卖场库存0422-0512'!M:S,7,0)</f>
        <v/>
      </c>
      <c r="Q497" s="31">
        <f>VLOOKUP(H497,color!E:G,3,0)</f>
        <v/>
      </c>
    </row>
    <row r="498">
      <c r="A498" s="31" t="n">
        <v>497</v>
      </c>
      <c r="B498" s="22" t="inlineStr">
        <is>
          <t>H009</t>
        </is>
      </c>
      <c r="C498" s="31" t="inlineStr">
        <is>
          <t>HANGER 009</t>
        </is>
      </c>
      <c r="D498" s="31" t="inlineStr">
        <is>
          <t>HANGER</t>
        </is>
      </c>
      <c r="E498" s="33" t="inlineStr">
        <is>
          <t>남성존</t>
        </is>
      </c>
      <c r="F498" s="31" t="inlineStr">
        <is>
          <t>EELAG23E0199160</t>
        </is>
      </c>
      <c r="G498" s="31">
        <f>LEFT(F498,10)</f>
        <v/>
      </c>
      <c r="H498" s="31">
        <f>MID(G498,3,2)</f>
        <v/>
      </c>
      <c r="I498" s="31">
        <f>VLOOKUP(H498,color!E:G,2,0)</f>
        <v/>
      </c>
      <c r="J498" s="31" t="n">
        <v>99</v>
      </c>
      <c r="K498" s="31">
        <f>VLOOKUP(J498,color!A:C,2,0)</f>
        <v/>
      </c>
      <c r="L498" s="31" t="n">
        <v>1</v>
      </c>
      <c r="M498" s="31">
        <f>VLOOKUP(F498,'卖场库存0422-0512'!M:R,5,0)</f>
        <v/>
      </c>
      <c r="N498" s="31">
        <f>VLOOKUP(F498,'卖场库存0422-0512'!M:S,6,0)</f>
        <v/>
      </c>
      <c r="O498" s="31" t="inlineStr">
        <is>
          <t>Sleeve out</t>
        </is>
      </c>
      <c r="P498" s="30">
        <f>VLOOKUP(F498,'卖场库存0422-0512'!M:S,7,0)</f>
        <v/>
      </c>
      <c r="Q498" s="31">
        <f>VLOOKUP(H498,color!E:G,3,0)</f>
        <v/>
      </c>
    </row>
    <row r="499">
      <c r="A499" s="31" t="n">
        <v>498</v>
      </c>
      <c r="B499" s="22" t="inlineStr">
        <is>
          <t>H009</t>
        </is>
      </c>
      <c r="C499" s="31" t="inlineStr">
        <is>
          <t>HANGER 009</t>
        </is>
      </c>
      <c r="D499" s="31" t="inlineStr">
        <is>
          <t>HANGER</t>
        </is>
      </c>
      <c r="E499" s="33" t="inlineStr">
        <is>
          <t>남성존</t>
        </is>
      </c>
      <c r="F499" s="31" t="inlineStr">
        <is>
          <t>EELAG23E0151160</t>
        </is>
      </c>
      <c r="G499" s="31">
        <f>LEFT(F499,10)</f>
        <v/>
      </c>
      <c r="H499" s="31">
        <f>MID(G499,3,2)</f>
        <v/>
      </c>
      <c r="I499" s="31">
        <f>VLOOKUP(H499,color!E:G,2,0)</f>
        <v/>
      </c>
      <c r="J499" s="31" t="n">
        <v>51</v>
      </c>
      <c r="K499" s="31">
        <f>VLOOKUP(J499,color!A:C,2,0)</f>
        <v/>
      </c>
      <c r="L499" s="31" t="n">
        <v>1</v>
      </c>
      <c r="M499" s="31">
        <f>VLOOKUP(F499,'卖场库存0422-0512'!M:R,5,0)</f>
        <v/>
      </c>
      <c r="N499" s="31">
        <f>VLOOKUP(F499,'卖场库存0422-0512'!M:S,6,0)</f>
        <v/>
      </c>
      <c r="O499" s="31" t="inlineStr">
        <is>
          <t>Sleeve out</t>
        </is>
      </c>
      <c r="P499" s="30">
        <f>VLOOKUP(F499,'卖场库存0422-0512'!M:S,7,0)</f>
        <v/>
      </c>
      <c r="Q499" s="31">
        <f>VLOOKUP(H499,color!E:G,3,0)</f>
        <v/>
      </c>
    </row>
    <row r="500">
      <c r="A500" s="31" t="n">
        <v>499</v>
      </c>
      <c r="B500" s="22" t="inlineStr">
        <is>
          <t>H009</t>
        </is>
      </c>
      <c r="C500" s="31" t="inlineStr">
        <is>
          <t>HANGER 009</t>
        </is>
      </c>
      <c r="D500" s="31" t="inlineStr">
        <is>
          <t>HANGER</t>
        </is>
      </c>
      <c r="E500" s="33" t="inlineStr">
        <is>
          <t>남성존</t>
        </is>
      </c>
      <c r="F500" s="31" t="inlineStr">
        <is>
          <t>EEKWG23E0150160</t>
        </is>
      </c>
      <c r="G500" s="31">
        <f>LEFT(F500,10)</f>
        <v/>
      </c>
      <c r="H500" s="31">
        <f>MID(G500,3,2)</f>
        <v/>
      </c>
      <c r="I500" s="31">
        <f>VLOOKUP(H500,color!E:G,2,0)</f>
        <v/>
      </c>
      <c r="J500" s="31" t="n">
        <v>50</v>
      </c>
      <c r="K500" s="31">
        <f>VLOOKUP(J500,color!A:C,2,0)</f>
        <v/>
      </c>
      <c r="L500" s="31" t="n">
        <v>1</v>
      </c>
      <c r="M500" s="31">
        <f>VLOOKUP(F500,'卖场库存0422-0512'!M:R,5,0)</f>
        <v/>
      </c>
      <c r="N500" s="31">
        <f>VLOOKUP(F500,'卖场库存0422-0512'!M:S,6,0)</f>
        <v/>
      </c>
      <c r="O500" s="31" t="inlineStr">
        <is>
          <t>Sleeve out</t>
        </is>
      </c>
      <c r="P500" s="30">
        <f>VLOOKUP(F500,'卖场库存0422-0512'!M:S,7,0)</f>
        <v/>
      </c>
      <c r="Q500" s="31">
        <f>VLOOKUP(H500,color!E:G,3,0)</f>
        <v/>
      </c>
    </row>
    <row r="501">
      <c r="A501" s="31" t="n">
        <v>500</v>
      </c>
      <c r="B501" s="22" t="inlineStr">
        <is>
          <t>H009</t>
        </is>
      </c>
      <c r="C501" s="31" t="inlineStr">
        <is>
          <t>HANGER 009</t>
        </is>
      </c>
      <c r="D501" s="31" t="inlineStr">
        <is>
          <t>HANGER</t>
        </is>
      </c>
      <c r="E501" s="33" t="inlineStr">
        <is>
          <t>남성존</t>
        </is>
      </c>
      <c r="F501" s="31" t="inlineStr">
        <is>
          <t>EERAG23E0126160</t>
        </is>
      </c>
      <c r="G501" s="31">
        <f>LEFT(F501,10)</f>
        <v/>
      </c>
      <c r="H501" s="31">
        <f>MID(G501,3,2)</f>
        <v/>
      </c>
      <c r="I501" s="31">
        <f>VLOOKUP(H501,color!E:G,2,0)</f>
        <v/>
      </c>
      <c r="J501" s="31" t="n">
        <v>26</v>
      </c>
      <c r="K501" s="31">
        <f>VLOOKUP(J501,color!A:C,2,0)</f>
        <v/>
      </c>
      <c r="L501" s="31" t="n">
        <v>1</v>
      </c>
      <c r="M501" s="31">
        <f>VLOOKUP(F501,'卖场库存0422-0512'!M:R,5,0)</f>
        <v/>
      </c>
      <c r="N501" s="31">
        <f>VLOOKUP(F501,'卖场库存0422-0512'!M:S,6,0)</f>
        <v/>
      </c>
      <c r="O501" s="31" t="inlineStr">
        <is>
          <t>Sleeve out</t>
        </is>
      </c>
      <c r="P501" s="30">
        <f>VLOOKUP(F501,'卖场库存0422-0512'!M:S,7,0)</f>
        <v/>
      </c>
      <c r="Q501" s="31">
        <f>VLOOKUP(H501,color!E:G,3,0)</f>
        <v/>
      </c>
    </row>
    <row r="502">
      <c r="A502" s="31" t="n">
        <v>501</v>
      </c>
      <c r="B502" s="22" t="inlineStr">
        <is>
          <t>H009</t>
        </is>
      </c>
      <c r="C502" s="31" t="inlineStr">
        <is>
          <t>HANGER 009</t>
        </is>
      </c>
      <c r="D502" s="31" t="inlineStr">
        <is>
          <t>HANGER</t>
        </is>
      </c>
      <c r="E502" s="33" t="inlineStr">
        <is>
          <t>남성존</t>
        </is>
      </c>
      <c r="F502" s="31" t="inlineStr">
        <is>
          <t>EERAG23E0126170</t>
        </is>
      </c>
      <c r="G502" s="31">
        <f>LEFT(F502,10)</f>
        <v/>
      </c>
      <c r="H502" s="31">
        <f>MID(G502,3,2)</f>
        <v/>
      </c>
      <c r="I502" s="31">
        <f>VLOOKUP(H502,color!E:G,2,0)</f>
        <v/>
      </c>
      <c r="J502" s="31" t="n">
        <v>26</v>
      </c>
      <c r="K502" s="31">
        <f>VLOOKUP(J502,color!A:C,2,0)</f>
        <v/>
      </c>
      <c r="L502" s="31" t="n">
        <v>1</v>
      </c>
      <c r="M502" s="31">
        <f>VLOOKUP(F502,'卖场库存0422-0512'!M:R,5,0)</f>
        <v/>
      </c>
      <c r="N502" s="31">
        <f>VLOOKUP(F502,'卖场库存0422-0512'!M:S,6,0)</f>
        <v/>
      </c>
      <c r="O502" s="31" t="inlineStr">
        <is>
          <t>Sleeve out</t>
        </is>
      </c>
      <c r="P502" s="30">
        <f>VLOOKUP(F502,'卖场库存0422-0512'!M:S,7,0)</f>
        <v/>
      </c>
      <c r="Q502" s="31">
        <f>VLOOKUP(H502,color!E:G,3,0)</f>
        <v/>
      </c>
    </row>
    <row r="503">
      <c r="A503" s="31" t="n">
        <v>502</v>
      </c>
      <c r="B503" s="22" t="inlineStr">
        <is>
          <t>H009</t>
        </is>
      </c>
      <c r="C503" s="31" t="inlineStr">
        <is>
          <t>HANGER 009</t>
        </is>
      </c>
      <c r="D503" s="31" t="inlineStr">
        <is>
          <t>HANGER</t>
        </is>
      </c>
      <c r="E503" s="33" t="inlineStr">
        <is>
          <t>남성존</t>
        </is>
      </c>
      <c r="F503" s="31" t="inlineStr">
        <is>
          <t>EERAG64S0126160</t>
        </is>
      </c>
      <c r="G503" s="31">
        <f>LEFT(F503,10)</f>
        <v/>
      </c>
      <c r="H503" s="31">
        <f>MID(G503,3,2)</f>
        <v/>
      </c>
      <c r="I503" s="31">
        <f>VLOOKUP(H503,color!E:G,2,0)</f>
        <v/>
      </c>
      <c r="J503" s="31" t="n">
        <v>26</v>
      </c>
      <c r="K503" s="31">
        <f>VLOOKUP(J503,color!A:C,2,0)</f>
        <v/>
      </c>
      <c r="L503" s="31" t="n">
        <v>1</v>
      </c>
      <c r="M503" s="31">
        <f>VLOOKUP(F503,'卖场库存0422-0512'!M:R,5,0)</f>
        <v/>
      </c>
      <c r="N503" s="31">
        <f>VLOOKUP(F503,'卖场库存0422-0512'!M:S,6,0)</f>
        <v/>
      </c>
      <c r="O503" s="31" t="inlineStr">
        <is>
          <t>Sleeve out</t>
        </is>
      </c>
      <c r="P503" s="30">
        <f>VLOOKUP(F503,'卖场库存0422-0512'!M:S,7,0)</f>
        <v/>
      </c>
      <c r="Q503" s="31">
        <f>VLOOKUP(H503,color!E:G,3,0)</f>
        <v/>
      </c>
    </row>
    <row r="504">
      <c r="A504" s="31" t="n">
        <v>503</v>
      </c>
      <c r="B504" s="22" t="inlineStr">
        <is>
          <t>H009</t>
        </is>
      </c>
      <c r="C504" s="31" t="inlineStr">
        <is>
          <t>HANGER 009</t>
        </is>
      </c>
      <c r="D504" s="31" t="inlineStr">
        <is>
          <t>HANGER</t>
        </is>
      </c>
      <c r="E504" s="33" t="inlineStr">
        <is>
          <t>남성존</t>
        </is>
      </c>
      <c r="F504" s="31" t="inlineStr">
        <is>
          <t>EELAG23E0125160</t>
        </is>
      </c>
      <c r="G504" s="31">
        <f>LEFT(F504,10)</f>
        <v/>
      </c>
      <c r="H504" s="31">
        <f>MID(G504,3,2)</f>
        <v/>
      </c>
      <c r="I504" s="31">
        <f>VLOOKUP(H504,color!E:G,2,0)</f>
        <v/>
      </c>
      <c r="J504" s="31" t="n">
        <v>25</v>
      </c>
      <c r="K504" s="31">
        <f>VLOOKUP(J504,color!A:C,2,0)</f>
        <v/>
      </c>
      <c r="L504" s="31" t="n">
        <v>1</v>
      </c>
      <c r="M504" s="31">
        <f>VLOOKUP(F504,'卖场库存0422-0512'!M:R,5,0)</f>
        <v/>
      </c>
      <c r="N504" s="31">
        <f>VLOOKUP(F504,'卖场库存0422-0512'!M:S,6,0)</f>
        <v/>
      </c>
      <c r="O504" s="31" t="inlineStr">
        <is>
          <t>Sleeve out</t>
        </is>
      </c>
      <c r="P504" s="30">
        <f>VLOOKUP(F504,'卖场库存0422-0512'!M:S,7,0)</f>
        <v/>
      </c>
      <c r="Q504" s="31">
        <f>VLOOKUP(H504,color!E:G,3,0)</f>
        <v/>
      </c>
    </row>
    <row r="505">
      <c r="A505" s="31" t="n">
        <v>504</v>
      </c>
      <c r="B505" s="22" t="inlineStr">
        <is>
          <t>H009</t>
        </is>
      </c>
      <c r="C505" s="31" t="inlineStr">
        <is>
          <t>HANGER 009</t>
        </is>
      </c>
      <c r="D505" s="31" t="inlineStr">
        <is>
          <t>HANGER</t>
        </is>
      </c>
      <c r="E505" s="33" t="inlineStr">
        <is>
          <t>남성존</t>
        </is>
      </c>
      <c r="F505" s="31" t="inlineStr">
        <is>
          <t>EERAG24E0151160</t>
        </is>
      </c>
      <c r="G505" s="31">
        <f>LEFT(F505,10)</f>
        <v/>
      </c>
      <c r="H505" s="31">
        <f>MID(G505,3,2)</f>
        <v/>
      </c>
      <c r="I505" s="31">
        <f>VLOOKUP(H505,color!E:G,2,0)</f>
        <v/>
      </c>
      <c r="J505" s="31" t="n">
        <v>51</v>
      </c>
      <c r="K505" s="31">
        <f>VLOOKUP(J505,color!A:C,2,0)</f>
        <v/>
      </c>
      <c r="L505" s="31" t="n">
        <v>1</v>
      </c>
      <c r="M505" s="31">
        <f>VLOOKUP(F505,'卖场库存0422-0512'!M:R,5,0)</f>
        <v/>
      </c>
      <c r="N505" s="31">
        <f>VLOOKUP(F505,'卖场库存0422-0512'!M:S,6,0)</f>
        <v/>
      </c>
      <c r="O505" s="31" t="inlineStr">
        <is>
          <t>Sleeve out</t>
        </is>
      </c>
      <c r="P505" s="30">
        <f>VLOOKUP(F505,'卖场库存0422-0512'!M:S,7,0)</f>
        <v/>
      </c>
      <c r="Q505" s="31">
        <f>VLOOKUP(H505,color!E:G,3,0)</f>
        <v/>
      </c>
    </row>
    <row r="506">
      <c r="A506" s="31" t="n">
        <v>505</v>
      </c>
      <c r="B506" s="22" t="inlineStr">
        <is>
          <t>H009</t>
        </is>
      </c>
      <c r="C506" s="31" t="inlineStr">
        <is>
          <t>HANGER 009</t>
        </is>
      </c>
      <c r="D506" s="31" t="inlineStr">
        <is>
          <t>HANGER</t>
        </is>
      </c>
      <c r="E506" s="33" t="inlineStr">
        <is>
          <t>남성존</t>
        </is>
      </c>
      <c r="F506" s="31" t="inlineStr">
        <is>
          <t>EERAG64S0151165</t>
        </is>
      </c>
      <c r="G506" s="31">
        <f>LEFT(F506,10)</f>
        <v/>
      </c>
      <c r="H506" s="31">
        <f>MID(G506,3,2)</f>
        <v/>
      </c>
      <c r="I506" s="31">
        <f>VLOOKUP(H506,color!E:G,2,0)</f>
        <v/>
      </c>
      <c r="J506" s="31" t="n">
        <v>51</v>
      </c>
      <c r="K506" s="31">
        <f>VLOOKUP(J506,color!A:C,2,0)</f>
        <v/>
      </c>
      <c r="L506" s="31" t="n">
        <v>1</v>
      </c>
      <c r="M506" s="31">
        <f>VLOOKUP(F506,'卖场库存0422-0512'!M:R,5,0)</f>
        <v/>
      </c>
      <c r="N506" s="31">
        <f>VLOOKUP(F506,'卖场库存0422-0512'!M:S,6,0)</f>
        <v/>
      </c>
      <c r="O506" s="31" t="inlineStr">
        <is>
          <t>Sleeve out</t>
        </is>
      </c>
      <c r="P506" s="30">
        <f>VLOOKUP(F506,'卖场库存0422-0512'!M:S,7,0)</f>
        <v/>
      </c>
      <c r="Q506" s="31">
        <f>VLOOKUP(H506,color!E:G,3,0)</f>
        <v/>
      </c>
    </row>
    <row r="507">
      <c r="A507" s="31" t="n">
        <v>506</v>
      </c>
      <c r="B507" s="22" t="inlineStr">
        <is>
          <t>H009</t>
        </is>
      </c>
      <c r="C507" s="31" t="inlineStr">
        <is>
          <t>HANGER 009</t>
        </is>
      </c>
      <c r="D507" s="31" t="inlineStr">
        <is>
          <t>HANGER</t>
        </is>
      </c>
      <c r="E507" s="33" t="inlineStr">
        <is>
          <t>남성존</t>
        </is>
      </c>
      <c r="F507" s="31" t="inlineStr">
        <is>
          <t>EERSG23E0151175</t>
        </is>
      </c>
      <c r="G507" s="31">
        <f>LEFT(F507,10)</f>
        <v/>
      </c>
      <c r="H507" s="31">
        <f>MID(G507,3,2)</f>
        <v/>
      </c>
      <c r="I507" s="31">
        <f>VLOOKUP(H507,color!E:G,2,0)</f>
        <v/>
      </c>
      <c r="J507" s="31" t="n">
        <v>51</v>
      </c>
      <c r="K507" s="31">
        <f>VLOOKUP(J507,color!A:C,2,0)</f>
        <v/>
      </c>
      <c r="L507" s="31" t="n">
        <v>1</v>
      </c>
      <c r="M507" s="31">
        <f>VLOOKUP(F507,'卖场库存0422-0512'!M:R,5,0)</f>
        <v/>
      </c>
      <c r="N507" s="31">
        <f>VLOOKUP(F507,'卖场库存0422-0512'!M:S,6,0)</f>
        <v/>
      </c>
      <c r="O507" s="31" t="inlineStr">
        <is>
          <t>Sleeve out</t>
        </is>
      </c>
      <c r="P507" s="30">
        <f>VLOOKUP(F507,'卖场库存0422-0512'!M:S,7,0)</f>
        <v/>
      </c>
      <c r="Q507" s="31">
        <f>VLOOKUP(H507,color!E:G,3,0)</f>
        <v/>
      </c>
    </row>
    <row r="508">
      <c r="A508" s="31" t="n">
        <v>507</v>
      </c>
      <c r="B508" s="22" t="inlineStr">
        <is>
          <t>H009</t>
        </is>
      </c>
      <c r="C508" s="31" t="inlineStr">
        <is>
          <t>HANGER 009</t>
        </is>
      </c>
      <c r="D508" s="31" t="inlineStr">
        <is>
          <t>HANGER</t>
        </is>
      </c>
      <c r="E508" s="33" t="inlineStr">
        <is>
          <t>남성존</t>
        </is>
      </c>
      <c r="F508" s="31" t="inlineStr">
        <is>
          <t>EERSG23E0151160</t>
        </is>
      </c>
      <c r="G508" s="31">
        <f>LEFT(F508,10)</f>
        <v/>
      </c>
      <c r="H508" s="31">
        <f>MID(G508,3,2)</f>
        <v/>
      </c>
      <c r="I508" s="31">
        <f>VLOOKUP(H508,color!E:G,2,0)</f>
        <v/>
      </c>
      <c r="J508" s="31" t="n">
        <v>51</v>
      </c>
      <c r="K508" s="31">
        <f>VLOOKUP(J508,color!A:C,2,0)</f>
        <v/>
      </c>
      <c r="L508" s="31" t="n">
        <v>1</v>
      </c>
      <c r="M508" s="31">
        <f>VLOOKUP(F508,'卖场库存0422-0512'!M:R,5,0)</f>
        <v/>
      </c>
      <c r="N508" s="31">
        <f>VLOOKUP(F508,'卖场库存0422-0512'!M:S,6,0)</f>
        <v/>
      </c>
      <c r="O508" s="31" t="inlineStr">
        <is>
          <t>Sleeve out</t>
        </is>
      </c>
      <c r="P508" s="30">
        <f>VLOOKUP(F508,'卖场库存0422-0512'!M:S,7,0)</f>
        <v/>
      </c>
      <c r="Q508" s="31">
        <f>VLOOKUP(H508,color!E:G,3,0)</f>
        <v/>
      </c>
    </row>
    <row r="509">
      <c r="A509" s="31" t="n">
        <v>508</v>
      </c>
      <c r="B509" s="22" t="inlineStr">
        <is>
          <t>H009</t>
        </is>
      </c>
      <c r="C509" s="31" t="inlineStr">
        <is>
          <t>HANGER 009</t>
        </is>
      </c>
      <c r="D509" s="31" t="inlineStr">
        <is>
          <t>HANGER</t>
        </is>
      </c>
      <c r="E509" s="33" t="inlineStr">
        <is>
          <t>남성존</t>
        </is>
      </c>
      <c r="F509" s="31" t="inlineStr">
        <is>
          <t>EERSG23E0140160</t>
        </is>
      </c>
      <c r="G509" s="31">
        <f>LEFT(F509,10)</f>
        <v/>
      </c>
      <c r="H509" s="31">
        <f>MID(G509,3,2)</f>
        <v/>
      </c>
      <c r="I509" s="31">
        <f>VLOOKUP(H509,color!E:G,2,0)</f>
        <v/>
      </c>
      <c r="J509" s="31" t="n">
        <v>40</v>
      </c>
      <c r="K509" s="31">
        <f>VLOOKUP(J509,color!A:C,2,0)</f>
        <v/>
      </c>
      <c r="L509" s="31" t="n">
        <v>1</v>
      </c>
      <c r="M509" s="31">
        <f>VLOOKUP(F509,'卖场库存0422-0512'!M:R,5,0)</f>
        <v/>
      </c>
      <c r="N509" s="31">
        <f>VLOOKUP(F509,'卖场库存0422-0512'!M:S,6,0)</f>
        <v/>
      </c>
      <c r="O509" s="31" t="inlineStr">
        <is>
          <t>Sleeve out</t>
        </is>
      </c>
      <c r="P509" s="30">
        <f>VLOOKUP(F509,'卖场库存0422-0512'!M:S,7,0)</f>
        <v/>
      </c>
      <c r="Q509" s="31">
        <f>VLOOKUP(H509,color!E:G,3,0)</f>
        <v/>
      </c>
    </row>
    <row r="510">
      <c r="A510" s="31" t="n">
        <v>509</v>
      </c>
      <c r="B510" s="22" t="inlineStr">
        <is>
          <t>H009</t>
        </is>
      </c>
      <c r="C510" s="31" t="inlineStr">
        <is>
          <t>HANGER 009</t>
        </is>
      </c>
      <c r="D510" s="31" t="inlineStr">
        <is>
          <t>HANGER</t>
        </is>
      </c>
      <c r="E510" s="33" t="inlineStr">
        <is>
          <t>남성존</t>
        </is>
      </c>
      <c r="F510" s="31" t="inlineStr">
        <is>
          <t>EERAG23E0151160</t>
        </is>
      </c>
      <c r="G510" s="31">
        <f>LEFT(F510,10)</f>
        <v/>
      </c>
      <c r="H510" s="31">
        <f>MID(G510,3,2)</f>
        <v/>
      </c>
      <c r="I510" s="31">
        <f>VLOOKUP(H510,color!E:G,2,0)</f>
        <v/>
      </c>
      <c r="J510" s="31" t="n">
        <v>51</v>
      </c>
      <c r="K510" s="31">
        <f>VLOOKUP(J510,color!A:C,2,0)</f>
        <v/>
      </c>
      <c r="L510" s="31" t="n">
        <v>1</v>
      </c>
      <c r="M510" s="31">
        <f>VLOOKUP(F510,'卖场库存0422-0512'!M:R,5,0)</f>
        <v/>
      </c>
      <c r="N510" s="31">
        <f>VLOOKUP(F510,'卖场库存0422-0512'!M:S,6,0)</f>
        <v/>
      </c>
      <c r="O510" s="31" t="inlineStr">
        <is>
          <t>Sleeve out</t>
        </is>
      </c>
      <c r="P510" s="30">
        <f>VLOOKUP(F510,'卖场库存0422-0512'!M:S,7,0)</f>
        <v/>
      </c>
      <c r="Q510" s="31">
        <f>VLOOKUP(H510,color!E:G,3,0)</f>
        <v/>
      </c>
    </row>
    <row r="511">
      <c r="A511" s="31" t="n">
        <v>510</v>
      </c>
      <c r="B511" s="22" t="inlineStr">
        <is>
          <t>H009</t>
        </is>
      </c>
      <c r="C511" s="31" t="inlineStr">
        <is>
          <t>HANGER 009</t>
        </is>
      </c>
      <c r="D511" s="31" t="inlineStr">
        <is>
          <t>HANGER</t>
        </is>
      </c>
      <c r="E511" s="33" t="inlineStr">
        <is>
          <t>남성존</t>
        </is>
      </c>
      <c r="F511" s="31" t="inlineStr">
        <is>
          <t>EERAG23E0151165</t>
        </is>
      </c>
      <c r="G511" s="31">
        <f>LEFT(F511,10)</f>
        <v/>
      </c>
      <c r="H511" s="31">
        <f>MID(G511,3,2)</f>
        <v/>
      </c>
      <c r="I511" s="31">
        <f>VLOOKUP(H511,color!E:G,2,0)</f>
        <v/>
      </c>
      <c r="J511" s="31" t="n">
        <v>51</v>
      </c>
      <c r="K511" s="31">
        <f>VLOOKUP(J511,color!A:C,2,0)</f>
        <v/>
      </c>
      <c r="L511" s="31" t="n">
        <v>1</v>
      </c>
      <c r="M511" s="31">
        <f>VLOOKUP(F511,'卖场库存0422-0512'!M:R,5,0)</f>
        <v/>
      </c>
      <c r="N511" s="31">
        <f>VLOOKUP(F511,'卖场库存0422-0512'!M:S,6,0)</f>
        <v/>
      </c>
      <c r="O511" s="31" t="inlineStr">
        <is>
          <t>Sleeve out</t>
        </is>
      </c>
      <c r="P511" s="30">
        <f>VLOOKUP(F511,'卖场库存0422-0512'!M:S,7,0)</f>
        <v/>
      </c>
      <c r="Q511" s="31">
        <f>VLOOKUP(H511,color!E:G,3,0)</f>
        <v/>
      </c>
    </row>
    <row r="512">
      <c r="A512" s="31" t="n">
        <v>511</v>
      </c>
      <c r="B512" s="22" t="inlineStr">
        <is>
          <t>H009</t>
        </is>
      </c>
      <c r="C512" s="31" t="inlineStr">
        <is>
          <t>HANGER 009</t>
        </is>
      </c>
      <c r="D512" s="31" t="inlineStr">
        <is>
          <t>HANGER</t>
        </is>
      </c>
      <c r="E512" s="33" t="inlineStr">
        <is>
          <t>남성존</t>
        </is>
      </c>
      <c r="F512" s="31" t="inlineStr">
        <is>
          <t>EERAG25E0151160</t>
        </is>
      </c>
      <c r="G512" s="31">
        <f>LEFT(F512,10)</f>
        <v/>
      </c>
      <c r="H512" s="31">
        <f>MID(G512,3,2)</f>
        <v/>
      </c>
      <c r="I512" s="31">
        <f>VLOOKUP(H512,color!E:G,2,0)</f>
        <v/>
      </c>
      <c r="J512" s="31" t="n">
        <v>51</v>
      </c>
      <c r="K512" s="31">
        <f>VLOOKUP(J512,color!A:C,2,0)</f>
        <v/>
      </c>
      <c r="L512" s="31" t="n">
        <v>1</v>
      </c>
      <c r="M512" s="31">
        <f>VLOOKUP(F512,'卖场库存0422-0512'!M:R,5,0)</f>
        <v/>
      </c>
      <c r="N512" s="31">
        <f>VLOOKUP(F512,'卖场库存0422-0512'!M:S,6,0)</f>
        <v/>
      </c>
      <c r="O512" s="31" t="inlineStr">
        <is>
          <t>Sleeve out</t>
        </is>
      </c>
      <c r="P512" s="30">
        <f>VLOOKUP(F512,'卖场库存0422-0512'!M:S,7,0)</f>
        <v/>
      </c>
      <c r="Q512" s="31">
        <f>VLOOKUP(H512,color!E:G,3,0)</f>
        <v/>
      </c>
    </row>
    <row r="513">
      <c r="A513" s="31" t="n">
        <v>512</v>
      </c>
      <c r="B513" s="22" t="inlineStr">
        <is>
          <t>H009</t>
        </is>
      </c>
      <c r="C513" s="31" t="inlineStr">
        <is>
          <t>HANGER 009</t>
        </is>
      </c>
      <c r="D513" s="31" t="inlineStr">
        <is>
          <t>HANGER</t>
        </is>
      </c>
      <c r="E513" s="33" t="inlineStr">
        <is>
          <t>남성존</t>
        </is>
      </c>
      <c r="F513" s="31" t="inlineStr">
        <is>
          <t>EERSG64S0115170</t>
        </is>
      </c>
      <c r="G513" s="31">
        <f>LEFT(F513,10)</f>
        <v/>
      </c>
      <c r="H513" s="31">
        <f>MID(G513,3,2)</f>
        <v/>
      </c>
      <c r="I513" s="31">
        <f>VLOOKUP(H513,color!E:G,2,0)</f>
        <v/>
      </c>
      <c r="J513" s="31" t="n">
        <v>15</v>
      </c>
      <c r="K513" s="31">
        <f>VLOOKUP(J513,color!A:C,2,0)</f>
        <v/>
      </c>
      <c r="L513" s="31" t="n">
        <v>1</v>
      </c>
      <c r="M513" s="31">
        <f>VLOOKUP(F513,'卖场库存0422-0512'!M:R,5,0)</f>
        <v/>
      </c>
      <c r="N513" s="31">
        <f>VLOOKUP(F513,'卖场库存0422-0512'!M:S,6,0)</f>
        <v/>
      </c>
      <c r="O513" s="31" t="inlineStr">
        <is>
          <t>Sleeve out</t>
        </is>
      </c>
      <c r="P513" s="30">
        <f>VLOOKUP(F513,'卖场库存0422-0512'!M:S,7,0)</f>
        <v/>
      </c>
      <c r="Q513" s="31">
        <f>VLOOKUP(H513,color!E:G,3,0)</f>
        <v/>
      </c>
    </row>
    <row r="514">
      <c r="A514" s="31" t="n">
        <v>513</v>
      </c>
      <c r="B514" s="22" t="inlineStr">
        <is>
          <t>H009</t>
        </is>
      </c>
      <c r="C514" s="31" t="inlineStr">
        <is>
          <t>HANGER 009</t>
        </is>
      </c>
      <c r="D514" s="31" t="inlineStr">
        <is>
          <t>HANGER</t>
        </is>
      </c>
      <c r="E514" s="33" t="inlineStr">
        <is>
          <t>남성존</t>
        </is>
      </c>
      <c r="F514" s="31" t="inlineStr">
        <is>
          <t>EERAG23E0220175</t>
        </is>
      </c>
      <c r="G514" s="31">
        <f>LEFT(F514,10)</f>
        <v/>
      </c>
      <c r="H514" s="31">
        <f>MID(G514,3,2)</f>
        <v/>
      </c>
      <c r="I514" s="31">
        <f>VLOOKUP(H514,color!E:G,2,0)</f>
        <v/>
      </c>
      <c r="J514" s="31" t="n">
        <v>20</v>
      </c>
      <c r="K514" s="31">
        <f>VLOOKUP(J514,color!A:C,2,0)</f>
        <v/>
      </c>
      <c r="L514" s="31" t="n">
        <v>1</v>
      </c>
      <c r="M514" s="31">
        <f>VLOOKUP(F514,'卖场库存0422-0512'!M:R,5,0)</f>
        <v/>
      </c>
      <c r="N514" s="31">
        <f>VLOOKUP(F514,'卖场库存0422-0512'!M:S,6,0)</f>
        <v/>
      </c>
      <c r="O514" s="31" t="inlineStr">
        <is>
          <t>Sleeve out</t>
        </is>
      </c>
      <c r="P514" s="30">
        <f>VLOOKUP(F514,'卖场库存0422-0512'!M:S,7,0)</f>
        <v/>
      </c>
      <c r="Q514" s="31">
        <f>VLOOKUP(H514,color!E:G,3,0)</f>
        <v/>
      </c>
    </row>
    <row r="515">
      <c r="A515" s="31" t="n">
        <v>514</v>
      </c>
      <c r="B515" s="22" t="inlineStr">
        <is>
          <t>H009</t>
        </is>
      </c>
      <c r="C515" s="31" t="inlineStr">
        <is>
          <t>HANGER 009</t>
        </is>
      </c>
      <c r="D515" s="31" t="inlineStr">
        <is>
          <t>HANGER</t>
        </is>
      </c>
      <c r="E515" s="33" t="inlineStr">
        <is>
          <t>남성존</t>
        </is>
      </c>
      <c r="F515" s="31" t="inlineStr">
        <is>
          <t>EERAG24B0618160</t>
        </is>
      </c>
      <c r="G515" s="31">
        <f>LEFT(F515,10)</f>
        <v/>
      </c>
      <c r="H515" s="31">
        <f>MID(G515,3,2)</f>
        <v/>
      </c>
      <c r="I515" s="31">
        <f>VLOOKUP(H515,color!E:G,2,0)</f>
        <v/>
      </c>
      <c r="J515" s="31" t="n">
        <v>18</v>
      </c>
      <c r="K515" s="31">
        <f>VLOOKUP(J515,color!A:C,2,0)</f>
        <v/>
      </c>
      <c r="L515" s="31" t="n">
        <v>1</v>
      </c>
      <c r="M515" s="31">
        <f>VLOOKUP(F515,'卖场库存0422-0512'!M:R,5,0)</f>
        <v/>
      </c>
      <c r="N515" s="31">
        <f>VLOOKUP(F515,'卖场库存0422-0512'!M:S,6,0)</f>
        <v/>
      </c>
      <c r="O515" s="31" t="inlineStr">
        <is>
          <t>Sleeve out</t>
        </is>
      </c>
      <c r="P515" s="30">
        <f>VLOOKUP(F515,'卖场库存0422-0512'!M:S,7,0)</f>
        <v/>
      </c>
      <c r="Q515" s="31">
        <f>VLOOKUP(H515,color!E:G,3,0)</f>
        <v/>
      </c>
    </row>
    <row r="516">
      <c r="A516" s="31" t="n">
        <v>515</v>
      </c>
      <c r="B516" s="22" t="inlineStr">
        <is>
          <t>H009</t>
        </is>
      </c>
      <c r="C516" s="31" t="inlineStr">
        <is>
          <t>HANGER 009</t>
        </is>
      </c>
      <c r="D516" s="31" t="inlineStr">
        <is>
          <t>HANGER</t>
        </is>
      </c>
      <c r="E516" s="33" t="inlineStr">
        <is>
          <t>남성존</t>
        </is>
      </c>
      <c r="F516" s="31" t="inlineStr">
        <is>
          <t>EERAG24B0618170</t>
        </is>
      </c>
      <c r="G516" s="31">
        <f>LEFT(F516,10)</f>
        <v/>
      </c>
      <c r="H516" s="31">
        <f>MID(G516,3,2)</f>
        <v/>
      </c>
      <c r="I516" s="31">
        <f>VLOOKUP(H516,color!E:G,2,0)</f>
        <v/>
      </c>
      <c r="J516" s="31" t="n">
        <v>18</v>
      </c>
      <c r="K516" s="31">
        <f>VLOOKUP(J516,color!A:C,2,0)</f>
        <v/>
      </c>
      <c r="L516" s="31" t="n">
        <v>1</v>
      </c>
      <c r="M516" s="31">
        <f>VLOOKUP(F516,'卖场库存0422-0512'!M:R,5,0)</f>
        <v/>
      </c>
      <c r="N516" s="31">
        <f>VLOOKUP(F516,'卖场库存0422-0512'!M:S,6,0)</f>
        <v/>
      </c>
      <c r="O516" s="31" t="inlineStr">
        <is>
          <t>Sleeve out</t>
        </is>
      </c>
      <c r="P516" s="30">
        <f>VLOOKUP(F516,'卖场库存0422-0512'!M:S,7,0)</f>
        <v/>
      </c>
      <c r="Q516" s="31">
        <f>VLOOKUP(H516,color!E:G,3,0)</f>
        <v/>
      </c>
    </row>
    <row r="517">
      <c r="A517" s="31" t="n">
        <v>516</v>
      </c>
      <c r="B517" s="22" t="inlineStr">
        <is>
          <t>H009</t>
        </is>
      </c>
      <c r="C517" s="31" t="inlineStr">
        <is>
          <t>HANGER 009</t>
        </is>
      </c>
      <c r="D517" s="31" t="inlineStr">
        <is>
          <t>HANGER</t>
        </is>
      </c>
      <c r="E517" s="33" t="inlineStr">
        <is>
          <t>남성존</t>
        </is>
      </c>
      <c r="F517" s="31" t="inlineStr">
        <is>
          <t>EERAG25E0318160</t>
        </is>
      </c>
      <c r="G517" s="31">
        <f>LEFT(F517,10)</f>
        <v/>
      </c>
      <c r="H517" s="31">
        <f>MID(G517,3,2)</f>
        <v/>
      </c>
      <c r="I517" s="31">
        <f>VLOOKUP(H517,color!E:G,2,0)</f>
        <v/>
      </c>
      <c r="J517" s="31" t="n">
        <v>18</v>
      </c>
      <c r="K517" s="31">
        <f>VLOOKUP(J517,color!A:C,2,0)</f>
        <v/>
      </c>
      <c r="L517" s="31" t="n">
        <v>1</v>
      </c>
      <c r="M517" s="31">
        <f>VLOOKUP(F517,'卖场库存0422-0512'!M:R,5,0)</f>
        <v/>
      </c>
      <c r="N517" s="31">
        <f>VLOOKUP(F517,'卖场库存0422-0512'!M:S,6,0)</f>
        <v/>
      </c>
      <c r="O517" s="31" t="inlineStr">
        <is>
          <t>Sleeve out</t>
        </is>
      </c>
      <c r="P517" s="30">
        <f>VLOOKUP(F517,'卖场库存0422-0512'!M:S,7,0)</f>
        <v/>
      </c>
      <c r="Q517" s="31">
        <f>VLOOKUP(H517,color!E:G,3,0)</f>
        <v/>
      </c>
    </row>
    <row r="518">
      <c r="A518" s="31" t="n">
        <v>517</v>
      </c>
      <c r="B518" s="22" t="inlineStr">
        <is>
          <t>H009</t>
        </is>
      </c>
      <c r="C518" s="31" t="inlineStr">
        <is>
          <t>HANGER 009</t>
        </is>
      </c>
      <c r="D518" s="31" t="inlineStr">
        <is>
          <t>HANGER</t>
        </is>
      </c>
      <c r="E518" s="33" t="inlineStr">
        <is>
          <t>남성존</t>
        </is>
      </c>
      <c r="F518" s="31" t="inlineStr">
        <is>
          <t>EERAG25E0339160</t>
        </is>
      </c>
      <c r="G518" s="31">
        <f>LEFT(F518,10)</f>
        <v/>
      </c>
      <c r="H518" s="31">
        <f>MID(G518,3,2)</f>
        <v/>
      </c>
      <c r="I518" s="31">
        <f>VLOOKUP(H518,color!E:G,2,0)</f>
        <v/>
      </c>
      <c r="J518" s="31" t="n">
        <v>39</v>
      </c>
      <c r="K518" s="31">
        <f>VLOOKUP(J518,color!A:C,2,0)</f>
        <v/>
      </c>
      <c r="L518" s="31" t="n">
        <v>1</v>
      </c>
      <c r="M518" s="31">
        <f>VLOOKUP(F518,'卖场库存0422-0512'!M:R,5,0)</f>
        <v/>
      </c>
      <c r="N518" s="31">
        <f>VLOOKUP(F518,'卖场库存0422-0512'!M:S,6,0)</f>
        <v/>
      </c>
      <c r="O518" s="31" t="inlineStr">
        <is>
          <t>Sleeve out</t>
        </is>
      </c>
      <c r="P518" s="30">
        <f>VLOOKUP(F518,'卖场库存0422-0512'!M:S,7,0)</f>
        <v/>
      </c>
      <c r="Q518" s="31">
        <f>VLOOKUP(H518,color!E:G,3,0)</f>
        <v/>
      </c>
    </row>
    <row r="519">
      <c r="A519" s="31" t="n">
        <v>518</v>
      </c>
      <c r="B519" s="22" t="inlineStr">
        <is>
          <t>H009</t>
        </is>
      </c>
      <c r="C519" s="31" t="inlineStr">
        <is>
          <t>HANGER 009</t>
        </is>
      </c>
      <c r="D519" s="31" t="inlineStr">
        <is>
          <t>HANGER</t>
        </is>
      </c>
      <c r="E519" s="33" t="inlineStr">
        <is>
          <t>남성존</t>
        </is>
      </c>
      <c r="F519" s="31" t="inlineStr">
        <is>
          <t>EERAG23B0439160</t>
        </is>
      </c>
      <c r="G519" s="31">
        <f>LEFT(F519,10)</f>
        <v/>
      </c>
      <c r="H519" s="31">
        <f>MID(G519,3,2)</f>
        <v/>
      </c>
      <c r="I519" s="31">
        <f>VLOOKUP(H519,color!E:G,2,0)</f>
        <v/>
      </c>
      <c r="J519" s="31" t="n">
        <v>39</v>
      </c>
      <c r="K519" s="31">
        <f>VLOOKUP(J519,color!A:C,2,0)</f>
        <v/>
      </c>
      <c r="L519" s="31" t="n">
        <v>1</v>
      </c>
      <c r="M519" s="31">
        <f>VLOOKUP(F519,'卖场库存0422-0512'!M:R,5,0)</f>
        <v/>
      </c>
      <c r="N519" s="31">
        <f>VLOOKUP(F519,'卖场库存0422-0512'!M:S,6,0)</f>
        <v/>
      </c>
      <c r="O519" s="31" t="inlineStr">
        <is>
          <t>Sleeve out</t>
        </is>
      </c>
      <c r="P519" s="30">
        <f>VLOOKUP(F519,'卖场库存0422-0512'!M:S,7,0)</f>
        <v/>
      </c>
      <c r="Q519" s="31">
        <f>VLOOKUP(H519,color!E:G,3,0)</f>
        <v/>
      </c>
    </row>
    <row r="520">
      <c r="A520" s="31" t="n">
        <v>519</v>
      </c>
      <c r="B520" s="22" t="inlineStr">
        <is>
          <t>H009</t>
        </is>
      </c>
      <c r="C520" s="31" t="inlineStr">
        <is>
          <t>HANGER 009</t>
        </is>
      </c>
      <c r="D520" s="31" t="inlineStr">
        <is>
          <t>HANGER</t>
        </is>
      </c>
      <c r="E520" s="33" t="inlineStr">
        <is>
          <t>남성존</t>
        </is>
      </c>
      <c r="F520" s="31" t="inlineStr">
        <is>
          <t>EERAG23E0239165</t>
        </is>
      </c>
      <c r="G520" s="31">
        <f>LEFT(F520,10)</f>
        <v/>
      </c>
      <c r="H520" s="31">
        <f>MID(G520,3,2)</f>
        <v/>
      </c>
      <c r="I520" s="31">
        <f>VLOOKUP(H520,color!E:G,2,0)</f>
        <v/>
      </c>
      <c r="J520" s="31" t="n">
        <v>39</v>
      </c>
      <c r="K520" s="31">
        <f>VLOOKUP(J520,color!A:C,2,0)</f>
        <v/>
      </c>
      <c r="L520" s="31" t="n">
        <v>1</v>
      </c>
      <c r="M520" s="31">
        <f>VLOOKUP(F520,'卖场库存0422-0512'!M:R,5,0)</f>
        <v/>
      </c>
      <c r="N520" s="31">
        <f>VLOOKUP(F520,'卖场库存0422-0512'!M:S,6,0)</f>
        <v/>
      </c>
      <c r="O520" s="31" t="inlineStr">
        <is>
          <t>Sleeve out</t>
        </is>
      </c>
      <c r="P520" s="30">
        <f>VLOOKUP(F520,'卖场库存0422-0512'!M:S,7,0)</f>
        <v/>
      </c>
      <c r="Q520" s="31">
        <f>VLOOKUP(H520,color!E:G,3,0)</f>
        <v/>
      </c>
    </row>
    <row r="521">
      <c r="A521" s="31" t="n">
        <v>520</v>
      </c>
      <c r="B521" s="22" t="inlineStr">
        <is>
          <t>H009</t>
        </is>
      </c>
      <c r="C521" s="31" t="inlineStr">
        <is>
          <t>HANGER 009</t>
        </is>
      </c>
      <c r="D521" s="31" t="inlineStr">
        <is>
          <t>HANGER</t>
        </is>
      </c>
      <c r="E521" s="33" t="inlineStr">
        <is>
          <t>남성존</t>
        </is>
      </c>
      <c r="F521" s="31" t="inlineStr">
        <is>
          <t>EERAG23E0239170</t>
        </is>
      </c>
      <c r="G521" s="31">
        <f>LEFT(F521,10)</f>
        <v/>
      </c>
      <c r="H521" s="31">
        <f>MID(G521,3,2)</f>
        <v/>
      </c>
      <c r="I521" s="31">
        <f>VLOOKUP(H521,color!E:G,2,0)</f>
        <v/>
      </c>
      <c r="J521" s="31" t="n">
        <v>39</v>
      </c>
      <c r="K521" s="31">
        <f>VLOOKUP(J521,color!A:C,2,0)</f>
        <v/>
      </c>
      <c r="L521" s="31" t="n">
        <v>1</v>
      </c>
      <c r="M521" s="31">
        <f>VLOOKUP(F521,'卖场库存0422-0512'!M:R,5,0)</f>
        <v/>
      </c>
      <c r="N521" s="31">
        <f>VLOOKUP(F521,'卖场库存0422-0512'!M:S,6,0)</f>
        <v/>
      </c>
      <c r="O521" s="31" t="inlineStr">
        <is>
          <t>Sleeve out</t>
        </is>
      </c>
      <c r="P521" s="30">
        <f>VLOOKUP(F521,'卖场库存0422-0512'!M:S,7,0)</f>
        <v/>
      </c>
      <c r="Q521" s="31">
        <f>VLOOKUP(H521,color!E:G,3,0)</f>
        <v/>
      </c>
    </row>
    <row r="522">
      <c r="A522" s="31" t="n">
        <v>521</v>
      </c>
      <c r="B522" s="22" t="inlineStr">
        <is>
          <t>H009</t>
        </is>
      </c>
      <c r="C522" s="31" t="inlineStr">
        <is>
          <t>HANGER 009</t>
        </is>
      </c>
      <c r="D522" s="31" t="inlineStr">
        <is>
          <t>HANGER</t>
        </is>
      </c>
      <c r="E522" s="33" t="inlineStr">
        <is>
          <t>남성존</t>
        </is>
      </c>
      <c r="F522" s="31" t="inlineStr">
        <is>
          <t>EERAG26B0217175</t>
        </is>
      </c>
      <c r="G522" s="31">
        <f>LEFT(F522,10)</f>
        <v/>
      </c>
      <c r="H522" s="31">
        <f>MID(G522,3,2)</f>
        <v/>
      </c>
      <c r="I522" s="31">
        <f>VLOOKUP(H522,color!E:G,2,0)</f>
        <v/>
      </c>
      <c r="J522" s="31" t="n">
        <v>17</v>
      </c>
      <c r="K522" s="31">
        <f>VLOOKUP(J522,color!A:C,2,0)</f>
        <v/>
      </c>
      <c r="L522" s="31" t="n">
        <v>1</v>
      </c>
      <c r="M522" s="31">
        <f>VLOOKUP(F522,'卖场库存0422-0512'!M:R,5,0)</f>
        <v/>
      </c>
      <c r="N522" s="31">
        <f>VLOOKUP(F522,'卖场库存0422-0512'!M:S,6,0)</f>
        <v/>
      </c>
      <c r="O522" s="31" t="inlineStr">
        <is>
          <t>Sleeve out</t>
        </is>
      </c>
      <c r="P522" s="30">
        <f>VLOOKUP(F522,'卖场库存0422-0512'!M:S,7,0)</f>
        <v/>
      </c>
      <c r="Q522" s="31">
        <f>VLOOKUP(H522,color!E:G,3,0)</f>
        <v/>
      </c>
    </row>
    <row r="523">
      <c r="A523" s="31" t="n">
        <v>522</v>
      </c>
      <c r="B523" s="22" t="inlineStr">
        <is>
          <t>H009</t>
        </is>
      </c>
      <c r="C523" s="31" t="inlineStr">
        <is>
          <t>HANGER 009</t>
        </is>
      </c>
      <c r="D523" s="31" t="inlineStr">
        <is>
          <t>HANGER</t>
        </is>
      </c>
      <c r="E523" s="33" t="inlineStr">
        <is>
          <t>남성존</t>
        </is>
      </c>
      <c r="F523" s="31" t="inlineStr">
        <is>
          <t>EERAG26B0217160</t>
        </is>
      </c>
      <c r="G523" s="31">
        <f>LEFT(F523,10)</f>
        <v/>
      </c>
      <c r="H523" s="31">
        <f>MID(G523,3,2)</f>
        <v/>
      </c>
      <c r="I523" s="31">
        <f>VLOOKUP(H523,color!E:G,2,0)</f>
        <v/>
      </c>
      <c r="J523" s="31" t="n">
        <v>17</v>
      </c>
      <c r="K523" s="31">
        <f>VLOOKUP(J523,color!A:C,2,0)</f>
        <v/>
      </c>
      <c r="L523" s="31" t="n">
        <v>1</v>
      </c>
      <c r="M523" s="31">
        <f>VLOOKUP(F523,'卖场库存0422-0512'!M:R,5,0)</f>
        <v/>
      </c>
      <c r="N523" s="31">
        <f>VLOOKUP(F523,'卖场库存0422-0512'!M:S,6,0)</f>
        <v/>
      </c>
      <c r="O523" s="31" t="inlineStr">
        <is>
          <t>Sleeve out</t>
        </is>
      </c>
      <c r="P523" s="30">
        <f>VLOOKUP(F523,'卖场库存0422-0512'!M:S,7,0)</f>
        <v/>
      </c>
      <c r="Q523" s="31">
        <f>VLOOKUP(H523,color!E:G,3,0)</f>
        <v/>
      </c>
    </row>
    <row r="524">
      <c r="A524" s="31" t="n">
        <v>523</v>
      </c>
      <c r="B524" s="22" t="inlineStr">
        <is>
          <t>H009</t>
        </is>
      </c>
      <c r="C524" s="31" t="inlineStr">
        <is>
          <t>HANGER 009</t>
        </is>
      </c>
      <c r="D524" s="31" t="inlineStr">
        <is>
          <t>HANGER</t>
        </is>
      </c>
      <c r="E524" s="33" t="inlineStr">
        <is>
          <t>남성존</t>
        </is>
      </c>
      <c r="F524" s="31" t="inlineStr">
        <is>
          <t>EERAG24E0436165</t>
        </is>
      </c>
      <c r="G524" s="31">
        <f>LEFT(F524,10)</f>
        <v/>
      </c>
      <c r="H524" s="31">
        <f>MID(G524,3,2)</f>
        <v/>
      </c>
      <c r="I524" s="31">
        <f>VLOOKUP(H524,color!E:G,2,0)</f>
        <v/>
      </c>
      <c r="J524" s="31" t="n">
        <v>36</v>
      </c>
      <c r="K524" s="31">
        <f>VLOOKUP(J524,color!A:C,2,0)</f>
        <v/>
      </c>
      <c r="L524" s="31" t="n">
        <v>1</v>
      </c>
      <c r="M524" s="31">
        <f>VLOOKUP(F524,'卖场库存0422-0512'!M:R,5,0)</f>
        <v/>
      </c>
      <c r="N524" s="31">
        <f>VLOOKUP(F524,'卖场库存0422-0512'!M:S,6,0)</f>
        <v/>
      </c>
      <c r="O524" s="31" t="inlineStr">
        <is>
          <t>Sleeve out</t>
        </is>
      </c>
      <c r="P524" s="30">
        <f>VLOOKUP(F524,'卖场库存0422-0512'!M:S,7,0)</f>
        <v/>
      </c>
      <c r="Q524" s="31">
        <f>VLOOKUP(H524,color!E:G,3,0)</f>
        <v/>
      </c>
    </row>
    <row r="525">
      <c r="A525" s="31" t="n">
        <v>524</v>
      </c>
      <c r="B525" s="22" t="inlineStr">
        <is>
          <t>H009</t>
        </is>
      </c>
      <c r="C525" s="31" t="inlineStr">
        <is>
          <t>HANGER 009</t>
        </is>
      </c>
      <c r="D525" s="31" t="inlineStr">
        <is>
          <t>HANGER</t>
        </is>
      </c>
      <c r="E525" s="33" t="inlineStr">
        <is>
          <t>남성존</t>
        </is>
      </c>
      <c r="F525" s="31" t="inlineStr">
        <is>
          <t>EERAG24E0485165</t>
        </is>
      </c>
      <c r="G525" s="31">
        <f>LEFT(F525,10)</f>
        <v/>
      </c>
      <c r="H525" s="31">
        <f>MID(G525,3,2)</f>
        <v/>
      </c>
      <c r="I525" s="31">
        <f>VLOOKUP(H525,color!E:G,2,0)</f>
        <v/>
      </c>
      <c r="J525" s="31" t="n">
        <v>85</v>
      </c>
      <c r="K525" s="31">
        <f>VLOOKUP(J525,color!A:C,2,0)</f>
        <v/>
      </c>
      <c r="L525" s="31" t="n">
        <v>1</v>
      </c>
      <c r="M525" s="31">
        <f>VLOOKUP(F525,'卖场库存0422-0512'!M:R,5,0)</f>
        <v/>
      </c>
      <c r="N525" s="31">
        <f>VLOOKUP(F525,'卖场库存0422-0512'!M:S,6,0)</f>
        <v/>
      </c>
      <c r="O525" s="31" t="inlineStr">
        <is>
          <t>Sleeve out</t>
        </is>
      </c>
      <c r="P525" s="30">
        <f>VLOOKUP(F525,'卖场库存0422-0512'!M:S,7,0)</f>
        <v/>
      </c>
      <c r="Q525" s="31">
        <f>VLOOKUP(H525,color!E:G,3,0)</f>
        <v/>
      </c>
    </row>
    <row r="526">
      <c r="A526" s="31" t="n">
        <v>525</v>
      </c>
      <c r="B526" s="22" t="inlineStr">
        <is>
          <t>H009</t>
        </is>
      </c>
      <c r="C526" s="31" t="inlineStr">
        <is>
          <t>HANGER 009</t>
        </is>
      </c>
      <c r="D526" s="31" t="inlineStr">
        <is>
          <t>HANGER</t>
        </is>
      </c>
      <c r="E526" s="33" t="inlineStr">
        <is>
          <t>남성존</t>
        </is>
      </c>
      <c r="F526" s="31" t="inlineStr">
        <is>
          <t>EERAG26B0264165</t>
        </is>
      </c>
      <c r="G526" s="31">
        <f>LEFT(F526,10)</f>
        <v/>
      </c>
      <c r="H526" s="31">
        <f>MID(G526,3,2)</f>
        <v/>
      </c>
      <c r="I526" s="31">
        <f>VLOOKUP(H526,color!E:G,2,0)</f>
        <v/>
      </c>
      <c r="J526" s="31" t="n">
        <v>64</v>
      </c>
      <c r="K526" s="31">
        <f>VLOOKUP(J526,color!A:C,2,0)</f>
        <v/>
      </c>
      <c r="L526" s="31" t="n">
        <v>1</v>
      </c>
      <c r="M526" s="31">
        <f>VLOOKUP(F526,'卖场库存0422-0512'!M:R,5,0)</f>
        <v/>
      </c>
      <c r="N526" s="31">
        <f>VLOOKUP(F526,'卖场库存0422-0512'!M:S,6,0)</f>
        <v/>
      </c>
      <c r="O526" s="31" t="inlineStr">
        <is>
          <t>Sleeve out</t>
        </is>
      </c>
      <c r="P526" s="30">
        <f>VLOOKUP(F526,'卖场库存0422-0512'!M:S,7,0)</f>
        <v/>
      </c>
      <c r="Q526" s="31">
        <f>VLOOKUP(H526,color!E:G,3,0)</f>
        <v/>
      </c>
    </row>
    <row r="527">
      <c r="A527" s="31" t="n">
        <v>526</v>
      </c>
      <c r="B527" s="22" t="inlineStr">
        <is>
          <t>H009</t>
        </is>
      </c>
      <c r="C527" s="31" t="inlineStr">
        <is>
          <t>HANGER 009</t>
        </is>
      </c>
      <c r="D527" s="31" t="inlineStr">
        <is>
          <t>HANGER</t>
        </is>
      </c>
      <c r="E527" s="33" t="inlineStr">
        <is>
          <t>남성존</t>
        </is>
      </c>
      <c r="F527" s="31" t="inlineStr">
        <is>
          <t>EETJG24E0655026</t>
        </is>
      </c>
      <c r="G527" s="31">
        <f>LEFT(F527,10)</f>
        <v/>
      </c>
      <c r="H527" s="31">
        <f>MID(G527,3,2)</f>
        <v/>
      </c>
      <c r="I527" s="31">
        <f>VLOOKUP(H527,color!E:G,2,0)</f>
        <v/>
      </c>
      <c r="J527" s="31" t="n">
        <v>55</v>
      </c>
      <c r="K527" s="31">
        <f>VLOOKUP(J527,color!A:C,2,0)</f>
        <v/>
      </c>
      <c r="L527" s="31" t="n">
        <v>1</v>
      </c>
      <c r="M527" s="31">
        <f>VLOOKUP(F527,'卖场库存0422-0512'!M:R,5,0)</f>
        <v/>
      </c>
      <c r="N527" s="31">
        <f>VLOOKUP(F527,'卖场库存0422-0512'!M:S,6,0)</f>
        <v/>
      </c>
      <c r="O527" s="31" t="inlineStr">
        <is>
          <t>Sleeve out</t>
        </is>
      </c>
      <c r="P527" s="30">
        <f>VLOOKUP(F527,'卖场库存0422-0512'!M:S,7,0)</f>
        <v/>
      </c>
      <c r="Q527" s="31">
        <f>VLOOKUP(H527,color!E:G,3,0)</f>
        <v/>
      </c>
    </row>
    <row r="528">
      <c r="A528" s="31" t="n">
        <v>527</v>
      </c>
      <c r="B528" s="22" t="inlineStr">
        <is>
          <t>H009</t>
        </is>
      </c>
      <c r="C528" s="31" t="inlineStr">
        <is>
          <t>HANGER 009</t>
        </is>
      </c>
      <c r="D528" s="31" t="inlineStr">
        <is>
          <t>HANGER</t>
        </is>
      </c>
      <c r="E528" s="33" t="inlineStr">
        <is>
          <t>남성존</t>
        </is>
      </c>
      <c r="F528" s="31" t="inlineStr">
        <is>
          <t>EERAG25E0151165</t>
        </is>
      </c>
      <c r="G528" s="31">
        <f>LEFT(F528,10)</f>
        <v/>
      </c>
      <c r="H528" s="31">
        <f>MID(G528,3,2)</f>
        <v/>
      </c>
      <c r="I528" s="31">
        <f>VLOOKUP(H528,color!E:G,2,0)</f>
        <v/>
      </c>
      <c r="J528" s="31" t="n">
        <v>51</v>
      </c>
      <c r="K528" s="31">
        <f>VLOOKUP(J528,color!A:C,2,0)</f>
        <v/>
      </c>
      <c r="L528" s="31" t="n">
        <v>1</v>
      </c>
      <c r="M528" s="31">
        <f>VLOOKUP(F528,'卖场库存0422-0512'!M:R,5,0)</f>
        <v/>
      </c>
      <c r="N528" s="31">
        <f>VLOOKUP(F528,'卖场库存0422-0512'!M:S,6,0)</f>
        <v/>
      </c>
      <c r="O528" s="31" t="inlineStr">
        <is>
          <t>Sleeve out</t>
        </is>
      </c>
      <c r="P528" s="30">
        <f>VLOOKUP(F528,'卖场库存0422-0512'!M:S,7,0)</f>
        <v/>
      </c>
      <c r="Q528" s="31">
        <f>VLOOKUP(H528,color!E:G,3,0)</f>
        <v/>
      </c>
    </row>
    <row r="529">
      <c r="A529" s="31" t="n">
        <v>528</v>
      </c>
      <c r="B529" s="22" t="inlineStr">
        <is>
          <t>M001</t>
        </is>
      </c>
      <c r="C529" s="31" t="inlineStr">
        <is>
          <t>윈도우 MQ 001(W)</t>
        </is>
      </c>
      <c r="D529" s="31" t="inlineStr">
        <is>
          <t>MQ</t>
        </is>
      </c>
      <c r="E529" s="31" t="inlineStr">
        <is>
          <t>윈도우</t>
        </is>
      </c>
      <c r="F529" s="31" t="inlineStr">
        <is>
          <t>EEVWG24E0159160</t>
        </is>
      </c>
      <c r="G529" s="31">
        <f>LEFT(F529,10)</f>
        <v/>
      </c>
      <c r="H529" s="31">
        <f>MID(G529,3,2)</f>
        <v/>
      </c>
      <c r="I529" s="31" t="inlineStr">
        <is>
          <t>특별/시즌 룩 特别/Season Look</t>
        </is>
      </c>
      <c r="J529" s="31" t="n">
        <v>59</v>
      </c>
      <c r="K529" s="31">
        <f>VLOOKUP(J529,color!A:C,2,0)</f>
        <v/>
      </c>
      <c r="L529" s="31" t="n">
        <v>1</v>
      </c>
      <c r="M529" s="31">
        <f>VLOOKUP(F529,'卖场库存0422-0512'!M:R,5,0)</f>
        <v/>
      </c>
      <c r="N529" s="31">
        <f>VLOOKUP(F529,'卖场库存0422-0512'!M:S,6,0)</f>
        <v/>
      </c>
      <c r="O529" s="31" t="inlineStr">
        <is>
          <t>MQ</t>
        </is>
      </c>
      <c r="P529" s="30">
        <f>VLOOKUP(F529,'卖场库存0422-0512'!M:S,7,0)</f>
        <v/>
      </c>
      <c r="Q529" s="31">
        <f>VLOOKUP(H529,color!E:G,3,0)</f>
        <v/>
      </c>
    </row>
    <row r="530">
      <c r="A530" s="31" t="n">
        <v>529</v>
      </c>
      <c r="B530" s="22" t="inlineStr">
        <is>
          <t>M001</t>
        </is>
      </c>
      <c r="C530" s="31" t="inlineStr">
        <is>
          <t>윈도우 MQ 001(W)</t>
        </is>
      </c>
      <c r="D530" s="31" t="inlineStr">
        <is>
          <t>MQ</t>
        </is>
      </c>
      <c r="E530" s="31" t="inlineStr">
        <is>
          <t>윈도우</t>
        </is>
      </c>
      <c r="F530" s="31" t="inlineStr">
        <is>
          <t>EEWHG24E0239160</t>
        </is>
      </c>
      <c r="G530" s="31">
        <f>LEFT(F530,10)</f>
        <v/>
      </c>
      <c r="H530" s="31">
        <f>MID(G530,3,2)</f>
        <v/>
      </c>
      <c r="I530" s="31" t="inlineStr">
        <is>
          <t>특별/시즌 룩 特别/Season Look</t>
        </is>
      </c>
      <c r="J530" s="31" t="n">
        <v>39</v>
      </c>
      <c r="K530" s="31">
        <f>VLOOKUP(J530,color!A:C,2,0)</f>
        <v/>
      </c>
      <c r="L530" s="31" t="n">
        <v>1</v>
      </c>
      <c r="M530" s="31">
        <f>VLOOKUP(F530,'卖场库存0422-0512'!M:R,5,0)</f>
        <v/>
      </c>
      <c r="N530" s="31">
        <f>VLOOKUP(F530,'卖场库存0422-0512'!M:S,6,0)</f>
        <v/>
      </c>
      <c r="O530" s="31" t="inlineStr">
        <is>
          <t>MQ</t>
        </is>
      </c>
      <c r="P530" s="30">
        <f>VLOOKUP(F530,'卖场库存0422-0512'!M:S,7,0)</f>
        <v/>
      </c>
      <c r="Q530" s="31">
        <f>VLOOKUP(H530,color!E:G,3,0)</f>
        <v/>
      </c>
    </row>
    <row r="531">
      <c r="A531" s="31" t="n">
        <v>530</v>
      </c>
      <c r="B531" s="22" t="inlineStr">
        <is>
          <t>M002</t>
        </is>
      </c>
      <c r="C531" s="31" t="inlineStr">
        <is>
          <t>윈도우 MQ 002(W)</t>
        </is>
      </c>
      <c r="D531" s="31" t="inlineStr">
        <is>
          <t>MQ</t>
        </is>
      </c>
      <c r="E531" s="31" t="inlineStr">
        <is>
          <t>윈도우</t>
        </is>
      </c>
      <c r="F531" s="31" t="inlineStr">
        <is>
          <t>EEYPG24E0101160</t>
        </is>
      </c>
      <c r="G531" s="31">
        <f>LEFT(F531,10)</f>
        <v/>
      </c>
      <c r="H531" s="31">
        <f>MID(G531,3,2)</f>
        <v/>
      </c>
      <c r="I531" s="31" t="inlineStr">
        <is>
          <t>데일리 룩 Daily Look</t>
        </is>
      </c>
      <c r="J531" s="31" t="n">
        <v>1</v>
      </c>
      <c r="K531" s="31">
        <f>VLOOKUP(J531,color!A:C,2,0)</f>
        <v/>
      </c>
      <c r="L531" s="31" t="n">
        <v>1</v>
      </c>
      <c r="M531" s="31">
        <f>VLOOKUP(F531,'卖场库存0422-0512'!M:R,5,0)</f>
        <v/>
      </c>
      <c r="N531" s="31">
        <f>VLOOKUP(F531,'卖场库存0422-0512'!M:S,6,0)</f>
        <v/>
      </c>
      <c r="O531" s="31" t="inlineStr">
        <is>
          <t>MQ</t>
        </is>
      </c>
      <c r="P531" s="30">
        <f>VLOOKUP(F531,'卖场库存0422-0512'!M:S,7,0)</f>
        <v/>
      </c>
      <c r="Q531" s="31">
        <f>VLOOKUP(H531,color!E:G,3,0)</f>
        <v/>
      </c>
    </row>
    <row r="532">
      <c r="A532" s="31" t="n">
        <v>531</v>
      </c>
      <c r="B532" s="22" t="inlineStr">
        <is>
          <t>M002</t>
        </is>
      </c>
      <c r="C532" s="31" t="inlineStr">
        <is>
          <t>윈도우 MQ 002(W)</t>
        </is>
      </c>
      <c r="D532" s="31" t="inlineStr">
        <is>
          <t>MQ</t>
        </is>
      </c>
      <c r="E532" s="31" t="inlineStr">
        <is>
          <t>윈도우</t>
        </is>
      </c>
      <c r="F532" s="31" t="inlineStr">
        <is>
          <t>EETJG24E0139027</t>
        </is>
      </c>
      <c r="G532" s="31">
        <f>LEFT(F532,10)</f>
        <v/>
      </c>
      <c r="H532" s="31">
        <f>MID(G532,3,2)</f>
        <v/>
      </c>
      <c r="I532" s="31" t="inlineStr">
        <is>
          <t>데일리 룩 Daily Look</t>
        </is>
      </c>
      <c r="J532" s="31" t="n">
        <v>39</v>
      </c>
      <c r="K532" s="31">
        <f>VLOOKUP(J532,color!A:C,2,0)</f>
        <v/>
      </c>
      <c r="L532" s="31" t="n">
        <v>1</v>
      </c>
      <c r="M532" s="31">
        <f>VLOOKUP(F532,'卖场库存0422-0512'!M:R,5,0)</f>
        <v/>
      </c>
      <c r="N532" s="31">
        <f>VLOOKUP(F532,'卖场库存0422-0512'!M:S,6,0)</f>
        <v/>
      </c>
      <c r="O532" s="31" t="inlineStr">
        <is>
          <t>MQ</t>
        </is>
      </c>
      <c r="P532" s="30">
        <f>VLOOKUP(F532,'卖场库存0422-0512'!M:S,7,0)</f>
        <v/>
      </c>
      <c r="Q532" s="31">
        <f>VLOOKUP(H532,color!E:G,3,0)</f>
        <v/>
      </c>
    </row>
    <row r="533">
      <c r="A533" s="31" t="n">
        <v>532</v>
      </c>
      <c r="B533" s="22" t="inlineStr">
        <is>
          <t>M004</t>
        </is>
      </c>
      <c r="C533" s="31" t="inlineStr">
        <is>
          <t>윈도우 MQ 004(M)</t>
        </is>
      </c>
      <c r="D533" s="31" t="inlineStr">
        <is>
          <t>MQ</t>
        </is>
      </c>
      <c r="E533" s="31" t="inlineStr">
        <is>
          <t>윈도우</t>
        </is>
      </c>
      <c r="F533" s="31" t="inlineStr">
        <is>
          <t>EEYWG25E1G50175</t>
        </is>
      </c>
      <c r="G533" s="31">
        <f>LEFT(F533,10)</f>
        <v/>
      </c>
      <c r="H533" s="31">
        <f>MID(G533,3,2)</f>
        <v/>
      </c>
      <c r="I533" s="31" t="inlineStr">
        <is>
          <t>주말 룩 周末Look</t>
        </is>
      </c>
      <c r="J533" s="31" t="n">
        <v>50</v>
      </c>
      <c r="K533" s="31">
        <f>VLOOKUP(J533,color!A:C,2,0)</f>
        <v/>
      </c>
      <c r="L533" s="31" t="n">
        <v>1</v>
      </c>
      <c r="M533" s="31">
        <f>VLOOKUP(F533,'卖场库存0422-0512'!M:R,5,0)</f>
        <v/>
      </c>
      <c r="N533" s="31">
        <f>VLOOKUP(F533,'卖场库存0422-0512'!M:S,6,0)</f>
        <v/>
      </c>
      <c r="O533" s="31" t="inlineStr">
        <is>
          <t>MQ</t>
        </is>
      </c>
      <c r="P533" s="30">
        <f>VLOOKUP(F533,'卖场库存0422-0512'!M:S,7,0)</f>
        <v/>
      </c>
      <c r="Q533" s="31">
        <f>VLOOKUP(H533,color!E:G,3,0)</f>
        <v/>
      </c>
    </row>
    <row r="534">
      <c r="A534" s="31" t="n">
        <v>533</v>
      </c>
      <c r="B534" s="22" t="inlineStr">
        <is>
          <t>M004</t>
        </is>
      </c>
      <c r="C534" s="31" t="inlineStr">
        <is>
          <t>윈도우 MQ 004(M)</t>
        </is>
      </c>
      <c r="D534" s="31" t="inlineStr">
        <is>
          <t>MQ</t>
        </is>
      </c>
      <c r="E534" s="31" t="inlineStr">
        <is>
          <t>윈도우</t>
        </is>
      </c>
      <c r="F534" s="31" t="inlineStr">
        <is>
          <t>EEKWG23E2G10175</t>
        </is>
      </c>
      <c r="G534" s="31">
        <f>LEFT(F534,10)</f>
        <v/>
      </c>
      <c r="H534" s="31">
        <f>MID(G534,3,2)</f>
        <v/>
      </c>
      <c r="I534" s="31" t="inlineStr">
        <is>
          <t>주말 룩 周末Look</t>
        </is>
      </c>
      <c r="J534" s="31" t="n">
        <v>10</v>
      </c>
      <c r="K534" s="31">
        <f>VLOOKUP(J534,color!A:C,2,0)</f>
        <v/>
      </c>
      <c r="L534" s="31" t="n">
        <v>1</v>
      </c>
      <c r="M534" s="31">
        <f>VLOOKUP(F534,'卖场库存0422-0512'!M:R,5,0)</f>
        <v/>
      </c>
      <c r="N534" s="31">
        <f>VLOOKUP(F534,'卖场库存0422-0512'!M:S,6,0)</f>
        <v/>
      </c>
      <c r="O534" s="31" t="inlineStr">
        <is>
          <t>MQ</t>
        </is>
      </c>
      <c r="P534" s="30">
        <f>VLOOKUP(F534,'卖场库存0422-0512'!M:S,7,0)</f>
        <v/>
      </c>
      <c r="Q534" s="31">
        <f>VLOOKUP(H534,color!E:G,3,0)</f>
        <v/>
      </c>
    </row>
    <row r="535">
      <c r="A535" s="31" t="n">
        <v>534</v>
      </c>
      <c r="B535" s="22" t="inlineStr">
        <is>
          <t>M004</t>
        </is>
      </c>
      <c r="C535" s="31" t="inlineStr">
        <is>
          <t>윈도우 MQ 004(M)</t>
        </is>
      </c>
      <c r="D535" s="31" t="inlineStr">
        <is>
          <t>MQ</t>
        </is>
      </c>
      <c r="E535" s="31" t="inlineStr">
        <is>
          <t>윈도우</t>
        </is>
      </c>
      <c r="F535" s="31" t="inlineStr">
        <is>
          <t>EETHG23B1G03030</t>
        </is>
      </c>
      <c r="G535" s="31">
        <f>LEFT(F535,10)</f>
        <v/>
      </c>
      <c r="H535" s="31">
        <f>MID(G535,3,2)</f>
        <v/>
      </c>
      <c r="I535" s="31" t="inlineStr">
        <is>
          <t>주말 룩 周末Look</t>
        </is>
      </c>
      <c r="J535" s="31" t="n">
        <v>3</v>
      </c>
      <c r="K535" s="31">
        <f>VLOOKUP(J535,color!A:C,2,0)</f>
        <v/>
      </c>
      <c r="L535" s="31" t="n">
        <v>1</v>
      </c>
      <c r="M535" s="31">
        <f>VLOOKUP(F535,'卖场库存0422-0512'!M:R,5,0)</f>
        <v/>
      </c>
      <c r="N535" s="31">
        <f>VLOOKUP(F535,'卖场库存0422-0512'!M:S,6,0)</f>
        <v/>
      </c>
      <c r="O535" s="31" t="inlineStr">
        <is>
          <t>MQ</t>
        </is>
      </c>
      <c r="P535" s="30">
        <f>VLOOKUP(F535,'卖场库存0422-0512'!M:S,7,0)</f>
        <v/>
      </c>
      <c r="Q535" s="31">
        <f>VLOOKUP(H535,color!E:G,3,0)</f>
        <v/>
      </c>
    </row>
    <row r="536" ht="16.5" customHeight="1" s="103">
      <c r="A536" s="31" t="n">
        <v>535</v>
      </c>
      <c r="B536" s="22" t="inlineStr">
        <is>
          <t>M005</t>
        </is>
      </c>
      <c r="C536" s="31" t="inlineStr">
        <is>
          <t>여성 MQ 005</t>
        </is>
      </c>
      <c r="D536" s="31" t="inlineStr">
        <is>
          <t>MQ</t>
        </is>
      </c>
      <c r="E536" s="29" t="inlineStr">
        <is>
          <t>여성존</t>
        </is>
      </c>
      <c r="F536" s="31" t="inlineStr">
        <is>
          <t>EEAKG25B0185FRE</t>
        </is>
      </c>
      <c r="G536" s="31">
        <f>LEFT(F536,10)</f>
        <v/>
      </c>
      <c r="H536" s="31">
        <f>MID(G536,3,2)</f>
        <v/>
      </c>
      <c r="I536" s="31" t="inlineStr">
        <is>
          <t>데일리 룩 Daily Look</t>
        </is>
      </c>
      <c r="J536" s="31" t="n">
        <v>85</v>
      </c>
      <c r="K536" s="31">
        <f>VLOOKUP(J536,color!A:C,2,0)</f>
        <v/>
      </c>
      <c r="L536" s="31" t="n">
        <v>1</v>
      </c>
      <c r="M536" s="31">
        <f>VLOOKUP(F536,'卖场库存0422-0512'!M:R,5,0)</f>
        <v/>
      </c>
      <c r="N536" s="31">
        <f>VLOOKUP(F536,'卖场库存0422-0512'!M:S,6,0)</f>
        <v/>
      </c>
      <c r="O536" s="31" t="inlineStr">
        <is>
          <t>MQ</t>
        </is>
      </c>
      <c r="P536" s="30">
        <f>VLOOKUP(F536,'卖场库存0422-0512'!M:S,7,0)</f>
        <v/>
      </c>
      <c r="Q536" s="31">
        <f>VLOOKUP(H536,color!E:G,3,0)</f>
        <v/>
      </c>
    </row>
    <row r="537" ht="16.5" customHeight="1" s="103">
      <c r="A537" s="31" t="n">
        <v>536</v>
      </c>
      <c r="B537" s="22" t="inlineStr">
        <is>
          <t>M005</t>
        </is>
      </c>
      <c r="C537" s="31" t="inlineStr">
        <is>
          <t>여성 MQ 005</t>
        </is>
      </c>
      <c r="D537" s="31" t="inlineStr">
        <is>
          <t>MQ</t>
        </is>
      </c>
      <c r="E537" s="29" t="inlineStr">
        <is>
          <t>여성존</t>
        </is>
      </c>
      <c r="F537" s="31" t="inlineStr">
        <is>
          <t>EETCG24E0619165</t>
        </is>
      </c>
      <c r="G537" s="31">
        <f>LEFT(F537,10)</f>
        <v/>
      </c>
      <c r="H537" s="31">
        <f>MID(G537,3,2)</f>
        <v/>
      </c>
      <c r="I537" s="31" t="inlineStr">
        <is>
          <t>데일리 룩 Daily Look</t>
        </is>
      </c>
      <c r="J537" s="31" t="n">
        <v>19</v>
      </c>
      <c r="K537" s="31">
        <f>VLOOKUP(J537,color!A:C,2,0)</f>
        <v/>
      </c>
      <c r="L537" s="31" t="n">
        <v>1</v>
      </c>
      <c r="M537" s="31">
        <f>VLOOKUP(F537,'卖场库存0422-0512'!M:R,5,0)</f>
        <v/>
      </c>
      <c r="N537" s="31">
        <f>VLOOKUP(F537,'卖场库存0422-0512'!M:S,6,0)</f>
        <v/>
      </c>
      <c r="O537" s="31" t="inlineStr">
        <is>
          <t>MQ</t>
        </is>
      </c>
      <c r="P537" s="30">
        <f>VLOOKUP(F537,'卖场库存0422-0512'!M:S,7,0)</f>
        <v/>
      </c>
      <c r="Q537" s="31">
        <f>VLOOKUP(H537,color!E:G,3,0)</f>
        <v/>
      </c>
    </row>
    <row r="538" ht="16.5" customHeight="1" s="103">
      <c r="A538" s="31" t="n">
        <v>537</v>
      </c>
      <c r="B538" s="22" t="inlineStr">
        <is>
          <t>M005</t>
        </is>
      </c>
      <c r="C538" s="31" t="inlineStr">
        <is>
          <t>여성 MQ 005</t>
        </is>
      </c>
      <c r="D538" s="31" t="inlineStr">
        <is>
          <t>MQ</t>
        </is>
      </c>
      <c r="E538" s="29" t="inlineStr">
        <is>
          <t>여성존</t>
        </is>
      </c>
      <c r="F538" s="31" t="inlineStr">
        <is>
          <t>EEVKG25E0139160</t>
        </is>
      </c>
      <c r="G538" s="31">
        <f>LEFT(F538,10)</f>
        <v/>
      </c>
      <c r="H538" s="31">
        <f>MID(G538,3,2)</f>
        <v/>
      </c>
      <c r="I538" s="31" t="inlineStr">
        <is>
          <t>데일리 룩 Daily Look</t>
        </is>
      </c>
      <c r="J538" s="31" t="n">
        <v>39</v>
      </c>
      <c r="K538" s="31">
        <f>VLOOKUP(J538,color!A:C,2,0)</f>
        <v/>
      </c>
      <c r="L538" s="31" t="n">
        <v>1</v>
      </c>
      <c r="M538" s="31">
        <f>VLOOKUP(F538,'卖场库存0422-0512'!M:R,5,0)</f>
        <v/>
      </c>
      <c r="N538" s="31">
        <f>VLOOKUP(F538,'卖场库存0422-0512'!M:S,6,0)</f>
        <v/>
      </c>
      <c r="O538" s="31" t="inlineStr">
        <is>
          <t>MQ</t>
        </is>
      </c>
      <c r="P538" s="30">
        <f>VLOOKUP(F538,'卖场库存0422-0512'!M:S,7,0)</f>
        <v/>
      </c>
      <c r="Q538" s="31">
        <f>VLOOKUP(H538,color!E:G,3,0)</f>
        <v/>
      </c>
    </row>
    <row r="539" ht="16.5" customHeight="1" s="103">
      <c r="A539" s="31" t="n">
        <v>538</v>
      </c>
      <c r="B539" s="22" t="inlineStr">
        <is>
          <t>M006</t>
        </is>
      </c>
      <c r="C539" s="31" t="inlineStr">
        <is>
          <t>여성 MQ 006</t>
        </is>
      </c>
      <c r="D539" s="31" t="inlineStr">
        <is>
          <t>MQ</t>
        </is>
      </c>
      <c r="E539" s="29" t="inlineStr">
        <is>
          <t>여성존</t>
        </is>
      </c>
      <c r="F539" s="31" t="inlineStr">
        <is>
          <t>EEOWG25B0439160</t>
        </is>
      </c>
      <c r="G539" s="31">
        <f>LEFT(F539,10)</f>
        <v/>
      </c>
      <c r="H539" s="31">
        <f>MID(G539,3,2)</f>
        <v/>
      </c>
      <c r="I539" s="31" t="inlineStr">
        <is>
          <t>데일리 룩 Daily Look</t>
        </is>
      </c>
      <c r="J539" s="31" t="n">
        <v>39</v>
      </c>
      <c r="K539" s="31">
        <f>VLOOKUP(J539,color!A:C,2,0)</f>
        <v/>
      </c>
      <c r="L539" s="31" t="n">
        <v>1</v>
      </c>
      <c r="M539" s="31">
        <f>VLOOKUP(F539,'卖场库存0422-0512'!M:R,5,0)</f>
        <v/>
      </c>
      <c r="N539" s="31">
        <f>VLOOKUP(F539,'卖场库存0422-0512'!M:S,6,0)</f>
        <v/>
      </c>
      <c r="O539" s="31" t="inlineStr">
        <is>
          <t>MQ</t>
        </is>
      </c>
      <c r="P539" s="30">
        <f>VLOOKUP(F539,'卖场库存0422-0512'!M:S,7,0)</f>
        <v/>
      </c>
      <c r="Q539" s="31">
        <f>VLOOKUP(H539,color!E:G,3,0)</f>
        <v/>
      </c>
    </row>
    <row r="540" ht="16.5" customHeight="1" s="103">
      <c r="A540" s="31" t="n">
        <v>539</v>
      </c>
      <c r="B540" s="22" t="inlineStr">
        <is>
          <t>M008</t>
        </is>
      </c>
      <c r="C540" s="31" t="inlineStr">
        <is>
          <t>여성 MQ 008</t>
        </is>
      </c>
      <c r="D540" s="31" t="inlineStr">
        <is>
          <t>MQ</t>
        </is>
      </c>
      <c r="E540" s="29" t="inlineStr">
        <is>
          <t>여성존</t>
        </is>
      </c>
      <c r="F540" s="31" t="inlineStr">
        <is>
          <t>EEOWG25B1332160</t>
        </is>
      </c>
      <c r="G540" s="31">
        <f>LEFT(F540,10)</f>
        <v/>
      </c>
      <c r="H540" s="31">
        <f>MID(G540,3,2)</f>
        <v/>
      </c>
      <c r="I540" s="31" t="inlineStr">
        <is>
          <t>특별/시즌 룩 特别/Season Look</t>
        </is>
      </c>
      <c r="J540" s="31" t="n">
        <v>32</v>
      </c>
      <c r="K540" s="31">
        <f>VLOOKUP(J540,color!A:C,2,0)</f>
        <v/>
      </c>
      <c r="L540" s="31" t="n">
        <v>1</v>
      </c>
      <c r="M540" s="31">
        <f>VLOOKUP(F540,'卖场库存0422-0512'!M:R,5,0)</f>
        <v/>
      </c>
      <c r="N540" s="31">
        <f>VLOOKUP(F540,'卖场库存0422-0512'!M:S,6,0)</f>
        <v/>
      </c>
      <c r="O540" s="31" t="inlineStr">
        <is>
          <t>MQ</t>
        </is>
      </c>
      <c r="P540" s="30">
        <f>VLOOKUP(F540,'卖场库存0422-0512'!M:S,7,0)</f>
        <v/>
      </c>
      <c r="Q540" s="31">
        <f>VLOOKUP(H540,color!E:G,3,0)</f>
        <v/>
      </c>
    </row>
    <row r="541" ht="16.5" customHeight="1" s="103">
      <c r="A541" s="31" t="n">
        <v>540</v>
      </c>
      <c r="B541" s="22" t="inlineStr">
        <is>
          <t>M009</t>
        </is>
      </c>
      <c r="C541" s="31" t="inlineStr">
        <is>
          <t>여성 MQ 009</t>
        </is>
      </c>
      <c r="D541" s="31" t="inlineStr">
        <is>
          <t>MQ</t>
        </is>
      </c>
      <c r="E541" s="29" t="inlineStr">
        <is>
          <t>여성존</t>
        </is>
      </c>
      <c r="F541" s="31" t="inlineStr">
        <is>
          <t>EERNG23E0139160</t>
        </is>
      </c>
      <c r="G541" s="31">
        <f>LEFT(F541,10)</f>
        <v/>
      </c>
      <c r="H541" s="31">
        <f>MID(G541,3,2)</f>
        <v/>
      </c>
      <c r="I541" s="31" t="inlineStr">
        <is>
          <t>주말 룩 周末Look</t>
        </is>
      </c>
      <c r="J541" s="31" t="n">
        <v>39</v>
      </c>
      <c r="K541" s="31">
        <f>VLOOKUP(J541,color!A:C,2,0)</f>
        <v/>
      </c>
      <c r="L541" s="31" t="n">
        <v>1</v>
      </c>
      <c r="M541" s="31">
        <f>VLOOKUP(F541,'卖场库存0422-0512'!M:R,5,0)</f>
        <v/>
      </c>
      <c r="N541" s="31">
        <f>VLOOKUP(F541,'卖场库存0422-0512'!M:S,6,0)</f>
        <v/>
      </c>
      <c r="O541" s="31" t="inlineStr">
        <is>
          <t>MQ</t>
        </is>
      </c>
      <c r="P541" s="30">
        <f>VLOOKUP(F541,'卖场库存0422-0512'!M:S,7,0)</f>
        <v/>
      </c>
      <c r="Q541" s="31">
        <f>VLOOKUP(H541,color!E:G,3,0)</f>
        <v/>
      </c>
    </row>
    <row r="542" ht="16.5" customHeight="1" s="103">
      <c r="A542" s="31" t="n">
        <v>541</v>
      </c>
      <c r="B542" s="22" t="inlineStr">
        <is>
          <t>M009</t>
        </is>
      </c>
      <c r="C542" s="31" t="inlineStr">
        <is>
          <t>여성 MQ 009</t>
        </is>
      </c>
      <c r="D542" s="31" t="inlineStr">
        <is>
          <t>MQ</t>
        </is>
      </c>
      <c r="E542" s="29" t="inlineStr">
        <is>
          <t>여성존</t>
        </is>
      </c>
      <c r="F542" s="31" t="inlineStr">
        <is>
          <t>EEYWG24E0150165</t>
        </is>
      </c>
      <c r="G542" s="31">
        <f>LEFT(F542,10)</f>
        <v/>
      </c>
      <c r="H542" s="31">
        <f>MID(G542,3,2)</f>
        <v/>
      </c>
      <c r="I542" s="31" t="inlineStr">
        <is>
          <t>주말 룩 周末Look</t>
        </is>
      </c>
      <c r="J542" s="31" t="n">
        <v>50</v>
      </c>
      <c r="K542" s="31">
        <f>VLOOKUP(J542,color!A:C,2,0)</f>
        <v/>
      </c>
      <c r="L542" s="31" t="n">
        <v>1</v>
      </c>
      <c r="M542" s="31">
        <f>VLOOKUP(F542,'卖场库存0422-0512'!M:R,5,0)</f>
        <v/>
      </c>
      <c r="N542" s="31">
        <f>VLOOKUP(F542,'卖场库存0422-0512'!M:S,6,0)</f>
        <v/>
      </c>
      <c r="O542" s="31" t="inlineStr">
        <is>
          <t>MQ</t>
        </is>
      </c>
      <c r="P542" s="30">
        <f>VLOOKUP(F542,'卖场库存0422-0512'!M:S,7,0)</f>
        <v/>
      </c>
      <c r="Q542" s="31">
        <f>VLOOKUP(H542,color!E:G,3,0)</f>
        <v/>
      </c>
    </row>
    <row r="543" ht="16.5" customHeight="1" s="103">
      <c r="A543" s="31" t="n">
        <v>542</v>
      </c>
      <c r="B543" s="22" t="inlineStr">
        <is>
          <t>M009</t>
        </is>
      </c>
      <c r="C543" s="31" t="inlineStr">
        <is>
          <t>여성 MQ 009</t>
        </is>
      </c>
      <c r="D543" s="31" t="inlineStr">
        <is>
          <t>MQ</t>
        </is>
      </c>
      <c r="E543" s="29" t="inlineStr">
        <is>
          <t>여성존</t>
        </is>
      </c>
      <c r="F543" s="31" t="inlineStr">
        <is>
          <t>EETHG25E0439160</t>
        </is>
      </c>
      <c r="G543" s="31">
        <f>LEFT(F543,10)</f>
        <v/>
      </c>
      <c r="H543" s="31">
        <f>MID(G543,3,2)</f>
        <v/>
      </c>
      <c r="I543" s="31" t="inlineStr">
        <is>
          <t>주말 룩 周末Look</t>
        </is>
      </c>
      <c r="J543" s="31" t="n">
        <v>39</v>
      </c>
      <c r="K543" s="31">
        <f>VLOOKUP(J543,color!A:C,2,0)</f>
        <v/>
      </c>
      <c r="L543" s="31" t="n">
        <v>1</v>
      </c>
      <c r="M543" s="31">
        <f>VLOOKUP(F543,'卖场库存0422-0512'!M:R,5,0)</f>
        <v/>
      </c>
      <c r="N543" s="31">
        <f>VLOOKUP(F543,'卖场库存0422-0512'!M:S,6,0)</f>
        <v/>
      </c>
      <c r="O543" s="31" t="inlineStr">
        <is>
          <t>MQ</t>
        </is>
      </c>
      <c r="P543" s="30">
        <f>VLOOKUP(F543,'卖场库存0422-0512'!M:S,7,0)</f>
        <v/>
      </c>
      <c r="Q543" s="31">
        <f>VLOOKUP(H543,color!E:G,3,0)</f>
        <v/>
      </c>
    </row>
    <row r="544" ht="16.5" customHeight="1" s="103">
      <c r="A544" s="31" t="n">
        <v>543</v>
      </c>
      <c r="B544" s="22" t="inlineStr">
        <is>
          <t>M010</t>
        </is>
      </c>
      <c r="C544" s="31" t="inlineStr">
        <is>
          <t>여성 MQ 010</t>
        </is>
      </c>
      <c r="D544" s="31" t="inlineStr">
        <is>
          <t>MQ</t>
        </is>
      </c>
      <c r="E544" s="29" t="inlineStr">
        <is>
          <t>여성존</t>
        </is>
      </c>
      <c r="F544" s="31" t="inlineStr">
        <is>
          <t>EEKWG25E0259160</t>
        </is>
      </c>
      <c r="G544" s="31">
        <f>LEFT(F544,10)</f>
        <v/>
      </c>
      <c r="H544" s="31">
        <f>MID(G544,3,2)</f>
        <v/>
      </c>
      <c r="I544" s="31" t="inlineStr">
        <is>
          <t>데일리 룩 Daily Look</t>
        </is>
      </c>
      <c r="J544" s="31" t="n">
        <v>59</v>
      </c>
      <c r="K544" s="31">
        <f>VLOOKUP(J544,color!A:C,2,0)</f>
        <v/>
      </c>
      <c r="L544" s="31" t="n">
        <v>1</v>
      </c>
      <c r="M544" s="31">
        <f>VLOOKUP(F544,'卖场库存0422-0512'!M:R,5,0)</f>
        <v/>
      </c>
      <c r="N544" s="31">
        <f>VLOOKUP(F544,'卖场库存0422-0512'!M:S,6,0)</f>
        <v/>
      </c>
      <c r="O544" s="31" t="inlineStr">
        <is>
          <t>MQ</t>
        </is>
      </c>
      <c r="P544" s="30">
        <f>VLOOKUP(F544,'卖场库存0422-0512'!M:S,7,0)</f>
        <v/>
      </c>
      <c r="Q544" s="31">
        <f>VLOOKUP(H544,color!E:G,3,0)</f>
        <v/>
      </c>
    </row>
    <row r="545" ht="16.5" customHeight="1" s="103">
      <c r="A545" s="31" t="n">
        <v>544</v>
      </c>
      <c r="B545" s="22" t="inlineStr">
        <is>
          <t>M010</t>
        </is>
      </c>
      <c r="C545" s="31" t="inlineStr">
        <is>
          <t>여성 MQ 010</t>
        </is>
      </c>
      <c r="D545" s="31" t="inlineStr">
        <is>
          <t>MQ</t>
        </is>
      </c>
      <c r="E545" s="29" t="inlineStr">
        <is>
          <t>여성존</t>
        </is>
      </c>
      <c r="F545" s="31" t="inlineStr">
        <is>
          <t>EEWHG25E0139160</t>
        </is>
      </c>
      <c r="G545" s="31">
        <f>LEFT(F545,10)</f>
        <v/>
      </c>
      <c r="H545" s="31">
        <f>MID(G545,3,2)</f>
        <v/>
      </c>
      <c r="I545" s="31" t="inlineStr">
        <is>
          <t>데일리 룩 Daily Look</t>
        </is>
      </c>
      <c r="J545" s="31" t="n">
        <v>39</v>
      </c>
      <c r="K545" s="31">
        <f>VLOOKUP(J545,color!A:C,2,0)</f>
        <v/>
      </c>
      <c r="L545" s="31" t="n">
        <v>1</v>
      </c>
      <c r="M545" s="31">
        <f>VLOOKUP(F545,'卖场库存0422-0512'!M:R,5,0)</f>
        <v/>
      </c>
      <c r="N545" s="31">
        <f>VLOOKUP(F545,'卖场库存0422-0512'!M:S,6,0)</f>
        <v/>
      </c>
      <c r="O545" s="31" t="inlineStr">
        <is>
          <t>MQ</t>
        </is>
      </c>
      <c r="P545" s="30">
        <f>VLOOKUP(F545,'卖场库存0422-0512'!M:S,7,0)</f>
        <v/>
      </c>
      <c r="Q545" s="31">
        <f>VLOOKUP(H545,color!E:G,3,0)</f>
        <v/>
      </c>
    </row>
    <row r="546">
      <c r="A546" s="31" t="n">
        <v>545</v>
      </c>
      <c r="B546" s="22" t="inlineStr">
        <is>
          <t>M011</t>
        </is>
      </c>
      <c r="C546" s="31" t="inlineStr">
        <is>
          <t>남성 MQ 011</t>
        </is>
      </c>
      <c r="D546" s="31" t="inlineStr">
        <is>
          <t>MQ</t>
        </is>
      </c>
      <c r="E546" s="33" t="inlineStr">
        <is>
          <t>남성존</t>
        </is>
      </c>
      <c r="F546" s="31" t="inlineStr">
        <is>
          <t>EEYWG25E3G40175</t>
        </is>
      </c>
      <c r="G546" s="31">
        <f>LEFT(F546,10)</f>
        <v/>
      </c>
      <c r="H546" s="31">
        <f>MID(G546,3,2)</f>
        <v/>
      </c>
      <c r="I546" s="31" t="inlineStr">
        <is>
          <t>데일리 룩 Daily Look</t>
        </is>
      </c>
      <c r="J546" s="31" t="n">
        <v>40</v>
      </c>
      <c r="K546" s="31">
        <f>VLOOKUP(J546,color!A:C,2,0)</f>
        <v/>
      </c>
      <c r="L546" s="31" t="n">
        <v>1</v>
      </c>
      <c r="M546" s="31">
        <f>VLOOKUP(F546,'卖场库存0422-0512'!M:R,5,0)</f>
        <v/>
      </c>
      <c r="N546" s="31">
        <f>VLOOKUP(F546,'卖场库存0422-0512'!M:S,6,0)</f>
        <v/>
      </c>
      <c r="O546" s="31" t="inlineStr">
        <is>
          <t>MQ</t>
        </is>
      </c>
      <c r="P546" s="30">
        <f>VLOOKUP(F546,'卖场库存0422-0512'!M:S,7,0)</f>
        <v/>
      </c>
      <c r="Q546" s="31">
        <f>VLOOKUP(H546,color!E:G,3,0)</f>
        <v/>
      </c>
    </row>
    <row r="547">
      <c r="A547" s="31" t="n">
        <v>546</v>
      </c>
      <c r="B547" s="22" t="inlineStr">
        <is>
          <t>M011</t>
        </is>
      </c>
      <c r="C547" s="31" t="inlineStr">
        <is>
          <t>남성 MQ 011</t>
        </is>
      </c>
      <c r="D547" s="31" t="inlineStr">
        <is>
          <t>MQ</t>
        </is>
      </c>
      <c r="E547" s="33" t="inlineStr">
        <is>
          <t>남성존</t>
        </is>
      </c>
      <c r="F547" s="31" t="inlineStr">
        <is>
          <t>EERAG25B1G10175</t>
        </is>
      </c>
      <c r="G547" s="31">
        <f>LEFT(F547,10)</f>
        <v/>
      </c>
      <c r="H547" s="31">
        <f>MID(G547,3,2)</f>
        <v/>
      </c>
      <c r="I547" s="31" t="inlineStr">
        <is>
          <t>데일리 룩 Daily Look</t>
        </is>
      </c>
      <c r="J547" s="31" t="n">
        <v>10</v>
      </c>
      <c r="K547" s="31">
        <f>VLOOKUP(J547,color!A:C,2,0)</f>
        <v/>
      </c>
      <c r="L547" s="31" t="n">
        <v>1</v>
      </c>
      <c r="M547" s="31">
        <f>VLOOKUP(F547,'卖场库存0422-0512'!M:R,5,0)</f>
        <v/>
      </c>
      <c r="N547" s="31">
        <f>VLOOKUP(F547,'卖场库存0422-0512'!M:S,6,0)</f>
        <v/>
      </c>
      <c r="O547" s="31" t="inlineStr">
        <is>
          <t>MQ</t>
        </is>
      </c>
      <c r="P547" s="30">
        <f>VLOOKUP(F547,'卖场库存0422-0512'!M:S,7,0)</f>
        <v/>
      </c>
      <c r="Q547" s="31">
        <f>VLOOKUP(H547,color!E:G,3,0)</f>
        <v/>
      </c>
    </row>
    <row r="548">
      <c r="A548" s="31" t="n">
        <v>547</v>
      </c>
      <c r="B548" s="22" t="inlineStr">
        <is>
          <t>M011</t>
        </is>
      </c>
      <c r="C548" s="31" t="inlineStr">
        <is>
          <t>남성 MQ 011</t>
        </is>
      </c>
      <c r="D548" s="31" t="inlineStr">
        <is>
          <t>MQ</t>
        </is>
      </c>
      <c r="E548" s="33" t="inlineStr">
        <is>
          <t>남성존</t>
        </is>
      </c>
      <c r="F548" s="31" t="inlineStr">
        <is>
          <t>EETJG23B1G39032</t>
        </is>
      </c>
      <c r="G548" s="31">
        <f>LEFT(F548,10)</f>
        <v/>
      </c>
      <c r="H548" s="31">
        <f>MID(G548,3,2)</f>
        <v/>
      </c>
      <c r="I548" s="31" t="inlineStr">
        <is>
          <t>데일리 룩 Daily Look</t>
        </is>
      </c>
      <c r="J548" s="31" t="n">
        <v>39</v>
      </c>
      <c r="K548" s="31">
        <f>VLOOKUP(J548,color!A:C,2,0)</f>
        <v/>
      </c>
      <c r="L548" s="31" t="n">
        <v>1</v>
      </c>
      <c r="M548" s="31">
        <f>VLOOKUP(F548,'卖场库存0422-0512'!M:R,5,0)</f>
        <v/>
      </c>
      <c r="N548" s="31">
        <f>VLOOKUP(F548,'卖场库存0422-0512'!M:S,6,0)</f>
        <v/>
      </c>
      <c r="O548" s="31" t="inlineStr">
        <is>
          <t>MQ</t>
        </is>
      </c>
      <c r="P548" s="30">
        <f>VLOOKUP(F548,'卖场库存0422-0512'!M:S,7,0)</f>
        <v/>
      </c>
      <c r="Q548" s="31">
        <f>VLOOKUP(H548,color!E:G,3,0)</f>
        <v/>
      </c>
    </row>
    <row r="549">
      <c r="A549" s="31" t="n">
        <v>548</v>
      </c>
      <c r="B549" s="22" t="inlineStr">
        <is>
          <t>M012</t>
        </is>
      </c>
      <c r="C549" s="31" t="inlineStr">
        <is>
          <t>남성  MQ 012</t>
        </is>
      </c>
      <c r="D549" s="31" t="inlineStr">
        <is>
          <t>MQ</t>
        </is>
      </c>
      <c r="E549" s="33" t="inlineStr">
        <is>
          <t>남성존</t>
        </is>
      </c>
      <c r="F549" s="31" t="inlineStr">
        <is>
          <t>EERAG23B2G59170</t>
        </is>
      </c>
      <c r="G549" s="31">
        <f>LEFT(F549,10)</f>
        <v/>
      </c>
      <c r="H549" s="31">
        <f>MID(G549,3,2)</f>
        <v/>
      </c>
      <c r="I549" s="31" t="inlineStr">
        <is>
          <t>데일리 룩 Daily Look</t>
        </is>
      </c>
      <c r="J549" s="31" t="n">
        <v>59</v>
      </c>
      <c r="K549" s="31">
        <f>VLOOKUP(J549,color!A:C,2,0)</f>
        <v/>
      </c>
      <c r="L549" s="31" t="n">
        <v>1</v>
      </c>
      <c r="M549" s="31">
        <f>VLOOKUP(F549,'卖场库存0422-0512'!M:R,5,0)</f>
        <v/>
      </c>
      <c r="N549" s="31">
        <f>VLOOKUP(F549,'卖场库存0422-0512'!M:S,6,0)</f>
        <v/>
      </c>
      <c r="O549" s="31" t="inlineStr">
        <is>
          <t>MQ</t>
        </is>
      </c>
      <c r="P549" s="30">
        <f>VLOOKUP(F549,'卖场库存0422-0512'!M:S,7,0)</f>
        <v/>
      </c>
      <c r="Q549" s="31">
        <f>VLOOKUP(H549,color!E:G,3,0)</f>
        <v/>
      </c>
    </row>
    <row r="550">
      <c r="A550" s="31" t="n">
        <v>549</v>
      </c>
      <c r="B550" s="22" t="inlineStr">
        <is>
          <t>M012</t>
        </is>
      </c>
      <c r="C550" s="31" t="inlineStr">
        <is>
          <t>남성  MQ 012</t>
        </is>
      </c>
      <c r="D550" s="31" t="inlineStr">
        <is>
          <t>MQ</t>
        </is>
      </c>
      <c r="E550" s="33" t="inlineStr">
        <is>
          <t>남성존</t>
        </is>
      </c>
      <c r="F550" s="31" t="inlineStr">
        <is>
          <t>EEHWG23B1G59175</t>
        </is>
      </c>
      <c r="G550" s="31">
        <f>LEFT(F550,10)</f>
        <v/>
      </c>
      <c r="H550" s="31">
        <f>MID(G550,3,2)</f>
        <v/>
      </c>
      <c r="I550" s="31" t="inlineStr">
        <is>
          <t>데일리 룩 Daily Look</t>
        </is>
      </c>
      <c r="J550" s="31" t="n">
        <v>59</v>
      </c>
      <c r="K550" s="31">
        <f>VLOOKUP(J550,color!A:C,2,0)</f>
        <v/>
      </c>
      <c r="L550" s="31" t="n">
        <v>1</v>
      </c>
      <c r="M550" s="31">
        <f>VLOOKUP(F550,'卖场库存0422-0512'!M:R,5,0)</f>
        <v/>
      </c>
      <c r="N550" s="31">
        <f>VLOOKUP(F550,'卖场库存0422-0512'!M:S,6,0)</f>
        <v/>
      </c>
      <c r="O550" s="31" t="inlineStr">
        <is>
          <t>MQ</t>
        </is>
      </c>
      <c r="P550" s="30">
        <f>VLOOKUP(F550,'卖场库存0422-0512'!M:S,7,0)</f>
        <v/>
      </c>
      <c r="Q550" s="31">
        <f>VLOOKUP(H550,color!E:G,3,0)</f>
        <v/>
      </c>
    </row>
    <row r="551">
      <c r="A551" s="31" t="n">
        <v>550</v>
      </c>
      <c r="B551" s="22" t="inlineStr">
        <is>
          <t>M012</t>
        </is>
      </c>
      <c r="C551" s="31" t="inlineStr">
        <is>
          <t>남성  MQ 012</t>
        </is>
      </c>
      <c r="D551" s="31" t="inlineStr">
        <is>
          <t>MQ</t>
        </is>
      </c>
      <c r="E551" s="33" t="inlineStr">
        <is>
          <t>남성존</t>
        </is>
      </c>
      <c r="F551" s="31" t="inlineStr">
        <is>
          <t>EETJG25E1G55032</t>
        </is>
      </c>
      <c r="G551" s="31">
        <f>LEFT(F551,10)</f>
        <v/>
      </c>
      <c r="H551" s="31">
        <f>MID(G551,3,2)</f>
        <v/>
      </c>
      <c r="I551" s="31" t="inlineStr">
        <is>
          <t>데일리 룩 Daily Look</t>
        </is>
      </c>
      <c r="J551" s="31" t="n">
        <v>55</v>
      </c>
      <c r="K551" s="31">
        <f>VLOOKUP(J551,color!A:C,2,0)</f>
        <v/>
      </c>
      <c r="L551" s="31" t="n">
        <v>1</v>
      </c>
      <c r="M551" s="31">
        <f>VLOOKUP(F551,'卖场库存0422-0512'!M:R,5,0)</f>
        <v/>
      </c>
      <c r="N551" s="31">
        <f>VLOOKUP(F551,'卖场库存0422-0512'!M:S,6,0)</f>
        <v/>
      </c>
      <c r="O551" s="31" t="inlineStr">
        <is>
          <t>MQ</t>
        </is>
      </c>
      <c r="P551" s="30">
        <f>VLOOKUP(F551,'卖场库存0422-0512'!M:S,7,0)</f>
        <v/>
      </c>
      <c r="Q551" s="31">
        <f>VLOOKUP(H551,color!E:G,3,0)</f>
        <v/>
      </c>
    </row>
    <row r="552">
      <c r="A552" s="31" t="n">
        <v>551</v>
      </c>
      <c r="B552" s="22" t="inlineStr">
        <is>
          <t>M013</t>
        </is>
      </c>
      <c r="C552" s="31" t="inlineStr">
        <is>
          <t>남성  MQ 013</t>
        </is>
      </c>
      <c r="D552" s="31" t="inlineStr">
        <is>
          <t>MQ</t>
        </is>
      </c>
      <c r="E552" s="33" t="inlineStr">
        <is>
          <t>남성존</t>
        </is>
      </c>
      <c r="F552" s="31" t="inlineStr">
        <is>
          <t>EEYPG25B1G55170</t>
        </is>
      </c>
      <c r="G552" s="31">
        <f>LEFT(F552,10)</f>
        <v/>
      </c>
      <c r="H552" s="31">
        <f>MID(G552,3,2)</f>
        <v/>
      </c>
      <c r="I552" s="31" t="inlineStr">
        <is>
          <t>특별/시즌 룩 特别/Season Look</t>
        </is>
      </c>
      <c r="J552" s="31" t="n">
        <v>55</v>
      </c>
      <c r="K552" s="31">
        <f>VLOOKUP(J552,color!A:C,2,0)</f>
        <v/>
      </c>
      <c r="L552" s="31" t="n">
        <v>1</v>
      </c>
      <c r="M552" s="31">
        <f>VLOOKUP(F552,'卖场库存0422-0512'!M:R,5,0)</f>
        <v/>
      </c>
      <c r="N552" s="31">
        <f>VLOOKUP(F552,'卖场库存0422-0512'!M:S,6,0)</f>
        <v/>
      </c>
      <c r="O552" s="31" t="inlineStr">
        <is>
          <t>MQ</t>
        </is>
      </c>
      <c r="P552" s="30">
        <f>VLOOKUP(F552,'卖场库存0422-0512'!M:S,7,0)</f>
        <v/>
      </c>
      <c r="Q552" s="31">
        <f>VLOOKUP(H552,color!E:G,3,0)</f>
        <v/>
      </c>
    </row>
    <row r="553">
      <c r="A553" s="31" t="n">
        <v>552</v>
      </c>
      <c r="B553" s="22" t="inlineStr">
        <is>
          <t>M013</t>
        </is>
      </c>
      <c r="C553" s="31" t="inlineStr">
        <is>
          <t>남성  MQ 013</t>
        </is>
      </c>
      <c r="D553" s="31" t="inlineStr">
        <is>
          <t>MQ</t>
        </is>
      </c>
      <c r="E553" s="33" t="inlineStr">
        <is>
          <t>남성존</t>
        </is>
      </c>
      <c r="F553" s="31" t="inlineStr">
        <is>
          <t>EERSG23E1G50170</t>
        </is>
      </c>
      <c r="G553" s="31">
        <f>LEFT(F553,10)</f>
        <v/>
      </c>
      <c r="H553" s="31">
        <f>MID(G553,3,2)</f>
        <v/>
      </c>
      <c r="I553" s="31" t="inlineStr">
        <is>
          <t>특별/시즌 룩 特别/Season Look</t>
        </is>
      </c>
      <c r="J553" s="31" t="n">
        <v>50</v>
      </c>
      <c r="K553" s="31">
        <f>VLOOKUP(J553,color!A:C,2,0)</f>
        <v/>
      </c>
      <c r="L553" s="31" t="n">
        <v>1</v>
      </c>
      <c r="M553" s="31">
        <f>VLOOKUP(F553,'卖场库存0422-0512'!M:R,5,0)</f>
        <v/>
      </c>
      <c r="N553" s="31">
        <f>VLOOKUP(F553,'卖场库存0422-0512'!M:S,6,0)</f>
        <v/>
      </c>
      <c r="O553" s="31" t="inlineStr">
        <is>
          <t>MQ</t>
        </is>
      </c>
      <c r="P553" s="30">
        <f>VLOOKUP(F553,'卖场库存0422-0512'!M:S,7,0)</f>
        <v/>
      </c>
      <c r="Q553" s="31">
        <f>VLOOKUP(H553,color!E:G,3,0)</f>
        <v/>
      </c>
    </row>
    <row r="554">
      <c r="A554" s="31" t="n">
        <v>553</v>
      </c>
      <c r="B554" s="22" t="inlineStr">
        <is>
          <t>M013</t>
        </is>
      </c>
      <c r="C554" s="31" t="inlineStr">
        <is>
          <t>남성  MQ 013</t>
        </is>
      </c>
      <c r="D554" s="31" t="inlineStr">
        <is>
          <t>MQ</t>
        </is>
      </c>
      <c r="E554" s="33" t="inlineStr">
        <is>
          <t>남성존</t>
        </is>
      </c>
      <c r="F554" s="31" t="inlineStr">
        <is>
          <t>EEABG23B1G22FRE</t>
        </is>
      </c>
      <c r="G554" s="31">
        <f>LEFT(F554,10)</f>
        <v/>
      </c>
      <c r="H554" s="31">
        <f>MID(G554,3,2)</f>
        <v/>
      </c>
      <c r="I554" s="31" t="inlineStr">
        <is>
          <t>특별/시즌 룩 特别/Season Look</t>
        </is>
      </c>
      <c r="J554" s="31" t="n">
        <v>22</v>
      </c>
      <c r="K554" s="31">
        <f>VLOOKUP(J554,color!A:C,2,0)</f>
        <v/>
      </c>
      <c r="L554" s="31" t="n">
        <v>1</v>
      </c>
      <c r="M554" s="31">
        <f>VLOOKUP(F554,'卖场库存0422-0512'!M:R,5,0)</f>
        <v/>
      </c>
      <c r="N554" s="31">
        <f>VLOOKUP(F554,'卖场库存0422-0512'!M:S,6,0)</f>
        <v/>
      </c>
      <c r="O554" s="31" t="inlineStr">
        <is>
          <t>MQ</t>
        </is>
      </c>
      <c r="P554" s="30">
        <f>VLOOKUP(F554,'卖场库存0422-0512'!M:S,7,0)</f>
        <v/>
      </c>
      <c r="Q554" s="31">
        <f>VLOOKUP(H554,color!E:G,3,0)</f>
        <v/>
      </c>
    </row>
    <row r="555">
      <c r="A555" s="31" t="n">
        <v>554</v>
      </c>
      <c r="B555" s="22" t="inlineStr">
        <is>
          <t>M013</t>
        </is>
      </c>
      <c r="C555" s="31" t="inlineStr">
        <is>
          <t>남성  MQ 013</t>
        </is>
      </c>
      <c r="D555" s="31" t="inlineStr">
        <is>
          <t>MQ</t>
        </is>
      </c>
      <c r="E555" s="33" t="inlineStr">
        <is>
          <t>남성존</t>
        </is>
      </c>
      <c r="F555" s="31" t="inlineStr">
        <is>
          <t>EETHG23B1G03032</t>
        </is>
      </c>
      <c r="G555" s="31">
        <f>LEFT(F555,10)</f>
        <v/>
      </c>
      <c r="H555" s="31">
        <f>MID(G555,3,2)</f>
        <v/>
      </c>
      <c r="I555" s="31" t="inlineStr">
        <is>
          <t>특별/시즌 룩 特别/Season Look</t>
        </is>
      </c>
      <c r="J555" s="31" t="n">
        <v>3</v>
      </c>
      <c r="K555" s="31">
        <f>VLOOKUP(J555,color!A:C,2,0)</f>
        <v/>
      </c>
      <c r="L555" s="31" t="n">
        <v>1</v>
      </c>
      <c r="M555" s="31">
        <f>VLOOKUP(F555,'卖场库存0422-0512'!M:R,5,0)</f>
        <v/>
      </c>
      <c r="N555" s="31">
        <f>VLOOKUP(F555,'卖场库存0422-0512'!M:S,6,0)</f>
        <v/>
      </c>
      <c r="O555" s="31" t="inlineStr">
        <is>
          <t>MQ</t>
        </is>
      </c>
      <c r="P555" s="30">
        <f>VLOOKUP(F555,'卖场库存0422-0512'!M:S,7,0)</f>
        <v/>
      </c>
      <c r="Q555" s="31">
        <f>VLOOKUP(H555,color!E:G,3,0)</f>
        <v/>
      </c>
    </row>
  </sheetData>
  <autoFilter ref="A1:Q555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卖场库存0422-0512">
    <outlinePr summaryBelow="1" summaryRight="1"/>
    <pageSetUpPr/>
  </sheetPr>
  <dimension ref="A1:T2172"/>
  <sheetViews>
    <sheetView workbookViewId="0">
      <selection activeCell="A1" sqref="A1"/>
    </sheetView>
  </sheetViews>
  <sheetFormatPr baseColWidth="8" defaultColWidth="13.7142857142857" defaultRowHeight="18" customHeight="1"/>
  <cols>
    <col width="9.71428571428571" customWidth="1" style="103" min="1" max="3"/>
    <col width="20.2857142857143" customWidth="1" style="103" min="4" max="4"/>
    <col width="9.71428571428571" customWidth="1" style="103" min="5" max="6"/>
    <col width="22.8571428571429" customWidth="1" style="103" min="7" max="7"/>
    <col width="9.71428571428571" customWidth="1" style="103" min="8" max="9"/>
    <col width="10.4285714285714" customWidth="1" style="103" min="10" max="10"/>
    <col width="17.8571428571429" customWidth="1" style="103" min="11" max="11"/>
    <col width="9.71428571428571" customWidth="1" style="103" min="12" max="12"/>
    <col width="26.1428571428571" customWidth="1" style="103" min="13" max="13"/>
    <col width="19.2857142857143" customWidth="1" style="103" min="14" max="14"/>
    <col width="39.5714285714286" customWidth="1" style="103" min="15" max="15"/>
    <col width="12.8571428571429" customWidth="1" style="103" min="16" max="16"/>
    <col width="15.5714285714286" customWidth="1" style="103" min="17" max="17"/>
    <col width="9.71428571428571" customWidth="1" style="103" min="18" max="18"/>
    <col width="14.7142857142857" customWidth="1" style="103" min="19" max="19"/>
    <col width="9.71428571428571" customWidth="1" style="103" min="20" max="20"/>
  </cols>
  <sheetData>
    <row r="1" s="103">
      <c r="A1" s="16" t="inlineStr">
        <is>
          <t>支社</t>
        </is>
      </c>
      <c r="B1" s="16" t="n"/>
      <c r="C1" s="16" t="inlineStr">
        <is>
          <t>卖场</t>
        </is>
      </c>
      <c r="D1" s="16" t="n"/>
      <c r="E1" s="16" t="inlineStr">
        <is>
          <t>卖场类型</t>
        </is>
      </c>
      <c r="F1" s="16" t="n"/>
      <c r="G1" s="16" t="inlineStr">
        <is>
          <t>款号</t>
        </is>
      </c>
      <c r="H1" s="16" t="inlineStr">
        <is>
          <t>预定销售价</t>
        </is>
      </c>
      <c r="I1" s="16" t="inlineStr">
        <is>
          <t>决定销售价</t>
        </is>
      </c>
      <c r="J1" s="16" t="inlineStr">
        <is>
          <t>入库要求日期</t>
        </is>
      </c>
      <c r="K1" s="16" t="inlineStr">
        <is>
          <t>颜色</t>
        </is>
      </c>
      <c r="L1" s="16" t="inlineStr">
        <is>
          <t>卖场状态</t>
        </is>
      </c>
      <c r="M1" s="16" t="inlineStr">
        <is>
          <t>单品</t>
        </is>
      </c>
      <c r="N1" s="16" t="inlineStr">
        <is>
          <t>款号</t>
        </is>
      </c>
      <c r="O1" s="16" t="inlineStr">
        <is>
          <t>颜色</t>
        </is>
      </c>
      <c r="P1" s="16" t="inlineStr">
        <is>
          <t>预定销售价</t>
        </is>
      </c>
      <c r="Q1" s="16" t="inlineStr">
        <is>
          <t>决定销售价</t>
        </is>
      </c>
      <c r="R1" s="16" t="inlineStr">
        <is>
          <t>PCS</t>
        </is>
      </c>
      <c r="S1" s="16" t="inlineStr">
        <is>
          <t>CNY</t>
        </is>
      </c>
      <c r="T1" s="16" t="inlineStr">
        <is>
          <t>PCS</t>
        </is>
      </c>
    </row>
    <row r="2" s="103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  <c r="K2" s="16" t="n"/>
      <c r="L2" s="16" t="n"/>
      <c r="M2" s="16" t="n"/>
      <c r="N2" s="16" t="n"/>
      <c r="O2" s="16" t="n"/>
      <c r="P2" s="16" t="n"/>
      <c r="Q2" s="16" t="n"/>
      <c r="R2" s="16">
        <f>SUM(R3:R2172)</f>
        <v/>
      </c>
      <c r="S2" s="16">
        <f>SUM(S3:S2172)</f>
        <v/>
      </c>
      <c r="T2" s="16" t="n"/>
    </row>
    <row r="3" s="103">
      <c r="A3" s="16" t="inlineStr">
        <is>
          <t>B331</t>
        </is>
      </c>
      <c r="B3" s="16" t="inlineStr">
        <is>
          <t>上海区域</t>
        </is>
      </c>
      <c r="C3" s="16" t="inlineStr">
        <is>
          <t>CN0Q</t>
        </is>
      </c>
      <c r="D3" s="16" t="inlineStr">
        <is>
          <t>EE 苏州比斯特购物村</t>
        </is>
      </c>
      <c r="E3" s="16" t="n">
        <v>4</v>
      </c>
      <c r="F3" s="16" t="inlineStr">
        <is>
          <t>奥特莱斯</t>
        </is>
      </c>
      <c r="G3" s="16" t="inlineStr">
        <is>
          <t>EEABE24R01</t>
        </is>
      </c>
      <c r="H3" s="16" t="n">
        <v>499</v>
      </c>
      <c r="I3" s="16" t="n">
        <v>499</v>
      </c>
      <c r="J3" s="17" t="n">
        <v>45390</v>
      </c>
      <c r="K3" s="16" t="inlineStr">
        <is>
          <t>(85)Brown</t>
        </is>
      </c>
      <c r="L3" s="16" t="inlineStr">
        <is>
          <t>营业中</t>
        </is>
      </c>
      <c r="M3" s="16" t="inlineStr">
        <is>
          <t>EEABE24R0185FRE</t>
        </is>
      </c>
      <c r="N3" s="16">
        <f>LEFT(M3,12)</f>
        <v/>
      </c>
      <c r="O3" s="16" t="inlineStr">
        <is>
          <t>EEABE24R01, (85)Brown, (FRE)FREE</t>
        </is>
      </c>
      <c r="P3" s="16" t="n">
        <v>499</v>
      </c>
      <c r="Q3" s="16" t="n">
        <v>499</v>
      </c>
      <c r="R3" s="16" t="n"/>
      <c r="S3" s="16" t="n"/>
      <c r="T3" s="16" t="n">
        <v>1</v>
      </c>
    </row>
    <row r="4" s="103">
      <c r="A4" s="16" t="inlineStr">
        <is>
          <t>B331</t>
        </is>
      </c>
      <c r="B4" s="16" t="inlineStr">
        <is>
          <t>上海区域</t>
        </is>
      </c>
      <c r="C4" s="16" t="inlineStr">
        <is>
          <t>CN0Q</t>
        </is>
      </c>
      <c r="D4" s="16" t="inlineStr">
        <is>
          <t>EE 苏州比斯特购物村</t>
        </is>
      </c>
      <c r="E4" s="16" t="n">
        <v>4</v>
      </c>
      <c r="F4" s="16" t="inlineStr">
        <is>
          <t>奥特莱斯</t>
        </is>
      </c>
      <c r="G4" s="16" t="inlineStr">
        <is>
          <t>EEABG23B01</t>
        </is>
      </c>
      <c r="H4" s="16" t="n">
        <v>499</v>
      </c>
      <c r="I4" s="16" t="n">
        <v>499</v>
      </c>
      <c r="J4" s="17" t="inlineStr">
        <is>
          <t>########</t>
        </is>
      </c>
      <c r="K4" s="16" t="inlineStr">
        <is>
          <t>(85)Brown</t>
        </is>
      </c>
      <c r="L4" s="16" t="inlineStr">
        <is>
          <t>营业中</t>
        </is>
      </c>
      <c r="M4" s="16" t="inlineStr">
        <is>
          <t>EEABG23B0185FRE</t>
        </is>
      </c>
      <c r="N4" s="16">
        <f>LEFT(M4,12)</f>
        <v/>
      </c>
      <c r="O4" s="16" t="inlineStr">
        <is>
          <t>EEABG23B01, (85)Brown, (FRE)FREE</t>
        </is>
      </c>
      <c r="P4" s="16" t="n">
        <v>499</v>
      </c>
      <c r="Q4" s="16" t="n">
        <v>499</v>
      </c>
      <c r="R4" s="16" t="n"/>
      <c r="S4" s="16" t="n"/>
      <c r="T4" s="16" t="n">
        <v>3</v>
      </c>
    </row>
    <row r="5" s="103">
      <c r="A5" s="16" t="inlineStr">
        <is>
          <t>B331</t>
        </is>
      </c>
      <c r="B5" s="16" t="inlineStr">
        <is>
          <t>上海区域</t>
        </is>
      </c>
      <c r="C5" s="16" t="inlineStr">
        <is>
          <t>CN0Q</t>
        </is>
      </c>
      <c r="D5" s="16" t="inlineStr">
        <is>
          <t>EE 苏州比斯特购物村</t>
        </is>
      </c>
      <c r="E5" s="16" t="n">
        <v>4</v>
      </c>
      <c r="F5" s="16" t="inlineStr">
        <is>
          <t>奥特莱斯</t>
        </is>
      </c>
      <c r="G5" s="16" t="inlineStr">
        <is>
          <t>EEABG23B1G</t>
        </is>
      </c>
      <c r="H5" s="16" t="n">
        <v>599</v>
      </c>
      <c r="I5" s="16" t="n">
        <v>599</v>
      </c>
      <c r="J5" s="17" t="inlineStr">
        <is>
          <t>########</t>
        </is>
      </c>
      <c r="K5" s="16" t="inlineStr">
        <is>
          <t>(19)BLACK</t>
        </is>
      </c>
      <c r="L5" s="16" t="inlineStr">
        <is>
          <t>营业中</t>
        </is>
      </c>
      <c r="M5" s="16" t="inlineStr">
        <is>
          <t>EEABG23B1G19FRE</t>
        </is>
      </c>
      <c r="N5" s="16">
        <f>LEFT(M5,12)</f>
        <v/>
      </c>
      <c r="O5" s="16" t="inlineStr">
        <is>
          <t>EEABG23B1G, (19)BLACK, (FRE)FREE</t>
        </is>
      </c>
      <c r="P5" s="16" t="n">
        <v>599</v>
      </c>
      <c r="Q5" s="16" t="n">
        <v>599</v>
      </c>
      <c r="R5" s="16" t="n"/>
      <c r="S5" s="16" t="n"/>
      <c r="T5" s="16" t="n">
        <v>2</v>
      </c>
    </row>
    <row r="6" s="103">
      <c r="A6" s="16" t="inlineStr">
        <is>
          <t>B331</t>
        </is>
      </c>
      <c r="B6" s="16" t="inlineStr">
        <is>
          <t>上海区域</t>
        </is>
      </c>
      <c r="C6" s="16" t="inlineStr">
        <is>
          <t>CN0Q</t>
        </is>
      </c>
      <c r="D6" s="16" t="inlineStr">
        <is>
          <t>EE 苏州比斯特购物村</t>
        </is>
      </c>
      <c r="E6" s="16" t="n">
        <v>4</v>
      </c>
      <c r="F6" s="16" t="inlineStr">
        <is>
          <t>奥特莱斯</t>
        </is>
      </c>
      <c r="G6" s="16" t="inlineStr">
        <is>
          <t>EEABG23B1G</t>
        </is>
      </c>
      <c r="H6" s="16" t="n">
        <v>599</v>
      </c>
      <c r="I6" s="16" t="n">
        <v>599</v>
      </c>
      <c r="J6" s="17" t="inlineStr">
        <is>
          <t>########</t>
        </is>
      </c>
      <c r="K6" s="16" t="inlineStr">
        <is>
          <t>(22)D/BROWN</t>
        </is>
      </c>
      <c r="L6" s="16" t="inlineStr">
        <is>
          <t>营业中</t>
        </is>
      </c>
      <c r="M6" s="16" t="inlineStr">
        <is>
          <t>EEABG23B1G22FRE</t>
        </is>
      </c>
      <c r="N6" s="16">
        <f>LEFT(M6,12)</f>
        <v/>
      </c>
      <c r="O6" s="16" t="inlineStr">
        <is>
          <t>EEABG23B1G, (22)D/BROWN, (FRE)FREE</t>
        </is>
      </c>
      <c r="P6" s="16" t="n">
        <v>599</v>
      </c>
      <c r="Q6" s="16" t="n">
        <v>599</v>
      </c>
      <c r="R6" s="16" t="n"/>
      <c r="S6" s="16" t="n"/>
      <c r="T6" s="16" t="n">
        <v>2</v>
      </c>
    </row>
    <row r="7" s="103">
      <c r="A7" s="16" t="inlineStr">
        <is>
          <t>B331</t>
        </is>
      </c>
      <c r="B7" s="16" t="inlineStr">
        <is>
          <t>上海区域</t>
        </is>
      </c>
      <c r="C7" s="16" t="inlineStr">
        <is>
          <t>CN0Q</t>
        </is>
      </c>
      <c r="D7" s="16" t="inlineStr">
        <is>
          <t>EE 苏州比斯特购物村</t>
        </is>
      </c>
      <c r="E7" s="16" t="n">
        <v>4</v>
      </c>
      <c r="F7" s="16" t="inlineStr">
        <is>
          <t>奥特莱斯</t>
        </is>
      </c>
      <c r="G7" s="16" t="inlineStr">
        <is>
          <t>EEABG23B51</t>
        </is>
      </c>
      <c r="H7" s="16" t="n">
        <v>199</v>
      </c>
      <c r="I7" s="16" t="n">
        <v>199</v>
      </c>
      <c r="J7" s="17" t="inlineStr">
        <is>
          <t>########</t>
        </is>
      </c>
      <c r="K7" s="16" t="inlineStr">
        <is>
          <t>(20)Red</t>
        </is>
      </c>
      <c r="L7" s="16" t="inlineStr">
        <is>
          <t>营业中</t>
        </is>
      </c>
      <c r="M7" s="16" t="inlineStr">
        <is>
          <t>EEABG23B5120FRE</t>
        </is>
      </c>
      <c r="N7" s="16">
        <f>LEFT(M7,12)</f>
        <v/>
      </c>
      <c r="O7" s="16" t="inlineStr">
        <is>
          <t>EEABG23B51, (20)Red, (FRE)FREE</t>
        </is>
      </c>
      <c r="P7" s="16" t="n">
        <v>199</v>
      </c>
      <c r="Q7" s="16" t="n">
        <v>199</v>
      </c>
      <c r="R7" s="16" t="n"/>
      <c r="S7" s="16" t="n"/>
      <c r="T7" s="16" t="n">
        <v>3</v>
      </c>
    </row>
    <row r="8" s="103">
      <c r="A8" s="16" t="inlineStr">
        <is>
          <t>B331</t>
        </is>
      </c>
      <c r="B8" s="16" t="inlineStr">
        <is>
          <t>上海区域</t>
        </is>
      </c>
      <c r="C8" s="16" t="inlineStr">
        <is>
          <t>CN0Q</t>
        </is>
      </c>
      <c r="D8" s="16" t="inlineStr">
        <is>
          <t>EE 苏州比斯特购物村</t>
        </is>
      </c>
      <c r="E8" s="16" t="n">
        <v>4</v>
      </c>
      <c r="F8" s="16" t="inlineStr">
        <is>
          <t>奥特莱斯</t>
        </is>
      </c>
      <c r="G8" s="16" t="inlineStr">
        <is>
          <t>EEACG23E01</t>
        </is>
      </c>
      <c r="H8" s="16" t="n">
        <v>299</v>
      </c>
      <c r="I8" s="16" t="n">
        <v>299</v>
      </c>
      <c r="J8" s="17" t="inlineStr">
        <is>
          <t>########</t>
        </is>
      </c>
      <c r="K8" s="16" t="inlineStr">
        <is>
          <t>(36)L/Beige</t>
        </is>
      </c>
      <c r="L8" s="16" t="inlineStr">
        <is>
          <t>营业中</t>
        </is>
      </c>
      <c r="M8" s="16" t="inlineStr">
        <is>
          <t>EEACG23E0136FRE</t>
        </is>
      </c>
      <c r="N8" s="16">
        <f>LEFT(M8,12)</f>
        <v/>
      </c>
      <c r="O8" s="16" t="inlineStr">
        <is>
          <t>EEACG23E01, (36)L/Beige, (FRE)FREE</t>
        </is>
      </c>
      <c r="P8" s="16" t="n">
        <v>299</v>
      </c>
      <c r="Q8" s="16" t="n">
        <v>299</v>
      </c>
      <c r="R8" s="16" t="n">
        <v>3</v>
      </c>
      <c r="S8" s="16" t="n"/>
      <c r="T8" s="16" t="n">
        <v>6</v>
      </c>
    </row>
    <row r="9" s="103">
      <c r="A9" s="16" t="inlineStr">
        <is>
          <t>B331</t>
        </is>
      </c>
      <c r="B9" s="16" t="inlineStr">
        <is>
          <t>上海区域</t>
        </is>
      </c>
      <c r="C9" s="16" t="inlineStr">
        <is>
          <t>CN0Q</t>
        </is>
      </c>
      <c r="D9" s="16" t="inlineStr">
        <is>
          <t>EE 苏州比斯特购物村</t>
        </is>
      </c>
      <c r="E9" s="16" t="n">
        <v>4</v>
      </c>
      <c r="F9" s="16" t="inlineStr">
        <is>
          <t>奥特莱斯</t>
        </is>
      </c>
      <c r="G9" s="16" t="inlineStr">
        <is>
          <t>EEACG23E01</t>
        </is>
      </c>
      <c r="H9" s="16" t="n">
        <v>299</v>
      </c>
      <c r="I9" s="16" t="n">
        <v>299</v>
      </c>
      <c r="J9" s="17" t="inlineStr">
        <is>
          <t>########</t>
        </is>
      </c>
      <c r="K9" s="16" t="inlineStr">
        <is>
          <t>(50)Blue</t>
        </is>
      </c>
      <c r="L9" s="16" t="inlineStr">
        <is>
          <t>营业中</t>
        </is>
      </c>
      <c r="M9" s="16" t="inlineStr">
        <is>
          <t>EEACG23E0150FRE</t>
        </is>
      </c>
      <c r="N9" s="16">
        <f>LEFT(M9,12)</f>
        <v/>
      </c>
      <c r="O9" s="16" t="inlineStr">
        <is>
          <t>EEACG23E01, (50)Blue, (FRE)FREE</t>
        </is>
      </c>
      <c r="P9" s="16" t="n">
        <v>299</v>
      </c>
      <c r="Q9" s="16" t="n">
        <v>299</v>
      </c>
      <c r="R9" s="16" t="n">
        <v>2</v>
      </c>
      <c r="S9" s="16" t="n"/>
      <c r="T9" s="16" t="n">
        <v>4</v>
      </c>
    </row>
    <row r="10" s="103">
      <c r="A10" s="16" t="inlineStr">
        <is>
          <t>B331</t>
        </is>
      </c>
      <c r="B10" s="16" t="inlineStr">
        <is>
          <t>上海区域</t>
        </is>
      </c>
      <c r="C10" s="16" t="inlineStr">
        <is>
          <t>CN0Q</t>
        </is>
      </c>
      <c r="D10" s="16" t="inlineStr">
        <is>
          <t>EE 苏州比斯特购物村</t>
        </is>
      </c>
      <c r="E10" s="16" t="n">
        <v>4</v>
      </c>
      <c r="F10" s="16" t="inlineStr">
        <is>
          <t>奥特莱斯</t>
        </is>
      </c>
      <c r="G10" s="16" t="inlineStr">
        <is>
          <t>EEACG23E01</t>
        </is>
      </c>
      <c r="H10" s="16" t="n">
        <v>299</v>
      </c>
      <c r="I10" s="16" t="n">
        <v>299</v>
      </c>
      <c r="J10" s="17" t="inlineStr">
        <is>
          <t>########</t>
        </is>
      </c>
      <c r="K10" s="16" t="inlineStr">
        <is>
          <t>(59)Navy</t>
        </is>
      </c>
      <c r="L10" s="16" t="inlineStr">
        <is>
          <t>营业中</t>
        </is>
      </c>
      <c r="M10" s="16" t="inlineStr">
        <is>
          <t>EEACG23E0159FRE</t>
        </is>
      </c>
      <c r="N10" s="16">
        <f>LEFT(M10,12)</f>
        <v/>
      </c>
      <c r="O10" s="16" t="inlineStr">
        <is>
          <t>EEACG23E01, (59)Navy, (FRE)FREE</t>
        </is>
      </c>
      <c r="P10" s="16" t="n">
        <v>299</v>
      </c>
      <c r="Q10" s="16" t="n">
        <v>299</v>
      </c>
      <c r="R10" s="16" t="n">
        <v>4</v>
      </c>
      <c r="S10" s="16" t="n">
        <v>191</v>
      </c>
      <c r="T10" s="16" t="n">
        <v>5</v>
      </c>
    </row>
    <row r="11" s="103">
      <c r="A11" s="16" t="inlineStr">
        <is>
          <t>B331</t>
        </is>
      </c>
      <c r="B11" s="16" t="inlineStr">
        <is>
          <t>上海区域</t>
        </is>
      </c>
      <c r="C11" s="16" t="inlineStr">
        <is>
          <t>CN0Q</t>
        </is>
      </c>
      <c r="D11" s="16" t="inlineStr">
        <is>
          <t>EE 苏州比斯特购物村</t>
        </is>
      </c>
      <c r="E11" s="16" t="n">
        <v>4</v>
      </c>
      <c r="F11" s="16" t="inlineStr">
        <is>
          <t>奥特莱斯</t>
        </is>
      </c>
      <c r="G11" s="16" t="inlineStr">
        <is>
          <t>EEACG23E01</t>
        </is>
      </c>
      <c r="H11" s="16" t="n">
        <v>299</v>
      </c>
      <c r="I11" s="16" t="n">
        <v>299</v>
      </c>
      <c r="J11" s="17" t="inlineStr">
        <is>
          <t>########</t>
        </is>
      </c>
      <c r="K11" s="16" t="inlineStr">
        <is>
          <t>(88)Lavender</t>
        </is>
      </c>
      <c r="L11" s="16" t="inlineStr">
        <is>
          <t>营业中</t>
        </is>
      </c>
      <c r="M11" s="16" t="inlineStr">
        <is>
          <t>EEACG23E0188FRE</t>
        </is>
      </c>
      <c r="N11" s="16">
        <f>LEFT(M11,12)</f>
        <v/>
      </c>
      <c r="O11" s="16" t="inlineStr">
        <is>
          <t>EEACG23E01, (88)Lavender, (FRE)FREE</t>
        </is>
      </c>
      <c r="P11" s="16" t="n">
        <v>299</v>
      </c>
      <c r="Q11" s="16" t="n">
        <v>299</v>
      </c>
      <c r="R11" s="16" t="n">
        <v>1</v>
      </c>
      <c r="S11" s="16" t="n"/>
      <c r="T11" s="16" t="n">
        <v>2</v>
      </c>
    </row>
    <row r="12" s="103">
      <c r="A12" s="16" t="inlineStr">
        <is>
          <t>B331</t>
        </is>
      </c>
      <c r="B12" s="16" t="inlineStr">
        <is>
          <t>上海区域</t>
        </is>
      </c>
      <c r="C12" s="16" t="inlineStr">
        <is>
          <t>CN0Q</t>
        </is>
      </c>
      <c r="D12" s="16" t="inlineStr">
        <is>
          <t>EE 苏州比斯特购物村</t>
        </is>
      </c>
      <c r="E12" s="16" t="n">
        <v>4</v>
      </c>
      <c r="F12" s="16" t="inlineStr">
        <is>
          <t>奥特莱斯</t>
        </is>
      </c>
      <c r="G12" s="16" t="inlineStr">
        <is>
          <t>EEACG25D01</t>
        </is>
      </c>
      <c r="H12" s="16" t="n">
        <v>399</v>
      </c>
      <c r="I12" s="16" t="n">
        <v>399</v>
      </c>
      <c r="J12" s="17" t="inlineStr">
        <is>
          <t>########</t>
        </is>
      </c>
      <c r="K12" s="16" t="inlineStr">
        <is>
          <t>(50)Blue</t>
        </is>
      </c>
      <c r="L12" s="16" t="inlineStr">
        <is>
          <t>营业中</t>
        </is>
      </c>
      <c r="M12" s="16" t="inlineStr">
        <is>
          <t>EEACG25D0150FRE</t>
        </is>
      </c>
      <c r="N12" s="16">
        <f>LEFT(M12,12)</f>
        <v/>
      </c>
      <c r="O12" s="16" t="inlineStr">
        <is>
          <t>EEACG25D01, (50)Blue, (FRE)FREE</t>
        </is>
      </c>
      <c r="P12" s="16" t="n">
        <v>399</v>
      </c>
      <c r="Q12" s="16" t="n">
        <v>399</v>
      </c>
      <c r="R12" s="16" t="n"/>
      <c r="S12" s="16" t="n"/>
      <c r="T12" s="16" t="n">
        <v>3</v>
      </c>
    </row>
    <row r="13" s="103">
      <c r="A13" s="16" t="inlineStr">
        <is>
          <t>B331</t>
        </is>
      </c>
      <c r="B13" s="16" t="inlineStr">
        <is>
          <t>上海区域</t>
        </is>
      </c>
      <c r="C13" s="16" t="inlineStr">
        <is>
          <t>CN0Q</t>
        </is>
      </c>
      <c r="D13" s="16" t="inlineStr">
        <is>
          <t>EE 苏州比斯特购物村</t>
        </is>
      </c>
      <c r="E13" s="16" t="n">
        <v>4</v>
      </c>
      <c r="F13" s="16" t="inlineStr">
        <is>
          <t>奥特莱斯</t>
        </is>
      </c>
      <c r="G13" s="16" t="inlineStr">
        <is>
          <t>EEAKE24R01</t>
        </is>
      </c>
      <c r="H13" s="16" t="n">
        <v>799</v>
      </c>
      <c r="I13" s="16" t="n">
        <v>799</v>
      </c>
      <c r="J13" s="17" t="n">
        <v>45390</v>
      </c>
      <c r="K13" s="16" t="inlineStr">
        <is>
          <t>(19)BLACK</t>
        </is>
      </c>
      <c r="L13" s="16" t="inlineStr">
        <is>
          <t>营业中</t>
        </is>
      </c>
      <c r="M13" s="16" t="inlineStr">
        <is>
          <t>EEAKE24R0119FRE</t>
        </is>
      </c>
      <c r="N13" s="16">
        <f>LEFT(M13,12)</f>
        <v/>
      </c>
      <c r="O13" s="16" t="inlineStr">
        <is>
          <t>EEAKE24R01, (19)BLACK, (FRE)FREE</t>
        </is>
      </c>
      <c r="P13" s="16" t="n">
        <v>799</v>
      </c>
      <c r="Q13" s="16" t="n">
        <v>799</v>
      </c>
      <c r="R13" s="16" t="n"/>
      <c r="S13" s="16" t="n"/>
      <c r="T13" s="16" t="n">
        <v>1</v>
      </c>
    </row>
    <row r="14" s="103">
      <c r="A14" s="16" t="inlineStr">
        <is>
          <t>B331</t>
        </is>
      </c>
      <c r="B14" s="16" t="inlineStr">
        <is>
          <t>上海区域</t>
        </is>
      </c>
      <c r="C14" s="16" t="inlineStr">
        <is>
          <t>CN0Q</t>
        </is>
      </c>
      <c r="D14" s="16" t="inlineStr">
        <is>
          <t>EE 苏州比斯特购物村</t>
        </is>
      </c>
      <c r="E14" s="16" t="n">
        <v>4</v>
      </c>
      <c r="F14" s="16" t="inlineStr">
        <is>
          <t>奥特莱斯</t>
        </is>
      </c>
      <c r="G14" s="16" t="inlineStr">
        <is>
          <t>EEAKE24R01</t>
        </is>
      </c>
      <c r="H14" s="16" t="n">
        <v>799</v>
      </c>
      <c r="I14" s="16" t="n">
        <v>799</v>
      </c>
      <c r="J14" s="17" t="n">
        <v>45390</v>
      </c>
      <c r="K14" s="16" t="inlineStr">
        <is>
          <t>(85)Brown</t>
        </is>
      </c>
      <c r="L14" s="16" t="inlineStr">
        <is>
          <t>营业中</t>
        </is>
      </c>
      <c r="M14" s="16" t="inlineStr">
        <is>
          <t>EEAKE24R0185FRE</t>
        </is>
      </c>
      <c r="N14" s="16">
        <f>LEFT(M14,12)</f>
        <v/>
      </c>
      <c r="O14" s="16" t="inlineStr">
        <is>
          <t>EEAKE24R01, (85)Brown, (FRE)FREE</t>
        </is>
      </c>
      <c r="P14" s="16" t="n">
        <v>799</v>
      </c>
      <c r="Q14" s="16" t="n">
        <v>799</v>
      </c>
      <c r="R14" s="16" t="n"/>
      <c r="S14" s="16" t="n"/>
      <c r="T14" s="16" t="n">
        <v>1</v>
      </c>
    </row>
    <row r="15" s="103">
      <c r="A15" s="16" t="inlineStr">
        <is>
          <t>B331</t>
        </is>
      </c>
      <c r="B15" s="16" t="inlineStr">
        <is>
          <t>上海区域</t>
        </is>
      </c>
      <c r="C15" s="16" t="inlineStr">
        <is>
          <t>CN0Q</t>
        </is>
      </c>
      <c r="D15" s="16" t="inlineStr">
        <is>
          <t>EE 苏州比斯特购物村</t>
        </is>
      </c>
      <c r="E15" s="16" t="n">
        <v>4</v>
      </c>
      <c r="F15" s="16" t="inlineStr">
        <is>
          <t>奥特莱斯</t>
        </is>
      </c>
      <c r="G15" s="16" t="inlineStr">
        <is>
          <t>EEAKF25N51</t>
        </is>
      </c>
      <c r="H15" s="16" t="n">
        <v>1299</v>
      </c>
      <c r="I15" s="16" t="n">
        <v>1299</v>
      </c>
      <c r="J15" s="17" t="inlineStr">
        <is>
          <t>########</t>
        </is>
      </c>
      <c r="K15" s="16" t="inlineStr">
        <is>
          <t>(19)BLACK</t>
        </is>
      </c>
      <c r="L15" s="16" t="inlineStr">
        <is>
          <t>营业中</t>
        </is>
      </c>
      <c r="M15" s="16" t="inlineStr">
        <is>
          <t>EEAKF25N5119FRE</t>
        </is>
      </c>
      <c r="N15" s="16">
        <f>LEFT(M15,12)</f>
        <v/>
      </c>
      <c r="O15" s="16" t="inlineStr">
        <is>
          <t>EEAKF25N51, (19)BLACK, (FRE)FREE</t>
        </is>
      </c>
      <c r="P15" s="16" t="n">
        <v>1299</v>
      </c>
      <c r="Q15" s="16" t="n">
        <v>1299</v>
      </c>
      <c r="R15" s="16" t="n"/>
      <c r="S15" s="16" t="n"/>
      <c r="T15" s="16" t="n">
        <v>1</v>
      </c>
    </row>
    <row r="16" s="103">
      <c r="A16" s="16" t="inlineStr">
        <is>
          <t>B331</t>
        </is>
      </c>
      <c r="B16" s="16" t="inlineStr">
        <is>
          <t>上海区域</t>
        </is>
      </c>
      <c r="C16" s="16" t="inlineStr">
        <is>
          <t>CN0Q</t>
        </is>
      </c>
      <c r="D16" s="16" t="inlineStr">
        <is>
          <t>EE 苏州比斯特购物村</t>
        </is>
      </c>
      <c r="E16" s="16" t="n">
        <v>4</v>
      </c>
      <c r="F16" s="16" t="inlineStr">
        <is>
          <t>奥特莱斯</t>
        </is>
      </c>
      <c r="G16" s="16" t="inlineStr">
        <is>
          <t>EEAKF25N51</t>
        </is>
      </c>
      <c r="H16" s="16" t="n">
        <v>1299</v>
      </c>
      <c r="I16" s="16" t="n">
        <v>1299</v>
      </c>
      <c r="J16" s="17" t="inlineStr">
        <is>
          <t>########</t>
        </is>
      </c>
      <c r="K16" s="16" t="inlineStr">
        <is>
          <t>(39)Ivory</t>
        </is>
      </c>
      <c r="L16" s="16" t="inlineStr">
        <is>
          <t>营业中</t>
        </is>
      </c>
      <c r="M16" s="16" t="inlineStr">
        <is>
          <t>EEAKF25N5139FRE</t>
        </is>
      </c>
      <c r="N16" s="16">
        <f>LEFT(M16,12)</f>
        <v/>
      </c>
      <c r="O16" s="16" t="inlineStr">
        <is>
          <t>EEAKF25N51, (39)Ivory, (FRE)FREE</t>
        </is>
      </c>
      <c r="P16" s="16" t="n">
        <v>1299</v>
      </c>
      <c r="Q16" s="16" t="n">
        <v>1299</v>
      </c>
      <c r="R16" s="16" t="n"/>
      <c r="S16" s="16" t="n"/>
      <c r="T16" s="16" t="n">
        <v>1</v>
      </c>
    </row>
    <row r="17" s="103">
      <c r="A17" s="16" t="inlineStr">
        <is>
          <t>B331</t>
        </is>
      </c>
      <c r="B17" s="16" t="inlineStr">
        <is>
          <t>上海区域</t>
        </is>
      </c>
      <c r="C17" s="16" t="inlineStr">
        <is>
          <t>CN0Q</t>
        </is>
      </c>
      <c r="D17" s="16" t="inlineStr">
        <is>
          <t>EE 苏州比斯特购物村</t>
        </is>
      </c>
      <c r="E17" s="16" t="n">
        <v>4</v>
      </c>
      <c r="F17" s="16" t="inlineStr">
        <is>
          <t>奥特莱斯</t>
        </is>
      </c>
      <c r="G17" s="16" t="inlineStr">
        <is>
          <t>EEAKF49M02</t>
        </is>
      </c>
      <c r="H17" s="16" t="n">
        <v>899</v>
      </c>
      <c r="I17" s="16" t="n">
        <v>899</v>
      </c>
      <c r="J17" s="17" t="inlineStr">
        <is>
          <t>########</t>
        </is>
      </c>
      <c r="K17" s="16" t="inlineStr">
        <is>
          <t>(56)L/Indigo</t>
        </is>
      </c>
      <c r="L17" s="16" t="inlineStr">
        <is>
          <t>营业中</t>
        </is>
      </c>
      <c r="M17" s="16" t="inlineStr">
        <is>
          <t>EEAKF49M0256FRE</t>
        </is>
      </c>
      <c r="N17" s="16">
        <f>LEFT(M17,12)</f>
        <v/>
      </c>
      <c r="O17" s="16" t="inlineStr">
        <is>
          <t>EEAKF49M02, (56)L/Indigo, (FRE)FREE</t>
        </is>
      </c>
      <c r="P17" s="16" t="n">
        <v>899</v>
      </c>
      <c r="Q17" s="16" t="n">
        <v>899</v>
      </c>
      <c r="R17" s="16" t="n">
        <v>3</v>
      </c>
      <c r="S17" s="16" t="n">
        <v>513</v>
      </c>
      <c r="T17" s="16" t="n">
        <v>1</v>
      </c>
    </row>
    <row r="18" s="103">
      <c r="A18" s="16" t="inlineStr">
        <is>
          <t>B331</t>
        </is>
      </c>
      <c r="B18" s="16" t="inlineStr">
        <is>
          <t>上海区域</t>
        </is>
      </c>
      <c r="C18" s="16" t="inlineStr">
        <is>
          <t>CN0Q</t>
        </is>
      </c>
      <c r="D18" s="16" t="inlineStr">
        <is>
          <t>EE 苏州比斯特购物村</t>
        </is>
      </c>
      <c r="E18" s="16" t="n">
        <v>4</v>
      </c>
      <c r="F18" s="16" t="inlineStr">
        <is>
          <t>奥特莱斯</t>
        </is>
      </c>
      <c r="G18" s="16" t="inlineStr">
        <is>
          <t>EEAKF49M03</t>
        </is>
      </c>
      <c r="H18" s="16" t="n">
        <v>1299</v>
      </c>
      <c r="I18" s="16" t="n">
        <v>1299</v>
      </c>
      <c r="J18" s="17" t="inlineStr">
        <is>
          <t>########</t>
        </is>
      </c>
      <c r="K18" s="16" t="inlineStr">
        <is>
          <t>(37)D/Beige</t>
        </is>
      </c>
      <c r="L18" s="16" t="inlineStr">
        <is>
          <t>营业中</t>
        </is>
      </c>
      <c r="M18" s="16" t="inlineStr">
        <is>
          <t>EEAKF49M0337FRE</t>
        </is>
      </c>
      <c r="N18" s="16">
        <f>LEFT(M18,12)</f>
        <v/>
      </c>
      <c r="O18" s="16" t="inlineStr">
        <is>
          <t>EEAKF49M03, (37)D/Beige, (FRE)FREE</t>
        </is>
      </c>
      <c r="P18" s="16" t="n">
        <v>1299</v>
      </c>
      <c r="Q18" s="16" t="n">
        <v>1299</v>
      </c>
      <c r="R18" s="16" t="n"/>
      <c r="S18" s="16" t="n"/>
      <c r="T18" s="16" t="n">
        <v>1</v>
      </c>
    </row>
    <row r="19" s="103">
      <c r="A19" s="16" t="inlineStr">
        <is>
          <t>B331</t>
        </is>
      </c>
      <c r="B19" s="16" t="inlineStr">
        <is>
          <t>上海区域</t>
        </is>
      </c>
      <c r="C19" s="16" t="inlineStr">
        <is>
          <t>CN0Q</t>
        </is>
      </c>
      <c r="D19" s="16" t="inlineStr">
        <is>
          <t>EE 苏州比斯特购物村</t>
        </is>
      </c>
      <c r="E19" s="16" t="n">
        <v>4</v>
      </c>
      <c r="F19" s="16" t="inlineStr">
        <is>
          <t>奥特莱斯</t>
        </is>
      </c>
      <c r="G19" s="16" t="inlineStr">
        <is>
          <t>EEAKG23B01</t>
        </is>
      </c>
      <c r="H19" s="16" t="n">
        <v>999</v>
      </c>
      <c r="I19" s="16" t="n">
        <v>999</v>
      </c>
      <c r="J19" s="17" t="n">
        <v>46059</v>
      </c>
      <c r="K19" s="16" t="inlineStr">
        <is>
          <t>(59)Navy</t>
        </is>
      </c>
      <c r="L19" s="16" t="inlineStr">
        <is>
          <t>营业中</t>
        </is>
      </c>
      <c r="M19" s="16" t="inlineStr">
        <is>
          <t>EEAKG23B0159FRE</t>
        </is>
      </c>
      <c r="N19" s="16">
        <f>LEFT(M19,12)</f>
        <v/>
      </c>
      <c r="O19" s="16" t="inlineStr">
        <is>
          <t>EEAKG23B01, (59)Navy, (FRE)FREE</t>
        </is>
      </c>
      <c r="P19" s="16" t="n">
        <v>999</v>
      </c>
      <c r="Q19" s="16" t="n">
        <v>999</v>
      </c>
      <c r="R19" s="16" t="n"/>
      <c r="S19" s="16" t="n"/>
      <c r="T19" s="16" t="n">
        <v>2</v>
      </c>
    </row>
    <row r="20" s="103">
      <c r="A20" s="16" t="inlineStr">
        <is>
          <t>B331</t>
        </is>
      </c>
      <c r="B20" s="16" t="inlineStr">
        <is>
          <t>上海区域</t>
        </is>
      </c>
      <c r="C20" s="16" t="inlineStr">
        <is>
          <t>CN0Q</t>
        </is>
      </c>
      <c r="D20" s="16" t="inlineStr">
        <is>
          <t>EE 苏州比斯特购物村</t>
        </is>
      </c>
      <c r="E20" s="16" t="n">
        <v>4</v>
      </c>
      <c r="F20" s="16" t="inlineStr">
        <is>
          <t>奥特莱斯</t>
        </is>
      </c>
      <c r="G20" s="16" t="inlineStr">
        <is>
          <t>EEAKG25B01</t>
        </is>
      </c>
      <c r="H20" s="16" t="n">
        <v>1299</v>
      </c>
      <c r="I20" s="16" t="n">
        <v>1299</v>
      </c>
      <c r="J20" s="17" t="inlineStr">
        <is>
          <t>########</t>
        </is>
      </c>
      <c r="K20" s="16" t="inlineStr">
        <is>
          <t>(85)Brown</t>
        </is>
      </c>
      <c r="L20" s="16" t="inlineStr">
        <is>
          <t>营业中</t>
        </is>
      </c>
      <c r="M20" s="16" t="inlineStr">
        <is>
          <t>EEAKG25B0185FRE</t>
        </is>
      </c>
      <c r="N20" s="16">
        <f>LEFT(M20,12)</f>
        <v/>
      </c>
      <c r="O20" s="16" t="inlineStr">
        <is>
          <t>EEAKG25B01, (85)Brown, (FRE)FREE</t>
        </is>
      </c>
      <c r="P20" s="16" t="n">
        <v>1299</v>
      </c>
      <c r="Q20" s="16" t="n">
        <v>1299</v>
      </c>
      <c r="R20" s="16" t="n"/>
      <c r="S20" s="16" t="n"/>
      <c r="T20" s="16" t="n">
        <v>2</v>
      </c>
    </row>
    <row r="21" s="103">
      <c r="A21" s="16" t="inlineStr">
        <is>
          <t>B331</t>
        </is>
      </c>
      <c r="B21" s="16" t="inlineStr">
        <is>
          <t>上海区域</t>
        </is>
      </c>
      <c r="C21" s="16" t="inlineStr">
        <is>
          <t>CN0Q</t>
        </is>
      </c>
      <c r="D21" s="16" t="inlineStr">
        <is>
          <t>EE 苏州比斯特购物村</t>
        </is>
      </c>
      <c r="E21" s="16" t="n">
        <v>4</v>
      </c>
      <c r="F21" s="16" t="inlineStr">
        <is>
          <t>奥特莱斯</t>
        </is>
      </c>
      <c r="G21" s="16" t="inlineStr">
        <is>
          <t>EEAKG25E01</t>
        </is>
      </c>
      <c r="H21" s="16" t="n">
        <v>1599</v>
      </c>
      <c r="I21" s="16" t="n">
        <v>1599</v>
      </c>
      <c r="J21" s="17" t="inlineStr">
        <is>
          <t>########</t>
        </is>
      </c>
      <c r="K21" s="16" t="inlineStr">
        <is>
          <t>(85)Brown</t>
        </is>
      </c>
      <c r="L21" s="16" t="inlineStr">
        <is>
          <t>营业中</t>
        </is>
      </c>
      <c r="M21" s="16" t="inlineStr">
        <is>
          <t>EEAKG25E0185FRE</t>
        </is>
      </c>
      <c r="N21" s="16">
        <f>LEFT(M21,12)</f>
        <v/>
      </c>
      <c r="O21" s="16" t="inlineStr">
        <is>
          <t>EEAKG25E01, (85)Brown, (FRE)FREE</t>
        </is>
      </c>
      <c r="P21" s="16" t="n">
        <v>1599</v>
      </c>
      <c r="Q21" s="16" t="n">
        <v>1599</v>
      </c>
      <c r="R21" s="16" t="n"/>
      <c r="S21" s="16" t="n"/>
      <c r="T21" s="16" t="n">
        <v>2</v>
      </c>
    </row>
    <row r="22" s="103">
      <c r="A22" s="16" t="inlineStr">
        <is>
          <t>B331</t>
        </is>
      </c>
      <c r="B22" s="16" t="inlineStr">
        <is>
          <t>上海区域</t>
        </is>
      </c>
      <c r="C22" s="16" t="inlineStr">
        <is>
          <t>CN0Q</t>
        </is>
      </c>
      <c r="D22" s="16" t="inlineStr">
        <is>
          <t>EE 苏州比斯特购物村</t>
        </is>
      </c>
      <c r="E22" s="16" t="n">
        <v>4</v>
      </c>
      <c r="F22" s="16" t="inlineStr">
        <is>
          <t>奥特莱斯</t>
        </is>
      </c>
      <c r="G22" s="16" t="inlineStr">
        <is>
          <t>EEASE23Y01</t>
        </is>
      </c>
      <c r="H22" s="16" t="n">
        <v>198</v>
      </c>
      <c r="I22" s="16" t="n">
        <v>199</v>
      </c>
      <c r="J22" s="17" t="inlineStr">
        <is>
          <t>########</t>
        </is>
      </c>
      <c r="K22" s="16" t="inlineStr">
        <is>
          <t>(49)Khaki</t>
        </is>
      </c>
      <c r="L22" s="16" t="inlineStr">
        <is>
          <t>营业中</t>
        </is>
      </c>
      <c r="M22" s="16" t="inlineStr">
        <is>
          <t>EEASE23Y0149FRE</t>
        </is>
      </c>
      <c r="N22" s="16">
        <f>LEFT(M22,12)</f>
        <v/>
      </c>
      <c r="O22" s="16" t="inlineStr">
        <is>
          <t>EEASE23Y01, (49)Khaki, (FRE)FREE</t>
        </is>
      </c>
      <c r="P22" s="16" t="n">
        <v>198</v>
      </c>
      <c r="Q22" s="16" t="n">
        <v>199</v>
      </c>
      <c r="R22" s="16" t="n"/>
      <c r="S22" s="16" t="n"/>
      <c r="T22" s="16" t="n">
        <v>1</v>
      </c>
    </row>
    <row r="23" s="103">
      <c r="A23" s="16" t="inlineStr">
        <is>
          <t>B331</t>
        </is>
      </c>
      <c r="B23" s="16" t="inlineStr">
        <is>
          <t>上海区域</t>
        </is>
      </c>
      <c r="C23" s="16" t="inlineStr">
        <is>
          <t>CN0Q</t>
        </is>
      </c>
      <c r="D23" s="16" t="inlineStr">
        <is>
          <t>EE 苏州比斯特购物村</t>
        </is>
      </c>
      <c r="E23" s="16" t="n">
        <v>4</v>
      </c>
      <c r="F23" s="16" t="inlineStr">
        <is>
          <t>奥特莱斯</t>
        </is>
      </c>
      <c r="G23" s="16" t="inlineStr">
        <is>
          <t>EEASE23Y01</t>
        </is>
      </c>
      <c r="H23" s="16" t="n">
        <v>198</v>
      </c>
      <c r="I23" s="16" t="n">
        <v>199</v>
      </c>
      <c r="J23" s="17" t="inlineStr">
        <is>
          <t>########</t>
        </is>
      </c>
      <c r="K23" s="16" t="inlineStr">
        <is>
          <t>(52)D/Blue</t>
        </is>
      </c>
      <c r="L23" s="16" t="inlineStr">
        <is>
          <t>营业中</t>
        </is>
      </c>
      <c r="M23" s="16" t="inlineStr">
        <is>
          <t>EEASE23Y0152FRE</t>
        </is>
      </c>
      <c r="N23" s="16">
        <f>LEFT(M23,12)</f>
        <v/>
      </c>
      <c r="O23" s="16" t="inlineStr">
        <is>
          <t>EEASE23Y01, (52)D/Blue, (FRE)FREE</t>
        </is>
      </c>
      <c r="P23" s="16" t="n">
        <v>198</v>
      </c>
      <c r="Q23" s="16" t="n">
        <v>199</v>
      </c>
      <c r="R23" s="16" t="n"/>
      <c r="S23" s="16" t="n"/>
      <c r="T23" s="16" t="n">
        <v>1</v>
      </c>
    </row>
    <row r="24" s="103">
      <c r="A24" s="16" t="inlineStr">
        <is>
          <t>B331</t>
        </is>
      </c>
      <c r="B24" s="16" t="inlineStr">
        <is>
          <t>上海区域</t>
        </is>
      </c>
      <c r="C24" s="16" t="inlineStr">
        <is>
          <t>CN0Q</t>
        </is>
      </c>
      <c r="D24" s="16" t="inlineStr">
        <is>
          <t>EE 苏州比斯特购物村</t>
        </is>
      </c>
      <c r="E24" s="16" t="n">
        <v>4</v>
      </c>
      <c r="F24" s="16" t="inlineStr">
        <is>
          <t>奥特莱斯</t>
        </is>
      </c>
      <c r="G24" s="16" t="inlineStr">
        <is>
          <t>EEASE25Y01</t>
        </is>
      </c>
      <c r="H24" s="16" t="n">
        <v>198</v>
      </c>
      <c r="I24" s="16" t="n">
        <v>299</v>
      </c>
      <c r="J24" s="17" t="inlineStr">
        <is>
          <t>########</t>
        </is>
      </c>
      <c r="K24" s="16" t="inlineStr">
        <is>
          <t>(20)Red</t>
        </is>
      </c>
      <c r="L24" s="16" t="inlineStr">
        <is>
          <t>营业中</t>
        </is>
      </c>
      <c r="M24" s="16" t="inlineStr">
        <is>
          <t>EEASE25Y0120FRE</t>
        </is>
      </c>
      <c r="N24" s="16">
        <f>LEFT(M24,12)</f>
        <v/>
      </c>
      <c r="O24" s="16" t="inlineStr">
        <is>
          <t>EEASE25Y01, (20)Red, (FRE)FREE</t>
        </is>
      </c>
      <c r="P24" s="16" t="n">
        <v>198</v>
      </c>
      <c r="Q24" s="16" t="n">
        <v>299</v>
      </c>
      <c r="R24" s="16" t="n"/>
      <c r="S24" s="16" t="n"/>
      <c r="T24" s="16" t="n">
        <v>1</v>
      </c>
    </row>
    <row r="25" s="103">
      <c r="A25" s="16" t="inlineStr">
        <is>
          <t>B331</t>
        </is>
      </c>
      <c r="B25" s="16" t="inlineStr">
        <is>
          <t>上海区域</t>
        </is>
      </c>
      <c r="C25" s="16" t="inlineStr">
        <is>
          <t>CN0Q</t>
        </is>
      </c>
      <c r="D25" s="16" t="inlineStr">
        <is>
          <t>EE 苏州比斯特购物村</t>
        </is>
      </c>
      <c r="E25" s="16" t="n">
        <v>4</v>
      </c>
      <c r="F25" s="16" t="inlineStr">
        <is>
          <t>奥特莱斯</t>
        </is>
      </c>
      <c r="G25" s="16" t="inlineStr">
        <is>
          <t>EEASE25Y01</t>
        </is>
      </c>
      <c r="H25" s="16" t="n">
        <v>198</v>
      </c>
      <c r="I25" s="16" t="n">
        <v>299</v>
      </c>
      <c r="J25" s="17" t="inlineStr">
        <is>
          <t>########</t>
        </is>
      </c>
      <c r="K25" s="16" t="inlineStr">
        <is>
          <t>(35)Beige</t>
        </is>
      </c>
      <c r="L25" s="16" t="inlineStr">
        <is>
          <t>营业中</t>
        </is>
      </c>
      <c r="M25" s="16" t="inlineStr">
        <is>
          <t>EEASE25Y0135FRE</t>
        </is>
      </c>
      <c r="N25" s="16">
        <f>LEFT(M25,12)</f>
        <v/>
      </c>
      <c r="O25" s="16" t="inlineStr">
        <is>
          <t>EEASE25Y01, (35)Beige, (FRE)FREE</t>
        </is>
      </c>
      <c r="P25" s="16" t="n">
        <v>198</v>
      </c>
      <c r="Q25" s="16" t="n">
        <v>299</v>
      </c>
      <c r="R25" s="16" t="n"/>
      <c r="S25" s="16" t="n"/>
      <c r="T25" s="16" t="n">
        <v>1</v>
      </c>
    </row>
    <row r="26" s="103">
      <c r="A26" s="16" t="inlineStr">
        <is>
          <t>B331</t>
        </is>
      </c>
      <c r="B26" s="16" t="inlineStr">
        <is>
          <t>上海区域</t>
        </is>
      </c>
      <c r="C26" s="16" t="inlineStr">
        <is>
          <t>CN0Q</t>
        </is>
      </c>
      <c r="D26" s="16" t="inlineStr">
        <is>
          <t>EE 苏州比斯特购物村</t>
        </is>
      </c>
      <c r="E26" s="16" t="n">
        <v>4</v>
      </c>
      <c r="F26" s="16" t="inlineStr">
        <is>
          <t>奥特莱斯</t>
        </is>
      </c>
      <c r="G26" s="16" t="inlineStr">
        <is>
          <t>EEASF49N52</t>
        </is>
      </c>
      <c r="H26" s="16" t="n">
        <v>199</v>
      </c>
      <c r="I26" s="16" t="n">
        <v>299</v>
      </c>
      <c r="J26" s="17" t="inlineStr">
        <is>
          <t>########</t>
        </is>
      </c>
      <c r="K26" s="16" t="inlineStr">
        <is>
          <t>(59)Navy</t>
        </is>
      </c>
      <c r="L26" s="16" t="inlineStr">
        <is>
          <t>营业中</t>
        </is>
      </c>
      <c r="M26" s="16" t="inlineStr">
        <is>
          <t>EEASF49N5259FRE</t>
        </is>
      </c>
      <c r="N26" s="16">
        <f>LEFT(M26,12)</f>
        <v/>
      </c>
      <c r="O26" s="16" t="inlineStr">
        <is>
          <t>EEASF49N52, (59)Navy, (FRE)FREE</t>
        </is>
      </c>
      <c r="P26" s="16" t="n">
        <v>199</v>
      </c>
      <c r="Q26" s="16" t="n">
        <v>299</v>
      </c>
      <c r="R26" s="16" t="n"/>
      <c r="S26" s="16" t="n"/>
      <c r="T26" s="16" t="n">
        <v>1</v>
      </c>
    </row>
    <row r="27" s="103">
      <c r="A27" s="16" t="inlineStr">
        <is>
          <t>B331</t>
        </is>
      </c>
      <c r="B27" s="16" t="inlineStr">
        <is>
          <t>上海区域</t>
        </is>
      </c>
      <c r="C27" s="16" t="inlineStr">
        <is>
          <t>CN0Q</t>
        </is>
      </c>
      <c r="D27" s="16" t="inlineStr">
        <is>
          <t>EE 苏州比斯特购物村</t>
        </is>
      </c>
      <c r="E27" s="16" t="n">
        <v>4</v>
      </c>
      <c r="F27" s="16" t="inlineStr">
        <is>
          <t>奥特莱斯</t>
        </is>
      </c>
      <c r="G27" s="16" t="inlineStr">
        <is>
          <t>EEASG24Q1S</t>
        </is>
      </c>
      <c r="H27" s="16" t="n">
        <v>299</v>
      </c>
      <c r="I27" s="16" t="n">
        <v>299</v>
      </c>
      <c r="J27" s="17" t="n">
        <v>46119</v>
      </c>
      <c r="K27" s="16" t="inlineStr">
        <is>
          <t>(39)Ivory</t>
        </is>
      </c>
      <c r="L27" s="16" t="inlineStr">
        <is>
          <t>营业中</t>
        </is>
      </c>
      <c r="M27" s="16" t="inlineStr">
        <is>
          <t>EEASG24Q1S39FRE</t>
        </is>
      </c>
      <c r="N27" s="16">
        <f>LEFT(M27,12)</f>
        <v/>
      </c>
      <c r="O27" s="16" t="inlineStr">
        <is>
          <t>EEASG24Q1S, (39)Ivory, (FRE)FREE</t>
        </is>
      </c>
      <c r="P27" s="16" t="n">
        <v>299</v>
      </c>
      <c r="Q27" s="16" t="n">
        <v>299</v>
      </c>
      <c r="R27" s="16" t="n"/>
      <c r="S27" s="16" t="n"/>
      <c r="T27" s="16" t="n">
        <v>2</v>
      </c>
    </row>
    <row r="28" s="103">
      <c r="A28" s="16" t="inlineStr">
        <is>
          <t>B331</t>
        </is>
      </c>
      <c r="B28" s="16" t="inlineStr">
        <is>
          <t>上海区域</t>
        </is>
      </c>
      <c r="C28" s="16" t="inlineStr">
        <is>
          <t>CN0Q</t>
        </is>
      </c>
      <c r="D28" s="16" t="inlineStr">
        <is>
          <t>EE 苏州比斯特购物村</t>
        </is>
      </c>
      <c r="E28" s="16" t="n">
        <v>4</v>
      </c>
      <c r="F28" s="16" t="inlineStr">
        <is>
          <t>奥特莱斯</t>
        </is>
      </c>
      <c r="G28" s="16" t="inlineStr">
        <is>
          <t>EEAYE49M01</t>
        </is>
      </c>
      <c r="H28" s="16" t="n">
        <v>69</v>
      </c>
      <c r="I28" s="16" t="n">
        <v>69</v>
      </c>
      <c r="J28" s="17" t="inlineStr">
        <is>
          <t>########</t>
        </is>
      </c>
      <c r="K28" s="16" t="inlineStr">
        <is>
          <t>(15)Grey</t>
        </is>
      </c>
      <c r="L28" s="16" t="inlineStr">
        <is>
          <t>营业中</t>
        </is>
      </c>
      <c r="M28" s="16" t="inlineStr">
        <is>
          <t>EEAYE49M0115FRE</t>
        </is>
      </c>
      <c r="N28" s="16">
        <f>LEFT(M28,12)</f>
        <v/>
      </c>
      <c r="O28" s="16" t="inlineStr">
        <is>
          <t>EEAYE49M01, (15)Grey, (FRE)FREE</t>
        </is>
      </c>
      <c r="P28" s="16" t="n">
        <v>69</v>
      </c>
      <c r="Q28" s="16" t="n">
        <v>69</v>
      </c>
      <c r="R28" s="16" t="n">
        <v>2</v>
      </c>
      <c r="S28" s="16" t="n">
        <v>125</v>
      </c>
      <c r="T28" s="16" t="n">
        <v>8</v>
      </c>
    </row>
    <row r="29" s="103">
      <c r="A29" s="16" t="inlineStr">
        <is>
          <t>B331</t>
        </is>
      </c>
      <c r="B29" s="16" t="inlineStr">
        <is>
          <t>上海区域</t>
        </is>
      </c>
      <c r="C29" s="16" t="inlineStr">
        <is>
          <t>CN0Q</t>
        </is>
      </c>
      <c r="D29" s="16" t="inlineStr">
        <is>
          <t>EE 苏州比斯特购物村</t>
        </is>
      </c>
      <c r="E29" s="16" t="n">
        <v>4</v>
      </c>
      <c r="F29" s="16" t="inlineStr">
        <is>
          <t>奥特莱斯</t>
        </is>
      </c>
      <c r="G29" s="16" t="inlineStr">
        <is>
          <t>EEAYE49M01</t>
        </is>
      </c>
      <c r="H29" s="16" t="n">
        <v>69</v>
      </c>
      <c r="I29" s="16" t="n">
        <v>69</v>
      </c>
      <c r="J29" s="17" t="inlineStr">
        <is>
          <t>########</t>
        </is>
      </c>
      <c r="K29" s="16" t="inlineStr">
        <is>
          <t>(19)BLACK</t>
        </is>
      </c>
      <c r="L29" s="16" t="inlineStr">
        <is>
          <t>营业中</t>
        </is>
      </c>
      <c r="M29" s="16" t="inlineStr">
        <is>
          <t>EEAYE49M0119FRE</t>
        </is>
      </c>
      <c r="N29" s="16">
        <f>LEFT(M29,12)</f>
        <v/>
      </c>
      <c r="O29" s="16" t="inlineStr">
        <is>
          <t>EEAYE49M01, (19)BLACK, (FRE)FREE</t>
        </is>
      </c>
      <c r="P29" s="16" t="n">
        <v>69</v>
      </c>
      <c r="Q29" s="16" t="n">
        <v>69</v>
      </c>
      <c r="R29" s="16" t="n">
        <v>1</v>
      </c>
      <c r="S29" s="16" t="n">
        <v>62</v>
      </c>
      <c r="T29" s="16" t="n">
        <v>9</v>
      </c>
    </row>
    <row r="30" s="103">
      <c r="A30" s="16" t="inlineStr">
        <is>
          <t>B331</t>
        </is>
      </c>
      <c r="B30" s="16" t="inlineStr">
        <is>
          <t>上海区域</t>
        </is>
      </c>
      <c r="C30" s="16" t="inlineStr">
        <is>
          <t>CN0Q</t>
        </is>
      </c>
      <c r="D30" s="16" t="inlineStr">
        <is>
          <t>EE 苏州比斯特购物村</t>
        </is>
      </c>
      <c r="E30" s="16" t="n">
        <v>4</v>
      </c>
      <c r="F30" s="16" t="inlineStr">
        <is>
          <t>奥特莱斯</t>
        </is>
      </c>
      <c r="G30" s="16" t="inlineStr">
        <is>
          <t>EEBWG23B01</t>
        </is>
      </c>
      <c r="H30" s="16" t="n">
        <v>799</v>
      </c>
      <c r="I30" s="16" t="n">
        <v>799</v>
      </c>
      <c r="J30" s="17" t="n">
        <v>46027</v>
      </c>
      <c r="K30" s="16" t="inlineStr">
        <is>
          <t>(36)L/Beige</t>
        </is>
      </c>
      <c r="L30" s="16" t="inlineStr">
        <is>
          <t>营业中</t>
        </is>
      </c>
      <c r="M30" s="16" t="inlineStr">
        <is>
          <t>EEBWG23B0136160</t>
        </is>
      </c>
      <c r="N30" s="16">
        <f>LEFT(M30,12)</f>
        <v/>
      </c>
      <c r="O30" s="16" t="inlineStr">
        <is>
          <t>EEBWG23B01, (36)L/Beige, (160)160</t>
        </is>
      </c>
      <c r="P30" s="16" t="n">
        <v>799</v>
      </c>
      <c r="Q30" s="16" t="n">
        <v>799</v>
      </c>
      <c r="R30" s="16" t="n">
        <v>2</v>
      </c>
      <c r="S30" s="18" t="n">
        <v>1320</v>
      </c>
      <c r="T30" s="16" t="n">
        <v>0</v>
      </c>
    </row>
    <row r="31" s="103">
      <c r="A31" s="16" t="inlineStr">
        <is>
          <t>B331</t>
        </is>
      </c>
      <c r="B31" s="16" t="inlineStr">
        <is>
          <t>上海区域</t>
        </is>
      </c>
      <c r="C31" s="16" t="inlineStr">
        <is>
          <t>CN0Q</t>
        </is>
      </c>
      <c r="D31" s="16" t="inlineStr">
        <is>
          <t>EE 苏州比斯特购物村</t>
        </is>
      </c>
      <c r="E31" s="16" t="n">
        <v>4</v>
      </c>
      <c r="F31" s="16" t="inlineStr">
        <is>
          <t>奥特莱斯</t>
        </is>
      </c>
      <c r="G31" s="16" t="inlineStr">
        <is>
          <t>EEBWG23B01</t>
        </is>
      </c>
      <c r="H31" s="16" t="n">
        <v>799</v>
      </c>
      <c r="I31" s="16" t="n">
        <v>799</v>
      </c>
      <c r="J31" s="17" t="n">
        <v>46027</v>
      </c>
      <c r="K31" s="16" t="inlineStr">
        <is>
          <t>(36)L/Beige</t>
        </is>
      </c>
      <c r="L31" s="16" t="inlineStr">
        <is>
          <t>营业中</t>
        </is>
      </c>
      <c r="M31" s="16" t="inlineStr">
        <is>
          <t>EEBWG23B0136165</t>
        </is>
      </c>
      <c r="N31" s="16">
        <f>LEFT(M31,12)</f>
        <v/>
      </c>
      <c r="O31" s="16" t="inlineStr">
        <is>
          <t>EEBWG23B01, (36)L/Beige, (165)165</t>
        </is>
      </c>
      <c r="P31" s="16" t="n">
        <v>799</v>
      </c>
      <c r="Q31" s="16" t="n">
        <v>799</v>
      </c>
      <c r="R31" s="16" t="n">
        <v>1</v>
      </c>
      <c r="S31" s="16" t="n">
        <v>236</v>
      </c>
      <c r="T31" s="16" t="n">
        <v>1</v>
      </c>
    </row>
    <row r="32" s="103">
      <c r="A32" s="16" t="inlineStr">
        <is>
          <t>B331</t>
        </is>
      </c>
      <c r="B32" s="16" t="inlineStr">
        <is>
          <t>上海区域</t>
        </is>
      </c>
      <c r="C32" s="16" t="inlineStr">
        <is>
          <t>CN0Q</t>
        </is>
      </c>
      <c r="D32" s="16" t="inlineStr">
        <is>
          <t>EE 苏州比斯特购物村</t>
        </is>
      </c>
      <c r="E32" s="16" t="n">
        <v>4</v>
      </c>
      <c r="F32" s="16" t="inlineStr">
        <is>
          <t>奥特莱斯</t>
        </is>
      </c>
      <c r="G32" s="16" t="inlineStr">
        <is>
          <t>EEBWG23B01</t>
        </is>
      </c>
      <c r="H32" s="16" t="n">
        <v>799</v>
      </c>
      <c r="I32" s="16" t="n">
        <v>799</v>
      </c>
      <c r="J32" s="17" t="n">
        <v>46027</v>
      </c>
      <c r="K32" s="16" t="inlineStr">
        <is>
          <t>(36)L/Beige</t>
        </is>
      </c>
      <c r="L32" s="16" t="inlineStr">
        <is>
          <t>营业中</t>
        </is>
      </c>
      <c r="M32" s="16" t="inlineStr">
        <is>
          <t>EEBWG23B0136170</t>
        </is>
      </c>
      <c r="N32" s="16">
        <f>LEFT(M32,12)</f>
        <v/>
      </c>
      <c r="O32" s="16" t="inlineStr">
        <is>
          <t>EEBWG23B01, (36)L/Beige, (170)170</t>
        </is>
      </c>
      <c r="P32" s="16" t="n">
        <v>799</v>
      </c>
      <c r="Q32" s="16" t="n">
        <v>799</v>
      </c>
      <c r="R32" s="16" t="n"/>
      <c r="S32" s="16" t="n"/>
      <c r="T32" s="16" t="n">
        <v>2</v>
      </c>
    </row>
    <row r="33" s="103">
      <c r="A33" s="16" t="inlineStr">
        <is>
          <t>B331</t>
        </is>
      </c>
      <c r="B33" s="16" t="inlineStr">
        <is>
          <t>上海区域</t>
        </is>
      </c>
      <c r="C33" s="16" t="inlineStr">
        <is>
          <t>CN0Q</t>
        </is>
      </c>
      <c r="D33" s="16" t="inlineStr">
        <is>
          <t>EE 苏州比斯特购物村</t>
        </is>
      </c>
      <c r="E33" s="16" t="n">
        <v>4</v>
      </c>
      <c r="F33" s="16" t="inlineStr">
        <is>
          <t>奥特莱斯</t>
        </is>
      </c>
      <c r="G33" s="16" t="inlineStr">
        <is>
          <t>EEBWG23B02</t>
        </is>
      </c>
      <c r="H33" s="16" t="n">
        <v>799</v>
      </c>
      <c r="I33" s="16" t="n">
        <v>799</v>
      </c>
      <c r="J33" s="17" t="inlineStr">
        <is>
          <t>########</t>
        </is>
      </c>
      <c r="K33" s="16" t="inlineStr">
        <is>
          <t>(39)Ivory</t>
        </is>
      </c>
      <c r="L33" s="16" t="inlineStr">
        <is>
          <t>营业中</t>
        </is>
      </c>
      <c r="M33" s="16" t="inlineStr">
        <is>
          <t>EEBWG23B0239160</t>
        </is>
      </c>
      <c r="N33" s="16">
        <f>LEFT(M33,12)</f>
        <v/>
      </c>
      <c r="O33" s="16" t="inlineStr">
        <is>
          <t>EEBWG23B02, (39)Ivory, (160)160</t>
        </is>
      </c>
      <c r="P33" s="16" t="n">
        <v>799</v>
      </c>
      <c r="Q33" s="16" t="n">
        <v>799</v>
      </c>
      <c r="R33" s="16" t="n">
        <v>1</v>
      </c>
      <c r="S33" s="16" t="n">
        <v>509</v>
      </c>
      <c r="T33" s="16" t="n">
        <v>1</v>
      </c>
    </row>
    <row r="34" s="103">
      <c r="A34" s="16" t="inlineStr">
        <is>
          <t>B331</t>
        </is>
      </c>
      <c r="B34" s="16" t="inlineStr">
        <is>
          <t>上海区域</t>
        </is>
      </c>
      <c r="C34" s="16" t="inlineStr">
        <is>
          <t>CN0Q</t>
        </is>
      </c>
      <c r="D34" s="16" t="inlineStr">
        <is>
          <t>EE 苏州比斯特购物村</t>
        </is>
      </c>
      <c r="E34" s="16" t="n">
        <v>4</v>
      </c>
      <c r="F34" s="16" t="inlineStr">
        <is>
          <t>奥特莱斯</t>
        </is>
      </c>
      <c r="G34" s="16" t="inlineStr">
        <is>
          <t>EEBWG23B02</t>
        </is>
      </c>
      <c r="H34" s="16" t="n">
        <v>799</v>
      </c>
      <c r="I34" s="16" t="n">
        <v>799</v>
      </c>
      <c r="J34" s="17" t="inlineStr">
        <is>
          <t>########</t>
        </is>
      </c>
      <c r="K34" s="16" t="inlineStr">
        <is>
          <t>(39)Ivory</t>
        </is>
      </c>
      <c r="L34" s="16" t="inlineStr">
        <is>
          <t>营业中</t>
        </is>
      </c>
      <c r="M34" s="16" t="inlineStr">
        <is>
          <t>EEBWG23B0239165</t>
        </is>
      </c>
      <c r="N34" s="16">
        <f>LEFT(M34,12)</f>
        <v/>
      </c>
      <c r="O34" s="16" t="inlineStr">
        <is>
          <t>EEBWG23B02, (39)Ivory, (165)165</t>
        </is>
      </c>
      <c r="P34" s="16" t="n">
        <v>799</v>
      </c>
      <c r="Q34" s="16" t="n">
        <v>799</v>
      </c>
      <c r="R34" s="16" t="n">
        <v>2</v>
      </c>
      <c r="S34" s="16" t="n">
        <v>240</v>
      </c>
      <c r="T34" s="16" t="n">
        <v>0</v>
      </c>
    </row>
    <row r="35" s="103">
      <c r="A35" s="16" t="inlineStr">
        <is>
          <t>B331</t>
        </is>
      </c>
      <c r="B35" s="16" t="inlineStr">
        <is>
          <t>上海区域</t>
        </is>
      </c>
      <c r="C35" s="16" t="inlineStr">
        <is>
          <t>CN0Q</t>
        </is>
      </c>
      <c r="D35" s="16" t="inlineStr">
        <is>
          <t>EE 苏州比斯特购物村</t>
        </is>
      </c>
      <c r="E35" s="16" t="n">
        <v>4</v>
      </c>
      <c r="F35" s="16" t="inlineStr">
        <is>
          <t>奥特莱斯</t>
        </is>
      </c>
      <c r="G35" s="16" t="inlineStr">
        <is>
          <t>EEBWG23B02</t>
        </is>
      </c>
      <c r="H35" s="16" t="n">
        <v>799</v>
      </c>
      <c r="I35" s="16" t="n">
        <v>799</v>
      </c>
      <c r="J35" s="17" t="inlineStr">
        <is>
          <t>########</t>
        </is>
      </c>
      <c r="K35" s="16" t="inlineStr">
        <is>
          <t>(39)Ivory</t>
        </is>
      </c>
      <c r="L35" s="16" t="inlineStr">
        <is>
          <t>营业中</t>
        </is>
      </c>
      <c r="M35" s="16" t="inlineStr">
        <is>
          <t>EEBWG23B0239170</t>
        </is>
      </c>
      <c r="N35" s="16">
        <f>LEFT(M35,12)</f>
        <v/>
      </c>
      <c r="O35" s="16" t="inlineStr">
        <is>
          <t>EEBWG23B02, (39)Ivory, (170)170</t>
        </is>
      </c>
      <c r="P35" s="16" t="n">
        <v>799</v>
      </c>
      <c r="Q35" s="16" t="n">
        <v>799</v>
      </c>
      <c r="R35" s="16" t="n"/>
      <c r="S35" s="16" t="n"/>
      <c r="T35" s="16" t="n">
        <v>1</v>
      </c>
    </row>
    <row r="36" s="103">
      <c r="A36" s="16" t="inlineStr">
        <is>
          <t>B331</t>
        </is>
      </c>
      <c r="B36" s="16" t="inlineStr">
        <is>
          <t>上海区域</t>
        </is>
      </c>
      <c r="C36" s="16" t="inlineStr">
        <is>
          <t>CN0Q</t>
        </is>
      </c>
      <c r="D36" s="16" t="inlineStr">
        <is>
          <t>EE 苏州比斯特购物村</t>
        </is>
      </c>
      <c r="E36" s="16" t="n">
        <v>4</v>
      </c>
      <c r="F36" s="16" t="inlineStr">
        <is>
          <t>奥特莱斯</t>
        </is>
      </c>
      <c r="G36" s="16" t="inlineStr">
        <is>
          <t>EECKF23E01</t>
        </is>
      </c>
      <c r="H36" s="16" t="n">
        <v>699</v>
      </c>
      <c r="I36" s="16" t="n">
        <v>699</v>
      </c>
      <c r="J36" s="17" t="inlineStr">
        <is>
          <t>########</t>
        </is>
      </c>
      <c r="K36" s="16" t="inlineStr">
        <is>
          <t>(30)Yellow</t>
        </is>
      </c>
      <c r="L36" s="16" t="inlineStr">
        <is>
          <t>营业中</t>
        </is>
      </c>
      <c r="M36" s="16" t="inlineStr">
        <is>
          <t>EECKF23E0130160</t>
        </is>
      </c>
      <c r="N36" s="16">
        <f>LEFT(M36,12)</f>
        <v/>
      </c>
      <c r="O36" s="16" t="inlineStr">
        <is>
          <t>EECKF23E01, (30)Yellow, (160)160</t>
        </is>
      </c>
      <c r="P36" s="16" t="n">
        <v>699</v>
      </c>
      <c r="Q36" s="16" t="n">
        <v>699</v>
      </c>
      <c r="R36" s="16" t="n"/>
      <c r="S36" s="16" t="n"/>
      <c r="T36" s="16" t="n">
        <v>1</v>
      </c>
    </row>
    <row r="37" s="103">
      <c r="A37" s="16" t="inlineStr">
        <is>
          <t>B331</t>
        </is>
      </c>
      <c r="B37" s="16" t="inlineStr">
        <is>
          <t>上海区域</t>
        </is>
      </c>
      <c r="C37" s="16" t="inlineStr">
        <is>
          <t>CN0Q</t>
        </is>
      </c>
      <c r="D37" s="16" t="inlineStr">
        <is>
          <t>EE 苏州比斯特购物村</t>
        </is>
      </c>
      <c r="E37" s="16" t="n">
        <v>4</v>
      </c>
      <c r="F37" s="16" t="inlineStr">
        <is>
          <t>奥特莱斯</t>
        </is>
      </c>
      <c r="G37" s="16" t="inlineStr">
        <is>
          <t>EECKF23E01</t>
        </is>
      </c>
      <c r="H37" s="16" t="n">
        <v>699</v>
      </c>
      <c r="I37" s="16" t="n">
        <v>699</v>
      </c>
      <c r="J37" s="17" t="inlineStr">
        <is>
          <t>########</t>
        </is>
      </c>
      <c r="K37" s="16" t="inlineStr">
        <is>
          <t>(30)Yellow</t>
        </is>
      </c>
      <c r="L37" s="16" t="inlineStr">
        <is>
          <t>营业中</t>
        </is>
      </c>
      <c r="M37" s="16" t="inlineStr">
        <is>
          <t>EECKF23E0130165</t>
        </is>
      </c>
      <c r="N37" s="16">
        <f>LEFT(M37,12)</f>
        <v/>
      </c>
      <c r="O37" s="16" t="inlineStr">
        <is>
          <t>EECKF23E01, (30)Yellow, (165)165</t>
        </is>
      </c>
      <c r="P37" s="16" t="n">
        <v>699</v>
      </c>
      <c r="Q37" s="16" t="n">
        <v>699</v>
      </c>
      <c r="R37" s="16" t="n"/>
      <c r="S37" s="16" t="n"/>
      <c r="T37" s="16" t="n">
        <v>3</v>
      </c>
    </row>
    <row r="38" s="103">
      <c r="A38" s="16" t="inlineStr">
        <is>
          <t>B331</t>
        </is>
      </c>
      <c r="B38" s="16" t="inlineStr">
        <is>
          <t>上海区域</t>
        </is>
      </c>
      <c r="C38" s="16" t="inlineStr">
        <is>
          <t>CN0Q</t>
        </is>
      </c>
      <c r="D38" s="16" t="inlineStr">
        <is>
          <t>EE 苏州比斯特购物村</t>
        </is>
      </c>
      <c r="E38" s="16" t="n">
        <v>4</v>
      </c>
      <c r="F38" s="16" t="inlineStr">
        <is>
          <t>奥特莱斯</t>
        </is>
      </c>
      <c r="G38" s="16" t="inlineStr">
        <is>
          <t>EECKF23E01</t>
        </is>
      </c>
      <c r="H38" s="16" t="n">
        <v>699</v>
      </c>
      <c r="I38" s="16" t="n">
        <v>699</v>
      </c>
      <c r="J38" s="17" t="inlineStr">
        <is>
          <t>########</t>
        </is>
      </c>
      <c r="K38" s="16" t="inlineStr">
        <is>
          <t>(30)Yellow</t>
        </is>
      </c>
      <c r="L38" s="16" t="inlineStr">
        <is>
          <t>营业中</t>
        </is>
      </c>
      <c r="M38" s="16" t="inlineStr">
        <is>
          <t>EECKF23E0130170</t>
        </is>
      </c>
      <c r="N38" s="16">
        <f>LEFT(M38,12)</f>
        <v/>
      </c>
      <c r="O38" s="16" t="inlineStr">
        <is>
          <t>EECKF23E01, (30)Yellow, (170)170</t>
        </is>
      </c>
      <c r="P38" s="16" t="n">
        <v>699</v>
      </c>
      <c r="Q38" s="16" t="n">
        <v>699</v>
      </c>
      <c r="R38" s="16" t="n"/>
      <c r="S38" s="16" t="n"/>
      <c r="T38" s="16" t="n">
        <v>1</v>
      </c>
    </row>
    <row r="39" s="103">
      <c r="A39" s="16" t="inlineStr">
        <is>
          <t>B331</t>
        </is>
      </c>
      <c r="B39" s="16" t="inlineStr">
        <is>
          <t>上海区域</t>
        </is>
      </c>
      <c r="C39" s="16" t="inlineStr">
        <is>
          <t>CN0Q</t>
        </is>
      </c>
      <c r="D39" s="16" t="inlineStr">
        <is>
          <t>EE 苏州比斯特购物村</t>
        </is>
      </c>
      <c r="E39" s="16" t="n">
        <v>4</v>
      </c>
      <c r="F39" s="16" t="inlineStr">
        <is>
          <t>奥特莱斯</t>
        </is>
      </c>
      <c r="G39" s="16" t="inlineStr">
        <is>
          <t>EECKF23E01</t>
        </is>
      </c>
      <c r="H39" s="16" t="n">
        <v>699</v>
      </c>
      <c r="I39" s="16" t="n">
        <v>699</v>
      </c>
      <c r="J39" s="17" t="inlineStr">
        <is>
          <t>########</t>
        </is>
      </c>
      <c r="K39" s="16" t="inlineStr">
        <is>
          <t>(39)Ivory</t>
        </is>
      </c>
      <c r="L39" s="16" t="inlineStr">
        <is>
          <t>营业中</t>
        </is>
      </c>
      <c r="M39" s="16" t="inlineStr">
        <is>
          <t>EECKF23E0139160</t>
        </is>
      </c>
      <c r="N39" s="16">
        <f>LEFT(M39,12)</f>
        <v/>
      </c>
      <c r="O39" s="16" t="inlineStr">
        <is>
          <t>EECKF23E01, (39)Ivory, (160)160</t>
        </is>
      </c>
      <c r="P39" s="16" t="n">
        <v>699</v>
      </c>
      <c r="Q39" s="16" t="n">
        <v>699</v>
      </c>
      <c r="R39" s="16" t="n">
        <v>2</v>
      </c>
      <c r="S39" s="16" t="n">
        <v>637</v>
      </c>
      <c r="T39" s="16" t="n">
        <v>0</v>
      </c>
    </row>
    <row r="40" s="103">
      <c r="A40" s="16" t="inlineStr">
        <is>
          <t>B331</t>
        </is>
      </c>
      <c r="B40" s="16" t="inlineStr">
        <is>
          <t>上海区域</t>
        </is>
      </c>
      <c r="C40" s="16" t="inlineStr">
        <is>
          <t>CN0Q</t>
        </is>
      </c>
      <c r="D40" s="16" t="inlineStr">
        <is>
          <t>EE 苏州比斯特购物村</t>
        </is>
      </c>
      <c r="E40" s="16" t="n">
        <v>4</v>
      </c>
      <c r="F40" s="16" t="inlineStr">
        <is>
          <t>奥特莱斯</t>
        </is>
      </c>
      <c r="G40" s="16" t="inlineStr">
        <is>
          <t>EECKF23E01</t>
        </is>
      </c>
      <c r="H40" s="16" t="n">
        <v>699</v>
      </c>
      <c r="I40" s="16" t="n">
        <v>699</v>
      </c>
      <c r="J40" s="17" t="inlineStr">
        <is>
          <t>########</t>
        </is>
      </c>
      <c r="K40" s="16" t="inlineStr">
        <is>
          <t>(39)Ivory</t>
        </is>
      </c>
      <c r="L40" s="16" t="inlineStr">
        <is>
          <t>营业中</t>
        </is>
      </c>
      <c r="M40" s="16" t="inlineStr">
        <is>
          <t>EECKF23E0139165</t>
        </is>
      </c>
      <c r="N40" s="16">
        <f>LEFT(M40,12)</f>
        <v/>
      </c>
      <c r="O40" s="16" t="inlineStr">
        <is>
          <t>EECKF23E01, (39)Ivory, (165)165</t>
        </is>
      </c>
      <c r="P40" s="16" t="n">
        <v>699</v>
      </c>
      <c r="Q40" s="16" t="n">
        <v>699</v>
      </c>
      <c r="R40" s="16" t="n">
        <v>1</v>
      </c>
      <c r="S40" s="16" t="n">
        <v>350</v>
      </c>
      <c r="T40" s="16" t="n">
        <v>2</v>
      </c>
    </row>
    <row r="41" s="103">
      <c r="A41" s="16" t="inlineStr">
        <is>
          <t>B331</t>
        </is>
      </c>
      <c r="B41" s="16" t="inlineStr">
        <is>
          <t>上海区域</t>
        </is>
      </c>
      <c r="C41" s="16" t="inlineStr">
        <is>
          <t>CN0Q</t>
        </is>
      </c>
      <c r="D41" s="16" t="inlineStr">
        <is>
          <t>EE 苏州比斯特购物村</t>
        </is>
      </c>
      <c r="E41" s="16" t="n">
        <v>4</v>
      </c>
      <c r="F41" s="16" t="inlineStr">
        <is>
          <t>奥特莱斯</t>
        </is>
      </c>
      <c r="G41" s="16" t="inlineStr">
        <is>
          <t>EECKF23E01</t>
        </is>
      </c>
      <c r="H41" s="16" t="n">
        <v>699</v>
      </c>
      <c r="I41" s="16" t="n">
        <v>699</v>
      </c>
      <c r="J41" s="17" t="inlineStr">
        <is>
          <t>########</t>
        </is>
      </c>
      <c r="K41" s="16" t="inlineStr">
        <is>
          <t>(39)Ivory</t>
        </is>
      </c>
      <c r="L41" s="16" t="inlineStr">
        <is>
          <t>营业中</t>
        </is>
      </c>
      <c r="M41" s="16" t="inlineStr">
        <is>
          <t>EECKF23E0139170</t>
        </is>
      </c>
      <c r="N41" s="16">
        <f>LEFT(M41,12)</f>
        <v/>
      </c>
      <c r="O41" s="16" t="inlineStr">
        <is>
          <t>EECKF23E01, (39)Ivory, (170)170</t>
        </is>
      </c>
      <c r="P41" s="16" t="n">
        <v>699</v>
      </c>
      <c r="Q41" s="16" t="n">
        <v>699</v>
      </c>
      <c r="R41" s="16" t="n"/>
      <c r="S41" s="16" t="n"/>
      <c r="T41" s="16" t="n">
        <v>1</v>
      </c>
    </row>
    <row r="42" s="103">
      <c r="A42" s="16" t="inlineStr">
        <is>
          <t>B331</t>
        </is>
      </c>
      <c r="B42" s="16" t="inlineStr">
        <is>
          <t>上海区域</t>
        </is>
      </c>
      <c r="C42" s="16" t="inlineStr">
        <is>
          <t>CN0Q</t>
        </is>
      </c>
      <c r="D42" s="16" t="inlineStr">
        <is>
          <t>EE 苏州比斯特购物村</t>
        </is>
      </c>
      <c r="E42" s="16" t="n">
        <v>4</v>
      </c>
      <c r="F42" s="16" t="inlineStr">
        <is>
          <t>奥特莱斯</t>
        </is>
      </c>
      <c r="G42" s="16" t="inlineStr">
        <is>
          <t>EECKF23E01</t>
        </is>
      </c>
      <c r="H42" s="16" t="n">
        <v>699</v>
      </c>
      <c r="I42" s="16" t="n">
        <v>699</v>
      </c>
      <c r="J42" s="17" t="inlineStr">
        <is>
          <t>########</t>
        </is>
      </c>
      <c r="K42" s="16" t="inlineStr">
        <is>
          <t>(51)L/Blue</t>
        </is>
      </c>
      <c r="L42" s="16" t="inlineStr">
        <is>
          <t>营业中</t>
        </is>
      </c>
      <c r="M42" s="16" t="inlineStr">
        <is>
          <t>EECKF23E0151160</t>
        </is>
      </c>
      <c r="N42" s="16">
        <f>LEFT(M42,12)</f>
        <v/>
      </c>
      <c r="O42" s="16" t="inlineStr">
        <is>
          <t>EECKF23E01, (51)L/Blue, (160)160</t>
        </is>
      </c>
      <c r="P42" s="16" t="n">
        <v>699</v>
      </c>
      <c r="Q42" s="16" t="n">
        <v>699</v>
      </c>
      <c r="R42" s="16" t="n">
        <v>1</v>
      </c>
      <c r="S42" s="16" t="n">
        <v>318</v>
      </c>
      <c r="T42" s="16" t="n">
        <v>1</v>
      </c>
    </row>
    <row r="43" s="103">
      <c r="A43" s="16" t="inlineStr">
        <is>
          <t>B331</t>
        </is>
      </c>
      <c r="B43" s="16" t="inlineStr">
        <is>
          <t>上海区域</t>
        </is>
      </c>
      <c r="C43" s="16" t="inlineStr">
        <is>
          <t>CN0Q</t>
        </is>
      </c>
      <c r="D43" s="16" t="inlineStr">
        <is>
          <t>EE 苏州比斯特购物村</t>
        </is>
      </c>
      <c r="E43" s="16" t="n">
        <v>4</v>
      </c>
      <c r="F43" s="16" t="inlineStr">
        <is>
          <t>奥特莱斯</t>
        </is>
      </c>
      <c r="G43" s="16" t="inlineStr">
        <is>
          <t>EECKF23E01</t>
        </is>
      </c>
      <c r="H43" s="16" t="n">
        <v>699</v>
      </c>
      <c r="I43" s="16" t="n">
        <v>699</v>
      </c>
      <c r="J43" s="17" t="inlineStr">
        <is>
          <t>########</t>
        </is>
      </c>
      <c r="K43" s="16" t="inlineStr">
        <is>
          <t>(51)L/Blue</t>
        </is>
      </c>
      <c r="L43" s="16" t="inlineStr">
        <is>
          <t>营业中</t>
        </is>
      </c>
      <c r="M43" s="16" t="inlineStr">
        <is>
          <t>EECKF23E0151165</t>
        </is>
      </c>
      <c r="N43" s="16">
        <f>LEFT(M43,12)</f>
        <v/>
      </c>
      <c r="O43" s="16" t="inlineStr">
        <is>
          <t>EECKF23E01, (51)L/Blue, (165)165</t>
        </is>
      </c>
      <c r="P43" s="16" t="n">
        <v>699</v>
      </c>
      <c r="Q43" s="16" t="n">
        <v>699</v>
      </c>
      <c r="R43" s="16" t="n">
        <v>1</v>
      </c>
      <c r="S43" s="16" t="n">
        <v>190</v>
      </c>
      <c r="T43" s="16" t="n">
        <v>2</v>
      </c>
    </row>
    <row r="44" s="103">
      <c r="A44" s="16" t="inlineStr">
        <is>
          <t>B331</t>
        </is>
      </c>
      <c r="B44" s="16" t="inlineStr">
        <is>
          <t>上海区域</t>
        </is>
      </c>
      <c r="C44" s="16" t="inlineStr">
        <is>
          <t>CN0Q</t>
        </is>
      </c>
      <c r="D44" s="16" t="inlineStr">
        <is>
          <t>EE 苏州比斯特购物村</t>
        </is>
      </c>
      <c r="E44" s="16" t="n">
        <v>4</v>
      </c>
      <c r="F44" s="16" t="inlineStr">
        <is>
          <t>奥特莱斯</t>
        </is>
      </c>
      <c r="G44" s="16" t="inlineStr">
        <is>
          <t>EECKF23E01</t>
        </is>
      </c>
      <c r="H44" s="16" t="n">
        <v>699</v>
      </c>
      <c r="I44" s="16" t="n">
        <v>699</v>
      </c>
      <c r="J44" s="17" t="inlineStr">
        <is>
          <t>########</t>
        </is>
      </c>
      <c r="K44" s="16" t="inlineStr">
        <is>
          <t>(51)L/Blue</t>
        </is>
      </c>
      <c r="L44" s="16" t="inlineStr">
        <is>
          <t>营业中</t>
        </is>
      </c>
      <c r="M44" s="16" t="inlineStr">
        <is>
          <t>EECKF23E0151170</t>
        </is>
      </c>
      <c r="N44" s="16">
        <f>LEFT(M44,12)</f>
        <v/>
      </c>
      <c r="O44" s="16" t="inlineStr">
        <is>
          <t>EECKF23E01, (51)L/Blue, (170)170</t>
        </is>
      </c>
      <c r="P44" s="16" t="n">
        <v>699</v>
      </c>
      <c r="Q44" s="16" t="n">
        <v>699</v>
      </c>
      <c r="R44" s="16" t="n"/>
      <c r="S44" s="16" t="n"/>
      <c r="T44" s="16" t="n">
        <v>1</v>
      </c>
    </row>
    <row r="45" s="103">
      <c r="A45" s="16" t="inlineStr">
        <is>
          <t>B331</t>
        </is>
      </c>
      <c r="B45" s="16" t="inlineStr">
        <is>
          <t>上海区域</t>
        </is>
      </c>
      <c r="C45" s="16" t="inlineStr">
        <is>
          <t>CN0Q</t>
        </is>
      </c>
      <c r="D45" s="16" t="inlineStr">
        <is>
          <t>EE 苏州比斯特购物村</t>
        </is>
      </c>
      <c r="E45" s="16" t="n">
        <v>4</v>
      </c>
      <c r="F45" s="16" t="inlineStr">
        <is>
          <t>奥特莱斯</t>
        </is>
      </c>
      <c r="G45" s="16" t="inlineStr">
        <is>
          <t>EECKF23E02</t>
        </is>
      </c>
      <c r="H45" s="16" t="n">
        <v>699</v>
      </c>
      <c r="I45" s="16" t="n">
        <v>699</v>
      </c>
      <c r="J45" s="17" t="n">
        <v>45659</v>
      </c>
      <c r="K45" s="16" t="inlineStr">
        <is>
          <t>(15)Grey</t>
        </is>
      </c>
      <c r="L45" s="16" t="inlineStr">
        <is>
          <t>营业中</t>
        </is>
      </c>
      <c r="M45" s="16" t="inlineStr">
        <is>
          <t>EECKF23E0215160</t>
        </is>
      </c>
      <c r="N45" s="16">
        <f>LEFT(M45,12)</f>
        <v/>
      </c>
      <c r="O45" s="16" t="inlineStr">
        <is>
          <t>EECKF23E02, (15)Grey, (160)160</t>
        </is>
      </c>
      <c r="P45" s="16" t="n">
        <v>699</v>
      </c>
      <c r="Q45" s="16" t="n">
        <v>699</v>
      </c>
      <c r="R45" s="16" t="n"/>
      <c r="S45" s="16" t="n"/>
      <c r="T45" s="16" t="n">
        <v>3</v>
      </c>
    </row>
    <row r="46" s="103">
      <c r="A46" s="16" t="inlineStr">
        <is>
          <t>B331</t>
        </is>
      </c>
      <c r="B46" s="16" t="inlineStr">
        <is>
          <t>上海区域</t>
        </is>
      </c>
      <c r="C46" s="16" t="inlineStr">
        <is>
          <t>CN0Q</t>
        </is>
      </c>
      <c r="D46" s="16" t="inlineStr">
        <is>
          <t>EE 苏州比斯特购物村</t>
        </is>
      </c>
      <c r="E46" s="16" t="n">
        <v>4</v>
      </c>
      <c r="F46" s="16" t="inlineStr">
        <is>
          <t>奥特莱斯</t>
        </is>
      </c>
      <c r="G46" s="16" t="inlineStr">
        <is>
          <t>EECKF23E02</t>
        </is>
      </c>
      <c r="H46" s="16" t="n">
        <v>699</v>
      </c>
      <c r="I46" s="16" t="n">
        <v>699</v>
      </c>
      <c r="J46" s="17" t="n">
        <v>45659</v>
      </c>
      <c r="K46" s="16" t="inlineStr">
        <is>
          <t>(15)Grey</t>
        </is>
      </c>
      <c r="L46" s="16" t="inlineStr">
        <is>
          <t>营业中</t>
        </is>
      </c>
      <c r="M46" s="16" t="inlineStr">
        <is>
          <t>EECKF23E0215165</t>
        </is>
      </c>
      <c r="N46" s="16">
        <f>LEFT(M46,12)</f>
        <v/>
      </c>
      <c r="O46" s="16" t="inlineStr">
        <is>
          <t>EECKF23E02, (15)Grey, (165)165</t>
        </is>
      </c>
      <c r="P46" s="16" t="n">
        <v>699</v>
      </c>
      <c r="Q46" s="16" t="n">
        <v>699</v>
      </c>
      <c r="R46" s="16" t="n"/>
      <c r="S46" s="16" t="n"/>
      <c r="T46" s="16" t="n">
        <v>3</v>
      </c>
    </row>
    <row r="47" s="103">
      <c r="A47" s="16" t="inlineStr">
        <is>
          <t>B331</t>
        </is>
      </c>
      <c r="B47" s="16" t="inlineStr">
        <is>
          <t>上海区域</t>
        </is>
      </c>
      <c r="C47" s="16" t="inlineStr">
        <is>
          <t>CN0Q</t>
        </is>
      </c>
      <c r="D47" s="16" t="inlineStr">
        <is>
          <t>EE 苏州比斯特购物村</t>
        </is>
      </c>
      <c r="E47" s="16" t="n">
        <v>4</v>
      </c>
      <c r="F47" s="16" t="inlineStr">
        <is>
          <t>奥特莱斯</t>
        </is>
      </c>
      <c r="G47" s="16" t="inlineStr">
        <is>
          <t>EECKF23E02</t>
        </is>
      </c>
      <c r="H47" s="16" t="n">
        <v>699</v>
      </c>
      <c r="I47" s="16" t="n">
        <v>699</v>
      </c>
      <c r="J47" s="17" t="n">
        <v>45659</v>
      </c>
      <c r="K47" s="16" t="inlineStr">
        <is>
          <t>(15)Grey</t>
        </is>
      </c>
      <c r="L47" s="16" t="inlineStr">
        <is>
          <t>营业中</t>
        </is>
      </c>
      <c r="M47" s="16" t="inlineStr">
        <is>
          <t>EECKF23E0215170</t>
        </is>
      </c>
      <c r="N47" s="16">
        <f>LEFT(M47,12)</f>
        <v/>
      </c>
      <c r="O47" s="16" t="inlineStr">
        <is>
          <t>EECKF23E02, (15)Grey, (170)170</t>
        </is>
      </c>
      <c r="P47" s="16" t="n">
        <v>699</v>
      </c>
      <c r="Q47" s="16" t="n">
        <v>699</v>
      </c>
      <c r="R47" s="16" t="n"/>
      <c r="S47" s="16" t="n"/>
      <c r="T47" s="16" t="n">
        <v>4</v>
      </c>
    </row>
    <row r="48" s="103">
      <c r="A48" s="16" t="inlineStr">
        <is>
          <t>B331</t>
        </is>
      </c>
      <c r="B48" s="16" t="inlineStr">
        <is>
          <t>上海区域</t>
        </is>
      </c>
      <c r="C48" s="16" t="inlineStr">
        <is>
          <t>CN0Q</t>
        </is>
      </c>
      <c r="D48" s="16" t="inlineStr">
        <is>
          <t>EE 苏州比斯特购物村</t>
        </is>
      </c>
      <c r="E48" s="16" t="n">
        <v>4</v>
      </c>
      <c r="F48" s="16" t="inlineStr">
        <is>
          <t>奥特莱斯</t>
        </is>
      </c>
      <c r="G48" s="16" t="inlineStr">
        <is>
          <t>EECKF23E02</t>
        </is>
      </c>
      <c r="H48" s="16" t="n">
        <v>699</v>
      </c>
      <c r="I48" s="16" t="n">
        <v>699</v>
      </c>
      <c r="J48" s="17" t="n">
        <v>45659</v>
      </c>
      <c r="K48" s="16" t="inlineStr">
        <is>
          <t>(35)Beige</t>
        </is>
      </c>
      <c r="L48" s="16" t="inlineStr">
        <is>
          <t>营业中</t>
        </is>
      </c>
      <c r="M48" s="16" t="inlineStr">
        <is>
          <t>EECKF23E0235160</t>
        </is>
      </c>
      <c r="N48" s="16">
        <f>LEFT(M48,12)</f>
        <v/>
      </c>
      <c r="O48" s="16" t="inlineStr">
        <is>
          <t>EECKF23E02, (35)Beige, (160)160</t>
        </is>
      </c>
      <c r="P48" s="16" t="n">
        <v>699</v>
      </c>
      <c r="Q48" s="16" t="n">
        <v>699</v>
      </c>
      <c r="R48" s="16" t="n"/>
      <c r="S48" s="16" t="n"/>
      <c r="T48" s="16" t="n">
        <v>2</v>
      </c>
    </row>
    <row r="49" s="103">
      <c r="A49" s="16" t="inlineStr">
        <is>
          <t>B331</t>
        </is>
      </c>
      <c r="B49" s="16" t="inlineStr">
        <is>
          <t>上海区域</t>
        </is>
      </c>
      <c r="C49" s="16" t="inlineStr">
        <is>
          <t>CN0Q</t>
        </is>
      </c>
      <c r="D49" s="16" t="inlineStr">
        <is>
          <t>EE 苏州比斯特购物村</t>
        </is>
      </c>
      <c r="E49" s="16" t="n">
        <v>4</v>
      </c>
      <c r="F49" s="16" t="inlineStr">
        <is>
          <t>奥特莱斯</t>
        </is>
      </c>
      <c r="G49" s="16" t="inlineStr">
        <is>
          <t>EECKF23E02</t>
        </is>
      </c>
      <c r="H49" s="16" t="n">
        <v>699</v>
      </c>
      <c r="I49" s="16" t="n">
        <v>699</v>
      </c>
      <c r="J49" s="17" t="n">
        <v>45659</v>
      </c>
      <c r="K49" s="16" t="inlineStr">
        <is>
          <t>(35)Beige</t>
        </is>
      </c>
      <c r="L49" s="16" t="inlineStr">
        <is>
          <t>营业中</t>
        </is>
      </c>
      <c r="M49" s="16" t="inlineStr">
        <is>
          <t>EECKF23E0235165</t>
        </is>
      </c>
      <c r="N49" s="16">
        <f>LEFT(M49,12)</f>
        <v/>
      </c>
      <c r="O49" s="16" t="inlineStr">
        <is>
          <t>EECKF23E02, (35)Beige, (165)165</t>
        </is>
      </c>
      <c r="P49" s="16" t="n">
        <v>699</v>
      </c>
      <c r="Q49" s="16" t="n">
        <v>699</v>
      </c>
      <c r="R49" s="16" t="n"/>
      <c r="S49" s="16" t="n"/>
      <c r="T49" s="16" t="n">
        <v>3</v>
      </c>
    </row>
    <row r="50" s="103">
      <c r="A50" s="16" t="inlineStr">
        <is>
          <t>B331</t>
        </is>
      </c>
      <c r="B50" s="16" t="inlineStr">
        <is>
          <t>上海区域</t>
        </is>
      </c>
      <c r="C50" s="16" t="inlineStr">
        <is>
          <t>CN0Q</t>
        </is>
      </c>
      <c r="D50" s="16" t="inlineStr">
        <is>
          <t>EE 苏州比斯特购物村</t>
        </is>
      </c>
      <c r="E50" s="16" t="n">
        <v>4</v>
      </c>
      <c r="F50" s="16" t="inlineStr">
        <is>
          <t>奥特莱斯</t>
        </is>
      </c>
      <c r="G50" s="16" t="inlineStr">
        <is>
          <t>EECKF23E02</t>
        </is>
      </c>
      <c r="H50" s="16" t="n">
        <v>699</v>
      </c>
      <c r="I50" s="16" t="n">
        <v>699</v>
      </c>
      <c r="J50" s="17" t="n">
        <v>45659</v>
      </c>
      <c r="K50" s="16" t="inlineStr">
        <is>
          <t>(35)Beige</t>
        </is>
      </c>
      <c r="L50" s="16" t="inlineStr">
        <is>
          <t>营业中</t>
        </is>
      </c>
      <c r="M50" s="16" t="inlineStr">
        <is>
          <t>EECKF23E0235170</t>
        </is>
      </c>
      <c r="N50" s="16">
        <f>LEFT(M50,12)</f>
        <v/>
      </c>
      <c r="O50" s="16" t="inlineStr">
        <is>
          <t>EECKF23E02, (35)Beige, (170)170</t>
        </is>
      </c>
      <c r="P50" s="16" t="n">
        <v>699</v>
      </c>
      <c r="Q50" s="16" t="n">
        <v>699</v>
      </c>
      <c r="R50" s="16" t="n"/>
      <c r="S50" s="16" t="n"/>
      <c r="T50" s="16" t="n">
        <v>1</v>
      </c>
    </row>
    <row r="51" s="103">
      <c r="A51" s="16" t="inlineStr">
        <is>
          <t>B331</t>
        </is>
      </c>
      <c r="B51" s="16" t="inlineStr">
        <is>
          <t>上海区域</t>
        </is>
      </c>
      <c r="C51" s="16" t="inlineStr">
        <is>
          <t>CN0Q</t>
        </is>
      </c>
      <c r="D51" s="16" t="inlineStr">
        <is>
          <t>EE 苏州比斯特购物村</t>
        </is>
      </c>
      <c r="E51" s="16" t="n">
        <v>4</v>
      </c>
      <c r="F51" s="16" t="inlineStr">
        <is>
          <t>奥特莱斯</t>
        </is>
      </c>
      <c r="G51" s="16" t="inlineStr">
        <is>
          <t>EECKF23E02</t>
        </is>
      </c>
      <c r="H51" s="16" t="n">
        <v>699</v>
      </c>
      <c r="I51" s="16" t="n">
        <v>699</v>
      </c>
      <c r="J51" s="17" t="n">
        <v>45659</v>
      </c>
      <c r="K51" s="16" t="inlineStr">
        <is>
          <t>(39)Ivory</t>
        </is>
      </c>
      <c r="L51" s="16" t="inlineStr">
        <is>
          <t>营业中</t>
        </is>
      </c>
      <c r="M51" s="16" t="inlineStr">
        <is>
          <t>EECKF23E0239160</t>
        </is>
      </c>
      <c r="N51" s="16">
        <f>LEFT(M51,12)</f>
        <v/>
      </c>
      <c r="O51" s="16" t="inlineStr">
        <is>
          <t>EECKF23E02, (39)Ivory, (160)160</t>
        </is>
      </c>
      <c r="P51" s="16" t="n">
        <v>699</v>
      </c>
      <c r="Q51" s="16" t="n">
        <v>699</v>
      </c>
      <c r="R51" s="16" t="n"/>
      <c r="S51" s="16" t="n"/>
      <c r="T51" s="16" t="n">
        <v>3</v>
      </c>
    </row>
    <row r="52" s="103">
      <c r="A52" s="16" t="inlineStr">
        <is>
          <t>B331</t>
        </is>
      </c>
      <c r="B52" s="16" t="inlineStr">
        <is>
          <t>上海区域</t>
        </is>
      </c>
      <c r="C52" s="16" t="inlineStr">
        <is>
          <t>CN0Q</t>
        </is>
      </c>
      <c r="D52" s="16" t="inlineStr">
        <is>
          <t>EE 苏州比斯特购物村</t>
        </is>
      </c>
      <c r="E52" s="16" t="n">
        <v>4</v>
      </c>
      <c r="F52" s="16" t="inlineStr">
        <is>
          <t>奥特莱斯</t>
        </is>
      </c>
      <c r="G52" s="16" t="inlineStr">
        <is>
          <t>EECKF23E02</t>
        </is>
      </c>
      <c r="H52" s="16" t="n">
        <v>699</v>
      </c>
      <c r="I52" s="16" t="n">
        <v>699</v>
      </c>
      <c r="J52" s="17" t="n">
        <v>45659</v>
      </c>
      <c r="K52" s="16" t="inlineStr">
        <is>
          <t>(39)Ivory</t>
        </is>
      </c>
      <c r="L52" s="16" t="inlineStr">
        <is>
          <t>营业中</t>
        </is>
      </c>
      <c r="M52" s="16" t="inlineStr">
        <is>
          <t>EECKF23E0239165</t>
        </is>
      </c>
      <c r="N52" s="16">
        <f>LEFT(M52,12)</f>
        <v/>
      </c>
      <c r="O52" s="16" t="inlineStr">
        <is>
          <t>EECKF23E02, (39)Ivory, (165)165</t>
        </is>
      </c>
      <c r="P52" s="16" t="n">
        <v>699</v>
      </c>
      <c r="Q52" s="16" t="n">
        <v>699</v>
      </c>
      <c r="R52" s="16" t="n"/>
      <c r="S52" s="16" t="n"/>
      <c r="T52" s="16" t="n">
        <v>4</v>
      </c>
    </row>
    <row r="53" s="103">
      <c r="A53" s="16" t="inlineStr">
        <is>
          <t>B331</t>
        </is>
      </c>
      <c r="B53" s="16" t="inlineStr">
        <is>
          <t>上海区域</t>
        </is>
      </c>
      <c r="C53" s="16" t="inlineStr">
        <is>
          <t>CN0Q</t>
        </is>
      </c>
      <c r="D53" s="16" t="inlineStr">
        <is>
          <t>EE 苏州比斯特购物村</t>
        </is>
      </c>
      <c r="E53" s="16" t="n">
        <v>4</v>
      </c>
      <c r="F53" s="16" t="inlineStr">
        <is>
          <t>奥特莱斯</t>
        </is>
      </c>
      <c r="G53" s="16" t="inlineStr">
        <is>
          <t>EECKF23E02</t>
        </is>
      </c>
      <c r="H53" s="16" t="n">
        <v>699</v>
      </c>
      <c r="I53" s="16" t="n">
        <v>699</v>
      </c>
      <c r="J53" s="17" t="n">
        <v>45659</v>
      </c>
      <c r="K53" s="16" t="inlineStr">
        <is>
          <t>(39)Ivory</t>
        </is>
      </c>
      <c r="L53" s="16" t="inlineStr">
        <is>
          <t>营业中</t>
        </is>
      </c>
      <c r="M53" s="16" t="inlineStr">
        <is>
          <t>EECKF23E0239170</t>
        </is>
      </c>
      <c r="N53" s="16">
        <f>LEFT(M53,12)</f>
        <v/>
      </c>
      <c r="O53" s="16" t="inlineStr">
        <is>
          <t>EECKF23E02, (39)Ivory, (170)170</t>
        </is>
      </c>
      <c r="P53" s="16" t="n">
        <v>699</v>
      </c>
      <c r="Q53" s="16" t="n">
        <v>699</v>
      </c>
      <c r="R53" s="16" t="n"/>
      <c r="S53" s="16" t="n"/>
      <c r="T53" s="16" t="n">
        <v>3</v>
      </c>
    </row>
    <row r="54" s="103">
      <c r="A54" s="16" t="inlineStr">
        <is>
          <t>B331</t>
        </is>
      </c>
      <c r="B54" s="16" t="inlineStr">
        <is>
          <t>上海区域</t>
        </is>
      </c>
      <c r="C54" s="16" t="inlineStr">
        <is>
          <t>CN0Q</t>
        </is>
      </c>
      <c r="D54" s="16" t="inlineStr">
        <is>
          <t>EE 苏州比斯特购物村</t>
        </is>
      </c>
      <c r="E54" s="16" t="n">
        <v>4</v>
      </c>
      <c r="F54" s="16" t="inlineStr">
        <is>
          <t>奥特莱斯</t>
        </is>
      </c>
      <c r="G54" s="16" t="inlineStr">
        <is>
          <t>EECKF23E02</t>
        </is>
      </c>
      <c r="H54" s="16" t="n">
        <v>699</v>
      </c>
      <c r="I54" s="16" t="n">
        <v>699</v>
      </c>
      <c r="J54" s="17" t="n">
        <v>45659</v>
      </c>
      <c r="K54" s="16" t="inlineStr">
        <is>
          <t>(63)Royal</t>
        </is>
      </c>
      <c r="L54" s="16" t="inlineStr">
        <is>
          <t>营业中</t>
        </is>
      </c>
      <c r="M54" s="16" t="inlineStr">
        <is>
          <t>EECKF23E0263160</t>
        </is>
      </c>
      <c r="N54" s="16">
        <f>LEFT(M54,12)</f>
        <v/>
      </c>
      <c r="O54" s="16" t="inlineStr">
        <is>
          <t>EECKF23E02, (63)Royal, (160)160</t>
        </is>
      </c>
      <c r="P54" s="16" t="n">
        <v>699</v>
      </c>
      <c r="Q54" s="16" t="n">
        <v>699</v>
      </c>
      <c r="R54" s="16" t="n"/>
      <c r="S54" s="16" t="n"/>
      <c r="T54" s="16" t="n">
        <v>2</v>
      </c>
    </row>
    <row r="55" s="103">
      <c r="A55" s="16" t="inlineStr">
        <is>
          <t>B331</t>
        </is>
      </c>
      <c r="B55" s="16" t="inlineStr">
        <is>
          <t>上海区域</t>
        </is>
      </c>
      <c r="C55" s="16" t="inlineStr">
        <is>
          <t>CN0Q</t>
        </is>
      </c>
      <c r="D55" s="16" t="inlineStr">
        <is>
          <t>EE 苏州比斯特购物村</t>
        </is>
      </c>
      <c r="E55" s="16" t="n">
        <v>4</v>
      </c>
      <c r="F55" s="16" t="inlineStr">
        <is>
          <t>奥特莱斯</t>
        </is>
      </c>
      <c r="G55" s="16" t="inlineStr">
        <is>
          <t>EECKF23E02</t>
        </is>
      </c>
      <c r="H55" s="16" t="n">
        <v>699</v>
      </c>
      <c r="I55" s="16" t="n">
        <v>699</v>
      </c>
      <c r="J55" s="17" t="n">
        <v>45659</v>
      </c>
      <c r="K55" s="16" t="inlineStr">
        <is>
          <t>(63)Royal</t>
        </is>
      </c>
      <c r="L55" s="16" t="inlineStr">
        <is>
          <t>营业中</t>
        </is>
      </c>
      <c r="M55" s="16" t="inlineStr">
        <is>
          <t>EECKF23E0263165</t>
        </is>
      </c>
      <c r="N55" s="16">
        <f>LEFT(M55,12)</f>
        <v/>
      </c>
      <c r="O55" s="16" t="inlineStr">
        <is>
          <t>EECKF23E02, (63)Royal, (165)165</t>
        </is>
      </c>
      <c r="P55" s="16" t="n">
        <v>699</v>
      </c>
      <c r="Q55" s="16" t="n">
        <v>699</v>
      </c>
      <c r="R55" s="16" t="n"/>
      <c r="S55" s="16" t="n"/>
      <c r="T55" s="16" t="n">
        <v>3</v>
      </c>
    </row>
    <row r="56" s="103">
      <c r="A56" s="16" t="inlineStr">
        <is>
          <t>B331</t>
        </is>
      </c>
      <c r="B56" s="16" t="inlineStr">
        <is>
          <t>上海区域</t>
        </is>
      </c>
      <c r="C56" s="16" t="inlineStr">
        <is>
          <t>CN0Q</t>
        </is>
      </c>
      <c r="D56" s="16" t="inlineStr">
        <is>
          <t>EE 苏州比斯特购物村</t>
        </is>
      </c>
      <c r="E56" s="16" t="n">
        <v>4</v>
      </c>
      <c r="F56" s="16" t="inlineStr">
        <is>
          <t>奥特莱斯</t>
        </is>
      </c>
      <c r="G56" s="16" t="inlineStr">
        <is>
          <t>EECKF23E02</t>
        </is>
      </c>
      <c r="H56" s="16" t="n">
        <v>699</v>
      </c>
      <c r="I56" s="16" t="n">
        <v>699</v>
      </c>
      <c r="J56" s="17" t="n">
        <v>45659</v>
      </c>
      <c r="K56" s="16" t="inlineStr">
        <is>
          <t>(63)Royal</t>
        </is>
      </c>
      <c r="L56" s="16" t="inlineStr">
        <is>
          <t>营业中</t>
        </is>
      </c>
      <c r="M56" s="16" t="inlineStr">
        <is>
          <t>EECKF23E0263170</t>
        </is>
      </c>
      <c r="N56" s="16">
        <f>LEFT(M56,12)</f>
        <v/>
      </c>
      <c r="O56" s="16" t="inlineStr">
        <is>
          <t>EECKF23E02, (63)Royal, (170)170</t>
        </is>
      </c>
      <c r="P56" s="16" t="n">
        <v>699</v>
      </c>
      <c r="Q56" s="16" t="n">
        <v>699</v>
      </c>
      <c r="R56" s="16" t="n"/>
      <c r="S56" s="16" t="n"/>
      <c r="T56" s="16" t="n">
        <v>1</v>
      </c>
    </row>
    <row r="57" s="103">
      <c r="A57" s="16" t="inlineStr">
        <is>
          <t>B331</t>
        </is>
      </c>
      <c r="B57" s="16" t="inlineStr">
        <is>
          <t>上海区域</t>
        </is>
      </c>
      <c r="C57" s="16" t="inlineStr">
        <is>
          <t>CN0Q</t>
        </is>
      </c>
      <c r="D57" s="16" t="inlineStr">
        <is>
          <t>EE 苏州比斯特购物村</t>
        </is>
      </c>
      <c r="E57" s="16" t="n">
        <v>4</v>
      </c>
      <c r="F57" s="16" t="inlineStr">
        <is>
          <t>奥特莱斯</t>
        </is>
      </c>
      <c r="G57" s="16" t="inlineStr">
        <is>
          <t>EECKF23M03</t>
        </is>
      </c>
      <c r="H57" s="16" t="n">
        <v>699</v>
      </c>
      <c r="I57" s="16" t="n">
        <v>699</v>
      </c>
      <c r="J57" s="17" t="inlineStr">
        <is>
          <t>########</t>
        </is>
      </c>
      <c r="K57" s="16" t="inlineStr">
        <is>
          <t>(39)Ivory</t>
        </is>
      </c>
      <c r="L57" s="16" t="inlineStr">
        <is>
          <t>营业中</t>
        </is>
      </c>
      <c r="M57" s="16" t="inlineStr">
        <is>
          <t>EECKF23M0339160</t>
        </is>
      </c>
      <c r="N57" s="16">
        <f>LEFT(M57,12)</f>
        <v/>
      </c>
      <c r="O57" s="16" t="inlineStr">
        <is>
          <t>EECKF23M03, (39)Ivory, (160)160</t>
        </is>
      </c>
      <c r="P57" s="16" t="n">
        <v>699</v>
      </c>
      <c r="Q57" s="16" t="n">
        <v>699</v>
      </c>
      <c r="R57" s="16" t="n">
        <v>2</v>
      </c>
      <c r="S57" s="16" t="n">
        <v>699</v>
      </c>
      <c r="T57" s="16" t="n">
        <v>0</v>
      </c>
    </row>
    <row r="58" s="103">
      <c r="A58" s="16" t="inlineStr">
        <is>
          <t>B331</t>
        </is>
      </c>
      <c r="B58" s="16" t="inlineStr">
        <is>
          <t>上海区域</t>
        </is>
      </c>
      <c r="C58" s="16" t="inlineStr">
        <is>
          <t>CN0Q</t>
        </is>
      </c>
      <c r="D58" s="16" t="inlineStr">
        <is>
          <t>EE 苏州比斯特购物村</t>
        </is>
      </c>
      <c r="E58" s="16" t="n">
        <v>4</v>
      </c>
      <c r="F58" s="16" t="inlineStr">
        <is>
          <t>奥特莱斯</t>
        </is>
      </c>
      <c r="G58" s="16" t="inlineStr">
        <is>
          <t>EECKF23M03</t>
        </is>
      </c>
      <c r="H58" s="16" t="n">
        <v>699</v>
      </c>
      <c r="I58" s="16" t="n">
        <v>699</v>
      </c>
      <c r="J58" s="17" t="inlineStr">
        <is>
          <t>########</t>
        </is>
      </c>
      <c r="K58" s="16" t="inlineStr">
        <is>
          <t>(39)Ivory</t>
        </is>
      </c>
      <c r="L58" s="16" t="inlineStr">
        <is>
          <t>营业中</t>
        </is>
      </c>
      <c r="M58" s="16" t="inlineStr">
        <is>
          <t>EECKF23M0339165</t>
        </is>
      </c>
      <c r="N58" s="16">
        <f>LEFT(M58,12)</f>
        <v/>
      </c>
      <c r="O58" s="16" t="inlineStr">
        <is>
          <t>EECKF23M03, (39)Ivory, (165)165</t>
        </is>
      </c>
      <c r="P58" s="16" t="n">
        <v>699</v>
      </c>
      <c r="Q58" s="16" t="n">
        <v>699</v>
      </c>
      <c r="R58" s="16" t="n">
        <v>2</v>
      </c>
      <c r="S58" s="16" t="n">
        <v>508</v>
      </c>
      <c r="T58" s="16" t="n">
        <v>0</v>
      </c>
    </row>
    <row r="59" s="103">
      <c r="A59" s="16" t="inlineStr">
        <is>
          <t>B331</t>
        </is>
      </c>
      <c r="B59" s="16" t="inlineStr">
        <is>
          <t>上海区域</t>
        </is>
      </c>
      <c r="C59" s="16" t="inlineStr">
        <is>
          <t>CN0Q</t>
        </is>
      </c>
      <c r="D59" s="16" t="inlineStr">
        <is>
          <t>EE 苏州比斯特购物村</t>
        </is>
      </c>
      <c r="E59" s="16" t="n">
        <v>4</v>
      </c>
      <c r="F59" s="16" t="inlineStr">
        <is>
          <t>奥特莱斯</t>
        </is>
      </c>
      <c r="G59" s="16" t="inlineStr">
        <is>
          <t>EECKF23M03</t>
        </is>
      </c>
      <c r="H59" s="16" t="n">
        <v>699</v>
      </c>
      <c r="I59" s="16" t="n">
        <v>699</v>
      </c>
      <c r="J59" s="17" t="inlineStr">
        <is>
          <t>########</t>
        </is>
      </c>
      <c r="K59" s="16" t="inlineStr">
        <is>
          <t>(39)Ivory</t>
        </is>
      </c>
      <c r="L59" s="16" t="inlineStr">
        <is>
          <t>营业中</t>
        </is>
      </c>
      <c r="M59" s="16" t="inlineStr">
        <is>
          <t>EECKF23M0339170</t>
        </is>
      </c>
      <c r="N59" s="16">
        <f>LEFT(M59,12)</f>
        <v/>
      </c>
      <c r="O59" s="16" t="inlineStr">
        <is>
          <t>EECKF23M03, (39)Ivory, (170)170</t>
        </is>
      </c>
      <c r="P59" s="16" t="n">
        <v>699</v>
      </c>
      <c r="Q59" s="16" t="n">
        <v>699</v>
      </c>
      <c r="R59" s="16" t="n">
        <v>1</v>
      </c>
      <c r="S59" s="16" t="n">
        <v>350</v>
      </c>
      <c r="T59" s="16" t="n">
        <v>0</v>
      </c>
    </row>
    <row r="60" s="103">
      <c r="A60" s="16" t="inlineStr">
        <is>
          <t>B331</t>
        </is>
      </c>
      <c r="B60" s="16" t="inlineStr">
        <is>
          <t>上海区域</t>
        </is>
      </c>
      <c r="C60" s="16" t="inlineStr">
        <is>
          <t>CN0Q</t>
        </is>
      </c>
      <c r="D60" s="16" t="inlineStr">
        <is>
          <t>EE 苏州比斯特购物村</t>
        </is>
      </c>
      <c r="E60" s="16" t="n">
        <v>4</v>
      </c>
      <c r="F60" s="16" t="inlineStr">
        <is>
          <t>奥特莱斯</t>
        </is>
      </c>
      <c r="G60" s="16" t="inlineStr">
        <is>
          <t>EECKF24E03</t>
        </is>
      </c>
      <c r="H60" s="16" t="n">
        <v>699</v>
      </c>
      <c r="I60" s="16" t="n">
        <v>699</v>
      </c>
      <c r="J60" s="17" t="inlineStr">
        <is>
          <t>########</t>
        </is>
      </c>
      <c r="K60" s="16" t="inlineStr">
        <is>
          <t>(15)Grey</t>
        </is>
      </c>
      <c r="L60" s="16" t="inlineStr">
        <is>
          <t>营业中</t>
        </is>
      </c>
      <c r="M60" s="16" t="inlineStr">
        <is>
          <t>EECKF24E0315160</t>
        </is>
      </c>
      <c r="N60" s="16">
        <f>LEFT(M60,12)</f>
        <v/>
      </c>
      <c r="O60" s="16" t="inlineStr">
        <is>
          <t>EECKF24E03, (15)Grey, (160)160</t>
        </is>
      </c>
      <c r="P60" s="16" t="n">
        <v>699</v>
      </c>
      <c r="Q60" s="16" t="n">
        <v>699</v>
      </c>
      <c r="R60" s="16" t="n"/>
      <c r="S60" s="16" t="n"/>
      <c r="T60" s="16" t="n">
        <v>4</v>
      </c>
    </row>
    <row r="61" s="103">
      <c r="A61" s="16" t="inlineStr">
        <is>
          <t>B331</t>
        </is>
      </c>
      <c r="B61" s="16" t="inlineStr">
        <is>
          <t>上海区域</t>
        </is>
      </c>
      <c r="C61" s="16" t="inlineStr">
        <is>
          <t>CN0Q</t>
        </is>
      </c>
      <c r="D61" s="16" t="inlineStr">
        <is>
          <t>EE 苏州比斯特购物村</t>
        </is>
      </c>
      <c r="E61" s="16" t="n">
        <v>4</v>
      </c>
      <c r="F61" s="16" t="inlineStr">
        <is>
          <t>奥特莱斯</t>
        </is>
      </c>
      <c r="G61" s="16" t="inlineStr">
        <is>
          <t>EECKF24E03</t>
        </is>
      </c>
      <c r="H61" s="16" t="n">
        <v>699</v>
      </c>
      <c r="I61" s="16" t="n">
        <v>699</v>
      </c>
      <c r="J61" s="17" t="inlineStr">
        <is>
          <t>########</t>
        </is>
      </c>
      <c r="K61" s="16" t="inlineStr">
        <is>
          <t>(15)Grey</t>
        </is>
      </c>
      <c r="L61" s="16" t="inlineStr">
        <is>
          <t>营业中</t>
        </is>
      </c>
      <c r="M61" s="16" t="inlineStr">
        <is>
          <t>EECKF24E0315165</t>
        </is>
      </c>
      <c r="N61" s="16">
        <f>LEFT(M61,12)</f>
        <v/>
      </c>
      <c r="O61" s="16" t="inlineStr">
        <is>
          <t>EECKF24E03, (15)Grey, (165)165</t>
        </is>
      </c>
      <c r="P61" s="16" t="n">
        <v>699</v>
      </c>
      <c r="Q61" s="16" t="n">
        <v>699</v>
      </c>
      <c r="R61" s="16" t="n"/>
      <c r="S61" s="16" t="n"/>
      <c r="T61" s="16" t="n">
        <v>3</v>
      </c>
    </row>
    <row r="62" s="103">
      <c r="A62" s="16" t="inlineStr">
        <is>
          <t>B331</t>
        </is>
      </c>
      <c r="B62" s="16" t="inlineStr">
        <is>
          <t>上海区域</t>
        </is>
      </c>
      <c r="C62" s="16" t="inlineStr">
        <is>
          <t>CN0Q</t>
        </is>
      </c>
      <c r="D62" s="16" t="inlineStr">
        <is>
          <t>EE 苏州比斯特购物村</t>
        </is>
      </c>
      <c r="E62" s="16" t="n">
        <v>4</v>
      </c>
      <c r="F62" s="16" t="inlineStr">
        <is>
          <t>奥特莱斯</t>
        </is>
      </c>
      <c r="G62" s="16" t="inlineStr">
        <is>
          <t>EECKF24E03</t>
        </is>
      </c>
      <c r="H62" s="16" t="n">
        <v>699</v>
      </c>
      <c r="I62" s="16" t="n">
        <v>699</v>
      </c>
      <c r="J62" s="17" t="inlineStr">
        <is>
          <t>########</t>
        </is>
      </c>
      <c r="K62" s="16" t="inlineStr">
        <is>
          <t>(15)Grey</t>
        </is>
      </c>
      <c r="L62" s="16" t="inlineStr">
        <is>
          <t>营业中</t>
        </is>
      </c>
      <c r="M62" s="16" t="inlineStr">
        <is>
          <t>EECKF24E0315170</t>
        </is>
      </c>
      <c r="N62" s="16">
        <f>LEFT(M62,12)</f>
        <v/>
      </c>
      <c r="O62" s="16" t="inlineStr">
        <is>
          <t>EECKF24E03, (15)Grey, (170)170</t>
        </is>
      </c>
      <c r="P62" s="16" t="n">
        <v>699</v>
      </c>
      <c r="Q62" s="16" t="n">
        <v>699</v>
      </c>
      <c r="R62" s="16" t="n">
        <v>1</v>
      </c>
      <c r="S62" s="16" t="n">
        <v>322</v>
      </c>
      <c r="T62" s="16" t="n">
        <v>1</v>
      </c>
    </row>
    <row r="63" s="103">
      <c r="A63" s="16" t="inlineStr">
        <is>
          <t>B331</t>
        </is>
      </c>
      <c r="B63" s="16" t="inlineStr">
        <is>
          <t>上海区域</t>
        </is>
      </c>
      <c r="C63" s="16" t="inlineStr">
        <is>
          <t>CN0Q</t>
        </is>
      </c>
      <c r="D63" s="16" t="inlineStr">
        <is>
          <t>EE 苏州比斯特购物村</t>
        </is>
      </c>
      <c r="E63" s="16" t="n">
        <v>4</v>
      </c>
      <c r="F63" s="16" t="inlineStr">
        <is>
          <t>奥特莱斯</t>
        </is>
      </c>
      <c r="G63" s="16" t="inlineStr">
        <is>
          <t>EECKF24E03</t>
        </is>
      </c>
      <c r="H63" s="16" t="n">
        <v>699</v>
      </c>
      <c r="I63" s="16" t="n">
        <v>699</v>
      </c>
      <c r="J63" s="17" t="inlineStr">
        <is>
          <t>########</t>
        </is>
      </c>
      <c r="K63" s="16" t="inlineStr">
        <is>
          <t>(31)L/Yellow</t>
        </is>
      </c>
      <c r="L63" s="16" t="inlineStr">
        <is>
          <t>营业中</t>
        </is>
      </c>
      <c r="M63" s="16" t="inlineStr">
        <is>
          <t>EECKF24E0331160</t>
        </is>
      </c>
      <c r="N63" s="16">
        <f>LEFT(M63,12)</f>
        <v/>
      </c>
      <c r="O63" s="16" t="inlineStr">
        <is>
          <t>EECKF24E03, (31)L/Yellow, (160)160</t>
        </is>
      </c>
      <c r="P63" s="16" t="n">
        <v>699</v>
      </c>
      <c r="Q63" s="16" t="n">
        <v>699</v>
      </c>
      <c r="R63" s="16" t="n">
        <v>1</v>
      </c>
      <c r="S63" s="16" t="n">
        <v>327</v>
      </c>
      <c r="T63" s="16" t="n">
        <v>1</v>
      </c>
    </row>
    <row r="64" s="103">
      <c r="A64" s="16" t="inlineStr">
        <is>
          <t>B331</t>
        </is>
      </c>
      <c r="B64" s="16" t="inlineStr">
        <is>
          <t>上海区域</t>
        </is>
      </c>
      <c r="C64" s="16" t="inlineStr">
        <is>
          <t>CN0Q</t>
        </is>
      </c>
      <c r="D64" s="16" t="inlineStr">
        <is>
          <t>EE 苏州比斯特购物村</t>
        </is>
      </c>
      <c r="E64" s="16" t="n">
        <v>4</v>
      </c>
      <c r="F64" s="16" t="inlineStr">
        <is>
          <t>奥特莱斯</t>
        </is>
      </c>
      <c r="G64" s="16" t="inlineStr">
        <is>
          <t>EECKF24E03</t>
        </is>
      </c>
      <c r="H64" s="16" t="n">
        <v>699</v>
      </c>
      <c r="I64" s="16" t="n">
        <v>699</v>
      </c>
      <c r="J64" s="17" t="inlineStr">
        <is>
          <t>########</t>
        </is>
      </c>
      <c r="K64" s="16" t="inlineStr">
        <is>
          <t>(31)L/Yellow</t>
        </is>
      </c>
      <c r="L64" s="16" t="inlineStr">
        <is>
          <t>营业中</t>
        </is>
      </c>
      <c r="M64" s="16" t="inlineStr">
        <is>
          <t>EECKF24E0331165</t>
        </is>
      </c>
      <c r="N64" s="16">
        <f>LEFT(M64,12)</f>
        <v/>
      </c>
      <c r="O64" s="16" t="inlineStr">
        <is>
          <t>EECKF24E03, (31)L/Yellow, (165)165</t>
        </is>
      </c>
      <c r="P64" s="16" t="n">
        <v>699</v>
      </c>
      <c r="Q64" s="16" t="n">
        <v>699</v>
      </c>
      <c r="R64" s="16" t="n"/>
      <c r="S64" s="16" t="n"/>
      <c r="T64" s="16" t="n">
        <v>2</v>
      </c>
    </row>
    <row r="65" s="103">
      <c r="A65" s="16" t="inlineStr">
        <is>
          <t>B331</t>
        </is>
      </c>
      <c r="B65" s="16" t="inlineStr">
        <is>
          <t>上海区域</t>
        </is>
      </c>
      <c r="C65" s="16" t="inlineStr">
        <is>
          <t>CN0Q</t>
        </is>
      </c>
      <c r="D65" s="16" t="inlineStr">
        <is>
          <t>EE 苏州比斯特购物村</t>
        </is>
      </c>
      <c r="E65" s="16" t="n">
        <v>4</v>
      </c>
      <c r="F65" s="16" t="inlineStr">
        <is>
          <t>奥特莱斯</t>
        </is>
      </c>
      <c r="G65" s="16" t="inlineStr">
        <is>
          <t>EECKF24E03</t>
        </is>
      </c>
      <c r="H65" s="16" t="n">
        <v>699</v>
      </c>
      <c r="I65" s="16" t="n">
        <v>699</v>
      </c>
      <c r="J65" s="17" t="inlineStr">
        <is>
          <t>########</t>
        </is>
      </c>
      <c r="K65" s="16" t="inlineStr">
        <is>
          <t>(31)L/Yellow</t>
        </is>
      </c>
      <c r="L65" s="16" t="inlineStr">
        <is>
          <t>营业中</t>
        </is>
      </c>
      <c r="M65" s="16" t="inlineStr">
        <is>
          <t>EECKF24E0331170</t>
        </is>
      </c>
      <c r="N65" s="16">
        <f>LEFT(M65,12)</f>
        <v/>
      </c>
      <c r="O65" s="16" t="inlineStr">
        <is>
          <t>EECKF24E03, (31)L/Yellow, (170)170</t>
        </is>
      </c>
      <c r="P65" s="16" t="n">
        <v>699</v>
      </c>
      <c r="Q65" s="16" t="n">
        <v>699</v>
      </c>
      <c r="R65" s="16" t="n"/>
      <c r="S65" s="16" t="n"/>
      <c r="T65" s="16" t="n">
        <v>2</v>
      </c>
    </row>
    <row r="66" s="103">
      <c r="A66" s="16" t="inlineStr">
        <is>
          <t>B331</t>
        </is>
      </c>
      <c r="B66" s="16" t="inlineStr">
        <is>
          <t>上海区域</t>
        </is>
      </c>
      <c r="C66" s="16" t="inlineStr">
        <is>
          <t>CN0Q</t>
        </is>
      </c>
      <c r="D66" s="16" t="inlineStr">
        <is>
          <t>EE 苏州比斯特购物村</t>
        </is>
      </c>
      <c r="E66" s="16" t="n">
        <v>4</v>
      </c>
      <c r="F66" s="16" t="inlineStr">
        <is>
          <t>奥特莱斯</t>
        </is>
      </c>
      <c r="G66" s="16" t="inlineStr">
        <is>
          <t>EECKF24E03</t>
        </is>
      </c>
      <c r="H66" s="16" t="n">
        <v>699</v>
      </c>
      <c r="I66" s="16" t="n">
        <v>699</v>
      </c>
      <c r="J66" s="17" t="inlineStr">
        <is>
          <t>########</t>
        </is>
      </c>
      <c r="K66" s="16" t="inlineStr">
        <is>
          <t>(59)Navy</t>
        </is>
      </c>
      <c r="L66" s="16" t="inlineStr">
        <is>
          <t>营业中</t>
        </is>
      </c>
      <c r="M66" s="16" t="inlineStr">
        <is>
          <t>EECKF24E0359160</t>
        </is>
      </c>
      <c r="N66" s="16">
        <f>LEFT(M66,12)</f>
        <v/>
      </c>
      <c r="O66" s="16" t="inlineStr">
        <is>
          <t>EECKF24E03, (59)Navy, (160)160</t>
        </is>
      </c>
      <c r="P66" s="16" t="n">
        <v>699</v>
      </c>
      <c r="Q66" s="16" t="n">
        <v>699</v>
      </c>
      <c r="R66" s="16" t="n"/>
      <c r="S66" s="16" t="n"/>
      <c r="T66" s="16" t="n">
        <v>3</v>
      </c>
    </row>
    <row r="67" s="103">
      <c r="A67" s="16" t="inlineStr">
        <is>
          <t>B331</t>
        </is>
      </c>
      <c r="B67" s="16" t="inlineStr">
        <is>
          <t>上海区域</t>
        </is>
      </c>
      <c r="C67" s="16" t="inlineStr">
        <is>
          <t>CN0Q</t>
        </is>
      </c>
      <c r="D67" s="16" t="inlineStr">
        <is>
          <t>EE 苏州比斯特购物村</t>
        </is>
      </c>
      <c r="E67" s="16" t="n">
        <v>4</v>
      </c>
      <c r="F67" s="16" t="inlineStr">
        <is>
          <t>奥特莱斯</t>
        </is>
      </c>
      <c r="G67" s="16" t="inlineStr">
        <is>
          <t>EECKF24E03</t>
        </is>
      </c>
      <c r="H67" s="16" t="n">
        <v>699</v>
      </c>
      <c r="I67" s="16" t="n">
        <v>699</v>
      </c>
      <c r="J67" s="17" t="inlineStr">
        <is>
          <t>########</t>
        </is>
      </c>
      <c r="K67" s="16" t="inlineStr">
        <is>
          <t>(59)Navy</t>
        </is>
      </c>
      <c r="L67" s="16" t="inlineStr">
        <is>
          <t>营业中</t>
        </is>
      </c>
      <c r="M67" s="16" t="inlineStr">
        <is>
          <t>EECKF24E0359165</t>
        </is>
      </c>
      <c r="N67" s="16">
        <f>LEFT(M67,12)</f>
        <v/>
      </c>
      <c r="O67" s="16" t="inlineStr">
        <is>
          <t>EECKF24E03, (59)Navy, (165)165</t>
        </is>
      </c>
      <c r="P67" s="16" t="n">
        <v>699</v>
      </c>
      <c r="Q67" s="16" t="n">
        <v>699</v>
      </c>
      <c r="R67" s="16" t="n"/>
      <c r="S67" s="16" t="n"/>
      <c r="T67" s="16" t="n">
        <v>1</v>
      </c>
    </row>
    <row r="68" s="103">
      <c r="A68" s="16" t="inlineStr">
        <is>
          <t>B331</t>
        </is>
      </c>
      <c r="B68" s="16" t="inlineStr">
        <is>
          <t>上海区域</t>
        </is>
      </c>
      <c r="C68" s="16" t="inlineStr">
        <is>
          <t>CN0Q</t>
        </is>
      </c>
      <c r="D68" s="16" t="inlineStr">
        <is>
          <t>EE 苏州比斯特购物村</t>
        </is>
      </c>
      <c r="E68" s="16" t="n">
        <v>4</v>
      </c>
      <c r="F68" s="16" t="inlineStr">
        <is>
          <t>奥特莱斯</t>
        </is>
      </c>
      <c r="G68" s="16" t="inlineStr">
        <is>
          <t>EECKF24M01</t>
        </is>
      </c>
      <c r="H68" s="16" t="n">
        <v>699</v>
      </c>
      <c r="I68" s="16" t="n">
        <v>699</v>
      </c>
      <c r="J68" s="17" t="inlineStr">
        <is>
          <t>########</t>
        </is>
      </c>
      <c r="K68" s="16" t="inlineStr">
        <is>
          <t>(39)Ivory</t>
        </is>
      </c>
      <c r="L68" s="16" t="inlineStr">
        <is>
          <t>营业中</t>
        </is>
      </c>
      <c r="M68" s="16" t="inlineStr">
        <is>
          <t>EECKF24M0139160</t>
        </is>
      </c>
      <c r="N68" s="16">
        <f>LEFT(M68,12)</f>
        <v/>
      </c>
      <c r="O68" s="16" t="inlineStr">
        <is>
          <t>EECKF24M01, (39)Ivory, (160)160</t>
        </is>
      </c>
      <c r="P68" s="16" t="n">
        <v>699</v>
      </c>
      <c r="Q68" s="16" t="n">
        <v>699</v>
      </c>
      <c r="R68" s="16" t="n"/>
      <c r="S68" s="16" t="n"/>
      <c r="T68" s="16" t="n">
        <v>3</v>
      </c>
    </row>
    <row r="69" s="103">
      <c r="A69" s="16" t="inlineStr">
        <is>
          <t>B331</t>
        </is>
      </c>
      <c r="B69" s="16" t="inlineStr">
        <is>
          <t>上海区域</t>
        </is>
      </c>
      <c r="C69" s="16" t="inlineStr">
        <is>
          <t>CN0Q</t>
        </is>
      </c>
      <c r="D69" s="16" t="inlineStr">
        <is>
          <t>EE 苏州比斯特购物村</t>
        </is>
      </c>
      <c r="E69" s="16" t="n">
        <v>4</v>
      </c>
      <c r="F69" s="16" t="inlineStr">
        <is>
          <t>奥特莱斯</t>
        </is>
      </c>
      <c r="G69" s="16" t="inlineStr">
        <is>
          <t>EECKF24M01</t>
        </is>
      </c>
      <c r="H69" s="16" t="n">
        <v>699</v>
      </c>
      <c r="I69" s="16" t="n">
        <v>699</v>
      </c>
      <c r="J69" s="17" t="inlineStr">
        <is>
          <t>########</t>
        </is>
      </c>
      <c r="K69" s="16" t="inlineStr">
        <is>
          <t>(39)Ivory</t>
        </is>
      </c>
      <c r="L69" s="16" t="inlineStr">
        <is>
          <t>营业中</t>
        </is>
      </c>
      <c r="M69" s="16" t="inlineStr">
        <is>
          <t>EECKF24M0139165</t>
        </is>
      </c>
      <c r="N69" s="16">
        <f>LEFT(M69,12)</f>
        <v/>
      </c>
      <c r="O69" s="16" t="inlineStr">
        <is>
          <t>EECKF24M01, (39)Ivory, (165)165</t>
        </is>
      </c>
      <c r="P69" s="16" t="n">
        <v>699</v>
      </c>
      <c r="Q69" s="16" t="n">
        <v>699</v>
      </c>
      <c r="R69" s="16" t="n"/>
      <c r="S69" s="16" t="n"/>
      <c r="T69" s="16" t="n">
        <v>2</v>
      </c>
    </row>
    <row r="70" s="103">
      <c r="A70" s="16" t="inlineStr">
        <is>
          <t>B331</t>
        </is>
      </c>
      <c r="B70" s="16" t="inlineStr">
        <is>
          <t>上海区域</t>
        </is>
      </c>
      <c r="C70" s="16" t="inlineStr">
        <is>
          <t>CN0Q</t>
        </is>
      </c>
      <c r="D70" s="16" t="inlineStr">
        <is>
          <t>EE 苏州比斯特购物村</t>
        </is>
      </c>
      <c r="E70" s="16" t="n">
        <v>4</v>
      </c>
      <c r="F70" s="16" t="inlineStr">
        <is>
          <t>奥特莱斯</t>
        </is>
      </c>
      <c r="G70" s="16" t="inlineStr">
        <is>
          <t>EECKF24M01</t>
        </is>
      </c>
      <c r="H70" s="16" t="n">
        <v>699</v>
      </c>
      <c r="I70" s="16" t="n">
        <v>699</v>
      </c>
      <c r="J70" s="17" t="inlineStr">
        <is>
          <t>########</t>
        </is>
      </c>
      <c r="K70" s="16" t="inlineStr">
        <is>
          <t>(39)Ivory</t>
        </is>
      </c>
      <c r="L70" s="16" t="inlineStr">
        <is>
          <t>营业中</t>
        </is>
      </c>
      <c r="M70" s="16" t="inlineStr">
        <is>
          <t>EECKF24M0139170</t>
        </is>
      </c>
      <c r="N70" s="16">
        <f>LEFT(M70,12)</f>
        <v/>
      </c>
      <c r="O70" s="16" t="inlineStr">
        <is>
          <t>EECKF24M01, (39)Ivory, (170)170</t>
        </is>
      </c>
      <c r="P70" s="16" t="n">
        <v>699</v>
      </c>
      <c r="Q70" s="16" t="n">
        <v>699</v>
      </c>
      <c r="R70" s="16" t="n"/>
      <c r="S70" s="16" t="n"/>
      <c r="T70" s="16" t="n">
        <v>1</v>
      </c>
    </row>
    <row r="71" s="103">
      <c r="A71" s="16" t="inlineStr">
        <is>
          <t>B331</t>
        </is>
      </c>
      <c r="B71" s="16" t="inlineStr">
        <is>
          <t>上海区域</t>
        </is>
      </c>
      <c r="C71" s="16" t="inlineStr">
        <is>
          <t>CN0Q</t>
        </is>
      </c>
      <c r="D71" s="16" t="inlineStr">
        <is>
          <t>EE 苏州比斯特购物村</t>
        </is>
      </c>
      <c r="E71" s="16" t="n">
        <v>4</v>
      </c>
      <c r="F71" s="16" t="inlineStr">
        <is>
          <t>奥特莱斯</t>
        </is>
      </c>
      <c r="G71" s="16" t="inlineStr">
        <is>
          <t>EECKF24M01</t>
        </is>
      </c>
      <c r="H71" s="16" t="n">
        <v>699</v>
      </c>
      <c r="I71" s="16" t="n">
        <v>699</v>
      </c>
      <c r="J71" s="17" t="inlineStr">
        <is>
          <t>########</t>
        </is>
      </c>
      <c r="K71" s="16" t="inlineStr">
        <is>
          <t>(59)Navy</t>
        </is>
      </c>
      <c r="L71" s="16" t="inlineStr">
        <is>
          <t>营业中</t>
        </is>
      </c>
      <c r="M71" s="16" t="inlineStr">
        <is>
          <t>EECKF24M0159160</t>
        </is>
      </c>
      <c r="N71" s="16">
        <f>LEFT(M71,12)</f>
        <v/>
      </c>
      <c r="O71" s="16" t="inlineStr">
        <is>
          <t>EECKF24M01, (59)Navy, (160)160</t>
        </is>
      </c>
      <c r="P71" s="16" t="n">
        <v>699</v>
      </c>
      <c r="Q71" s="16" t="n">
        <v>699</v>
      </c>
      <c r="R71" s="16" t="n"/>
      <c r="S71" s="16" t="n"/>
      <c r="T71" s="16" t="n">
        <v>3</v>
      </c>
    </row>
    <row r="72" s="103">
      <c r="A72" s="16" t="inlineStr">
        <is>
          <t>B331</t>
        </is>
      </c>
      <c r="B72" s="16" t="inlineStr">
        <is>
          <t>上海区域</t>
        </is>
      </c>
      <c r="C72" s="16" t="inlineStr">
        <is>
          <t>CN0Q</t>
        </is>
      </c>
      <c r="D72" s="16" t="inlineStr">
        <is>
          <t>EE 苏州比斯特购物村</t>
        </is>
      </c>
      <c r="E72" s="16" t="n">
        <v>4</v>
      </c>
      <c r="F72" s="16" t="inlineStr">
        <is>
          <t>奥特莱斯</t>
        </is>
      </c>
      <c r="G72" s="16" t="inlineStr">
        <is>
          <t>EECKF24M01</t>
        </is>
      </c>
      <c r="H72" s="16" t="n">
        <v>699</v>
      </c>
      <c r="I72" s="16" t="n">
        <v>699</v>
      </c>
      <c r="J72" s="17" t="inlineStr">
        <is>
          <t>########</t>
        </is>
      </c>
      <c r="K72" s="16" t="inlineStr">
        <is>
          <t>(59)Navy</t>
        </is>
      </c>
      <c r="L72" s="16" t="inlineStr">
        <is>
          <t>营业中</t>
        </is>
      </c>
      <c r="M72" s="16" t="inlineStr">
        <is>
          <t>EECKF24M0159165</t>
        </is>
      </c>
      <c r="N72" s="16">
        <f>LEFT(M72,12)</f>
        <v/>
      </c>
      <c r="O72" s="16" t="inlineStr">
        <is>
          <t>EECKF24M01, (59)Navy, (165)165</t>
        </is>
      </c>
      <c r="P72" s="16" t="n">
        <v>699</v>
      </c>
      <c r="Q72" s="16" t="n">
        <v>699</v>
      </c>
      <c r="R72" s="16" t="n"/>
      <c r="S72" s="16" t="n"/>
      <c r="T72" s="16" t="n">
        <v>2</v>
      </c>
    </row>
    <row r="73" s="103">
      <c r="A73" s="16" t="inlineStr">
        <is>
          <t>B331</t>
        </is>
      </c>
      <c r="B73" s="16" t="inlineStr">
        <is>
          <t>上海区域</t>
        </is>
      </c>
      <c r="C73" s="16" t="inlineStr">
        <is>
          <t>CN0Q</t>
        </is>
      </c>
      <c r="D73" s="16" t="inlineStr">
        <is>
          <t>EE 苏州比斯特购物村</t>
        </is>
      </c>
      <c r="E73" s="16" t="n">
        <v>4</v>
      </c>
      <c r="F73" s="16" t="inlineStr">
        <is>
          <t>奥特莱斯</t>
        </is>
      </c>
      <c r="G73" s="16" t="inlineStr">
        <is>
          <t>EECKF24M01</t>
        </is>
      </c>
      <c r="H73" s="16" t="n">
        <v>699</v>
      </c>
      <c r="I73" s="16" t="n">
        <v>699</v>
      </c>
      <c r="J73" s="17" t="inlineStr">
        <is>
          <t>########</t>
        </is>
      </c>
      <c r="K73" s="16" t="inlineStr">
        <is>
          <t>(59)Navy</t>
        </is>
      </c>
      <c r="L73" s="16" t="inlineStr">
        <is>
          <t>营业中</t>
        </is>
      </c>
      <c r="M73" s="16" t="inlineStr">
        <is>
          <t>EECKF24M0159170</t>
        </is>
      </c>
      <c r="N73" s="16">
        <f>LEFT(M73,12)</f>
        <v/>
      </c>
      <c r="O73" s="16" t="inlineStr">
        <is>
          <t>EECKF24M01, (59)Navy, (170)170</t>
        </is>
      </c>
      <c r="P73" s="16" t="n">
        <v>699</v>
      </c>
      <c r="Q73" s="16" t="n">
        <v>699</v>
      </c>
      <c r="R73" s="16" t="n"/>
      <c r="S73" s="16" t="n"/>
      <c r="T73" s="16" t="n">
        <v>1</v>
      </c>
    </row>
    <row r="74" s="103">
      <c r="A74" s="16" t="inlineStr">
        <is>
          <t>B331</t>
        </is>
      </c>
      <c r="B74" s="16" t="inlineStr">
        <is>
          <t>上海区域</t>
        </is>
      </c>
      <c r="C74" s="16" t="inlineStr">
        <is>
          <t>CN0Q</t>
        </is>
      </c>
      <c r="D74" s="16" t="inlineStr">
        <is>
          <t>EE 苏州比斯特购物村</t>
        </is>
      </c>
      <c r="E74" s="16" t="n">
        <v>4</v>
      </c>
      <c r="F74" s="16" t="inlineStr">
        <is>
          <t>奥特莱斯</t>
        </is>
      </c>
      <c r="G74" s="16" t="inlineStr">
        <is>
          <t>EECKF24N52</t>
        </is>
      </c>
      <c r="H74" s="16" t="n">
        <v>699</v>
      </c>
      <c r="I74" s="16" t="n">
        <v>699</v>
      </c>
      <c r="J74" s="17" t="inlineStr">
        <is>
          <t>########</t>
        </is>
      </c>
      <c r="K74" s="16" t="inlineStr">
        <is>
          <t>(51)L/Blue</t>
        </is>
      </c>
      <c r="L74" s="16" t="inlineStr">
        <is>
          <t>营业中</t>
        </is>
      </c>
      <c r="M74" s="16" t="inlineStr">
        <is>
          <t>EECKF24N5251160</t>
        </is>
      </c>
      <c r="N74" s="16">
        <f>LEFT(M74,12)</f>
        <v/>
      </c>
      <c r="O74" s="16" t="inlineStr">
        <is>
          <t>EECKF24N52, (51)L/Blue, (160)160</t>
        </is>
      </c>
      <c r="P74" s="16" t="n">
        <v>699</v>
      </c>
      <c r="Q74" s="16" t="n">
        <v>699</v>
      </c>
      <c r="R74" s="16" t="n"/>
      <c r="S74" s="16" t="n"/>
      <c r="T74" s="16" t="n">
        <v>2</v>
      </c>
    </row>
    <row r="75" s="103">
      <c r="A75" s="16" t="inlineStr">
        <is>
          <t>B331</t>
        </is>
      </c>
      <c r="B75" s="16" t="inlineStr">
        <is>
          <t>上海区域</t>
        </is>
      </c>
      <c r="C75" s="16" t="inlineStr">
        <is>
          <t>CN0Q</t>
        </is>
      </c>
      <c r="D75" s="16" t="inlineStr">
        <is>
          <t>EE 苏州比斯特购物村</t>
        </is>
      </c>
      <c r="E75" s="16" t="n">
        <v>4</v>
      </c>
      <c r="F75" s="16" t="inlineStr">
        <is>
          <t>奥特莱斯</t>
        </is>
      </c>
      <c r="G75" s="16" t="inlineStr">
        <is>
          <t>EECKF24N52</t>
        </is>
      </c>
      <c r="H75" s="16" t="n">
        <v>699</v>
      </c>
      <c r="I75" s="16" t="n">
        <v>699</v>
      </c>
      <c r="J75" s="17" t="inlineStr">
        <is>
          <t>########</t>
        </is>
      </c>
      <c r="K75" s="16" t="inlineStr">
        <is>
          <t>(51)L/Blue</t>
        </is>
      </c>
      <c r="L75" s="16" t="inlineStr">
        <is>
          <t>营业中</t>
        </is>
      </c>
      <c r="M75" s="16" t="inlineStr">
        <is>
          <t>EECKF24N5251165</t>
        </is>
      </c>
      <c r="N75" s="16">
        <f>LEFT(M75,12)</f>
        <v/>
      </c>
      <c r="O75" s="16" t="inlineStr">
        <is>
          <t>EECKF24N52, (51)L/Blue, (165)165</t>
        </is>
      </c>
      <c r="P75" s="16" t="n">
        <v>699</v>
      </c>
      <c r="Q75" s="16" t="n">
        <v>699</v>
      </c>
      <c r="R75" s="16" t="n">
        <v>1</v>
      </c>
      <c r="S75" s="16" t="n"/>
      <c r="T75" s="16" t="n">
        <v>1</v>
      </c>
    </row>
    <row r="76" s="103">
      <c r="A76" s="16" t="inlineStr">
        <is>
          <t>B331</t>
        </is>
      </c>
      <c r="B76" s="16" t="inlineStr">
        <is>
          <t>上海区域</t>
        </is>
      </c>
      <c r="C76" s="16" t="inlineStr">
        <is>
          <t>CN0Q</t>
        </is>
      </c>
      <c r="D76" s="16" t="inlineStr">
        <is>
          <t>EE 苏州比斯特购物村</t>
        </is>
      </c>
      <c r="E76" s="16" t="n">
        <v>4</v>
      </c>
      <c r="F76" s="16" t="inlineStr">
        <is>
          <t>奥特莱斯</t>
        </is>
      </c>
      <c r="G76" s="16" t="inlineStr">
        <is>
          <t>EECKF24N52</t>
        </is>
      </c>
      <c r="H76" s="16" t="n">
        <v>699</v>
      </c>
      <c r="I76" s="16" t="n">
        <v>699</v>
      </c>
      <c r="J76" s="17" t="inlineStr">
        <is>
          <t>########</t>
        </is>
      </c>
      <c r="K76" s="16" t="inlineStr">
        <is>
          <t>(51)L/Blue</t>
        </is>
      </c>
      <c r="L76" s="16" t="inlineStr">
        <is>
          <t>营业中</t>
        </is>
      </c>
      <c r="M76" s="16" t="inlineStr">
        <is>
          <t>EECKF24N5251170</t>
        </is>
      </c>
      <c r="N76" s="16">
        <f>LEFT(M76,12)</f>
        <v/>
      </c>
      <c r="O76" s="16" t="inlineStr">
        <is>
          <t>EECKF24N52, (51)L/Blue, (170)170</t>
        </is>
      </c>
      <c r="P76" s="16" t="n">
        <v>699</v>
      </c>
      <c r="Q76" s="16" t="n">
        <v>699</v>
      </c>
      <c r="R76" s="16" t="n"/>
      <c r="S76" s="16" t="n"/>
      <c r="T76" s="16" t="n">
        <v>2</v>
      </c>
    </row>
    <row r="77" s="103">
      <c r="A77" s="16" t="inlineStr">
        <is>
          <t>B331</t>
        </is>
      </c>
      <c r="B77" s="16" t="inlineStr">
        <is>
          <t>上海区域</t>
        </is>
      </c>
      <c r="C77" s="16" t="inlineStr">
        <is>
          <t>CN0Q</t>
        </is>
      </c>
      <c r="D77" s="16" t="inlineStr">
        <is>
          <t>EE 苏州比斯特购物村</t>
        </is>
      </c>
      <c r="E77" s="16" t="n">
        <v>4</v>
      </c>
      <c r="F77" s="16" t="inlineStr">
        <is>
          <t>奥特莱斯</t>
        </is>
      </c>
      <c r="G77" s="16" t="inlineStr">
        <is>
          <t>EECKF24N54</t>
        </is>
      </c>
      <c r="H77" s="16" t="n">
        <v>599</v>
      </c>
      <c r="I77" s="16" t="n">
        <v>599</v>
      </c>
      <c r="J77" s="17" t="n">
        <v>45748</v>
      </c>
      <c r="K77" s="16" t="inlineStr">
        <is>
          <t>(39)Ivory</t>
        </is>
      </c>
      <c r="L77" s="16" t="inlineStr">
        <is>
          <t>营业中</t>
        </is>
      </c>
      <c r="M77" s="16" t="inlineStr">
        <is>
          <t>EECKF24N5439160</t>
        </is>
      </c>
      <c r="N77" s="16">
        <f>LEFT(M77,12)</f>
        <v/>
      </c>
      <c r="O77" s="16" t="inlineStr">
        <is>
          <t>EECKF24N54, (39)Ivory, (160)160</t>
        </is>
      </c>
      <c r="P77" s="16" t="n">
        <v>599</v>
      </c>
      <c r="Q77" s="16" t="n">
        <v>599</v>
      </c>
      <c r="R77" s="16" t="n">
        <v>2</v>
      </c>
      <c r="S77" s="16" t="n"/>
      <c r="T77" s="16" t="n">
        <v>0</v>
      </c>
    </row>
    <row r="78" s="103">
      <c r="A78" s="16" t="inlineStr">
        <is>
          <t>B331</t>
        </is>
      </c>
      <c r="B78" s="16" t="inlineStr">
        <is>
          <t>上海区域</t>
        </is>
      </c>
      <c r="C78" s="16" t="inlineStr">
        <is>
          <t>CN0Q</t>
        </is>
      </c>
      <c r="D78" s="16" t="inlineStr">
        <is>
          <t>EE 苏州比斯特购物村</t>
        </is>
      </c>
      <c r="E78" s="16" t="n">
        <v>4</v>
      </c>
      <c r="F78" s="16" t="inlineStr">
        <is>
          <t>奥特莱斯</t>
        </is>
      </c>
      <c r="G78" s="16" t="inlineStr">
        <is>
          <t>EECKF24N54</t>
        </is>
      </c>
      <c r="H78" s="16" t="n">
        <v>599</v>
      </c>
      <c r="I78" s="16" t="n">
        <v>599</v>
      </c>
      <c r="J78" s="17" t="n">
        <v>45748</v>
      </c>
      <c r="K78" s="16" t="inlineStr">
        <is>
          <t>(39)Ivory</t>
        </is>
      </c>
      <c r="L78" s="16" t="inlineStr">
        <is>
          <t>营业中</t>
        </is>
      </c>
      <c r="M78" s="16" t="inlineStr">
        <is>
          <t>EECKF24N5439165</t>
        </is>
      </c>
      <c r="N78" s="16">
        <f>LEFT(M78,12)</f>
        <v/>
      </c>
      <c r="O78" s="16" t="inlineStr">
        <is>
          <t>EECKF24N54, (39)Ivory, (165)165</t>
        </is>
      </c>
      <c r="P78" s="16" t="n">
        <v>599</v>
      </c>
      <c r="Q78" s="16" t="n">
        <v>599</v>
      </c>
      <c r="R78" s="16" t="n">
        <v>2</v>
      </c>
      <c r="S78" s="16" t="n"/>
      <c r="T78" s="16" t="n">
        <v>0</v>
      </c>
    </row>
    <row r="79" s="103">
      <c r="A79" s="16" t="inlineStr">
        <is>
          <t>B331</t>
        </is>
      </c>
      <c r="B79" s="16" t="inlineStr">
        <is>
          <t>上海区域</t>
        </is>
      </c>
      <c r="C79" s="16" t="inlineStr">
        <is>
          <t>CN0Q</t>
        </is>
      </c>
      <c r="D79" s="16" t="inlineStr">
        <is>
          <t>EE 苏州比斯特购物村</t>
        </is>
      </c>
      <c r="E79" s="16" t="n">
        <v>4</v>
      </c>
      <c r="F79" s="16" t="inlineStr">
        <is>
          <t>奥特莱斯</t>
        </is>
      </c>
      <c r="G79" s="16" t="inlineStr">
        <is>
          <t>EECKF24N54</t>
        </is>
      </c>
      <c r="H79" s="16" t="n">
        <v>599</v>
      </c>
      <c r="I79" s="16" t="n">
        <v>599</v>
      </c>
      <c r="J79" s="17" t="n">
        <v>45748</v>
      </c>
      <c r="K79" s="16" t="inlineStr">
        <is>
          <t>(39)Ivory</t>
        </is>
      </c>
      <c r="L79" s="16" t="inlineStr">
        <is>
          <t>营业中</t>
        </is>
      </c>
      <c r="M79" s="16" t="inlineStr">
        <is>
          <t>EECKF24N5439170</t>
        </is>
      </c>
      <c r="N79" s="16">
        <f>LEFT(M79,12)</f>
        <v/>
      </c>
      <c r="O79" s="16" t="inlineStr">
        <is>
          <t>EECKF24N54, (39)Ivory, (170)170</t>
        </is>
      </c>
      <c r="P79" s="16" t="n">
        <v>599</v>
      </c>
      <c r="Q79" s="16" t="n">
        <v>599</v>
      </c>
      <c r="R79" s="16" t="n">
        <v>3</v>
      </c>
      <c r="S79" s="16" t="n"/>
      <c r="T79" s="16" t="n">
        <v>0</v>
      </c>
    </row>
    <row r="80" s="103">
      <c r="A80" s="16" t="inlineStr">
        <is>
          <t>B331</t>
        </is>
      </c>
      <c r="B80" s="16" t="inlineStr">
        <is>
          <t>上海区域</t>
        </is>
      </c>
      <c r="C80" s="16" t="inlineStr">
        <is>
          <t>CN0Q</t>
        </is>
      </c>
      <c r="D80" s="16" t="inlineStr">
        <is>
          <t>EE 苏州比斯特购物村</t>
        </is>
      </c>
      <c r="E80" s="16" t="n">
        <v>4</v>
      </c>
      <c r="F80" s="16" t="inlineStr">
        <is>
          <t>奥特莱斯</t>
        </is>
      </c>
      <c r="G80" s="16" t="inlineStr">
        <is>
          <t>EECKF24N54</t>
        </is>
      </c>
      <c r="H80" s="16" t="n">
        <v>599</v>
      </c>
      <c r="I80" s="16" t="n">
        <v>599</v>
      </c>
      <c r="J80" s="17" t="n">
        <v>45748</v>
      </c>
      <c r="K80" s="16" t="inlineStr">
        <is>
          <t>(39)Ivory</t>
        </is>
      </c>
      <c r="L80" s="16" t="inlineStr">
        <is>
          <t>营业中</t>
        </is>
      </c>
      <c r="M80" s="16" t="inlineStr">
        <is>
          <t>EECKF24N5439175</t>
        </is>
      </c>
      <c r="N80" s="16">
        <f>LEFT(M80,12)</f>
        <v/>
      </c>
      <c r="O80" s="16" t="inlineStr">
        <is>
          <t>EECKF24N54, (39)Ivory, (175)175</t>
        </is>
      </c>
      <c r="P80" s="16" t="n">
        <v>599</v>
      </c>
      <c r="Q80" s="16" t="n">
        <v>599</v>
      </c>
      <c r="R80" s="16" t="n">
        <v>1</v>
      </c>
      <c r="S80" s="16" t="n"/>
      <c r="T80" s="16" t="n">
        <v>0</v>
      </c>
    </row>
    <row r="81" s="103">
      <c r="A81" s="16" t="inlineStr">
        <is>
          <t>B331</t>
        </is>
      </c>
      <c r="B81" s="16" t="inlineStr">
        <is>
          <t>上海区域</t>
        </is>
      </c>
      <c r="C81" s="16" t="inlineStr">
        <is>
          <t>CN0Q</t>
        </is>
      </c>
      <c r="D81" s="16" t="inlineStr">
        <is>
          <t>EE 苏州比斯特购物村</t>
        </is>
      </c>
      <c r="E81" s="16" t="n">
        <v>4</v>
      </c>
      <c r="F81" s="16" t="inlineStr">
        <is>
          <t>奥特莱斯</t>
        </is>
      </c>
      <c r="G81" s="16" t="inlineStr">
        <is>
          <t>EECKF24N54</t>
        </is>
      </c>
      <c r="H81" s="16" t="n">
        <v>599</v>
      </c>
      <c r="I81" s="16" t="n">
        <v>599</v>
      </c>
      <c r="J81" s="17" t="n">
        <v>45748</v>
      </c>
      <c r="K81" s="16" t="inlineStr">
        <is>
          <t>(50)Blue</t>
        </is>
      </c>
      <c r="L81" s="16" t="inlineStr">
        <is>
          <t>营业中</t>
        </is>
      </c>
      <c r="M81" s="16" t="inlineStr">
        <is>
          <t>EECKF24N5450160</t>
        </is>
      </c>
      <c r="N81" s="16">
        <f>LEFT(M81,12)</f>
        <v/>
      </c>
      <c r="O81" s="16" t="inlineStr">
        <is>
          <t>EECKF24N54, (50)Blue, (160)160</t>
        </is>
      </c>
      <c r="P81" s="16" t="n">
        <v>599</v>
      </c>
      <c r="Q81" s="16" t="n">
        <v>599</v>
      </c>
      <c r="R81" s="16" t="n">
        <v>2</v>
      </c>
      <c r="S81" s="16" t="n">
        <v>276</v>
      </c>
      <c r="T81" s="16" t="n">
        <v>0</v>
      </c>
    </row>
    <row r="82" s="103">
      <c r="A82" s="16" t="inlineStr">
        <is>
          <t>B331</t>
        </is>
      </c>
      <c r="B82" s="16" t="inlineStr">
        <is>
          <t>上海区域</t>
        </is>
      </c>
      <c r="C82" s="16" t="inlineStr">
        <is>
          <t>CN0Q</t>
        </is>
      </c>
      <c r="D82" s="16" t="inlineStr">
        <is>
          <t>EE 苏州比斯特购物村</t>
        </is>
      </c>
      <c r="E82" s="16" t="n">
        <v>4</v>
      </c>
      <c r="F82" s="16" t="inlineStr">
        <is>
          <t>奥特莱斯</t>
        </is>
      </c>
      <c r="G82" s="16" t="inlineStr">
        <is>
          <t>EECKF24N54</t>
        </is>
      </c>
      <c r="H82" s="16" t="n">
        <v>599</v>
      </c>
      <c r="I82" s="16" t="n">
        <v>599</v>
      </c>
      <c r="J82" s="17" t="n">
        <v>45748</v>
      </c>
      <c r="K82" s="16" t="inlineStr">
        <is>
          <t>(50)Blue</t>
        </is>
      </c>
      <c r="L82" s="16" t="inlineStr">
        <is>
          <t>营业中</t>
        </is>
      </c>
      <c r="M82" s="16" t="inlineStr">
        <is>
          <t>EECKF24N5450165</t>
        </is>
      </c>
      <c r="N82" s="16">
        <f>LEFT(M82,12)</f>
        <v/>
      </c>
      <c r="O82" s="16" t="inlineStr">
        <is>
          <t>EECKF24N54, (50)Blue, (165)165</t>
        </is>
      </c>
      <c r="P82" s="16" t="n">
        <v>599</v>
      </c>
      <c r="Q82" s="16" t="n">
        <v>599</v>
      </c>
      <c r="R82" s="16" t="n">
        <v>3</v>
      </c>
      <c r="S82" s="16" t="n"/>
      <c r="T82" s="16" t="n">
        <v>0</v>
      </c>
    </row>
    <row r="83" s="103">
      <c r="A83" s="16" t="inlineStr">
        <is>
          <t>B331</t>
        </is>
      </c>
      <c r="B83" s="16" t="inlineStr">
        <is>
          <t>上海区域</t>
        </is>
      </c>
      <c r="C83" s="16" t="inlineStr">
        <is>
          <t>CN0Q</t>
        </is>
      </c>
      <c r="D83" s="16" t="inlineStr">
        <is>
          <t>EE 苏州比斯特购物村</t>
        </is>
      </c>
      <c r="E83" s="16" t="n">
        <v>4</v>
      </c>
      <c r="F83" s="16" t="inlineStr">
        <is>
          <t>奥特莱斯</t>
        </is>
      </c>
      <c r="G83" s="16" t="inlineStr">
        <is>
          <t>EECKF24N54</t>
        </is>
      </c>
      <c r="H83" s="16" t="n">
        <v>599</v>
      </c>
      <c r="I83" s="16" t="n">
        <v>599</v>
      </c>
      <c r="J83" s="17" t="n">
        <v>45748</v>
      </c>
      <c r="K83" s="16" t="inlineStr">
        <is>
          <t>(50)Blue</t>
        </is>
      </c>
      <c r="L83" s="16" t="inlineStr">
        <is>
          <t>营业中</t>
        </is>
      </c>
      <c r="M83" s="16" t="inlineStr">
        <is>
          <t>EECKF24N5450170</t>
        </is>
      </c>
      <c r="N83" s="16">
        <f>LEFT(M83,12)</f>
        <v/>
      </c>
      <c r="O83" s="16" t="inlineStr">
        <is>
          <t>EECKF24N54, (50)Blue, (170)170</t>
        </is>
      </c>
      <c r="P83" s="16" t="n">
        <v>599</v>
      </c>
      <c r="Q83" s="16" t="n">
        <v>599</v>
      </c>
      <c r="R83" s="16" t="n">
        <v>2</v>
      </c>
      <c r="S83" s="16" t="n"/>
      <c r="T83" s="16" t="n">
        <v>0</v>
      </c>
    </row>
    <row r="84" s="103">
      <c r="A84" s="16" t="inlineStr">
        <is>
          <t>B331</t>
        </is>
      </c>
      <c r="B84" s="16" t="inlineStr">
        <is>
          <t>上海区域</t>
        </is>
      </c>
      <c r="C84" s="16" t="inlineStr">
        <is>
          <t>CN0Q</t>
        </is>
      </c>
      <c r="D84" s="16" t="inlineStr">
        <is>
          <t>EE 苏州比斯特购物村</t>
        </is>
      </c>
      <c r="E84" s="16" t="n">
        <v>4</v>
      </c>
      <c r="F84" s="16" t="inlineStr">
        <is>
          <t>奥特莱斯</t>
        </is>
      </c>
      <c r="G84" s="16" t="inlineStr">
        <is>
          <t>EECKF24N54</t>
        </is>
      </c>
      <c r="H84" s="16" t="n">
        <v>599</v>
      </c>
      <c r="I84" s="16" t="n">
        <v>599</v>
      </c>
      <c r="J84" s="17" t="n">
        <v>45748</v>
      </c>
      <c r="K84" s="16" t="inlineStr">
        <is>
          <t>(50)Blue</t>
        </is>
      </c>
      <c r="L84" s="16" t="inlineStr">
        <is>
          <t>营业中</t>
        </is>
      </c>
      <c r="M84" s="16" t="inlineStr">
        <is>
          <t>EECKF24N5450175</t>
        </is>
      </c>
      <c r="N84" s="16">
        <f>LEFT(M84,12)</f>
        <v/>
      </c>
      <c r="O84" s="16" t="inlineStr">
        <is>
          <t>EECKF24N54, (50)Blue, (175)175</t>
        </is>
      </c>
      <c r="P84" s="16" t="n">
        <v>599</v>
      </c>
      <c r="Q84" s="16" t="n">
        <v>599</v>
      </c>
      <c r="R84" s="16" t="n">
        <v>0</v>
      </c>
      <c r="S84" s="16" t="n"/>
      <c r="T84" s="16" t="n">
        <v>1</v>
      </c>
    </row>
    <row r="85" s="103">
      <c r="A85" s="16" t="inlineStr">
        <is>
          <t>B331</t>
        </is>
      </c>
      <c r="B85" s="16" t="inlineStr">
        <is>
          <t>上海区域</t>
        </is>
      </c>
      <c r="C85" s="16" t="inlineStr">
        <is>
          <t>CN0Q</t>
        </is>
      </c>
      <c r="D85" s="16" t="inlineStr">
        <is>
          <t>EE 苏州比斯特购物村</t>
        </is>
      </c>
      <c r="E85" s="16" t="n">
        <v>4</v>
      </c>
      <c r="F85" s="16" t="inlineStr">
        <is>
          <t>奥特莱斯</t>
        </is>
      </c>
      <c r="G85" s="16" t="inlineStr">
        <is>
          <t>EECKF24T7A</t>
        </is>
      </c>
      <c r="H85" s="16" t="n">
        <v>699</v>
      </c>
      <c r="I85" s="16" t="n">
        <v>699</v>
      </c>
      <c r="J85" s="17" t="inlineStr">
        <is>
          <t>########</t>
        </is>
      </c>
      <c r="K85" s="16" t="inlineStr">
        <is>
          <t>(51)L/Blue</t>
        </is>
      </c>
      <c r="L85" s="16" t="inlineStr">
        <is>
          <t>营业中</t>
        </is>
      </c>
      <c r="M85" s="16" t="inlineStr">
        <is>
          <t>EECKF24T7A51160</t>
        </is>
      </c>
      <c r="N85" s="16">
        <f>LEFT(M85,12)</f>
        <v/>
      </c>
      <c r="O85" s="16" t="inlineStr">
        <is>
          <t>EECKF24T7A, (51)L/Blue, (160)160</t>
        </is>
      </c>
      <c r="P85" s="16" t="n">
        <v>699</v>
      </c>
      <c r="Q85" s="16" t="n">
        <v>699</v>
      </c>
      <c r="R85" s="16" t="n">
        <v>2</v>
      </c>
      <c r="S85" s="16" t="n">
        <v>322</v>
      </c>
      <c r="T85" s="16" t="n">
        <v>0</v>
      </c>
    </row>
    <row r="86" s="103">
      <c r="A86" s="16" t="inlineStr">
        <is>
          <t>B331</t>
        </is>
      </c>
      <c r="B86" s="16" t="inlineStr">
        <is>
          <t>上海区域</t>
        </is>
      </c>
      <c r="C86" s="16" t="inlineStr">
        <is>
          <t>CN0Q</t>
        </is>
      </c>
      <c r="D86" s="16" t="inlineStr">
        <is>
          <t>EE 苏州比斯特购物村</t>
        </is>
      </c>
      <c r="E86" s="16" t="n">
        <v>4</v>
      </c>
      <c r="F86" s="16" t="inlineStr">
        <is>
          <t>奥特莱斯</t>
        </is>
      </c>
      <c r="G86" s="16" t="inlineStr">
        <is>
          <t>EECKF24T7A</t>
        </is>
      </c>
      <c r="H86" s="16" t="n">
        <v>699</v>
      </c>
      <c r="I86" s="16" t="n">
        <v>699</v>
      </c>
      <c r="J86" s="17" t="inlineStr">
        <is>
          <t>########</t>
        </is>
      </c>
      <c r="K86" s="16" t="inlineStr">
        <is>
          <t>(51)L/Blue</t>
        </is>
      </c>
      <c r="L86" s="16" t="inlineStr">
        <is>
          <t>营业中</t>
        </is>
      </c>
      <c r="M86" s="16" t="inlineStr">
        <is>
          <t>EECKF24T7A51165</t>
        </is>
      </c>
      <c r="N86" s="16">
        <f>LEFT(M86,12)</f>
        <v/>
      </c>
      <c r="O86" s="16" t="inlineStr">
        <is>
          <t>EECKF24T7A, (51)L/Blue, (165)165</t>
        </is>
      </c>
      <c r="P86" s="16" t="n">
        <v>699</v>
      </c>
      <c r="Q86" s="16" t="n">
        <v>699</v>
      </c>
      <c r="R86" s="16" t="n">
        <v>6</v>
      </c>
      <c r="S86" s="18" t="n">
        <v>1627</v>
      </c>
      <c r="T86" s="16" t="n">
        <v>0</v>
      </c>
    </row>
    <row r="87" s="103">
      <c r="A87" s="16" t="inlineStr">
        <is>
          <t>B331</t>
        </is>
      </c>
      <c r="B87" s="16" t="inlineStr">
        <is>
          <t>上海区域</t>
        </is>
      </c>
      <c r="C87" s="16" t="inlineStr">
        <is>
          <t>CN0Q</t>
        </is>
      </c>
      <c r="D87" s="16" t="inlineStr">
        <is>
          <t>EE 苏州比斯特购物村</t>
        </is>
      </c>
      <c r="E87" s="16" t="n">
        <v>4</v>
      </c>
      <c r="F87" s="16" t="inlineStr">
        <is>
          <t>奥特莱斯</t>
        </is>
      </c>
      <c r="G87" s="16" t="inlineStr">
        <is>
          <t>EECKF24T7A</t>
        </is>
      </c>
      <c r="H87" s="16" t="n">
        <v>699</v>
      </c>
      <c r="I87" s="16" t="n">
        <v>699</v>
      </c>
      <c r="J87" s="17" t="inlineStr">
        <is>
          <t>########</t>
        </is>
      </c>
      <c r="K87" s="16" t="inlineStr">
        <is>
          <t>(51)L/Blue</t>
        </is>
      </c>
      <c r="L87" s="16" t="inlineStr">
        <is>
          <t>营业中</t>
        </is>
      </c>
      <c r="M87" s="16" t="inlineStr">
        <is>
          <t>EECKF24T7A51170</t>
        </is>
      </c>
      <c r="N87" s="16">
        <f>LEFT(M87,12)</f>
        <v/>
      </c>
      <c r="O87" s="16" t="inlineStr">
        <is>
          <t>EECKF24T7A, (51)L/Blue, (170)170</t>
        </is>
      </c>
      <c r="P87" s="16" t="n">
        <v>699</v>
      </c>
      <c r="Q87" s="16" t="n">
        <v>699</v>
      </c>
      <c r="R87" s="16" t="n">
        <v>2</v>
      </c>
      <c r="S87" s="16" t="n">
        <v>542</v>
      </c>
      <c r="T87" s="16" t="n">
        <v>2</v>
      </c>
    </row>
    <row r="88" s="103">
      <c r="A88" s="16" t="inlineStr">
        <is>
          <t>B331</t>
        </is>
      </c>
      <c r="B88" s="16" t="inlineStr">
        <is>
          <t>上海区域</t>
        </is>
      </c>
      <c r="C88" s="16" t="inlineStr">
        <is>
          <t>CN0Q</t>
        </is>
      </c>
      <c r="D88" s="16" t="inlineStr">
        <is>
          <t>EE 苏州比斯特购物村</t>
        </is>
      </c>
      <c r="E88" s="16" t="n">
        <v>4</v>
      </c>
      <c r="F88" s="16" t="inlineStr">
        <is>
          <t>奥特莱斯</t>
        </is>
      </c>
      <c r="G88" s="16" t="inlineStr">
        <is>
          <t>EECKF24T7A</t>
        </is>
      </c>
      <c r="H88" s="16" t="n">
        <v>699</v>
      </c>
      <c r="I88" s="16" t="n">
        <v>699</v>
      </c>
      <c r="J88" s="17" t="inlineStr">
        <is>
          <t>########</t>
        </is>
      </c>
      <c r="K88" s="16" t="inlineStr">
        <is>
          <t>(51)L/Blue</t>
        </is>
      </c>
      <c r="L88" s="16" t="inlineStr">
        <is>
          <t>营业中</t>
        </is>
      </c>
      <c r="M88" s="16" t="inlineStr">
        <is>
          <t>EECKF24T7A51175</t>
        </is>
      </c>
      <c r="N88" s="16">
        <f>LEFT(M88,12)</f>
        <v/>
      </c>
      <c r="O88" s="16" t="inlineStr">
        <is>
          <t>EECKF24T7A, (51)L/Blue, (175)175</t>
        </is>
      </c>
      <c r="P88" s="16" t="n">
        <v>699</v>
      </c>
      <c r="Q88" s="16" t="n">
        <v>699</v>
      </c>
      <c r="R88" s="16" t="n"/>
      <c r="S88" s="16" t="n"/>
      <c r="T88" s="16" t="n">
        <v>2</v>
      </c>
    </row>
    <row r="89" s="103">
      <c r="A89" s="16" t="inlineStr">
        <is>
          <t>B331</t>
        </is>
      </c>
      <c r="B89" s="16" t="inlineStr">
        <is>
          <t>上海区域</t>
        </is>
      </c>
      <c r="C89" s="16" t="inlineStr">
        <is>
          <t>CN0Q</t>
        </is>
      </c>
      <c r="D89" s="16" t="inlineStr">
        <is>
          <t>EE 苏州比斯特购物村</t>
        </is>
      </c>
      <c r="E89" s="16" t="n">
        <v>4</v>
      </c>
      <c r="F89" s="16" t="inlineStr">
        <is>
          <t>奥特莱斯</t>
        </is>
      </c>
      <c r="G89" s="16" t="inlineStr">
        <is>
          <t>EECKF24T7A</t>
        </is>
      </c>
      <c r="H89" s="16" t="n">
        <v>699</v>
      </c>
      <c r="I89" s="16" t="n">
        <v>699</v>
      </c>
      <c r="J89" s="17" t="inlineStr">
        <is>
          <t>########</t>
        </is>
      </c>
      <c r="K89" s="16" t="inlineStr">
        <is>
          <t>(59)Navy</t>
        </is>
      </c>
      <c r="L89" s="16" t="inlineStr">
        <is>
          <t>营业中</t>
        </is>
      </c>
      <c r="M89" s="16" t="inlineStr">
        <is>
          <t>EECKF24T7A59160</t>
        </is>
      </c>
      <c r="N89" s="16">
        <f>LEFT(M89,12)</f>
        <v/>
      </c>
      <c r="O89" s="16" t="inlineStr">
        <is>
          <t>EECKF24T7A, (59)Navy, (160)160</t>
        </is>
      </c>
      <c r="P89" s="16" t="n">
        <v>699</v>
      </c>
      <c r="Q89" s="16" t="n">
        <v>699</v>
      </c>
      <c r="R89" s="16" t="n">
        <v>1</v>
      </c>
      <c r="S89" s="16" t="n">
        <v>192</v>
      </c>
      <c r="T89" s="16" t="n">
        <v>3</v>
      </c>
    </row>
    <row r="90" s="103">
      <c r="A90" s="16" t="inlineStr">
        <is>
          <t>B331</t>
        </is>
      </c>
      <c r="B90" s="16" t="inlineStr">
        <is>
          <t>上海区域</t>
        </is>
      </c>
      <c r="C90" s="16" t="inlineStr">
        <is>
          <t>CN0Q</t>
        </is>
      </c>
      <c r="D90" s="16" t="inlineStr">
        <is>
          <t>EE 苏州比斯特购物村</t>
        </is>
      </c>
      <c r="E90" s="16" t="n">
        <v>4</v>
      </c>
      <c r="F90" s="16" t="inlineStr">
        <is>
          <t>奥特莱斯</t>
        </is>
      </c>
      <c r="G90" s="16" t="inlineStr">
        <is>
          <t>EECKF24T7A</t>
        </is>
      </c>
      <c r="H90" s="16" t="n">
        <v>699</v>
      </c>
      <c r="I90" s="16" t="n">
        <v>699</v>
      </c>
      <c r="J90" s="17" t="inlineStr">
        <is>
          <t>########</t>
        </is>
      </c>
      <c r="K90" s="16" t="inlineStr">
        <is>
          <t>(59)Navy</t>
        </is>
      </c>
      <c r="L90" s="16" t="inlineStr">
        <is>
          <t>营业中</t>
        </is>
      </c>
      <c r="M90" s="16" t="inlineStr">
        <is>
          <t>EECKF24T7A59165</t>
        </is>
      </c>
      <c r="N90" s="16">
        <f>LEFT(M90,12)</f>
        <v/>
      </c>
      <c r="O90" s="16" t="inlineStr">
        <is>
          <t>EECKF24T7A, (59)Navy, (165)165</t>
        </is>
      </c>
      <c r="P90" s="16" t="n">
        <v>699</v>
      </c>
      <c r="Q90" s="16" t="n">
        <v>699</v>
      </c>
      <c r="R90" s="16" t="n">
        <v>1</v>
      </c>
      <c r="S90" s="16" t="n">
        <v>192</v>
      </c>
      <c r="T90" s="16" t="n">
        <v>3</v>
      </c>
    </row>
    <row r="91" s="103">
      <c r="A91" s="16" t="inlineStr">
        <is>
          <t>B331</t>
        </is>
      </c>
      <c r="B91" s="16" t="inlineStr">
        <is>
          <t>上海区域</t>
        </is>
      </c>
      <c r="C91" s="16" t="inlineStr">
        <is>
          <t>CN0Q</t>
        </is>
      </c>
      <c r="D91" s="16" t="inlineStr">
        <is>
          <t>EE 苏州比斯特购物村</t>
        </is>
      </c>
      <c r="E91" s="16" t="n">
        <v>4</v>
      </c>
      <c r="F91" s="16" t="inlineStr">
        <is>
          <t>奥特莱斯</t>
        </is>
      </c>
      <c r="G91" s="16" t="inlineStr">
        <is>
          <t>EECKF24T7A</t>
        </is>
      </c>
      <c r="H91" s="16" t="n">
        <v>699</v>
      </c>
      <c r="I91" s="16" t="n">
        <v>699</v>
      </c>
      <c r="J91" s="17" t="inlineStr">
        <is>
          <t>########</t>
        </is>
      </c>
      <c r="K91" s="16" t="inlineStr">
        <is>
          <t>(59)Navy</t>
        </is>
      </c>
      <c r="L91" s="16" t="inlineStr">
        <is>
          <t>营业中</t>
        </is>
      </c>
      <c r="M91" s="16" t="inlineStr">
        <is>
          <t>EECKF24T7A59170</t>
        </is>
      </c>
      <c r="N91" s="16">
        <f>LEFT(M91,12)</f>
        <v/>
      </c>
      <c r="O91" s="16" t="inlineStr">
        <is>
          <t>EECKF24T7A, (59)Navy, (170)170</t>
        </is>
      </c>
      <c r="P91" s="16" t="n">
        <v>699</v>
      </c>
      <c r="Q91" s="16" t="n">
        <v>699</v>
      </c>
      <c r="R91" s="16" t="n"/>
      <c r="S91" s="16" t="n"/>
      <c r="T91" s="16" t="n">
        <v>3</v>
      </c>
    </row>
    <row r="92" s="103">
      <c r="A92" s="16" t="inlineStr">
        <is>
          <t>B331</t>
        </is>
      </c>
      <c r="B92" s="16" t="inlineStr">
        <is>
          <t>上海区域</t>
        </is>
      </c>
      <c r="C92" s="16" t="inlineStr">
        <is>
          <t>CN0Q</t>
        </is>
      </c>
      <c r="D92" s="16" t="inlineStr">
        <is>
          <t>EE 苏州比斯特购物村</t>
        </is>
      </c>
      <c r="E92" s="16" t="n">
        <v>4</v>
      </c>
      <c r="F92" s="16" t="inlineStr">
        <is>
          <t>奥特莱斯</t>
        </is>
      </c>
      <c r="G92" s="16" t="inlineStr">
        <is>
          <t>EECKF24T7A</t>
        </is>
      </c>
      <c r="H92" s="16" t="n">
        <v>699</v>
      </c>
      <c r="I92" s="16" t="n">
        <v>699</v>
      </c>
      <c r="J92" s="17" t="inlineStr">
        <is>
          <t>########</t>
        </is>
      </c>
      <c r="K92" s="16" t="inlineStr">
        <is>
          <t>(59)Navy</t>
        </is>
      </c>
      <c r="L92" s="16" t="inlineStr">
        <is>
          <t>营业中</t>
        </is>
      </c>
      <c r="M92" s="16" t="inlineStr">
        <is>
          <t>EECKF24T7A59175</t>
        </is>
      </c>
      <c r="N92" s="16">
        <f>LEFT(M92,12)</f>
        <v/>
      </c>
      <c r="O92" s="16" t="inlineStr">
        <is>
          <t>EECKF24T7A, (59)Navy, (175)175</t>
        </is>
      </c>
      <c r="P92" s="16" t="n">
        <v>699</v>
      </c>
      <c r="Q92" s="16" t="n">
        <v>699</v>
      </c>
      <c r="R92" s="16" t="n"/>
      <c r="S92" s="16" t="n"/>
      <c r="T92" s="16" t="n">
        <v>2</v>
      </c>
    </row>
    <row r="93" s="103">
      <c r="A93" s="16" t="inlineStr">
        <is>
          <t>B331</t>
        </is>
      </c>
      <c r="B93" s="16" t="inlineStr">
        <is>
          <t>上海区域</t>
        </is>
      </c>
      <c r="C93" s="16" t="inlineStr">
        <is>
          <t>CN0Q</t>
        </is>
      </c>
      <c r="D93" s="16" t="inlineStr">
        <is>
          <t>EE 苏州比斯特购物村</t>
        </is>
      </c>
      <c r="E93" s="16" t="n">
        <v>4</v>
      </c>
      <c r="F93" s="16" t="inlineStr">
        <is>
          <t>奥特莱斯</t>
        </is>
      </c>
      <c r="G93" s="16" t="inlineStr">
        <is>
          <t>EECKF25T71</t>
        </is>
      </c>
      <c r="H93" s="16" t="n">
        <v>699</v>
      </c>
      <c r="I93" s="16" t="n">
        <v>699</v>
      </c>
      <c r="J93" s="17" t="inlineStr">
        <is>
          <t>########</t>
        </is>
      </c>
      <c r="K93" s="16" t="inlineStr">
        <is>
          <t>(31)L/Yellow</t>
        </is>
      </c>
      <c r="L93" s="16" t="inlineStr">
        <is>
          <t>营业中</t>
        </is>
      </c>
      <c r="M93" s="16" t="inlineStr">
        <is>
          <t>EECKF25T7131160</t>
        </is>
      </c>
      <c r="N93" s="16">
        <f>LEFT(M93,12)</f>
        <v/>
      </c>
      <c r="O93" s="16" t="inlineStr">
        <is>
          <t>EECKF25T71, (31)L/Yellow, (160)160</t>
        </is>
      </c>
      <c r="P93" s="16" t="n">
        <v>699</v>
      </c>
      <c r="Q93" s="16" t="n">
        <v>699</v>
      </c>
      <c r="R93" s="16" t="n"/>
      <c r="S93" s="16" t="n"/>
      <c r="T93" s="16" t="n">
        <v>2</v>
      </c>
    </row>
    <row r="94" s="103">
      <c r="A94" s="16" t="inlineStr">
        <is>
          <t>B331</t>
        </is>
      </c>
      <c r="B94" s="16" t="inlineStr">
        <is>
          <t>上海区域</t>
        </is>
      </c>
      <c r="C94" s="16" t="inlineStr">
        <is>
          <t>CN0Q</t>
        </is>
      </c>
      <c r="D94" s="16" t="inlineStr">
        <is>
          <t>EE 苏州比斯特购物村</t>
        </is>
      </c>
      <c r="E94" s="16" t="n">
        <v>4</v>
      </c>
      <c r="F94" s="16" t="inlineStr">
        <is>
          <t>奥特莱斯</t>
        </is>
      </c>
      <c r="G94" s="16" t="inlineStr">
        <is>
          <t>EECKF25T71</t>
        </is>
      </c>
      <c r="H94" s="16" t="n">
        <v>699</v>
      </c>
      <c r="I94" s="16" t="n">
        <v>699</v>
      </c>
      <c r="J94" s="17" t="inlineStr">
        <is>
          <t>########</t>
        </is>
      </c>
      <c r="K94" s="16" t="inlineStr">
        <is>
          <t>(31)L/Yellow</t>
        </is>
      </c>
      <c r="L94" s="16" t="inlineStr">
        <is>
          <t>营业中</t>
        </is>
      </c>
      <c r="M94" s="16" t="inlineStr">
        <is>
          <t>EECKF25T7131165</t>
        </is>
      </c>
      <c r="N94" s="16">
        <f>LEFT(M94,12)</f>
        <v/>
      </c>
      <c r="O94" s="16" t="inlineStr">
        <is>
          <t>EECKF25T71, (31)L/Yellow, (165)165</t>
        </is>
      </c>
      <c r="P94" s="16" t="n">
        <v>699</v>
      </c>
      <c r="Q94" s="16" t="n">
        <v>699</v>
      </c>
      <c r="R94" s="16" t="n"/>
      <c r="S94" s="16" t="n"/>
      <c r="T94" s="16" t="n">
        <v>4</v>
      </c>
    </row>
    <row r="95" s="103">
      <c r="A95" s="16" t="inlineStr">
        <is>
          <t>B331</t>
        </is>
      </c>
      <c r="B95" s="16" t="inlineStr">
        <is>
          <t>上海区域</t>
        </is>
      </c>
      <c r="C95" s="16" t="inlineStr">
        <is>
          <t>CN0Q</t>
        </is>
      </c>
      <c r="D95" s="16" t="inlineStr">
        <is>
          <t>EE 苏州比斯特购物村</t>
        </is>
      </c>
      <c r="E95" s="16" t="n">
        <v>4</v>
      </c>
      <c r="F95" s="16" t="inlineStr">
        <is>
          <t>奥特莱斯</t>
        </is>
      </c>
      <c r="G95" s="16" t="inlineStr">
        <is>
          <t>EECKF25T71</t>
        </is>
      </c>
      <c r="H95" s="16" t="n">
        <v>699</v>
      </c>
      <c r="I95" s="16" t="n">
        <v>699</v>
      </c>
      <c r="J95" s="17" t="inlineStr">
        <is>
          <t>########</t>
        </is>
      </c>
      <c r="K95" s="16" t="inlineStr">
        <is>
          <t>(31)L/Yellow</t>
        </is>
      </c>
      <c r="L95" s="16" t="inlineStr">
        <is>
          <t>营业中</t>
        </is>
      </c>
      <c r="M95" s="16" t="inlineStr">
        <is>
          <t>EECKF25T7131170</t>
        </is>
      </c>
      <c r="N95" s="16">
        <f>LEFT(M95,12)</f>
        <v/>
      </c>
      <c r="O95" s="16" t="inlineStr">
        <is>
          <t>EECKF25T71, (31)L/Yellow, (170)170</t>
        </is>
      </c>
      <c r="P95" s="16" t="n">
        <v>699</v>
      </c>
      <c r="Q95" s="16" t="n">
        <v>699</v>
      </c>
      <c r="R95" s="16" t="n"/>
      <c r="S95" s="16" t="n"/>
      <c r="T95" s="16" t="n">
        <v>2</v>
      </c>
    </row>
    <row r="96" s="103">
      <c r="A96" s="16" t="inlineStr">
        <is>
          <t>B331</t>
        </is>
      </c>
      <c r="B96" s="16" t="inlineStr">
        <is>
          <t>上海区域</t>
        </is>
      </c>
      <c r="C96" s="16" t="inlineStr">
        <is>
          <t>CN0Q</t>
        </is>
      </c>
      <c r="D96" s="16" t="inlineStr">
        <is>
          <t>EE 苏州比斯特购物村</t>
        </is>
      </c>
      <c r="E96" s="16" t="n">
        <v>4</v>
      </c>
      <c r="F96" s="16" t="inlineStr">
        <is>
          <t>奥特莱斯</t>
        </is>
      </c>
      <c r="G96" s="16" t="inlineStr">
        <is>
          <t>EECKF25T71</t>
        </is>
      </c>
      <c r="H96" s="16" t="n">
        <v>699</v>
      </c>
      <c r="I96" s="16" t="n">
        <v>699</v>
      </c>
      <c r="J96" s="17" t="inlineStr">
        <is>
          <t>########</t>
        </is>
      </c>
      <c r="K96" s="16" t="inlineStr">
        <is>
          <t>(39)Ivory</t>
        </is>
      </c>
      <c r="L96" s="16" t="inlineStr">
        <is>
          <t>营业中</t>
        </is>
      </c>
      <c r="M96" s="16" t="inlineStr">
        <is>
          <t>EECKF25T7139160</t>
        </is>
      </c>
      <c r="N96" s="16">
        <f>LEFT(M96,12)</f>
        <v/>
      </c>
      <c r="O96" s="16" t="inlineStr">
        <is>
          <t>EECKF25T71, (39)Ivory, (160)160</t>
        </is>
      </c>
      <c r="P96" s="16" t="n">
        <v>699</v>
      </c>
      <c r="Q96" s="16" t="n">
        <v>699</v>
      </c>
      <c r="R96" s="16" t="n"/>
      <c r="S96" s="16" t="n"/>
      <c r="T96" s="16" t="n">
        <v>2</v>
      </c>
    </row>
    <row r="97" s="103">
      <c r="A97" s="16" t="inlineStr">
        <is>
          <t>B331</t>
        </is>
      </c>
      <c r="B97" s="16" t="inlineStr">
        <is>
          <t>上海区域</t>
        </is>
      </c>
      <c r="C97" s="16" t="inlineStr">
        <is>
          <t>CN0Q</t>
        </is>
      </c>
      <c r="D97" s="16" t="inlineStr">
        <is>
          <t>EE 苏州比斯特购物村</t>
        </is>
      </c>
      <c r="E97" s="16" t="n">
        <v>4</v>
      </c>
      <c r="F97" s="16" t="inlineStr">
        <is>
          <t>奥特莱斯</t>
        </is>
      </c>
      <c r="G97" s="16" t="inlineStr">
        <is>
          <t>EECKF25T71</t>
        </is>
      </c>
      <c r="H97" s="16" t="n">
        <v>699</v>
      </c>
      <c r="I97" s="16" t="n">
        <v>699</v>
      </c>
      <c r="J97" s="17" t="inlineStr">
        <is>
          <t>########</t>
        </is>
      </c>
      <c r="K97" s="16" t="inlineStr">
        <is>
          <t>(39)Ivory</t>
        </is>
      </c>
      <c r="L97" s="16" t="inlineStr">
        <is>
          <t>营业中</t>
        </is>
      </c>
      <c r="M97" s="16" t="inlineStr">
        <is>
          <t>EECKF25T7139165</t>
        </is>
      </c>
      <c r="N97" s="16">
        <f>LEFT(M97,12)</f>
        <v/>
      </c>
      <c r="O97" s="16" t="inlineStr">
        <is>
          <t>EECKF25T71, (39)Ivory, (165)165</t>
        </is>
      </c>
      <c r="P97" s="16" t="n">
        <v>699</v>
      </c>
      <c r="Q97" s="16" t="n">
        <v>699</v>
      </c>
      <c r="R97" s="16" t="n"/>
      <c r="S97" s="16" t="n"/>
      <c r="T97" s="16" t="n">
        <v>3</v>
      </c>
    </row>
    <row r="98" s="103">
      <c r="A98" s="16" t="inlineStr">
        <is>
          <t>B331</t>
        </is>
      </c>
      <c r="B98" s="16" t="inlineStr">
        <is>
          <t>上海区域</t>
        </is>
      </c>
      <c r="C98" s="16" t="inlineStr">
        <is>
          <t>CN0Q</t>
        </is>
      </c>
      <c r="D98" s="16" t="inlineStr">
        <is>
          <t>EE 苏州比斯特购物村</t>
        </is>
      </c>
      <c r="E98" s="16" t="n">
        <v>4</v>
      </c>
      <c r="F98" s="16" t="inlineStr">
        <is>
          <t>奥特莱斯</t>
        </is>
      </c>
      <c r="G98" s="16" t="inlineStr">
        <is>
          <t>EECKF25T71</t>
        </is>
      </c>
      <c r="H98" s="16" t="n">
        <v>699</v>
      </c>
      <c r="I98" s="16" t="n">
        <v>699</v>
      </c>
      <c r="J98" s="17" t="inlineStr">
        <is>
          <t>########</t>
        </is>
      </c>
      <c r="K98" s="16" t="inlineStr">
        <is>
          <t>(39)Ivory</t>
        </is>
      </c>
      <c r="L98" s="16" t="inlineStr">
        <is>
          <t>营业中</t>
        </is>
      </c>
      <c r="M98" s="16" t="inlineStr">
        <is>
          <t>EECKF25T7139170</t>
        </is>
      </c>
      <c r="N98" s="16">
        <f>LEFT(M98,12)</f>
        <v/>
      </c>
      <c r="O98" s="16" t="inlineStr">
        <is>
          <t>EECKF25T71, (39)Ivory, (170)170</t>
        </is>
      </c>
      <c r="P98" s="16" t="n">
        <v>699</v>
      </c>
      <c r="Q98" s="16" t="n">
        <v>699</v>
      </c>
      <c r="R98" s="16" t="n"/>
      <c r="S98" s="16" t="n"/>
      <c r="T98" s="16" t="n">
        <v>2</v>
      </c>
    </row>
    <row r="99" s="103">
      <c r="A99" s="16" t="inlineStr">
        <is>
          <t>B331</t>
        </is>
      </c>
      <c r="B99" s="16" t="inlineStr">
        <is>
          <t>上海区域</t>
        </is>
      </c>
      <c r="C99" s="16" t="inlineStr">
        <is>
          <t>CN0Q</t>
        </is>
      </c>
      <c r="D99" s="16" t="inlineStr">
        <is>
          <t>EE 苏州比斯特购物村</t>
        </is>
      </c>
      <c r="E99" s="16" t="n">
        <v>4</v>
      </c>
      <c r="F99" s="16" t="inlineStr">
        <is>
          <t>奥特莱斯</t>
        </is>
      </c>
      <c r="G99" s="16" t="inlineStr">
        <is>
          <t>EECKF25T71</t>
        </is>
      </c>
      <c r="H99" s="16" t="n">
        <v>699</v>
      </c>
      <c r="I99" s="16" t="n">
        <v>699</v>
      </c>
      <c r="J99" s="17" t="inlineStr">
        <is>
          <t>########</t>
        </is>
      </c>
      <c r="K99" s="16" t="inlineStr">
        <is>
          <t>(51)L/Blue</t>
        </is>
      </c>
      <c r="L99" s="16" t="inlineStr">
        <is>
          <t>营业中</t>
        </is>
      </c>
      <c r="M99" s="16" t="inlineStr">
        <is>
          <t>EECKF25T7151160</t>
        </is>
      </c>
      <c r="N99" s="16">
        <f>LEFT(M99,12)</f>
        <v/>
      </c>
      <c r="O99" s="16" t="inlineStr">
        <is>
          <t>EECKF25T71, (51)L/Blue, (160)160</t>
        </is>
      </c>
      <c r="P99" s="16" t="n">
        <v>699</v>
      </c>
      <c r="Q99" s="16" t="n">
        <v>699</v>
      </c>
      <c r="R99" s="16" t="n"/>
      <c r="S99" s="16" t="n"/>
      <c r="T99" s="16" t="n">
        <v>2</v>
      </c>
    </row>
    <row r="100" s="103">
      <c r="A100" s="16" t="inlineStr">
        <is>
          <t>B331</t>
        </is>
      </c>
      <c r="B100" s="16" t="inlineStr">
        <is>
          <t>上海区域</t>
        </is>
      </c>
      <c r="C100" s="16" t="inlineStr">
        <is>
          <t>CN0Q</t>
        </is>
      </c>
      <c r="D100" s="16" t="inlineStr">
        <is>
          <t>EE 苏州比斯特购物村</t>
        </is>
      </c>
      <c r="E100" s="16" t="n">
        <v>4</v>
      </c>
      <c r="F100" s="16" t="inlineStr">
        <is>
          <t>奥特莱斯</t>
        </is>
      </c>
      <c r="G100" s="16" t="inlineStr">
        <is>
          <t>EECKF25T71</t>
        </is>
      </c>
      <c r="H100" s="16" t="n">
        <v>699</v>
      </c>
      <c r="I100" s="16" t="n">
        <v>699</v>
      </c>
      <c r="J100" s="17" t="inlineStr">
        <is>
          <t>########</t>
        </is>
      </c>
      <c r="K100" s="16" t="inlineStr">
        <is>
          <t>(51)L/Blue</t>
        </is>
      </c>
      <c r="L100" s="16" t="inlineStr">
        <is>
          <t>营业中</t>
        </is>
      </c>
      <c r="M100" s="16" t="inlineStr">
        <is>
          <t>EECKF25T7151165</t>
        </is>
      </c>
      <c r="N100" s="16">
        <f>LEFT(M100,12)</f>
        <v/>
      </c>
      <c r="O100" s="16" t="inlineStr">
        <is>
          <t>EECKF25T71, (51)L/Blue, (165)165</t>
        </is>
      </c>
      <c r="P100" s="16" t="n">
        <v>699</v>
      </c>
      <c r="Q100" s="16" t="n">
        <v>699</v>
      </c>
      <c r="R100" s="16" t="n"/>
      <c r="S100" s="16" t="n"/>
      <c r="T100" s="16" t="n">
        <v>3</v>
      </c>
    </row>
    <row r="101" s="103">
      <c r="A101" s="16" t="inlineStr">
        <is>
          <t>B331</t>
        </is>
      </c>
      <c r="B101" s="16" t="inlineStr">
        <is>
          <t>上海区域</t>
        </is>
      </c>
      <c r="C101" s="16" t="inlineStr">
        <is>
          <t>CN0Q</t>
        </is>
      </c>
      <c r="D101" s="16" t="inlineStr">
        <is>
          <t>EE 苏州比斯特购物村</t>
        </is>
      </c>
      <c r="E101" s="16" t="n">
        <v>4</v>
      </c>
      <c r="F101" s="16" t="inlineStr">
        <is>
          <t>奥特莱斯</t>
        </is>
      </c>
      <c r="G101" s="16" t="inlineStr">
        <is>
          <t>EECKF25T71</t>
        </is>
      </c>
      <c r="H101" s="16" t="n">
        <v>699</v>
      </c>
      <c r="I101" s="16" t="n">
        <v>699</v>
      </c>
      <c r="J101" s="17" t="inlineStr">
        <is>
          <t>########</t>
        </is>
      </c>
      <c r="K101" s="16" t="inlineStr">
        <is>
          <t>(51)L/Blue</t>
        </is>
      </c>
      <c r="L101" s="16" t="inlineStr">
        <is>
          <t>营业中</t>
        </is>
      </c>
      <c r="M101" s="16" t="inlineStr">
        <is>
          <t>EECKF25T7151170</t>
        </is>
      </c>
      <c r="N101" s="16">
        <f>LEFT(M101,12)</f>
        <v/>
      </c>
      <c r="O101" s="16" t="inlineStr">
        <is>
          <t>EECKF25T71, (51)L/Blue, (170)170</t>
        </is>
      </c>
      <c r="P101" s="16" t="n">
        <v>699</v>
      </c>
      <c r="Q101" s="16" t="n">
        <v>699</v>
      </c>
      <c r="R101" s="16" t="n"/>
      <c r="S101" s="16" t="n"/>
      <c r="T101" s="16" t="n">
        <v>2</v>
      </c>
    </row>
    <row r="102" s="103">
      <c r="A102" s="16" t="inlineStr">
        <is>
          <t>B331</t>
        </is>
      </c>
      <c r="B102" s="16" t="inlineStr">
        <is>
          <t>上海区域</t>
        </is>
      </c>
      <c r="C102" s="16" t="inlineStr">
        <is>
          <t>CN0Q</t>
        </is>
      </c>
      <c r="D102" s="16" t="inlineStr">
        <is>
          <t>EE 苏州比斯特购物村</t>
        </is>
      </c>
      <c r="E102" s="16" t="n">
        <v>4</v>
      </c>
      <c r="F102" s="16" t="inlineStr">
        <is>
          <t>奥特莱斯</t>
        </is>
      </c>
      <c r="G102" s="16" t="inlineStr">
        <is>
          <t>EECKF26N51</t>
        </is>
      </c>
      <c r="H102" s="16" t="n">
        <v>599</v>
      </c>
      <c r="I102" s="16" t="n">
        <v>599</v>
      </c>
      <c r="J102" s="17" t="inlineStr">
        <is>
          <t>########</t>
        </is>
      </c>
      <c r="K102" s="16" t="inlineStr">
        <is>
          <t>(39)Ivory</t>
        </is>
      </c>
      <c r="L102" s="16" t="inlineStr">
        <is>
          <t>营业中</t>
        </is>
      </c>
      <c r="M102" s="16" t="inlineStr">
        <is>
          <t>EECKF26N5139160</t>
        </is>
      </c>
      <c r="N102" s="16">
        <f>LEFT(M102,12)</f>
        <v/>
      </c>
      <c r="O102" s="16" t="inlineStr">
        <is>
          <t>EECKF26N51, (39)Ivory, (160)160</t>
        </is>
      </c>
      <c r="P102" s="16" t="n">
        <v>599</v>
      </c>
      <c r="Q102" s="16" t="n">
        <v>599</v>
      </c>
      <c r="R102" s="16" t="n">
        <v>2</v>
      </c>
      <c r="S102" s="16" t="n">
        <v>570</v>
      </c>
      <c r="T102" s="16" t="n">
        <v>0</v>
      </c>
    </row>
    <row r="103" s="103">
      <c r="A103" s="16" t="inlineStr">
        <is>
          <t>B331</t>
        </is>
      </c>
      <c r="B103" s="16" t="inlineStr">
        <is>
          <t>上海区域</t>
        </is>
      </c>
      <c r="C103" s="16" t="inlineStr">
        <is>
          <t>CN0Q</t>
        </is>
      </c>
      <c r="D103" s="16" t="inlineStr">
        <is>
          <t>EE 苏州比斯特购物村</t>
        </is>
      </c>
      <c r="E103" s="16" t="n">
        <v>4</v>
      </c>
      <c r="F103" s="16" t="inlineStr">
        <is>
          <t>奥特莱斯</t>
        </is>
      </c>
      <c r="G103" s="16" t="inlineStr">
        <is>
          <t>EECKF26N51</t>
        </is>
      </c>
      <c r="H103" s="16" t="n">
        <v>599</v>
      </c>
      <c r="I103" s="16" t="n">
        <v>599</v>
      </c>
      <c r="J103" s="17" t="inlineStr">
        <is>
          <t>########</t>
        </is>
      </c>
      <c r="K103" s="16" t="inlineStr">
        <is>
          <t>(39)Ivory</t>
        </is>
      </c>
      <c r="L103" s="16" t="inlineStr">
        <is>
          <t>营业中</t>
        </is>
      </c>
      <c r="M103" s="16" t="inlineStr">
        <is>
          <t>EECKF26N5139165</t>
        </is>
      </c>
      <c r="N103" s="16">
        <f>LEFT(M103,12)</f>
        <v/>
      </c>
      <c r="O103" s="16" t="inlineStr">
        <is>
          <t>EECKF26N51, (39)Ivory, (165)165</t>
        </is>
      </c>
      <c r="P103" s="16" t="n">
        <v>599</v>
      </c>
      <c r="Q103" s="16" t="n">
        <v>599</v>
      </c>
      <c r="R103" s="16" t="n">
        <v>2</v>
      </c>
      <c r="S103" s="16" t="n">
        <v>549</v>
      </c>
      <c r="T103" s="16" t="n">
        <v>0</v>
      </c>
    </row>
    <row r="104" s="103">
      <c r="A104" s="16" t="inlineStr">
        <is>
          <t>B331</t>
        </is>
      </c>
      <c r="B104" s="16" t="inlineStr">
        <is>
          <t>上海区域</t>
        </is>
      </c>
      <c r="C104" s="16" t="inlineStr">
        <is>
          <t>CN0Q</t>
        </is>
      </c>
      <c r="D104" s="16" t="inlineStr">
        <is>
          <t>EE 苏州比斯特购物村</t>
        </is>
      </c>
      <c r="E104" s="16" t="n">
        <v>4</v>
      </c>
      <c r="F104" s="16" t="inlineStr">
        <is>
          <t>奥特莱斯</t>
        </is>
      </c>
      <c r="G104" s="16" t="inlineStr">
        <is>
          <t>EECKF26N51</t>
        </is>
      </c>
      <c r="H104" s="16" t="n">
        <v>599</v>
      </c>
      <c r="I104" s="16" t="n">
        <v>599</v>
      </c>
      <c r="J104" s="17" t="inlineStr">
        <is>
          <t>########</t>
        </is>
      </c>
      <c r="K104" s="16" t="inlineStr">
        <is>
          <t>(39)Ivory</t>
        </is>
      </c>
      <c r="L104" s="16" t="inlineStr">
        <is>
          <t>营业中</t>
        </is>
      </c>
      <c r="M104" s="16" t="inlineStr">
        <is>
          <t>EECKF26N5139170</t>
        </is>
      </c>
      <c r="N104" s="16">
        <f>LEFT(M104,12)</f>
        <v/>
      </c>
      <c r="O104" s="16" t="inlineStr">
        <is>
          <t>EECKF26N51, (39)Ivory, (170)170</t>
        </is>
      </c>
      <c r="P104" s="16" t="n">
        <v>599</v>
      </c>
      <c r="Q104" s="16" t="n">
        <v>599</v>
      </c>
      <c r="R104" s="16" t="n">
        <v>2</v>
      </c>
      <c r="S104" s="16" t="n">
        <v>300</v>
      </c>
      <c r="T104" s="16" t="n">
        <v>0</v>
      </c>
    </row>
    <row r="105" s="103">
      <c r="A105" s="16" t="inlineStr">
        <is>
          <t>B331</t>
        </is>
      </c>
      <c r="B105" s="16" t="inlineStr">
        <is>
          <t>上海区域</t>
        </is>
      </c>
      <c r="C105" s="16" t="inlineStr">
        <is>
          <t>CN0Q</t>
        </is>
      </c>
      <c r="D105" s="16" t="inlineStr">
        <is>
          <t>EE 苏州比斯特购物村</t>
        </is>
      </c>
      <c r="E105" s="16" t="n">
        <v>4</v>
      </c>
      <c r="F105" s="16" t="inlineStr">
        <is>
          <t>奥特莱斯</t>
        </is>
      </c>
      <c r="G105" s="16" t="inlineStr">
        <is>
          <t>EECKF37R32</t>
        </is>
      </c>
      <c r="H105" s="16" t="n">
        <v>699</v>
      </c>
      <c r="I105" s="16" t="n">
        <v>699</v>
      </c>
      <c r="J105" s="17" t="n">
        <v>45811</v>
      </c>
      <c r="K105" s="16" t="inlineStr">
        <is>
          <t>(51)L/Blue</t>
        </is>
      </c>
      <c r="L105" s="16" t="inlineStr">
        <is>
          <t>营业中</t>
        </is>
      </c>
      <c r="M105" s="16" t="inlineStr">
        <is>
          <t>EECKF37R3251160</t>
        </is>
      </c>
      <c r="N105" s="16">
        <f>LEFT(M105,12)</f>
        <v/>
      </c>
      <c r="O105" s="16" t="inlineStr">
        <is>
          <t>EECKF37R32, (51)L/Blue, (160)160</t>
        </is>
      </c>
      <c r="P105" s="16" t="n">
        <v>699</v>
      </c>
      <c r="Q105" s="16" t="n">
        <v>699</v>
      </c>
      <c r="R105" s="16" t="n">
        <v>2</v>
      </c>
      <c r="S105" s="16" t="n">
        <v>641</v>
      </c>
      <c r="T105" s="16" t="n">
        <v>1</v>
      </c>
    </row>
    <row r="106" s="103">
      <c r="A106" s="16" t="inlineStr">
        <is>
          <t>B331</t>
        </is>
      </c>
      <c r="B106" s="16" t="inlineStr">
        <is>
          <t>上海区域</t>
        </is>
      </c>
      <c r="C106" s="16" t="inlineStr">
        <is>
          <t>CN0Q</t>
        </is>
      </c>
      <c r="D106" s="16" t="inlineStr">
        <is>
          <t>EE 苏州比斯特购物村</t>
        </is>
      </c>
      <c r="E106" s="16" t="n">
        <v>4</v>
      </c>
      <c r="F106" s="16" t="inlineStr">
        <is>
          <t>奥特莱斯</t>
        </is>
      </c>
      <c r="G106" s="16" t="inlineStr">
        <is>
          <t>EECKF37R32</t>
        </is>
      </c>
      <c r="H106" s="16" t="n">
        <v>699</v>
      </c>
      <c r="I106" s="16" t="n">
        <v>699</v>
      </c>
      <c r="J106" s="17" t="n">
        <v>45811</v>
      </c>
      <c r="K106" s="16" t="inlineStr">
        <is>
          <t>(51)L/Blue</t>
        </is>
      </c>
      <c r="L106" s="16" t="inlineStr">
        <is>
          <t>营业中</t>
        </is>
      </c>
      <c r="M106" s="16" t="inlineStr">
        <is>
          <t>EECKF37R3251165</t>
        </is>
      </c>
      <c r="N106" s="16">
        <f>LEFT(M106,12)</f>
        <v/>
      </c>
      <c r="O106" s="16" t="inlineStr">
        <is>
          <t>EECKF37R32, (51)L/Blue, (165)165</t>
        </is>
      </c>
      <c r="P106" s="16" t="n">
        <v>699</v>
      </c>
      <c r="Q106" s="16" t="n">
        <v>699</v>
      </c>
      <c r="R106" s="16" t="n">
        <v>3</v>
      </c>
      <c r="S106" s="16" t="n">
        <v>961</v>
      </c>
      <c r="T106" s="16" t="n">
        <v>2</v>
      </c>
    </row>
    <row r="107" s="103">
      <c r="A107" s="16" t="inlineStr">
        <is>
          <t>B331</t>
        </is>
      </c>
      <c r="B107" s="16" t="inlineStr">
        <is>
          <t>上海区域</t>
        </is>
      </c>
      <c r="C107" s="16" t="inlineStr">
        <is>
          <t>CN0Q</t>
        </is>
      </c>
      <c r="D107" s="16" t="inlineStr">
        <is>
          <t>EE 苏州比斯特购物村</t>
        </is>
      </c>
      <c r="E107" s="16" t="n">
        <v>4</v>
      </c>
      <c r="F107" s="16" t="inlineStr">
        <is>
          <t>奥特莱斯</t>
        </is>
      </c>
      <c r="G107" s="16" t="inlineStr">
        <is>
          <t>EECKF37R32</t>
        </is>
      </c>
      <c r="H107" s="16" t="n">
        <v>699</v>
      </c>
      <c r="I107" s="16" t="n">
        <v>699</v>
      </c>
      <c r="J107" s="17" t="n">
        <v>45811</v>
      </c>
      <c r="K107" s="16" t="inlineStr">
        <is>
          <t>(51)L/Blue</t>
        </is>
      </c>
      <c r="L107" s="16" t="inlineStr">
        <is>
          <t>营业中</t>
        </is>
      </c>
      <c r="M107" s="16" t="inlineStr">
        <is>
          <t>EECKF37R3251170</t>
        </is>
      </c>
      <c r="N107" s="16">
        <f>LEFT(M107,12)</f>
        <v/>
      </c>
      <c r="O107" s="16" t="inlineStr">
        <is>
          <t>EECKF37R32, (51)L/Blue, (170)170</t>
        </is>
      </c>
      <c r="P107" s="16" t="n">
        <v>699</v>
      </c>
      <c r="Q107" s="16" t="n">
        <v>699</v>
      </c>
      <c r="R107" s="16" t="n">
        <v>1</v>
      </c>
      <c r="S107" s="16" t="n">
        <v>319</v>
      </c>
      <c r="T107" s="16" t="n">
        <v>1</v>
      </c>
    </row>
    <row r="108" s="103">
      <c r="A108" s="16" t="inlineStr">
        <is>
          <t>B331</t>
        </is>
      </c>
      <c r="B108" s="16" t="inlineStr">
        <is>
          <t>上海区域</t>
        </is>
      </c>
      <c r="C108" s="16" t="inlineStr">
        <is>
          <t>CN0Q</t>
        </is>
      </c>
      <c r="D108" s="16" t="inlineStr">
        <is>
          <t>EE 苏州比斯特购物村</t>
        </is>
      </c>
      <c r="E108" s="16" t="n">
        <v>4</v>
      </c>
      <c r="F108" s="16" t="inlineStr">
        <is>
          <t>奥特莱斯</t>
        </is>
      </c>
      <c r="G108" s="16" t="inlineStr">
        <is>
          <t>EECKG11E01</t>
        </is>
      </c>
      <c r="H108" s="16" t="n">
        <v>799</v>
      </c>
      <c r="I108" s="16" t="n">
        <v>899</v>
      </c>
      <c r="J108" s="17" t="inlineStr">
        <is>
          <t>########</t>
        </is>
      </c>
      <c r="K108" s="16" t="inlineStr">
        <is>
          <t>(30)Yellow</t>
        </is>
      </c>
      <c r="L108" s="16" t="inlineStr">
        <is>
          <t>营业中</t>
        </is>
      </c>
      <c r="M108" s="16" t="inlineStr">
        <is>
          <t>EECKG11E0130160</t>
        </is>
      </c>
      <c r="N108" s="16">
        <f>LEFT(M108,12)</f>
        <v/>
      </c>
      <c r="O108" s="16" t="inlineStr">
        <is>
          <t>EECKG11E01, (30)Yellow, (160)160</t>
        </is>
      </c>
      <c r="P108" s="16" t="n">
        <v>799</v>
      </c>
      <c r="Q108" s="16" t="n">
        <v>899</v>
      </c>
      <c r="R108" s="16" t="n"/>
      <c r="S108" s="16" t="n"/>
      <c r="T108" s="16" t="n">
        <v>4</v>
      </c>
    </row>
    <row r="109" s="103">
      <c r="A109" s="16" t="inlineStr">
        <is>
          <t>B331</t>
        </is>
      </c>
      <c r="B109" s="16" t="inlineStr">
        <is>
          <t>上海区域</t>
        </is>
      </c>
      <c r="C109" s="16" t="inlineStr">
        <is>
          <t>CN0Q</t>
        </is>
      </c>
      <c r="D109" s="16" t="inlineStr">
        <is>
          <t>EE 苏州比斯特购物村</t>
        </is>
      </c>
      <c r="E109" s="16" t="n">
        <v>4</v>
      </c>
      <c r="F109" s="16" t="inlineStr">
        <is>
          <t>奥特莱斯</t>
        </is>
      </c>
      <c r="G109" s="16" t="inlineStr">
        <is>
          <t>EECKG11E01</t>
        </is>
      </c>
      <c r="H109" s="16" t="n">
        <v>799</v>
      </c>
      <c r="I109" s="16" t="n">
        <v>899</v>
      </c>
      <c r="J109" s="17" t="inlineStr">
        <is>
          <t>########</t>
        </is>
      </c>
      <c r="K109" s="16" t="inlineStr">
        <is>
          <t>(30)Yellow</t>
        </is>
      </c>
      <c r="L109" s="16" t="inlineStr">
        <is>
          <t>营业中</t>
        </is>
      </c>
      <c r="M109" s="16" t="inlineStr">
        <is>
          <t>EECKG11E0130165</t>
        </is>
      </c>
      <c r="N109" s="16">
        <f>LEFT(M109,12)</f>
        <v/>
      </c>
      <c r="O109" s="16" t="inlineStr">
        <is>
          <t>EECKG11E01, (30)Yellow, (165)165</t>
        </is>
      </c>
      <c r="P109" s="16" t="n">
        <v>799</v>
      </c>
      <c r="Q109" s="16" t="n">
        <v>899</v>
      </c>
      <c r="R109" s="16" t="n">
        <v>1</v>
      </c>
      <c r="S109" s="16" t="n">
        <v>417</v>
      </c>
      <c r="T109" s="16" t="n">
        <v>2</v>
      </c>
    </row>
    <row r="110" s="103">
      <c r="A110" s="16" t="inlineStr">
        <is>
          <t>B331</t>
        </is>
      </c>
      <c r="B110" s="16" t="inlineStr">
        <is>
          <t>上海区域</t>
        </is>
      </c>
      <c r="C110" s="16" t="inlineStr">
        <is>
          <t>CN0Q</t>
        </is>
      </c>
      <c r="D110" s="16" t="inlineStr">
        <is>
          <t>EE 苏州比斯特购物村</t>
        </is>
      </c>
      <c r="E110" s="16" t="n">
        <v>4</v>
      </c>
      <c r="F110" s="16" t="inlineStr">
        <is>
          <t>奥特莱斯</t>
        </is>
      </c>
      <c r="G110" s="16" t="inlineStr">
        <is>
          <t>EECKG11E01</t>
        </is>
      </c>
      <c r="H110" s="16" t="n">
        <v>799</v>
      </c>
      <c r="I110" s="16" t="n">
        <v>899</v>
      </c>
      <c r="J110" s="17" t="inlineStr">
        <is>
          <t>########</t>
        </is>
      </c>
      <c r="K110" s="16" t="inlineStr">
        <is>
          <t>(30)Yellow</t>
        </is>
      </c>
      <c r="L110" s="16" t="inlineStr">
        <is>
          <t>营业中</t>
        </is>
      </c>
      <c r="M110" s="16" t="inlineStr">
        <is>
          <t>EECKG11E0130170</t>
        </is>
      </c>
      <c r="N110" s="16">
        <f>LEFT(M110,12)</f>
        <v/>
      </c>
      <c r="O110" s="16" t="inlineStr">
        <is>
          <t>EECKG11E01, (30)Yellow, (170)170</t>
        </is>
      </c>
      <c r="P110" s="16" t="n">
        <v>799</v>
      </c>
      <c r="Q110" s="16" t="n">
        <v>899</v>
      </c>
      <c r="R110" s="16" t="n">
        <v>1</v>
      </c>
      <c r="S110" s="16" t="n"/>
      <c r="T110" s="16" t="n">
        <v>5</v>
      </c>
    </row>
    <row r="111" s="103">
      <c r="A111" s="16" t="inlineStr">
        <is>
          <t>B331</t>
        </is>
      </c>
      <c r="B111" s="16" t="inlineStr">
        <is>
          <t>上海区域</t>
        </is>
      </c>
      <c r="C111" s="16" t="inlineStr">
        <is>
          <t>CN0Q</t>
        </is>
      </c>
      <c r="D111" s="16" t="inlineStr">
        <is>
          <t>EE 苏州比斯特购物村</t>
        </is>
      </c>
      <c r="E111" s="16" t="n">
        <v>4</v>
      </c>
      <c r="F111" s="16" t="inlineStr">
        <is>
          <t>奥特莱斯</t>
        </is>
      </c>
      <c r="G111" s="16" t="inlineStr">
        <is>
          <t>EECKG11E01</t>
        </is>
      </c>
      <c r="H111" s="16" t="n">
        <v>799</v>
      </c>
      <c r="I111" s="16" t="n">
        <v>899</v>
      </c>
      <c r="J111" s="17" t="inlineStr">
        <is>
          <t>########</t>
        </is>
      </c>
      <c r="K111" s="16" t="inlineStr">
        <is>
          <t>(30)Yellow</t>
        </is>
      </c>
      <c r="L111" s="16" t="inlineStr">
        <is>
          <t>营业中</t>
        </is>
      </c>
      <c r="M111" s="16" t="inlineStr">
        <is>
          <t>EECKG11E0130175</t>
        </is>
      </c>
      <c r="N111" s="16">
        <f>LEFT(M111,12)</f>
        <v/>
      </c>
      <c r="O111" s="16" t="inlineStr">
        <is>
          <t>EECKG11E01, (30)Yellow, (175)175</t>
        </is>
      </c>
      <c r="P111" s="16" t="n">
        <v>799</v>
      </c>
      <c r="Q111" s="16" t="n">
        <v>899</v>
      </c>
      <c r="R111" s="16" t="n"/>
      <c r="S111" s="16" t="n"/>
      <c r="T111" s="16" t="n">
        <v>4</v>
      </c>
    </row>
    <row r="112" s="103">
      <c r="A112" s="16" t="inlineStr">
        <is>
          <t>B331</t>
        </is>
      </c>
      <c r="B112" s="16" t="inlineStr">
        <is>
          <t>上海区域</t>
        </is>
      </c>
      <c r="C112" s="16" t="inlineStr">
        <is>
          <t>CN0Q</t>
        </is>
      </c>
      <c r="D112" s="16" t="inlineStr">
        <is>
          <t>EE 苏州比斯特购物村</t>
        </is>
      </c>
      <c r="E112" s="16" t="n">
        <v>4</v>
      </c>
      <c r="F112" s="16" t="inlineStr">
        <is>
          <t>奥特莱斯</t>
        </is>
      </c>
      <c r="G112" s="16" t="inlineStr">
        <is>
          <t>EECKG11E01</t>
        </is>
      </c>
      <c r="H112" s="16" t="n">
        <v>799</v>
      </c>
      <c r="I112" s="16" t="n">
        <v>899</v>
      </c>
      <c r="J112" s="17" t="inlineStr">
        <is>
          <t>########</t>
        </is>
      </c>
      <c r="K112" s="16" t="inlineStr">
        <is>
          <t>(39)Ivory</t>
        </is>
      </c>
      <c r="L112" s="16" t="inlineStr">
        <is>
          <t>营业中</t>
        </is>
      </c>
      <c r="M112" s="16" t="inlineStr">
        <is>
          <t>EECKG11E0139160</t>
        </is>
      </c>
      <c r="N112" s="16">
        <f>LEFT(M112,12)</f>
        <v/>
      </c>
      <c r="O112" s="16" t="inlineStr">
        <is>
          <t>EECKG11E01, (39)Ivory, (160)160</t>
        </is>
      </c>
      <c r="P112" s="16" t="n">
        <v>799</v>
      </c>
      <c r="Q112" s="16" t="n">
        <v>899</v>
      </c>
      <c r="R112" s="16" t="n">
        <v>2</v>
      </c>
      <c r="S112" s="16" t="n"/>
      <c r="T112" s="16" t="n">
        <v>1</v>
      </c>
    </row>
    <row r="113" s="103">
      <c r="A113" s="16" t="inlineStr">
        <is>
          <t>B331</t>
        </is>
      </c>
      <c r="B113" s="16" t="inlineStr">
        <is>
          <t>上海区域</t>
        </is>
      </c>
      <c r="C113" s="16" t="inlineStr">
        <is>
          <t>CN0Q</t>
        </is>
      </c>
      <c r="D113" s="16" t="inlineStr">
        <is>
          <t>EE 苏州比斯特购物村</t>
        </is>
      </c>
      <c r="E113" s="16" t="n">
        <v>4</v>
      </c>
      <c r="F113" s="16" t="inlineStr">
        <is>
          <t>奥特莱斯</t>
        </is>
      </c>
      <c r="G113" s="16" t="inlineStr">
        <is>
          <t>EECKG11E01</t>
        </is>
      </c>
      <c r="H113" s="16" t="n">
        <v>799</v>
      </c>
      <c r="I113" s="16" t="n">
        <v>899</v>
      </c>
      <c r="J113" s="17" t="inlineStr">
        <is>
          <t>########</t>
        </is>
      </c>
      <c r="K113" s="16" t="inlineStr">
        <is>
          <t>(39)Ivory</t>
        </is>
      </c>
      <c r="L113" s="16" t="inlineStr">
        <is>
          <t>营业中</t>
        </is>
      </c>
      <c r="M113" s="16" t="inlineStr">
        <is>
          <t>EECKG11E0139165</t>
        </is>
      </c>
      <c r="N113" s="16">
        <f>LEFT(M113,12)</f>
        <v/>
      </c>
      <c r="O113" s="16" t="inlineStr">
        <is>
          <t>EECKG11E01, (39)Ivory, (165)165</t>
        </is>
      </c>
      <c r="P113" s="16" t="n">
        <v>799</v>
      </c>
      <c r="Q113" s="16" t="n">
        <v>899</v>
      </c>
      <c r="R113" s="16" t="n">
        <v>1</v>
      </c>
      <c r="S113" s="16" t="n"/>
      <c r="T113" s="16" t="n">
        <v>2</v>
      </c>
    </row>
    <row r="114" s="103">
      <c r="A114" s="16" t="inlineStr">
        <is>
          <t>B331</t>
        </is>
      </c>
      <c r="B114" s="16" t="inlineStr">
        <is>
          <t>上海区域</t>
        </is>
      </c>
      <c r="C114" s="16" t="inlineStr">
        <is>
          <t>CN0Q</t>
        </is>
      </c>
      <c r="D114" s="16" t="inlineStr">
        <is>
          <t>EE 苏州比斯特购物村</t>
        </is>
      </c>
      <c r="E114" s="16" t="n">
        <v>4</v>
      </c>
      <c r="F114" s="16" t="inlineStr">
        <is>
          <t>奥特莱斯</t>
        </is>
      </c>
      <c r="G114" s="16" t="inlineStr">
        <is>
          <t>EECKG11E01</t>
        </is>
      </c>
      <c r="H114" s="16" t="n">
        <v>799</v>
      </c>
      <c r="I114" s="16" t="n">
        <v>899</v>
      </c>
      <c r="J114" s="17" t="inlineStr">
        <is>
          <t>########</t>
        </is>
      </c>
      <c r="K114" s="16" t="inlineStr">
        <is>
          <t>(39)Ivory</t>
        </is>
      </c>
      <c r="L114" s="16" t="inlineStr">
        <is>
          <t>营业中</t>
        </is>
      </c>
      <c r="M114" s="16" t="inlineStr">
        <is>
          <t>EECKG11E0139170</t>
        </is>
      </c>
      <c r="N114" s="16">
        <f>LEFT(M114,12)</f>
        <v/>
      </c>
      <c r="O114" s="16" t="inlineStr">
        <is>
          <t>EECKG11E01, (39)Ivory, (170)170</t>
        </is>
      </c>
      <c r="P114" s="16" t="n">
        <v>799</v>
      </c>
      <c r="Q114" s="16" t="n">
        <v>899</v>
      </c>
      <c r="R114" s="16" t="n"/>
      <c r="S114" s="16" t="n"/>
      <c r="T114" s="16" t="n">
        <v>2</v>
      </c>
    </row>
    <row r="115" s="103">
      <c r="A115" s="16" t="inlineStr">
        <is>
          <t>B331</t>
        </is>
      </c>
      <c r="B115" s="16" t="inlineStr">
        <is>
          <t>上海区域</t>
        </is>
      </c>
      <c r="C115" s="16" t="inlineStr">
        <is>
          <t>CN0Q</t>
        </is>
      </c>
      <c r="D115" s="16" t="inlineStr">
        <is>
          <t>EE 苏州比斯特购物村</t>
        </is>
      </c>
      <c r="E115" s="16" t="n">
        <v>4</v>
      </c>
      <c r="F115" s="16" t="inlineStr">
        <is>
          <t>奥特莱斯</t>
        </is>
      </c>
      <c r="G115" s="16" t="inlineStr">
        <is>
          <t>EECKG11E01</t>
        </is>
      </c>
      <c r="H115" s="16" t="n">
        <v>799</v>
      </c>
      <c r="I115" s="16" t="n">
        <v>899</v>
      </c>
      <c r="J115" s="17" t="inlineStr">
        <is>
          <t>########</t>
        </is>
      </c>
      <c r="K115" s="16" t="inlineStr">
        <is>
          <t>(39)Ivory</t>
        </is>
      </c>
      <c r="L115" s="16" t="inlineStr">
        <is>
          <t>营业中</t>
        </is>
      </c>
      <c r="M115" s="16" t="inlineStr">
        <is>
          <t>EECKG11E0139175</t>
        </is>
      </c>
      <c r="N115" s="16">
        <f>LEFT(M115,12)</f>
        <v/>
      </c>
      <c r="O115" s="16" t="inlineStr">
        <is>
          <t>EECKG11E01, (39)Ivory, (175)175</t>
        </is>
      </c>
      <c r="P115" s="16" t="n">
        <v>799</v>
      </c>
      <c r="Q115" s="16" t="n">
        <v>899</v>
      </c>
      <c r="R115" s="16" t="n"/>
      <c r="S115" s="16" t="n"/>
      <c r="T115" s="16" t="n">
        <v>2</v>
      </c>
    </row>
    <row r="116" s="103">
      <c r="A116" s="16" t="inlineStr">
        <is>
          <t>B331</t>
        </is>
      </c>
      <c r="B116" s="16" t="inlineStr">
        <is>
          <t>上海区域</t>
        </is>
      </c>
      <c r="C116" s="16" t="inlineStr">
        <is>
          <t>CN0Q</t>
        </is>
      </c>
      <c r="D116" s="16" t="inlineStr">
        <is>
          <t>EE 苏州比斯特购物村</t>
        </is>
      </c>
      <c r="E116" s="16" t="n">
        <v>4</v>
      </c>
      <c r="F116" s="16" t="inlineStr">
        <is>
          <t>奥特莱斯</t>
        </is>
      </c>
      <c r="G116" s="16" t="inlineStr">
        <is>
          <t>EECKG11E01</t>
        </is>
      </c>
      <c r="H116" s="16" t="n">
        <v>799</v>
      </c>
      <c r="I116" s="16" t="n">
        <v>899</v>
      </c>
      <c r="J116" s="17" t="inlineStr">
        <is>
          <t>########</t>
        </is>
      </c>
      <c r="K116" s="16" t="inlineStr">
        <is>
          <t>(40)Green</t>
        </is>
      </c>
      <c r="L116" s="16" t="inlineStr">
        <is>
          <t>营业中</t>
        </is>
      </c>
      <c r="M116" s="16" t="inlineStr">
        <is>
          <t>EECKG11E0140160</t>
        </is>
      </c>
      <c r="N116" s="16">
        <f>LEFT(M116,12)</f>
        <v/>
      </c>
      <c r="O116" s="16" t="inlineStr">
        <is>
          <t>EECKG11E01, (40)Green, (160)160</t>
        </is>
      </c>
      <c r="P116" s="16" t="n">
        <v>799</v>
      </c>
      <c r="Q116" s="16" t="n">
        <v>899</v>
      </c>
      <c r="R116" s="16" t="n"/>
      <c r="S116" s="16" t="n"/>
      <c r="T116" s="16" t="n">
        <v>2</v>
      </c>
    </row>
    <row r="117" s="103">
      <c r="A117" s="16" t="inlineStr">
        <is>
          <t>B331</t>
        </is>
      </c>
      <c r="B117" s="16" t="inlineStr">
        <is>
          <t>上海区域</t>
        </is>
      </c>
      <c r="C117" s="16" t="inlineStr">
        <is>
          <t>CN0Q</t>
        </is>
      </c>
      <c r="D117" s="16" t="inlineStr">
        <is>
          <t>EE 苏州比斯特购物村</t>
        </is>
      </c>
      <c r="E117" s="16" t="n">
        <v>4</v>
      </c>
      <c r="F117" s="16" t="inlineStr">
        <is>
          <t>奥特莱斯</t>
        </is>
      </c>
      <c r="G117" s="16" t="inlineStr">
        <is>
          <t>EECKG11E01</t>
        </is>
      </c>
      <c r="H117" s="16" t="n">
        <v>799</v>
      </c>
      <c r="I117" s="16" t="n">
        <v>899</v>
      </c>
      <c r="J117" s="17" t="inlineStr">
        <is>
          <t>########</t>
        </is>
      </c>
      <c r="K117" s="16" t="inlineStr">
        <is>
          <t>(40)Green</t>
        </is>
      </c>
      <c r="L117" s="16" t="inlineStr">
        <is>
          <t>营业中</t>
        </is>
      </c>
      <c r="M117" s="16" t="inlineStr">
        <is>
          <t>EECKG11E0140165</t>
        </is>
      </c>
      <c r="N117" s="16">
        <f>LEFT(M117,12)</f>
        <v/>
      </c>
      <c r="O117" s="16" t="inlineStr">
        <is>
          <t>EECKG11E01, (40)Green, (165)165</t>
        </is>
      </c>
      <c r="P117" s="16" t="n">
        <v>799</v>
      </c>
      <c r="Q117" s="16" t="n">
        <v>899</v>
      </c>
      <c r="R117" s="16" t="n"/>
      <c r="S117" s="16" t="n"/>
      <c r="T117" s="16" t="n">
        <v>3</v>
      </c>
    </row>
    <row r="118" s="103">
      <c r="A118" s="16" t="inlineStr">
        <is>
          <t>B331</t>
        </is>
      </c>
      <c r="B118" s="16" t="inlineStr">
        <is>
          <t>上海区域</t>
        </is>
      </c>
      <c r="C118" s="16" t="inlineStr">
        <is>
          <t>CN0Q</t>
        </is>
      </c>
      <c r="D118" s="16" t="inlineStr">
        <is>
          <t>EE 苏州比斯特购物村</t>
        </is>
      </c>
      <c r="E118" s="16" t="n">
        <v>4</v>
      </c>
      <c r="F118" s="16" t="inlineStr">
        <is>
          <t>奥特莱斯</t>
        </is>
      </c>
      <c r="G118" s="16" t="inlineStr">
        <is>
          <t>EECKG11E01</t>
        </is>
      </c>
      <c r="H118" s="16" t="n">
        <v>799</v>
      </c>
      <c r="I118" s="16" t="n">
        <v>899</v>
      </c>
      <c r="J118" s="17" t="inlineStr">
        <is>
          <t>########</t>
        </is>
      </c>
      <c r="K118" s="16" t="inlineStr">
        <is>
          <t>(40)Green</t>
        </is>
      </c>
      <c r="L118" s="16" t="inlineStr">
        <is>
          <t>营业中</t>
        </is>
      </c>
      <c r="M118" s="16" t="inlineStr">
        <is>
          <t>EECKG11E0140170</t>
        </is>
      </c>
      <c r="N118" s="16">
        <f>LEFT(M118,12)</f>
        <v/>
      </c>
      <c r="O118" s="16" t="inlineStr">
        <is>
          <t>EECKG11E01, (40)Green, (170)170</t>
        </is>
      </c>
      <c r="P118" s="16" t="n">
        <v>799</v>
      </c>
      <c r="Q118" s="16" t="n">
        <v>899</v>
      </c>
      <c r="R118" s="16" t="n"/>
      <c r="S118" s="16" t="n"/>
      <c r="T118" s="16" t="n">
        <v>2</v>
      </c>
    </row>
    <row r="119" s="103">
      <c r="A119" s="16" t="inlineStr">
        <is>
          <t>B331</t>
        </is>
      </c>
      <c r="B119" s="16" t="inlineStr">
        <is>
          <t>上海区域</t>
        </is>
      </c>
      <c r="C119" s="16" t="inlineStr">
        <is>
          <t>CN0Q</t>
        </is>
      </c>
      <c r="D119" s="16" t="inlineStr">
        <is>
          <t>EE 苏州比斯特购物村</t>
        </is>
      </c>
      <c r="E119" s="16" t="n">
        <v>4</v>
      </c>
      <c r="F119" s="16" t="inlineStr">
        <is>
          <t>奥特莱斯</t>
        </is>
      </c>
      <c r="G119" s="16" t="inlineStr">
        <is>
          <t>EECKG11E01</t>
        </is>
      </c>
      <c r="H119" s="16" t="n">
        <v>799</v>
      </c>
      <c r="I119" s="16" t="n">
        <v>899</v>
      </c>
      <c r="J119" s="17" t="inlineStr">
        <is>
          <t>########</t>
        </is>
      </c>
      <c r="K119" s="16" t="inlineStr">
        <is>
          <t>(40)Green</t>
        </is>
      </c>
      <c r="L119" s="16" t="inlineStr">
        <is>
          <t>营业中</t>
        </is>
      </c>
      <c r="M119" s="16" t="inlineStr">
        <is>
          <t>EECKG11E0140175</t>
        </is>
      </c>
      <c r="N119" s="16">
        <f>LEFT(M119,12)</f>
        <v/>
      </c>
      <c r="O119" s="16" t="inlineStr">
        <is>
          <t>EECKG11E01, (40)Green, (175)175</t>
        </is>
      </c>
      <c r="P119" s="16" t="n">
        <v>799</v>
      </c>
      <c r="Q119" s="16" t="n">
        <v>899</v>
      </c>
      <c r="R119" s="16" t="n"/>
      <c r="S119" s="16" t="n"/>
      <c r="T119" s="16" t="n">
        <v>2</v>
      </c>
    </row>
    <row r="120" s="103">
      <c r="A120" s="16" t="inlineStr">
        <is>
          <t>B331</t>
        </is>
      </c>
      <c r="B120" s="16" t="inlineStr">
        <is>
          <t>上海区域</t>
        </is>
      </c>
      <c r="C120" s="16" t="inlineStr">
        <is>
          <t>CN0Q</t>
        </is>
      </c>
      <c r="D120" s="16" t="inlineStr">
        <is>
          <t>EE 苏州比斯特购物村</t>
        </is>
      </c>
      <c r="E120" s="16" t="n">
        <v>4</v>
      </c>
      <c r="F120" s="16" t="inlineStr">
        <is>
          <t>奥特莱斯</t>
        </is>
      </c>
      <c r="G120" s="16" t="inlineStr">
        <is>
          <t>EECKG11E01</t>
        </is>
      </c>
      <c r="H120" s="16" t="n">
        <v>799</v>
      </c>
      <c r="I120" s="16" t="n">
        <v>899</v>
      </c>
      <c r="J120" s="17" t="inlineStr">
        <is>
          <t>########</t>
        </is>
      </c>
      <c r="K120" s="16" t="inlineStr">
        <is>
          <t>(51)L/Blue</t>
        </is>
      </c>
      <c r="L120" s="16" t="inlineStr">
        <is>
          <t>营业中</t>
        </is>
      </c>
      <c r="M120" s="16" t="inlineStr">
        <is>
          <t>EECKG11E0151165</t>
        </is>
      </c>
      <c r="N120" s="16">
        <f>LEFT(M120,12)</f>
        <v/>
      </c>
      <c r="O120" s="16" t="inlineStr">
        <is>
          <t>EECKG11E01, (51)L/Blue, (165)165</t>
        </is>
      </c>
      <c r="P120" s="16" t="n">
        <v>799</v>
      </c>
      <c r="Q120" s="16" t="n">
        <v>899</v>
      </c>
      <c r="R120" s="16" t="n"/>
      <c r="S120" s="16" t="n"/>
      <c r="T120" s="16" t="n">
        <v>3</v>
      </c>
    </row>
    <row r="121" s="103">
      <c r="A121" s="16" t="inlineStr">
        <is>
          <t>B331</t>
        </is>
      </c>
      <c r="B121" s="16" t="inlineStr">
        <is>
          <t>上海区域</t>
        </is>
      </c>
      <c r="C121" s="16" t="inlineStr">
        <is>
          <t>CN0Q</t>
        </is>
      </c>
      <c r="D121" s="16" t="inlineStr">
        <is>
          <t>EE 苏州比斯特购物村</t>
        </is>
      </c>
      <c r="E121" s="16" t="n">
        <v>4</v>
      </c>
      <c r="F121" s="16" t="inlineStr">
        <is>
          <t>奥特莱斯</t>
        </is>
      </c>
      <c r="G121" s="16" t="inlineStr">
        <is>
          <t>EECKG11E01</t>
        </is>
      </c>
      <c r="H121" s="16" t="n">
        <v>799</v>
      </c>
      <c r="I121" s="16" t="n">
        <v>899</v>
      </c>
      <c r="J121" s="17" t="inlineStr">
        <is>
          <t>########</t>
        </is>
      </c>
      <c r="K121" s="16" t="inlineStr">
        <is>
          <t>(51)L/Blue</t>
        </is>
      </c>
      <c r="L121" s="16" t="inlineStr">
        <is>
          <t>营业中</t>
        </is>
      </c>
      <c r="M121" s="16" t="inlineStr">
        <is>
          <t>EECKG11E0151170</t>
        </is>
      </c>
      <c r="N121" s="16">
        <f>LEFT(M121,12)</f>
        <v/>
      </c>
      <c r="O121" s="16" t="inlineStr">
        <is>
          <t>EECKG11E01, (51)L/Blue, (170)170</t>
        </is>
      </c>
      <c r="P121" s="16" t="n">
        <v>799</v>
      </c>
      <c r="Q121" s="16" t="n">
        <v>899</v>
      </c>
      <c r="R121" s="16" t="n"/>
      <c r="S121" s="16" t="n"/>
      <c r="T121" s="16" t="n">
        <v>3</v>
      </c>
    </row>
    <row r="122" s="103">
      <c r="A122" s="16" t="inlineStr">
        <is>
          <t>B331</t>
        </is>
      </c>
      <c r="B122" s="16" t="inlineStr">
        <is>
          <t>上海区域</t>
        </is>
      </c>
      <c r="C122" s="16" t="inlineStr">
        <is>
          <t>CN0Q</t>
        </is>
      </c>
      <c r="D122" s="16" t="inlineStr">
        <is>
          <t>EE 苏州比斯特购物村</t>
        </is>
      </c>
      <c r="E122" s="16" t="n">
        <v>4</v>
      </c>
      <c r="F122" s="16" t="inlineStr">
        <is>
          <t>奥特莱斯</t>
        </is>
      </c>
      <c r="G122" s="16" t="inlineStr">
        <is>
          <t>EECKG11E01</t>
        </is>
      </c>
      <c r="H122" s="16" t="n">
        <v>799</v>
      </c>
      <c r="I122" s="16" t="n">
        <v>899</v>
      </c>
      <c r="J122" s="17" t="inlineStr">
        <is>
          <t>########</t>
        </is>
      </c>
      <c r="K122" s="16" t="inlineStr">
        <is>
          <t>(51)L/Blue</t>
        </is>
      </c>
      <c r="L122" s="16" t="inlineStr">
        <is>
          <t>营业中</t>
        </is>
      </c>
      <c r="M122" s="16" t="inlineStr">
        <is>
          <t>EECKG11E0151175</t>
        </is>
      </c>
      <c r="N122" s="16">
        <f>LEFT(M122,12)</f>
        <v/>
      </c>
      <c r="O122" s="16" t="inlineStr">
        <is>
          <t>EECKG11E01, (51)L/Blue, (175)175</t>
        </is>
      </c>
      <c r="P122" s="16" t="n">
        <v>799</v>
      </c>
      <c r="Q122" s="16" t="n">
        <v>899</v>
      </c>
      <c r="R122" s="16" t="n"/>
      <c r="S122" s="16" t="n"/>
      <c r="T122" s="16" t="n">
        <v>4</v>
      </c>
    </row>
    <row r="123" s="103">
      <c r="A123" s="16" t="inlineStr">
        <is>
          <t>B331</t>
        </is>
      </c>
      <c r="B123" s="16" t="inlineStr">
        <is>
          <t>上海区域</t>
        </is>
      </c>
      <c r="C123" s="16" t="inlineStr">
        <is>
          <t>CN0Q</t>
        </is>
      </c>
      <c r="D123" s="16" t="inlineStr">
        <is>
          <t>EE 苏州比斯特购物村</t>
        </is>
      </c>
      <c r="E123" s="16" t="n">
        <v>4</v>
      </c>
      <c r="F123" s="16" t="inlineStr">
        <is>
          <t>奥特莱斯</t>
        </is>
      </c>
      <c r="G123" s="16" t="inlineStr">
        <is>
          <t>EECKG11E01</t>
        </is>
      </c>
      <c r="H123" s="16" t="n">
        <v>799</v>
      </c>
      <c r="I123" s="16" t="n">
        <v>899</v>
      </c>
      <c r="J123" s="17" t="inlineStr">
        <is>
          <t>########</t>
        </is>
      </c>
      <c r="K123" s="16" t="inlineStr">
        <is>
          <t>(88)Lavender</t>
        </is>
      </c>
      <c r="L123" s="16" t="inlineStr">
        <is>
          <t>营业中</t>
        </is>
      </c>
      <c r="M123" s="16" t="inlineStr">
        <is>
          <t>EECKG11E0188160</t>
        </is>
      </c>
      <c r="N123" s="16">
        <f>LEFT(M123,12)</f>
        <v/>
      </c>
      <c r="O123" s="16" t="inlineStr">
        <is>
          <t>EECKG11E01, (88)Lavender, (160)160</t>
        </is>
      </c>
      <c r="P123" s="16" t="n">
        <v>799</v>
      </c>
      <c r="Q123" s="16" t="n">
        <v>899</v>
      </c>
      <c r="R123" s="16" t="n"/>
      <c r="S123" s="16" t="n"/>
      <c r="T123" s="16" t="n">
        <v>2</v>
      </c>
    </row>
    <row r="124" s="103">
      <c r="A124" s="16" t="inlineStr">
        <is>
          <t>B331</t>
        </is>
      </c>
      <c r="B124" s="16" t="inlineStr">
        <is>
          <t>上海区域</t>
        </is>
      </c>
      <c r="C124" s="16" t="inlineStr">
        <is>
          <t>CN0Q</t>
        </is>
      </c>
      <c r="D124" s="16" t="inlineStr">
        <is>
          <t>EE 苏州比斯特购物村</t>
        </is>
      </c>
      <c r="E124" s="16" t="n">
        <v>4</v>
      </c>
      <c r="F124" s="16" t="inlineStr">
        <is>
          <t>奥特莱斯</t>
        </is>
      </c>
      <c r="G124" s="16" t="inlineStr">
        <is>
          <t>EECKG11E01</t>
        </is>
      </c>
      <c r="H124" s="16" t="n">
        <v>799</v>
      </c>
      <c r="I124" s="16" t="n">
        <v>899</v>
      </c>
      <c r="J124" s="17" t="inlineStr">
        <is>
          <t>########</t>
        </is>
      </c>
      <c r="K124" s="16" t="inlineStr">
        <is>
          <t>(88)Lavender</t>
        </is>
      </c>
      <c r="L124" s="16" t="inlineStr">
        <is>
          <t>营业中</t>
        </is>
      </c>
      <c r="M124" s="16" t="inlineStr">
        <is>
          <t>EECKG11E0188165</t>
        </is>
      </c>
      <c r="N124" s="16">
        <f>LEFT(M124,12)</f>
        <v/>
      </c>
      <c r="O124" s="16" t="inlineStr">
        <is>
          <t>EECKG11E01, (88)Lavender, (165)165</t>
        </is>
      </c>
      <c r="P124" s="16" t="n">
        <v>799</v>
      </c>
      <c r="Q124" s="16" t="n">
        <v>899</v>
      </c>
      <c r="R124" s="16" t="n"/>
      <c r="S124" s="16" t="n"/>
      <c r="T124" s="16" t="n">
        <v>2</v>
      </c>
    </row>
    <row r="125" s="103">
      <c r="A125" s="16" t="inlineStr">
        <is>
          <t>B331</t>
        </is>
      </c>
      <c r="B125" s="16" t="inlineStr">
        <is>
          <t>上海区域</t>
        </is>
      </c>
      <c r="C125" s="16" t="inlineStr">
        <is>
          <t>CN0Q</t>
        </is>
      </c>
      <c r="D125" s="16" t="inlineStr">
        <is>
          <t>EE 苏州比斯特购物村</t>
        </is>
      </c>
      <c r="E125" s="16" t="n">
        <v>4</v>
      </c>
      <c r="F125" s="16" t="inlineStr">
        <is>
          <t>奥特莱斯</t>
        </is>
      </c>
      <c r="G125" s="16" t="inlineStr">
        <is>
          <t>EECKG11E01</t>
        </is>
      </c>
      <c r="H125" s="16" t="n">
        <v>799</v>
      </c>
      <c r="I125" s="16" t="n">
        <v>899</v>
      </c>
      <c r="J125" s="17" t="inlineStr">
        <is>
          <t>########</t>
        </is>
      </c>
      <c r="K125" s="16" t="inlineStr">
        <is>
          <t>(88)Lavender</t>
        </is>
      </c>
      <c r="L125" s="16" t="inlineStr">
        <is>
          <t>营业中</t>
        </is>
      </c>
      <c r="M125" s="16" t="inlineStr">
        <is>
          <t>EECKG11E0188170</t>
        </is>
      </c>
      <c r="N125" s="16">
        <f>LEFT(M125,12)</f>
        <v/>
      </c>
      <c r="O125" s="16" t="inlineStr">
        <is>
          <t>EECKG11E01, (88)Lavender, (170)170</t>
        </is>
      </c>
      <c r="P125" s="16" t="n">
        <v>799</v>
      </c>
      <c r="Q125" s="16" t="n">
        <v>899</v>
      </c>
      <c r="R125" s="16" t="n"/>
      <c r="S125" s="16" t="n"/>
      <c r="T125" s="16" t="n">
        <v>2</v>
      </c>
    </row>
    <row r="126" s="103">
      <c r="A126" s="16" t="inlineStr">
        <is>
          <t>B331</t>
        </is>
      </c>
      <c r="B126" s="16" t="inlineStr">
        <is>
          <t>上海区域</t>
        </is>
      </c>
      <c r="C126" s="16" t="inlineStr">
        <is>
          <t>CN0Q</t>
        </is>
      </c>
      <c r="D126" s="16" t="inlineStr">
        <is>
          <t>EE 苏州比斯特购物村</t>
        </is>
      </c>
      <c r="E126" s="16" t="n">
        <v>4</v>
      </c>
      <c r="F126" s="16" t="inlineStr">
        <is>
          <t>奥特莱斯</t>
        </is>
      </c>
      <c r="G126" s="16" t="inlineStr">
        <is>
          <t>EECKG11E01</t>
        </is>
      </c>
      <c r="H126" s="16" t="n">
        <v>799</v>
      </c>
      <c r="I126" s="16" t="n">
        <v>899</v>
      </c>
      <c r="J126" s="17" t="inlineStr">
        <is>
          <t>########</t>
        </is>
      </c>
      <c r="K126" s="16" t="inlineStr">
        <is>
          <t>(88)Lavender</t>
        </is>
      </c>
      <c r="L126" s="16" t="inlineStr">
        <is>
          <t>营业中</t>
        </is>
      </c>
      <c r="M126" s="16" t="inlineStr">
        <is>
          <t>EECKG11E0188175</t>
        </is>
      </c>
      <c r="N126" s="16">
        <f>LEFT(M126,12)</f>
        <v/>
      </c>
      <c r="O126" s="16" t="inlineStr">
        <is>
          <t>EECKG11E01, (88)Lavender, (175)175</t>
        </is>
      </c>
      <c r="P126" s="16" t="n">
        <v>799</v>
      </c>
      <c r="Q126" s="16" t="n">
        <v>899</v>
      </c>
      <c r="R126" s="16" t="n"/>
      <c r="S126" s="16" t="n"/>
      <c r="T126" s="16" t="n">
        <v>2</v>
      </c>
    </row>
    <row r="127" s="103">
      <c r="A127" s="16" t="inlineStr">
        <is>
          <t>B331</t>
        </is>
      </c>
      <c r="B127" s="16" t="inlineStr">
        <is>
          <t>上海区域</t>
        </is>
      </c>
      <c r="C127" s="16" t="inlineStr">
        <is>
          <t>CN0Q</t>
        </is>
      </c>
      <c r="D127" s="16" t="inlineStr">
        <is>
          <t>EE 苏州比斯特购物村</t>
        </is>
      </c>
      <c r="E127" s="16" t="n">
        <v>4</v>
      </c>
      <c r="F127" s="16" t="inlineStr">
        <is>
          <t>奥特莱斯</t>
        </is>
      </c>
      <c r="G127" s="16" t="inlineStr">
        <is>
          <t>EECKG12B02</t>
        </is>
      </c>
      <c r="H127" s="16" t="n">
        <v>999</v>
      </c>
      <c r="I127" s="16" t="n">
        <v>899</v>
      </c>
      <c r="J127" s="17" t="inlineStr">
        <is>
          <t>########</t>
        </is>
      </c>
      <c r="K127" s="16" t="inlineStr">
        <is>
          <t>(15)Grey</t>
        </is>
      </c>
      <c r="L127" s="16" t="inlineStr">
        <is>
          <t>营业中</t>
        </is>
      </c>
      <c r="M127" s="16" t="inlineStr">
        <is>
          <t>EECKG12B0215160</t>
        </is>
      </c>
      <c r="N127" s="16">
        <f>LEFT(M127,12)</f>
        <v/>
      </c>
      <c r="O127" s="16" t="inlineStr">
        <is>
          <t>EECKG12B02, (15)Grey, (160)160</t>
        </is>
      </c>
      <c r="P127" s="16" t="n">
        <v>999</v>
      </c>
      <c r="Q127" s="16" t="n">
        <v>899</v>
      </c>
      <c r="R127" s="16" t="n"/>
      <c r="S127" s="16" t="n"/>
      <c r="T127" s="16" t="n">
        <v>3</v>
      </c>
    </row>
    <row r="128" s="103">
      <c r="A128" s="16" t="inlineStr">
        <is>
          <t>B331</t>
        </is>
      </c>
      <c r="B128" s="16" t="inlineStr">
        <is>
          <t>上海区域</t>
        </is>
      </c>
      <c r="C128" s="16" t="inlineStr">
        <is>
          <t>CN0Q</t>
        </is>
      </c>
      <c r="D128" s="16" t="inlineStr">
        <is>
          <t>EE 苏州比斯特购物村</t>
        </is>
      </c>
      <c r="E128" s="16" t="n">
        <v>4</v>
      </c>
      <c r="F128" s="16" t="inlineStr">
        <is>
          <t>奥特莱斯</t>
        </is>
      </c>
      <c r="G128" s="16" t="inlineStr">
        <is>
          <t>EECKG12B02</t>
        </is>
      </c>
      <c r="H128" s="16" t="n">
        <v>999</v>
      </c>
      <c r="I128" s="16" t="n">
        <v>899</v>
      </c>
      <c r="J128" s="17" t="inlineStr">
        <is>
          <t>########</t>
        </is>
      </c>
      <c r="K128" s="16" t="inlineStr">
        <is>
          <t>(15)Grey</t>
        </is>
      </c>
      <c r="L128" s="16" t="inlineStr">
        <is>
          <t>营业中</t>
        </is>
      </c>
      <c r="M128" s="16" t="inlineStr">
        <is>
          <t>EECKG12B0215165</t>
        </is>
      </c>
      <c r="N128" s="16">
        <f>LEFT(M128,12)</f>
        <v/>
      </c>
      <c r="O128" s="16" t="inlineStr">
        <is>
          <t>EECKG12B02, (15)Grey, (165)165</t>
        </is>
      </c>
      <c r="P128" s="16" t="n">
        <v>999</v>
      </c>
      <c r="Q128" s="16" t="n">
        <v>899</v>
      </c>
      <c r="R128" s="16" t="n"/>
      <c r="S128" s="16" t="n"/>
      <c r="T128" s="16" t="n">
        <v>3</v>
      </c>
    </row>
    <row r="129" s="103">
      <c r="A129" s="16" t="inlineStr">
        <is>
          <t>B331</t>
        </is>
      </c>
      <c r="B129" s="16" t="inlineStr">
        <is>
          <t>上海区域</t>
        </is>
      </c>
      <c r="C129" s="16" t="inlineStr">
        <is>
          <t>CN0Q</t>
        </is>
      </c>
      <c r="D129" s="16" t="inlineStr">
        <is>
          <t>EE 苏州比斯特购物村</t>
        </is>
      </c>
      <c r="E129" s="16" t="n">
        <v>4</v>
      </c>
      <c r="F129" s="16" t="inlineStr">
        <is>
          <t>奥特莱斯</t>
        </is>
      </c>
      <c r="G129" s="16" t="inlineStr">
        <is>
          <t>EECKG12B02</t>
        </is>
      </c>
      <c r="H129" s="16" t="n">
        <v>999</v>
      </c>
      <c r="I129" s="16" t="n">
        <v>899</v>
      </c>
      <c r="J129" s="17" t="inlineStr">
        <is>
          <t>########</t>
        </is>
      </c>
      <c r="K129" s="16" t="inlineStr">
        <is>
          <t>(15)Grey</t>
        </is>
      </c>
      <c r="L129" s="16" t="inlineStr">
        <is>
          <t>营业中</t>
        </is>
      </c>
      <c r="M129" s="16" t="inlineStr">
        <is>
          <t>EECKG12B0215170</t>
        </is>
      </c>
      <c r="N129" s="16">
        <f>LEFT(M129,12)</f>
        <v/>
      </c>
      <c r="O129" s="16" t="inlineStr">
        <is>
          <t>EECKG12B02, (15)Grey, (170)170</t>
        </is>
      </c>
      <c r="P129" s="16" t="n">
        <v>999</v>
      </c>
      <c r="Q129" s="16" t="n">
        <v>899</v>
      </c>
      <c r="R129" s="16" t="n">
        <v>1</v>
      </c>
      <c r="S129" s="16" t="n">
        <v>417</v>
      </c>
      <c r="T129" s="16" t="n">
        <v>2</v>
      </c>
    </row>
    <row r="130" s="103">
      <c r="A130" s="16" t="inlineStr">
        <is>
          <t>B331</t>
        </is>
      </c>
      <c r="B130" s="16" t="inlineStr">
        <is>
          <t>上海区域</t>
        </is>
      </c>
      <c r="C130" s="16" t="inlineStr">
        <is>
          <t>CN0Q</t>
        </is>
      </c>
      <c r="D130" s="16" t="inlineStr">
        <is>
          <t>EE 苏州比斯特购物村</t>
        </is>
      </c>
      <c r="E130" s="16" t="n">
        <v>4</v>
      </c>
      <c r="F130" s="16" t="inlineStr">
        <is>
          <t>奥特莱斯</t>
        </is>
      </c>
      <c r="G130" s="16" t="inlineStr">
        <is>
          <t>EECKG12B02</t>
        </is>
      </c>
      <c r="H130" s="16" t="n">
        <v>999</v>
      </c>
      <c r="I130" s="16" t="n">
        <v>899</v>
      </c>
      <c r="J130" s="17" t="inlineStr">
        <is>
          <t>########</t>
        </is>
      </c>
      <c r="K130" s="16" t="inlineStr">
        <is>
          <t>(26)L/Pink</t>
        </is>
      </c>
      <c r="L130" s="16" t="inlineStr">
        <is>
          <t>营业中</t>
        </is>
      </c>
      <c r="M130" s="16" t="inlineStr">
        <is>
          <t>EECKG12B0226160</t>
        </is>
      </c>
      <c r="N130" s="16">
        <f>LEFT(M130,12)</f>
        <v/>
      </c>
      <c r="O130" s="16" t="inlineStr">
        <is>
          <t>EECKG12B02, (26)L/Pink, (160)160</t>
        </is>
      </c>
      <c r="P130" s="16" t="n">
        <v>999</v>
      </c>
      <c r="Q130" s="16" t="n">
        <v>899</v>
      </c>
      <c r="R130" s="16" t="n"/>
      <c r="S130" s="16" t="n"/>
      <c r="T130" s="16" t="n">
        <v>3</v>
      </c>
    </row>
    <row r="131" s="103">
      <c r="A131" s="16" t="inlineStr">
        <is>
          <t>B331</t>
        </is>
      </c>
      <c r="B131" s="16" t="inlineStr">
        <is>
          <t>上海区域</t>
        </is>
      </c>
      <c r="C131" s="16" t="inlineStr">
        <is>
          <t>CN0Q</t>
        </is>
      </c>
      <c r="D131" s="16" t="inlineStr">
        <is>
          <t>EE 苏州比斯特购物村</t>
        </is>
      </c>
      <c r="E131" s="16" t="n">
        <v>4</v>
      </c>
      <c r="F131" s="16" t="inlineStr">
        <is>
          <t>奥特莱斯</t>
        </is>
      </c>
      <c r="G131" s="16" t="inlineStr">
        <is>
          <t>EECKG12B02</t>
        </is>
      </c>
      <c r="H131" s="16" t="n">
        <v>999</v>
      </c>
      <c r="I131" s="16" t="n">
        <v>899</v>
      </c>
      <c r="J131" s="17" t="inlineStr">
        <is>
          <t>########</t>
        </is>
      </c>
      <c r="K131" s="16" t="inlineStr">
        <is>
          <t>(26)L/Pink</t>
        </is>
      </c>
      <c r="L131" s="16" t="inlineStr">
        <is>
          <t>营业中</t>
        </is>
      </c>
      <c r="M131" s="16" t="inlineStr">
        <is>
          <t>EECKG12B0226165</t>
        </is>
      </c>
      <c r="N131" s="16">
        <f>LEFT(M131,12)</f>
        <v/>
      </c>
      <c r="O131" s="16" t="inlineStr">
        <is>
          <t>EECKG12B02, (26)L/Pink, (165)165</t>
        </is>
      </c>
      <c r="P131" s="16" t="n">
        <v>999</v>
      </c>
      <c r="Q131" s="16" t="n">
        <v>899</v>
      </c>
      <c r="R131" s="16" t="n"/>
      <c r="S131" s="16" t="n"/>
      <c r="T131" s="16" t="n">
        <v>3</v>
      </c>
    </row>
    <row r="132" s="103">
      <c r="A132" s="16" t="inlineStr">
        <is>
          <t>B331</t>
        </is>
      </c>
      <c r="B132" s="16" t="inlineStr">
        <is>
          <t>上海区域</t>
        </is>
      </c>
      <c r="C132" s="16" t="inlineStr">
        <is>
          <t>CN0Q</t>
        </is>
      </c>
      <c r="D132" s="16" t="inlineStr">
        <is>
          <t>EE 苏州比斯特购物村</t>
        </is>
      </c>
      <c r="E132" s="16" t="n">
        <v>4</v>
      </c>
      <c r="F132" s="16" t="inlineStr">
        <is>
          <t>奥特莱斯</t>
        </is>
      </c>
      <c r="G132" s="16" t="inlineStr">
        <is>
          <t>EECKG12B02</t>
        </is>
      </c>
      <c r="H132" s="16" t="n">
        <v>999</v>
      </c>
      <c r="I132" s="16" t="n">
        <v>899</v>
      </c>
      <c r="J132" s="17" t="inlineStr">
        <is>
          <t>########</t>
        </is>
      </c>
      <c r="K132" s="16" t="inlineStr">
        <is>
          <t>(26)L/Pink</t>
        </is>
      </c>
      <c r="L132" s="16" t="inlineStr">
        <is>
          <t>营业中</t>
        </is>
      </c>
      <c r="M132" s="16" t="inlineStr">
        <is>
          <t>EECKG12B0226170</t>
        </is>
      </c>
      <c r="N132" s="16">
        <f>LEFT(M132,12)</f>
        <v/>
      </c>
      <c r="O132" s="16" t="inlineStr">
        <is>
          <t>EECKG12B02, (26)L/Pink, (170)170</t>
        </is>
      </c>
      <c r="P132" s="16" t="n">
        <v>999</v>
      </c>
      <c r="Q132" s="16" t="n">
        <v>899</v>
      </c>
      <c r="R132" s="16" t="n"/>
      <c r="S132" s="16" t="n"/>
      <c r="T132" s="16" t="n">
        <v>2</v>
      </c>
    </row>
    <row r="133" s="103">
      <c r="A133" s="16" t="inlineStr">
        <is>
          <t>B331</t>
        </is>
      </c>
      <c r="B133" s="16" t="inlineStr">
        <is>
          <t>上海区域</t>
        </is>
      </c>
      <c r="C133" s="16" t="inlineStr">
        <is>
          <t>CN0Q</t>
        </is>
      </c>
      <c r="D133" s="16" t="inlineStr">
        <is>
          <t>EE 苏州比斯特购物村</t>
        </is>
      </c>
      <c r="E133" s="16" t="n">
        <v>4</v>
      </c>
      <c r="F133" s="16" t="inlineStr">
        <is>
          <t>奥特莱斯</t>
        </is>
      </c>
      <c r="G133" s="16" t="inlineStr">
        <is>
          <t>EECKG12B03</t>
        </is>
      </c>
      <c r="H133" s="16" t="n">
        <v>999</v>
      </c>
      <c r="I133" s="16" t="n">
        <v>1299</v>
      </c>
      <c r="J133" s="17" t="inlineStr">
        <is>
          <t>########</t>
        </is>
      </c>
      <c r="K133" s="16" t="inlineStr">
        <is>
          <t>(25)Pink</t>
        </is>
      </c>
      <c r="L133" s="16" t="inlineStr">
        <is>
          <t>营业中</t>
        </is>
      </c>
      <c r="M133" s="16" t="inlineStr">
        <is>
          <t>EECKG12B0325160</t>
        </is>
      </c>
      <c r="N133" s="16">
        <f>LEFT(M133,12)</f>
        <v/>
      </c>
      <c r="O133" s="16" t="inlineStr">
        <is>
          <t>EECKG12B03, (25)Pink, (160)160</t>
        </is>
      </c>
      <c r="P133" s="16" t="n">
        <v>999</v>
      </c>
      <c r="Q133" s="16" t="n">
        <v>1299</v>
      </c>
      <c r="R133" s="16" t="n"/>
      <c r="S133" s="16" t="n"/>
      <c r="T133" s="16" t="n">
        <v>2</v>
      </c>
    </row>
    <row r="134" s="103">
      <c r="A134" s="16" t="inlineStr">
        <is>
          <t>B331</t>
        </is>
      </c>
      <c r="B134" s="16" t="inlineStr">
        <is>
          <t>上海区域</t>
        </is>
      </c>
      <c r="C134" s="16" t="inlineStr">
        <is>
          <t>CN0Q</t>
        </is>
      </c>
      <c r="D134" s="16" t="inlineStr">
        <is>
          <t>EE 苏州比斯特购物村</t>
        </is>
      </c>
      <c r="E134" s="16" t="n">
        <v>4</v>
      </c>
      <c r="F134" s="16" t="inlineStr">
        <is>
          <t>奥特莱斯</t>
        </is>
      </c>
      <c r="G134" s="16" t="inlineStr">
        <is>
          <t>EECKG12B03</t>
        </is>
      </c>
      <c r="H134" s="16" t="n">
        <v>999</v>
      </c>
      <c r="I134" s="16" t="n">
        <v>1299</v>
      </c>
      <c r="J134" s="17" t="inlineStr">
        <is>
          <t>########</t>
        </is>
      </c>
      <c r="K134" s="16" t="inlineStr">
        <is>
          <t>(25)Pink</t>
        </is>
      </c>
      <c r="L134" s="16" t="inlineStr">
        <is>
          <t>营业中</t>
        </is>
      </c>
      <c r="M134" s="16" t="inlineStr">
        <is>
          <t>EECKG12B0325165</t>
        </is>
      </c>
      <c r="N134" s="16">
        <f>LEFT(M134,12)</f>
        <v/>
      </c>
      <c r="O134" s="16" t="inlineStr">
        <is>
          <t>EECKG12B03, (25)Pink, (165)165</t>
        </is>
      </c>
      <c r="P134" s="16" t="n">
        <v>999</v>
      </c>
      <c r="Q134" s="16" t="n">
        <v>1299</v>
      </c>
      <c r="R134" s="16" t="n"/>
      <c r="S134" s="16" t="n"/>
      <c r="T134" s="16" t="n">
        <v>2</v>
      </c>
    </row>
    <row r="135" s="103">
      <c r="A135" s="16" t="inlineStr">
        <is>
          <t>B331</t>
        </is>
      </c>
      <c r="B135" s="16" t="inlineStr">
        <is>
          <t>上海区域</t>
        </is>
      </c>
      <c r="C135" s="16" t="inlineStr">
        <is>
          <t>CN0Q</t>
        </is>
      </c>
      <c r="D135" s="16" t="inlineStr">
        <is>
          <t>EE 苏州比斯特购物村</t>
        </is>
      </c>
      <c r="E135" s="16" t="n">
        <v>4</v>
      </c>
      <c r="F135" s="16" t="inlineStr">
        <is>
          <t>奥特莱斯</t>
        </is>
      </c>
      <c r="G135" s="16" t="inlineStr">
        <is>
          <t>EECKG12B03</t>
        </is>
      </c>
      <c r="H135" s="16" t="n">
        <v>999</v>
      </c>
      <c r="I135" s="16" t="n">
        <v>1299</v>
      </c>
      <c r="J135" s="17" t="inlineStr">
        <is>
          <t>########</t>
        </is>
      </c>
      <c r="K135" s="16" t="inlineStr">
        <is>
          <t>(25)Pink</t>
        </is>
      </c>
      <c r="L135" s="16" t="inlineStr">
        <is>
          <t>营业中</t>
        </is>
      </c>
      <c r="M135" s="16" t="inlineStr">
        <is>
          <t>EECKG12B0325170</t>
        </is>
      </c>
      <c r="N135" s="16">
        <f>LEFT(M135,12)</f>
        <v/>
      </c>
      <c r="O135" s="16" t="inlineStr">
        <is>
          <t>EECKG12B03, (25)Pink, (170)170</t>
        </is>
      </c>
      <c r="P135" s="16" t="n">
        <v>999</v>
      </c>
      <c r="Q135" s="16" t="n">
        <v>1299</v>
      </c>
      <c r="R135" s="16" t="n"/>
      <c r="S135" s="16" t="n"/>
      <c r="T135" s="16" t="n">
        <v>2</v>
      </c>
    </row>
    <row r="136" s="103">
      <c r="A136" s="16" t="inlineStr">
        <is>
          <t>B331</t>
        </is>
      </c>
      <c r="B136" s="16" t="inlineStr">
        <is>
          <t>上海区域</t>
        </is>
      </c>
      <c r="C136" s="16" t="inlineStr">
        <is>
          <t>CN0Q</t>
        </is>
      </c>
      <c r="D136" s="16" t="inlineStr">
        <is>
          <t>EE 苏州比斯特购物村</t>
        </is>
      </c>
      <c r="E136" s="16" t="n">
        <v>4</v>
      </c>
      <c r="F136" s="16" t="inlineStr">
        <is>
          <t>奥特莱斯</t>
        </is>
      </c>
      <c r="G136" s="16" t="inlineStr">
        <is>
          <t>EECKG12B03</t>
        </is>
      </c>
      <c r="H136" s="16" t="n">
        <v>999</v>
      </c>
      <c r="I136" s="16" t="n">
        <v>1299</v>
      </c>
      <c r="J136" s="17" t="inlineStr">
        <is>
          <t>########</t>
        </is>
      </c>
      <c r="K136" s="16" t="inlineStr">
        <is>
          <t>(59)Navy</t>
        </is>
      </c>
      <c r="L136" s="16" t="inlineStr">
        <is>
          <t>营业中</t>
        </is>
      </c>
      <c r="M136" s="16" t="inlineStr">
        <is>
          <t>EECKG12B0359160</t>
        </is>
      </c>
      <c r="N136" s="16">
        <f>LEFT(M136,12)</f>
        <v/>
      </c>
      <c r="O136" s="16" t="inlineStr">
        <is>
          <t>EECKG12B03, (59)Navy, (160)160</t>
        </is>
      </c>
      <c r="P136" s="16" t="n">
        <v>999</v>
      </c>
      <c r="Q136" s="16" t="n">
        <v>1299</v>
      </c>
      <c r="R136" s="16" t="n"/>
      <c r="S136" s="16" t="n"/>
      <c r="T136" s="16" t="n">
        <v>2</v>
      </c>
    </row>
    <row r="137" s="103">
      <c r="A137" s="16" t="inlineStr">
        <is>
          <t>B331</t>
        </is>
      </c>
      <c r="B137" s="16" t="inlineStr">
        <is>
          <t>上海区域</t>
        </is>
      </c>
      <c r="C137" s="16" t="inlineStr">
        <is>
          <t>CN0Q</t>
        </is>
      </c>
      <c r="D137" s="16" t="inlineStr">
        <is>
          <t>EE 苏州比斯特购物村</t>
        </is>
      </c>
      <c r="E137" s="16" t="n">
        <v>4</v>
      </c>
      <c r="F137" s="16" t="inlineStr">
        <is>
          <t>奥特莱斯</t>
        </is>
      </c>
      <c r="G137" s="16" t="inlineStr">
        <is>
          <t>EECKG12B03</t>
        </is>
      </c>
      <c r="H137" s="16" t="n">
        <v>999</v>
      </c>
      <c r="I137" s="16" t="n">
        <v>1299</v>
      </c>
      <c r="J137" s="17" t="inlineStr">
        <is>
          <t>########</t>
        </is>
      </c>
      <c r="K137" s="16" t="inlineStr">
        <is>
          <t>(59)Navy</t>
        </is>
      </c>
      <c r="L137" s="16" t="inlineStr">
        <is>
          <t>营业中</t>
        </is>
      </c>
      <c r="M137" s="16" t="inlineStr">
        <is>
          <t>EECKG12B0359165</t>
        </is>
      </c>
      <c r="N137" s="16">
        <f>LEFT(M137,12)</f>
        <v/>
      </c>
      <c r="O137" s="16" t="inlineStr">
        <is>
          <t>EECKG12B03, (59)Navy, (165)165</t>
        </is>
      </c>
      <c r="P137" s="16" t="n">
        <v>999</v>
      </c>
      <c r="Q137" s="16" t="n">
        <v>1299</v>
      </c>
      <c r="R137" s="16" t="n"/>
      <c r="S137" s="16" t="n"/>
      <c r="T137" s="16" t="n">
        <v>2</v>
      </c>
    </row>
    <row r="138" s="103">
      <c r="A138" s="16" t="inlineStr">
        <is>
          <t>B331</t>
        </is>
      </c>
      <c r="B138" s="16" t="inlineStr">
        <is>
          <t>上海区域</t>
        </is>
      </c>
      <c r="C138" s="16" t="inlineStr">
        <is>
          <t>CN0Q</t>
        </is>
      </c>
      <c r="D138" s="16" t="inlineStr">
        <is>
          <t>EE 苏州比斯特购物村</t>
        </is>
      </c>
      <c r="E138" s="16" t="n">
        <v>4</v>
      </c>
      <c r="F138" s="16" t="inlineStr">
        <is>
          <t>奥特莱斯</t>
        </is>
      </c>
      <c r="G138" s="16" t="inlineStr">
        <is>
          <t>EECKG12B03</t>
        </is>
      </c>
      <c r="H138" s="16" t="n">
        <v>999</v>
      </c>
      <c r="I138" s="16" t="n">
        <v>1299</v>
      </c>
      <c r="J138" s="17" t="inlineStr">
        <is>
          <t>########</t>
        </is>
      </c>
      <c r="K138" s="16" t="inlineStr">
        <is>
          <t>(59)Navy</t>
        </is>
      </c>
      <c r="L138" s="16" t="inlineStr">
        <is>
          <t>营业中</t>
        </is>
      </c>
      <c r="M138" s="16" t="inlineStr">
        <is>
          <t>EECKG12B0359170</t>
        </is>
      </c>
      <c r="N138" s="16">
        <f>LEFT(M138,12)</f>
        <v/>
      </c>
      <c r="O138" s="16" t="inlineStr">
        <is>
          <t>EECKG12B03, (59)Navy, (170)170</t>
        </is>
      </c>
      <c r="P138" s="16" t="n">
        <v>999</v>
      </c>
      <c r="Q138" s="16" t="n">
        <v>1299</v>
      </c>
      <c r="R138" s="16" t="n"/>
      <c r="S138" s="16" t="n"/>
      <c r="T138" s="16" t="n">
        <v>2</v>
      </c>
    </row>
    <row r="139" s="103">
      <c r="A139" s="16" t="inlineStr">
        <is>
          <t>B331</t>
        </is>
      </c>
      <c r="B139" s="16" t="inlineStr">
        <is>
          <t>上海区域</t>
        </is>
      </c>
      <c r="C139" s="16" t="inlineStr">
        <is>
          <t>CN0Q</t>
        </is>
      </c>
      <c r="D139" s="16" t="inlineStr">
        <is>
          <t>EE 苏州比斯特购物村</t>
        </is>
      </c>
      <c r="E139" s="16" t="n">
        <v>4</v>
      </c>
      <c r="F139" s="16" t="inlineStr">
        <is>
          <t>奥特莱斯</t>
        </is>
      </c>
      <c r="G139" s="16" t="inlineStr">
        <is>
          <t>EECKG12B03</t>
        </is>
      </c>
      <c r="H139" s="16" t="n">
        <v>999</v>
      </c>
      <c r="I139" s="16" t="n">
        <v>1299</v>
      </c>
      <c r="J139" s="17" t="inlineStr">
        <is>
          <t>########</t>
        </is>
      </c>
      <c r="K139" s="16" t="inlineStr">
        <is>
          <t>(59)Navy</t>
        </is>
      </c>
      <c r="L139" s="16" t="inlineStr">
        <is>
          <t>营业中</t>
        </is>
      </c>
      <c r="M139" s="16" t="inlineStr">
        <is>
          <t>EECKG12B0359175</t>
        </is>
      </c>
      <c r="N139" s="16">
        <f>LEFT(M139,12)</f>
        <v/>
      </c>
      <c r="O139" s="16" t="inlineStr">
        <is>
          <t>EECKG12B03, (59)Navy, (175)175</t>
        </is>
      </c>
      <c r="P139" s="16" t="n">
        <v>999</v>
      </c>
      <c r="Q139" s="16" t="n">
        <v>1299</v>
      </c>
      <c r="R139" s="16" t="n"/>
      <c r="S139" s="16" t="n"/>
      <c r="T139" s="16" t="n">
        <v>2</v>
      </c>
    </row>
    <row r="140" s="103">
      <c r="A140" s="16" t="inlineStr">
        <is>
          <t>B331</t>
        </is>
      </c>
      <c r="B140" s="16" t="inlineStr">
        <is>
          <t>上海区域</t>
        </is>
      </c>
      <c r="C140" s="16" t="inlineStr">
        <is>
          <t>CN0Q</t>
        </is>
      </c>
      <c r="D140" s="16" t="inlineStr">
        <is>
          <t>EE 苏州比斯特购物村</t>
        </is>
      </c>
      <c r="E140" s="16" t="n">
        <v>4</v>
      </c>
      <c r="F140" s="16" t="inlineStr">
        <is>
          <t>奥特莱斯</t>
        </is>
      </c>
      <c r="G140" s="16" t="inlineStr">
        <is>
          <t>EECKG12B1G</t>
        </is>
      </c>
      <c r="H140" s="16" t="n">
        <v>999</v>
      </c>
      <c r="I140" s="16" t="n">
        <v>999</v>
      </c>
      <c r="J140" s="17" t="n">
        <v>46024</v>
      </c>
      <c r="K140" s="16" t="inlineStr">
        <is>
          <t>(18)M/Grey</t>
        </is>
      </c>
      <c r="L140" s="16" t="inlineStr">
        <is>
          <t>营业中</t>
        </is>
      </c>
      <c r="M140" s="16" t="inlineStr">
        <is>
          <t>EECKG12B1G18170</t>
        </is>
      </c>
      <c r="N140" s="16">
        <f>LEFT(M140,12)</f>
        <v/>
      </c>
      <c r="O140" s="16" t="inlineStr">
        <is>
          <t>EECKG12B1G, (18)M/Grey, (170)170</t>
        </is>
      </c>
      <c r="P140" s="16" t="n">
        <v>999</v>
      </c>
      <c r="Q140" s="16" t="n">
        <v>999</v>
      </c>
      <c r="R140" s="16" t="n"/>
      <c r="S140" s="16" t="n"/>
      <c r="T140" s="16" t="n">
        <v>3</v>
      </c>
    </row>
    <row r="141" s="103">
      <c r="A141" s="16" t="inlineStr">
        <is>
          <t>B331</t>
        </is>
      </c>
      <c r="B141" s="16" t="inlineStr">
        <is>
          <t>上海区域</t>
        </is>
      </c>
      <c r="C141" s="16" t="inlineStr">
        <is>
          <t>CN0Q</t>
        </is>
      </c>
      <c r="D141" s="16" t="inlineStr">
        <is>
          <t>EE 苏州比斯特购物村</t>
        </is>
      </c>
      <c r="E141" s="16" t="n">
        <v>4</v>
      </c>
      <c r="F141" s="16" t="inlineStr">
        <is>
          <t>奥特莱斯</t>
        </is>
      </c>
      <c r="G141" s="16" t="inlineStr">
        <is>
          <t>EECKG12B1G</t>
        </is>
      </c>
      <c r="H141" s="16" t="n">
        <v>999</v>
      </c>
      <c r="I141" s="16" t="n">
        <v>999</v>
      </c>
      <c r="J141" s="17" t="n">
        <v>46024</v>
      </c>
      <c r="K141" s="16" t="inlineStr">
        <is>
          <t>(18)M/Grey</t>
        </is>
      </c>
      <c r="L141" s="16" t="inlineStr">
        <is>
          <t>营业中</t>
        </is>
      </c>
      <c r="M141" s="16" t="inlineStr">
        <is>
          <t>EECKG12B1G18175</t>
        </is>
      </c>
      <c r="N141" s="16">
        <f>LEFT(M141,12)</f>
        <v/>
      </c>
      <c r="O141" s="16" t="inlineStr">
        <is>
          <t>EECKG12B1G, (18)M/Grey, (175)175</t>
        </is>
      </c>
      <c r="P141" s="16" t="n">
        <v>999</v>
      </c>
      <c r="Q141" s="16" t="n">
        <v>999</v>
      </c>
      <c r="R141" s="16" t="n"/>
      <c r="S141" s="16" t="n"/>
      <c r="T141" s="16" t="n">
        <v>3</v>
      </c>
    </row>
    <row r="142" s="103">
      <c r="A142" s="16" t="inlineStr">
        <is>
          <t>B331</t>
        </is>
      </c>
      <c r="B142" s="16" t="inlineStr">
        <is>
          <t>上海区域</t>
        </is>
      </c>
      <c r="C142" s="16" t="inlineStr">
        <is>
          <t>CN0Q</t>
        </is>
      </c>
      <c r="D142" s="16" t="inlineStr">
        <is>
          <t>EE 苏州比斯特购物村</t>
        </is>
      </c>
      <c r="E142" s="16" t="n">
        <v>4</v>
      </c>
      <c r="F142" s="16" t="inlineStr">
        <is>
          <t>奥特莱斯</t>
        </is>
      </c>
      <c r="G142" s="16" t="inlineStr">
        <is>
          <t>EECKG12B1G</t>
        </is>
      </c>
      <c r="H142" s="16" t="n">
        <v>999</v>
      </c>
      <c r="I142" s="16" t="n">
        <v>999</v>
      </c>
      <c r="J142" s="17" t="n">
        <v>46024</v>
      </c>
      <c r="K142" s="16" t="inlineStr">
        <is>
          <t>(18)M/Grey</t>
        </is>
      </c>
      <c r="L142" s="16" t="inlineStr">
        <is>
          <t>营业中</t>
        </is>
      </c>
      <c r="M142" s="16" t="inlineStr">
        <is>
          <t>EECKG12B1G18180</t>
        </is>
      </c>
      <c r="N142" s="16">
        <f>LEFT(M142,12)</f>
        <v/>
      </c>
      <c r="O142" s="16" t="inlineStr">
        <is>
          <t>EECKG12B1G, (18)M/Grey, (180)180</t>
        </is>
      </c>
      <c r="P142" s="16" t="n">
        <v>999</v>
      </c>
      <c r="Q142" s="16" t="n">
        <v>999</v>
      </c>
      <c r="R142" s="16" t="n"/>
      <c r="S142" s="16" t="n"/>
      <c r="T142" s="16" t="n">
        <v>3</v>
      </c>
    </row>
    <row r="143" s="103">
      <c r="A143" s="16" t="inlineStr">
        <is>
          <t>B331</t>
        </is>
      </c>
      <c r="B143" s="16" t="inlineStr">
        <is>
          <t>上海区域</t>
        </is>
      </c>
      <c r="C143" s="16" t="inlineStr">
        <is>
          <t>CN0Q</t>
        </is>
      </c>
      <c r="D143" s="16" t="inlineStr">
        <is>
          <t>EE 苏州比斯特购物村</t>
        </is>
      </c>
      <c r="E143" s="16" t="n">
        <v>4</v>
      </c>
      <c r="F143" s="16" t="inlineStr">
        <is>
          <t>奥特莱斯</t>
        </is>
      </c>
      <c r="G143" s="16" t="inlineStr">
        <is>
          <t>EECKG12B1G</t>
        </is>
      </c>
      <c r="H143" s="16" t="n">
        <v>999</v>
      </c>
      <c r="I143" s="16" t="n">
        <v>999</v>
      </c>
      <c r="J143" s="17" t="n">
        <v>46024</v>
      </c>
      <c r="K143" s="16" t="inlineStr">
        <is>
          <t>(18)M/Grey</t>
        </is>
      </c>
      <c r="L143" s="16" t="inlineStr">
        <is>
          <t>营业中</t>
        </is>
      </c>
      <c r="M143" s="16" t="inlineStr">
        <is>
          <t>EECKG12B1G18185</t>
        </is>
      </c>
      <c r="N143" s="16">
        <f>LEFT(M143,12)</f>
        <v/>
      </c>
      <c r="O143" s="16" t="inlineStr">
        <is>
          <t>EECKG12B1G, (18)M/Grey, (185)185</t>
        </is>
      </c>
      <c r="P143" s="16" t="n">
        <v>999</v>
      </c>
      <c r="Q143" s="16" t="n">
        <v>999</v>
      </c>
      <c r="R143" s="16" t="n"/>
      <c r="S143" s="16" t="n"/>
      <c r="T143" s="16" t="n">
        <v>1</v>
      </c>
    </row>
    <row r="144" s="103">
      <c r="A144" s="16" t="inlineStr">
        <is>
          <t>B331</t>
        </is>
      </c>
      <c r="B144" s="16" t="inlineStr">
        <is>
          <t>上海区域</t>
        </is>
      </c>
      <c r="C144" s="16" t="inlineStr">
        <is>
          <t>CN0Q</t>
        </is>
      </c>
      <c r="D144" s="16" t="inlineStr">
        <is>
          <t>EE 苏州比斯特购物村</t>
        </is>
      </c>
      <c r="E144" s="16" t="n">
        <v>4</v>
      </c>
      <c r="F144" s="16" t="inlineStr">
        <is>
          <t>奥特莱斯</t>
        </is>
      </c>
      <c r="G144" s="16" t="inlineStr">
        <is>
          <t>EECKG12B1G</t>
        </is>
      </c>
      <c r="H144" s="16" t="n">
        <v>999</v>
      </c>
      <c r="I144" s="16" t="n">
        <v>999</v>
      </c>
      <c r="J144" s="17" t="n">
        <v>46024</v>
      </c>
      <c r="K144" s="16" t="inlineStr">
        <is>
          <t>(59)Navy</t>
        </is>
      </c>
      <c r="L144" s="16" t="inlineStr">
        <is>
          <t>营业中</t>
        </is>
      </c>
      <c r="M144" s="16" t="inlineStr">
        <is>
          <t>EECKG12B1G59170</t>
        </is>
      </c>
      <c r="N144" s="16">
        <f>LEFT(M144,12)</f>
        <v/>
      </c>
      <c r="O144" s="16" t="inlineStr">
        <is>
          <t>EECKG12B1G, (59)Navy, (170)170</t>
        </is>
      </c>
      <c r="P144" s="16" t="n">
        <v>999</v>
      </c>
      <c r="Q144" s="16" t="n">
        <v>999</v>
      </c>
      <c r="R144" s="16" t="n"/>
      <c r="S144" s="16" t="n"/>
      <c r="T144" s="16" t="n">
        <v>3</v>
      </c>
    </row>
    <row r="145" s="103">
      <c r="A145" s="16" t="inlineStr">
        <is>
          <t>B331</t>
        </is>
      </c>
      <c r="B145" s="16" t="inlineStr">
        <is>
          <t>上海区域</t>
        </is>
      </c>
      <c r="C145" s="16" t="inlineStr">
        <is>
          <t>CN0Q</t>
        </is>
      </c>
      <c r="D145" s="16" t="inlineStr">
        <is>
          <t>EE 苏州比斯特购物村</t>
        </is>
      </c>
      <c r="E145" s="16" t="n">
        <v>4</v>
      </c>
      <c r="F145" s="16" t="inlineStr">
        <is>
          <t>奥特莱斯</t>
        </is>
      </c>
      <c r="G145" s="16" t="inlineStr">
        <is>
          <t>EECKG12B1G</t>
        </is>
      </c>
      <c r="H145" s="16" t="n">
        <v>999</v>
      </c>
      <c r="I145" s="16" t="n">
        <v>999</v>
      </c>
      <c r="J145" s="17" t="n">
        <v>46024</v>
      </c>
      <c r="K145" s="16" t="inlineStr">
        <is>
          <t>(59)Navy</t>
        </is>
      </c>
      <c r="L145" s="16" t="inlineStr">
        <is>
          <t>营业中</t>
        </is>
      </c>
      <c r="M145" s="16" t="inlineStr">
        <is>
          <t>EECKG12B1G59175</t>
        </is>
      </c>
      <c r="N145" s="16">
        <f>LEFT(M145,12)</f>
        <v/>
      </c>
      <c r="O145" s="16" t="inlineStr">
        <is>
          <t>EECKG12B1G, (59)Navy, (175)175</t>
        </is>
      </c>
      <c r="P145" s="16" t="n">
        <v>999</v>
      </c>
      <c r="Q145" s="16" t="n">
        <v>999</v>
      </c>
      <c r="R145" s="16" t="n"/>
      <c r="S145" s="16" t="n"/>
      <c r="T145" s="16" t="n">
        <v>3</v>
      </c>
    </row>
    <row r="146" s="103">
      <c r="A146" s="16" t="inlineStr">
        <is>
          <t>B331</t>
        </is>
      </c>
      <c r="B146" s="16" t="inlineStr">
        <is>
          <t>上海区域</t>
        </is>
      </c>
      <c r="C146" s="16" t="inlineStr">
        <is>
          <t>CN0Q</t>
        </is>
      </c>
      <c r="D146" s="16" t="inlineStr">
        <is>
          <t>EE 苏州比斯特购物村</t>
        </is>
      </c>
      <c r="E146" s="16" t="n">
        <v>4</v>
      </c>
      <c r="F146" s="16" t="inlineStr">
        <is>
          <t>奥特莱斯</t>
        </is>
      </c>
      <c r="G146" s="16" t="inlineStr">
        <is>
          <t>EECKG12B1G</t>
        </is>
      </c>
      <c r="H146" s="16" t="n">
        <v>999</v>
      </c>
      <c r="I146" s="16" t="n">
        <v>999</v>
      </c>
      <c r="J146" s="17" t="n">
        <v>46024</v>
      </c>
      <c r="K146" s="16" t="inlineStr">
        <is>
          <t>(59)Navy</t>
        </is>
      </c>
      <c r="L146" s="16" t="inlineStr">
        <is>
          <t>营业中</t>
        </is>
      </c>
      <c r="M146" s="16" t="inlineStr">
        <is>
          <t>EECKG12B1G59180</t>
        </is>
      </c>
      <c r="N146" s="16">
        <f>LEFT(M146,12)</f>
        <v/>
      </c>
      <c r="O146" s="16" t="inlineStr">
        <is>
          <t>EECKG12B1G, (59)Navy, (180)180</t>
        </is>
      </c>
      <c r="P146" s="16" t="n">
        <v>999</v>
      </c>
      <c r="Q146" s="16" t="n">
        <v>999</v>
      </c>
      <c r="R146" s="16" t="n"/>
      <c r="S146" s="16" t="n"/>
      <c r="T146" s="16" t="n">
        <v>3</v>
      </c>
    </row>
    <row r="147" s="103">
      <c r="A147" s="16" t="inlineStr">
        <is>
          <t>B331</t>
        </is>
      </c>
      <c r="B147" s="16" t="inlineStr">
        <is>
          <t>上海区域</t>
        </is>
      </c>
      <c r="C147" s="16" t="inlineStr">
        <is>
          <t>CN0Q</t>
        </is>
      </c>
      <c r="D147" s="16" t="inlineStr">
        <is>
          <t>EE 苏州比斯特购物村</t>
        </is>
      </c>
      <c r="E147" s="16" t="n">
        <v>4</v>
      </c>
      <c r="F147" s="16" t="inlineStr">
        <is>
          <t>奥特莱斯</t>
        </is>
      </c>
      <c r="G147" s="16" t="inlineStr">
        <is>
          <t>EECKG12B1G</t>
        </is>
      </c>
      <c r="H147" s="16" t="n">
        <v>999</v>
      </c>
      <c r="I147" s="16" t="n">
        <v>999</v>
      </c>
      <c r="J147" s="17" t="n">
        <v>46024</v>
      </c>
      <c r="K147" s="16" t="inlineStr">
        <is>
          <t>(59)Navy</t>
        </is>
      </c>
      <c r="L147" s="16" t="inlineStr">
        <is>
          <t>营业中</t>
        </is>
      </c>
      <c r="M147" s="16" t="inlineStr">
        <is>
          <t>EECKG12B1G59185</t>
        </is>
      </c>
      <c r="N147" s="16">
        <f>LEFT(M147,12)</f>
        <v/>
      </c>
      <c r="O147" s="16" t="inlineStr">
        <is>
          <t>EECKG12B1G, (59)Navy, (185)185</t>
        </is>
      </c>
      <c r="P147" s="16" t="n">
        <v>999</v>
      </c>
      <c r="Q147" s="16" t="n">
        <v>999</v>
      </c>
      <c r="R147" s="16" t="n"/>
      <c r="S147" s="16" t="n"/>
      <c r="T147" s="16" t="n">
        <v>1</v>
      </c>
    </row>
    <row r="148" s="103">
      <c r="A148" s="16" t="inlineStr">
        <is>
          <t>B331</t>
        </is>
      </c>
      <c r="B148" s="16" t="inlineStr">
        <is>
          <t>上海区域</t>
        </is>
      </c>
      <c r="C148" s="16" t="inlineStr">
        <is>
          <t>CN0Q</t>
        </is>
      </c>
      <c r="D148" s="16" t="inlineStr">
        <is>
          <t>EE 苏州比斯特购物村</t>
        </is>
      </c>
      <c r="E148" s="16" t="n">
        <v>4</v>
      </c>
      <c r="F148" s="16" t="inlineStr">
        <is>
          <t>奥特莱斯</t>
        </is>
      </c>
      <c r="G148" s="16" t="inlineStr">
        <is>
          <t>EECKG23B03</t>
        </is>
      </c>
      <c r="H148" s="16" t="n">
        <v>899</v>
      </c>
      <c r="I148" s="16" t="n">
        <v>799</v>
      </c>
      <c r="J148" s="17" t="inlineStr">
        <is>
          <t>########</t>
        </is>
      </c>
      <c r="K148" s="16" t="inlineStr">
        <is>
          <t>(51)L/Blue</t>
        </is>
      </c>
      <c r="L148" s="16" t="inlineStr">
        <is>
          <t>营业中</t>
        </is>
      </c>
      <c r="M148" s="16" t="inlineStr">
        <is>
          <t>EECKG23B0351160</t>
        </is>
      </c>
      <c r="N148" s="16">
        <f>LEFT(M148,12)</f>
        <v/>
      </c>
      <c r="O148" s="16" t="inlineStr">
        <is>
          <t>EECKG23B03, (51)L/Blue, (160)160</t>
        </is>
      </c>
      <c r="P148" s="16" t="n">
        <v>899</v>
      </c>
      <c r="Q148" s="16" t="n">
        <v>799</v>
      </c>
      <c r="R148" s="16" t="n">
        <v>2</v>
      </c>
      <c r="S148" s="16" t="n">
        <v>746</v>
      </c>
      <c r="T148" s="16" t="n">
        <v>2</v>
      </c>
    </row>
    <row r="149" s="103">
      <c r="A149" s="16" t="inlineStr">
        <is>
          <t>B331</t>
        </is>
      </c>
      <c r="B149" s="16" t="inlineStr">
        <is>
          <t>上海区域</t>
        </is>
      </c>
      <c r="C149" s="16" t="inlineStr">
        <is>
          <t>CN0Q</t>
        </is>
      </c>
      <c r="D149" s="16" t="inlineStr">
        <is>
          <t>EE 苏州比斯特购物村</t>
        </is>
      </c>
      <c r="E149" s="16" t="n">
        <v>4</v>
      </c>
      <c r="F149" s="16" t="inlineStr">
        <is>
          <t>奥特莱斯</t>
        </is>
      </c>
      <c r="G149" s="16" t="inlineStr">
        <is>
          <t>EECKG23B03</t>
        </is>
      </c>
      <c r="H149" s="16" t="n">
        <v>899</v>
      </c>
      <c r="I149" s="16" t="n">
        <v>799</v>
      </c>
      <c r="J149" s="17" t="inlineStr">
        <is>
          <t>########</t>
        </is>
      </c>
      <c r="K149" s="16" t="inlineStr">
        <is>
          <t>(51)L/Blue</t>
        </is>
      </c>
      <c r="L149" s="16" t="inlineStr">
        <is>
          <t>营业中</t>
        </is>
      </c>
      <c r="M149" s="16" t="inlineStr">
        <is>
          <t>EECKG23B0351165</t>
        </is>
      </c>
      <c r="N149" s="16">
        <f>LEFT(M149,12)</f>
        <v/>
      </c>
      <c r="O149" s="16" t="inlineStr">
        <is>
          <t>EECKG23B03, (51)L/Blue, (165)165</t>
        </is>
      </c>
      <c r="P149" s="16" t="n">
        <v>899</v>
      </c>
      <c r="Q149" s="16" t="n">
        <v>799</v>
      </c>
      <c r="R149" s="16" t="n">
        <v>2</v>
      </c>
      <c r="S149" s="18" t="n">
        <v>1021</v>
      </c>
      <c r="T149" s="16" t="n">
        <v>0</v>
      </c>
    </row>
    <row r="150" s="103">
      <c r="A150" s="16" t="inlineStr">
        <is>
          <t>B331</t>
        </is>
      </c>
      <c r="B150" s="16" t="inlineStr">
        <is>
          <t>上海区域</t>
        </is>
      </c>
      <c r="C150" s="16" t="inlineStr">
        <is>
          <t>CN0Q</t>
        </is>
      </c>
      <c r="D150" s="16" t="inlineStr">
        <is>
          <t>EE 苏州比斯特购物村</t>
        </is>
      </c>
      <c r="E150" s="16" t="n">
        <v>4</v>
      </c>
      <c r="F150" s="16" t="inlineStr">
        <is>
          <t>奥特莱斯</t>
        </is>
      </c>
      <c r="G150" s="16" t="inlineStr">
        <is>
          <t>EECKG23B03</t>
        </is>
      </c>
      <c r="H150" s="16" t="n">
        <v>899</v>
      </c>
      <c r="I150" s="16" t="n">
        <v>799</v>
      </c>
      <c r="J150" s="17" t="inlineStr">
        <is>
          <t>########</t>
        </is>
      </c>
      <c r="K150" s="16" t="inlineStr">
        <is>
          <t>(51)L/Blue</t>
        </is>
      </c>
      <c r="L150" s="16" t="inlineStr">
        <is>
          <t>营业中</t>
        </is>
      </c>
      <c r="M150" s="16" t="inlineStr">
        <is>
          <t>EECKG23B0351170</t>
        </is>
      </c>
      <c r="N150" s="16">
        <f>LEFT(M150,12)</f>
        <v/>
      </c>
      <c r="O150" s="16" t="inlineStr">
        <is>
          <t>EECKG23B03, (51)L/Blue, (170)170</t>
        </is>
      </c>
      <c r="P150" s="16" t="n">
        <v>899</v>
      </c>
      <c r="Q150" s="16" t="n">
        <v>799</v>
      </c>
      <c r="R150" s="16" t="n"/>
      <c r="S150" s="16" t="n"/>
      <c r="T150" s="16" t="n">
        <v>2</v>
      </c>
    </row>
    <row r="151" s="103">
      <c r="A151" s="16" t="inlineStr">
        <is>
          <t>B331</t>
        </is>
      </c>
      <c r="B151" s="16" t="inlineStr">
        <is>
          <t>上海区域</t>
        </is>
      </c>
      <c r="C151" s="16" t="inlineStr">
        <is>
          <t>CN0Q</t>
        </is>
      </c>
      <c r="D151" s="16" t="inlineStr">
        <is>
          <t>EE 苏州比斯特购物村</t>
        </is>
      </c>
      <c r="E151" s="16" t="n">
        <v>4</v>
      </c>
      <c r="F151" s="16" t="inlineStr">
        <is>
          <t>奥特莱斯</t>
        </is>
      </c>
      <c r="G151" s="16" t="inlineStr">
        <is>
          <t>EECKG23B03</t>
        </is>
      </c>
      <c r="H151" s="16" t="n">
        <v>899</v>
      </c>
      <c r="I151" s="16" t="n">
        <v>799</v>
      </c>
      <c r="J151" s="17" t="inlineStr">
        <is>
          <t>########</t>
        </is>
      </c>
      <c r="K151" s="16" t="inlineStr">
        <is>
          <t>(59)Navy</t>
        </is>
      </c>
      <c r="L151" s="16" t="inlineStr">
        <is>
          <t>营业中</t>
        </is>
      </c>
      <c r="M151" s="16" t="inlineStr">
        <is>
          <t>EECKG23B0359160</t>
        </is>
      </c>
      <c r="N151" s="16">
        <f>LEFT(M151,12)</f>
        <v/>
      </c>
      <c r="O151" s="16" t="inlineStr">
        <is>
          <t>EECKG23B03, (59)Navy, (160)160</t>
        </is>
      </c>
      <c r="P151" s="16" t="n">
        <v>899</v>
      </c>
      <c r="Q151" s="16" t="n">
        <v>799</v>
      </c>
      <c r="R151" s="16" t="n">
        <v>2</v>
      </c>
      <c r="S151" s="18" t="n">
        <v>1082</v>
      </c>
      <c r="T151" s="16" t="n">
        <v>2</v>
      </c>
    </row>
    <row r="152" s="103">
      <c r="A152" s="16" t="inlineStr">
        <is>
          <t>B331</t>
        </is>
      </c>
      <c r="B152" s="16" t="inlineStr">
        <is>
          <t>上海区域</t>
        </is>
      </c>
      <c r="C152" s="16" t="inlineStr">
        <is>
          <t>CN0Q</t>
        </is>
      </c>
      <c r="D152" s="16" t="inlineStr">
        <is>
          <t>EE 苏州比斯特购物村</t>
        </is>
      </c>
      <c r="E152" s="16" t="n">
        <v>4</v>
      </c>
      <c r="F152" s="16" t="inlineStr">
        <is>
          <t>奥特莱斯</t>
        </is>
      </c>
      <c r="G152" s="16" t="inlineStr">
        <is>
          <t>EECKG23B03</t>
        </is>
      </c>
      <c r="H152" s="16" t="n">
        <v>899</v>
      </c>
      <c r="I152" s="16" t="n">
        <v>799</v>
      </c>
      <c r="J152" s="17" t="inlineStr">
        <is>
          <t>########</t>
        </is>
      </c>
      <c r="K152" s="16" t="inlineStr">
        <is>
          <t>(59)Navy</t>
        </is>
      </c>
      <c r="L152" s="16" t="inlineStr">
        <is>
          <t>营业中</t>
        </is>
      </c>
      <c r="M152" s="16" t="inlineStr">
        <is>
          <t>EECKG23B0359165</t>
        </is>
      </c>
      <c r="N152" s="16">
        <f>LEFT(M152,12)</f>
        <v/>
      </c>
      <c r="O152" s="16" t="inlineStr">
        <is>
          <t>EECKG23B03, (59)Navy, (165)165</t>
        </is>
      </c>
      <c r="P152" s="16" t="n">
        <v>899</v>
      </c>
      <c r="Q152" s="16" t="n">
        <v>799</v>
      </c>
      <c r="R152" s="16" t="n">
        <v>2</v>
      </c>
      <c r="S152" s="18" t="n">
        <v>1065</v>
      </c>
      <c r="T152" s="16" t="n">
        <v>2</v>
      </c>
    </row>
    <row r="153" s="103">
      <c r="A153" s="16" t="inlineStr">
        <is>
          <t>B331</t>
        </is>
      </c>
      <c r="B153" s="16" t="inlineStr">
        <is>
          <t>上海区域</t>
        </is>
      </c>
      <c r="C153" s="16" t="inlineStr">
        <is>
          <t>CN0Q</t>
        </is>
      </c>
      <c r="D153" s="16" t="inlineStr">
        <is>
          <t>EE 苏州比斯特购物村</t>
        </is>
      </c>
      <c r="E153" s="16" t="n">
        <v>4</v>
      </c>
      <c r="F153" s="16" t="inlineStr">
        <is>
          <t>奥特莱斯</t>
        </is>
      </c>
      <c r="G153" s="16" t="inlineStr">
        <is>
          <t>EECKG23B03</t>
        </is>
      </c>
      <c r="H153" s="16" t="n">
        <v>899</v>
      </c>
      <c r="I153" s="16" t="n">
        <v>799</v>
      </c>
      <c r="J153" s="17" t="inlineStr">
        <is>
          <t>########</t>
        </is>
      </c>
      <c r="K153" s="16" t="inlineStr">
        <is>
          <t>(59)Navy</t>
        </is>
      </c>
      <c r="L153" s="16" t="inlineStr">
        <is>
          <t>营业中</t>
        </is>
      </c>
      <c r="M153" s="16" t="inlineStr">
        <is>
          <t>EECKG23B0359170</t>
        </is>
      </c>
      <c r="N153" s="16">
        <f>LEFT(M153,12)</f>
        <v/>
      </c>
      <c r="O153" s="16" t="inlineStr">
        <is>
          <t>EECKG23B03, (59)Navy, (170)170</t>
        </is>
      </c>
      <c r="P153" s="16" t="n">
        <v>899</v>
      </c>
      <c r="Q153" s="16" t="n">
        <v>799</v>
      </c>
      <c r="R153" s="16" t="n"/>
      <c r="S153" s="16" t="n"/>
      <c r="T153" s="16" t="n">
        <v>2</v>
      </c>
    </row>
    <row r="154" s="103">
      <c r="A154" s="16" t="inlineStr">
        <is>
          <t>B331</t>
        </is>
      </c>
      <c r="B154" s="16" t="inlineStr">
        <is>
          <t>上海区域</t>
        </is>
      </c>
      <c r="C154" s="16" t="inlineStr">
        <is>
          <t>CN0Q</t>
        </is>
      </c>
      <c r="D154" s="16" t="inlineStr">
        <is>
          <t>EE 苏州比斯特购物村</t>
        </is>
      </c>
      <c r="E154" s="16" t="n">
        <v>4</v>
      </c>
      <c r="F154" s="16" t="inlineStr">
        <is>
          <t>奥特莱斯</t>
        </is>
      </c>
      <c r="G154" s="16" t="inlineStr">
        <is>
          <t>EECKG23B04</t>
        </is>
      </c>
      <c r="H154" s="16" t="n">
        <v>899</v>
      </c>
      <c r="I154" s="16" t="n">
        <v>899</v>
      </c>
      <c r="J154" s="17" t="inlineStr">
        <is>
          <t>########</t>
        </is>
      </c>
      <c r="K154" s="16" t="inlineStr">
        <is>
          <t>(64)Cream</t>
        </is>
      </c>
      <c r="L154" s="16" t="inlineStr">
        <is>
          <t>营业中</t>
        </is>
      </c>
      <c r="M154" s="16" t="inlineStr">
        <is>
          <t>EECKG23B0464160</t>
        </is>
      </c>
      <c r="N154" s="16">
        <f>LEFT(M154,12)</f>
        <v/>
      </c>
      <c r="O154" s="16" t="inlineStr">
        <is>
          <t>EECKG23B04, (64)Cream, (160)160</t>
        </is>
      </c>
      <c r="P154" s="16" t="n">
        <v>899</v>
      </c>
      <c r="Q154" s="16" t="n">
        <v>899</v>
      </c>
      <c r="R154" s="16" t="n">
        <v>1</v>
      </c>
      <c r="S154" s="16" t="n">
        <v>588</v>
      </c>
      <c r="T154" s="16" t="n">
        <v>1</v>
      </c>
    </row>
    <row r="155" s="103">
      <c r="A155" s="16" t="inlineStr">
        <is>
          <t>B331</t>
        </is>
      </c>
      <c r="B155" s="16" t="inlineStr">
        <is>
          <t>上海区域</t>
        </is>
      </c>
      <c r="C155" s="16" t="inlineStr">
        <is>
          <t>CN0Q</t>
        </is>
      </c>
      <c r="D155" s="16" t="inlineStr">
        <is>
          <t>EE 苏州比斯特购物村</t>
        </is>
      </c>
      <c r="E155" s="16" t="n">
        <v>4</v>
      </c>
      <c r="F155" s="16" t="inlineStr">
        <is>
          <t>奥特莱斯</t>
        </is>
      </c>
      <c r="G155" s="16" t="inlineStr">
        <is>
          <t>EECKG23B04</t>
        </is>
      </c>
      <c r="H155" s="16" t="n">
        <v>899</v>
      </c>
      <c r="I155" s="16" t="n">
        <v>899</v>
      </c>
      <c r="J155" s="17" t="inlineStr">
        <is>
          <t>########</t>
        </is>
      </c>
      <c r="K155" s="16" t="inlineStr">
        <is>
          <t>(64)Cream</t>
        </is>
      </c>
      <c r="L155" s="16" t="inlineStr">
        <is>
          <t>营业中</t>
        </is>
      </c>
      <c r="M155" s="16" t="inlineStr">
        <is>
          <t>EECKG23B0464165</t>
        </is>
      </c>
      <c r="N155" s="16">
        <f>LEFT(M155,12)</f>
        <v/>
      </c>
      <c r="O155" s="16" t="inlineStr">
        <is>
          <t>EECKG23B04, (64)Cream, (165)165</t>
        </is>
      </c>
      <c r="P155" s="16" t="n">
        <v>899</v>
      </c>
      <c r="Q155" s="16" t="n">
        <v>899</v>
      </c>
      <c r="R155" s="16" t="n">
        <v>1</v>
      </c>
      <c r="S155" s="16" t="n">
        <v>571</v>
      </c>
      <c r="T155" s="16" t="n">
        <v>1</v>
      </c>
    </row>
    <row r="156" s="103">
      <c r="A156" s="16" t="inlineStr">
        <is>
          <t>B331</t>
        </is>
      </c>
      <c r="B156" s="16" t="inlineStr">
        <is>
          <t>上海区域</t>
        </is>
      </c>
      <c r="C156" s="16" t="inlineStr">
        <is>
          <t>CN0Q</t>
        </is>
      </c>
      <c r="D156" s="16" t="inlineStr">
        <is>
          <t>EE 苏州比斯特购物村</t>
        </is>
      </c>
      <c r="E156" s="16" t="n">
        <v>4</v>
      </c>
      <c r="F156" s="16" t="inlineStr">
        <is>
          <t>奥特莱斯</t>
        </is>
      </c>
      <c r="G156" s="16" t="inlineStr">
        <is>
          <t>EECKG23B04</t>
        </is>
      </c>
      <c r="H156" s="16" t="n">
        <v>899</v>
      </c>
      <c r="I156" s="16" t="n">
        <v>899</v>
      </c>
      <c r="J156" s="17" t="inlineStr">
        <is>
          <t>########</t>
        </is>
      </c>
      <c r="K156" s="16" t="inlineStr">
        <is>
          <t>(64)Cream</t>
        </is>
      </c>
      <c r="L156" s="16" t="inlineStr">
        <is>
          <t>营业中</t>
        </is>
      </c>
      <c r="M156" s="16" t="inlineStr">
        <is>
          <t>EECKG23B0464170</t>
        </is>
      </c>
      <c r="N156" s="16">
        <f>LEFT(M156,12)</f>
        <v/>
      </c>
      <c r="O156" s="16" t="inlineStr">
        <is>
          <t>EECKG23B04, (64)Cream, (170)170</t>
        </is>
      </c>
      <c r="P156" s="16" t="n">
        <v>899</v>
      </c>
      <c r="Q156" s="16" t="n">
        <v>899</v>
      </c>
      <c r="R156" s="16" t="n"/>
      <c r="S156" s="16" t="n"/>
      <c r="T156" s="16" t="n">
        <v>2</v>
      </c>
    </row>
    <row r="157" s="103">
      <c r="A157" s="16" t="inlineStr">
        <is>
          <t>B331</t>
        </is>
      </c>
      <c r="B157" s="16" t="inlineStr">
        <is>
          <t>上海区域</t>
        </is>
      </c>
      <c r="C157" s="16" t="inlineStr">
        <is>
          <t>CN0Q</t>
        </is>
      </c>
      <c r="D157" s="16" t="inlineStr">
        <is>
          <t>EE 苏州比斯特购物村</t>
        </is>
      </c>
      <c r="E157" s="16" t="n">
        <v>4</v>
      </c>
      <c r="F157" s="16" t="inlineStr">
        <is>
          <t>奥特莱斯</t>
        </is>
      </c>
      <c r="G157" s="16" t="inlineStr">
        <is>
          <t>EECKG23E01</t>
        </is>
      </c>
      <c r="H157" s="16" t="n">
        <v>699</v>
      </c>
      <c r="I157" s="16" t="n">
        <v>699</v>
      </c>
      <c r="J157" s="17" t="inlineStr">
        <is>
          <t>########</t>
        </is>
      </c>
      <c r="K157" s="16" t="inlineStr">
        <is>
          <t>(15)Grey</t>
        </is>
      </c>
      <c r="L157" s="16" t="inlineStr">
        <is>
          <t>营业中</t>
        </is>
      </c>
      <c r="M157" s="16" t="inlineStr">
        <is>
          <t>EECKG23E0115160</t>
        </is>
      </c>
      <c r="N157" s="16">
        <f>LEFT(M157,12)</f>
        <v/>
      </c>
      <c r="O157" s="16" t="inlineStr">
        <is>
          <t>EECKG23E01, (15)Grey, (160)160</t>
        </is>
      </c>
      <c r="P157" s="16" t="n">
        <v>699</v>
      </c>
      <c r="Q157" s="16" t="n">
        <v>699</v>
      </c>
      <c r="R157" s="16" t="n">
        <v>1</v>
      </c>
      <c r="S157" s="16" t="n">
        <v>442</v>
      </c>
      <c r="T157" s="16" t="n">
        <v>1</v>
      </c>
    </row>
    <row r="158" s="103">
      <c r="A158" s="16" t="inlineStr">
        <is>
          <t>B331</t>
        </is>
      </c>
      <c r="B158" s="16" t="inlineStr">
        <is>
          <t>上海区域</t>
        </is>
      </c>
      <c r="C158" s="16" t="inlineStr">
        <is>
          <t>CN0Q</t>
        </is>
      </c>
      <c r="D158" s="16" t="inlineStr">
        <is>
          <t>EE 苏州比斯特购物村</t>
        </is>
      </c>
      <c r="E158" s="16" t="n">
        <v>4</v>
      </c>
      <c r="F158" s="16" t="inlineStr">
        <is>
          <t>奥特莱斯</t>
        </is>
      </c>
      <c r="G158" s="16" t="inlineStr">
        <is>
          <t>EECKG23E01</t>
        </is>
      </c>
      <c r="H158" s="16" t="n">
        <v>699</v>
      </c>
      <c r="I158" s="16" t="n">
        <v>699</v>
      </c>
      <c r="J158" s="17" t="inlineStr">
        <is>
          <t>########</t>
        </is>
      </c>
      <c r="K158" s="16" t="inlineStr">
        <is>
          <t>(15)Grey</t>
        </is>
      </c>
      <c r="L158" s="16" t="inlineStr">
        <is>
          <t>营业中</t>
        </is>
      </c>
      <c r="M158" s="16" t="inlineStr">
        <is>
          <t>EECKG23E0115165</t>
        </is>
      </c>
      <c r="N158" s="16">
        <f>LEFT(M158,12)</f>
        <v/>
      </c>
      <c r="O158" s="16" t="inlineStr">
        <is>
          <t>EECKG23E01, (15)Grey, (165)165</t>
        </is>
      </c>
      <c r="P158" s="16" t="n">
        <v>699</v>
      </c>
      <c r="Q158" s="16" t="n">
        <v>699</v>
      </c>
      <c r="R158" s="16" t="n">
        <v>3</v>
      </c>
      <c r="S158" s="16" t="n">
        <v>457</v>
      </c>
      <c r="T158" s="16" t="n">
        <v>4</v>
      </c>
    </row>
    <row r="159" s="103">
      <c r="A159" s="16" t="inlineStr">
        <is>
          <t>B331</t>
        </is>
      </c>
      <c r="B159" s="16" t="inlineStr">
        <is>
          <t>上海区域</t>
        </is>
      </c>
      <c r="C159" s="16" t="inlineStr">
        <is>
          <t>CN0Q</t>
        </is>
      </c>
      <c r="D159" s="16" t="inlineStr">
        <is>
          <t>EE 苏州比斯特购物村</t>
        </is>
      </c>
      <c r="E159" s="16" t="n">
        <v>4</v>
      </c>
      <c r="F159" s="16" t="inlineStr">
        <is>
          <t>奥特莱斯</t>
        </is>
      </c>
      <c r="G159" s="16" t="inlineStr">
        <is>
          <t>EECKG23E01</t>
        </is>
      </c>
      <c r="H159" s="16" t="n">
        <v>699</v>
      </c>
      <c r="I159" s="16" t="n">
        <v>699</v>
      </c>
      <c r="J159" s="17" t="inlineStr">
        <is>
          <t>########</t>
        </is>
      </c>
      <c r="K159" s="16" t="inlineStr">
        <is>
          <t>(15)Grey</t>
        </is>
      </c>
      <c r="L159" s="16" t="inlineStr">
        <is>
          <t>营业中</t>
        </is>
      </c>
      <c r="M159" s="16" t="inlineStr">
        <is>
          <t>EECKG23E0115170</t>
        </is>
      </c>
      <c r="N159" s="16">
        <f>LEFT(M159,12)</f>
        <v/>
      </c>
      <c r="O159" s="16" t="inlineStr">
        <is>
          <t>EECKG23E01, (15)Grey, (170)170</t>
        </is>
      </c>
      <c r="P159" s="16" t="n">
        <v>699</v>
      </c>
      <c r="Q159" s="16" t="n">
        <v>699</v>
      </c>
      <c r="R159" s="16" t="n">
        <v>3</v>
      </c>
      <c r="S159" s="16" t="n">
        <v>947</v>
      </c>
      <c r="T159" s="16" t="n">
        <v>3</v>
      </c>
    </row>
    <row r="160" s="103">
      <c r="A160" s="16" t="inlineStr">
        <is>
          <t>B331</t>
        </is>
      </c>
      <c r="B160" s="16" t="inlineStr">
        <is>
          <t>上海区域</t>
        </is>
      </c>
      <c r="C160" s="16" t="inlineStr">
        <is>
          <t>CN0Q</t>
        </is>
      </c>
      <c r="D160" s="16" t="inlineStr">
        <is>
          <t>EE 苏州比斯特购物村</t>
        </is>
      </c>
      <c r="E160" s="16" t="n">
        <v>4</v>
      </c>
      <c r="F160" s="16" t="inlineStr">
        <is>
          <t>奥特莱斯</t>
        </is>
      </c>
      <c r="G160" s="16" t="inlineStr">
        <is>
          <t>EECKG23E01</t>
        </is>
      </c>
      <c r="H160" s="16" t="n">
        <v>699</v>
      </c>
      <c r="I160" s="16" t="n">
        <v>699</v>
      </c>
      <c r="J160" s="17" t="inlineStr">
        <is>
          <t>########</t>
        </is>
      </c>
      <c r="K160" s="16" t="inlineStr">
        <is>
          <t>(15)Grey</t>
        </is>
      </c>
      <c r="L160" s="16" t="inlineStr">
        <is>
          <t>营业中</t>
        </is>
      </c>
      <c r="M160" s="16" t="inlineStr">
        <is>
          <t>EECKG23E0115175</t>
        </is>
      </c>
      <c r="N160" s="16">
        <f>LEFT(M160,12)</f>
        <v/>
      </c>
      <c r="O160" s="16" t="inlineStr">
        <is>
          <t>EECKG23E01, (15)Grey, (175)175</t>
        </is>
      </c>
      <c r="P160" s="16" t="n">
        <v>699</v>
      </c>
      <c r="Q160" s="16" t="n">
        <v>699</v>
      </c>
      <c r="R160" s="16" t="n"/>
      <c r="S160" s="16" t="n"/>
      <c r="T160" s="16" t="n">
        <v>1</v>
      </c>
    </row>
    <row r="161" s="103">
      <c r="A161" s="16" t="inlineStr">
        <is>
          <t>B331</t>
        </is>
      </c>
      <c r="B161" s="16" t="inlineStr">
        <is>
          <t>上海区域</t>
        </is>
      </c>
      <c r="C161" s="16" t="inlineStr">
        <is>
          <t>CN0Q</t>
        </is>
      </c>
      <c r="D161" s="16" t="inlineStr">
        <is>
          <t>EE 苏州比斯特购物村</t>
        </is>
      </c>
      <c r="E161" s="16" t="n">
        <v>4</v>
      </c>
      <c r="F161" s="16" t="inlineStr">
        <is>
          <t>奥特莱斯</t>
        </is>
      </c>
      <c r="G161" s="16" t="inlineStr">
        <is>
          <t>EECKG23E01</t>
        </is>
      </c>
      <c r="H161" s="16" t="n">
        <v>699</v>
      </c>
      <c r="I161" s="16" t="n">
        <v>699</v>
      </c>
      <c r="J161" s="17" t="inlineStr">
        <is>
          <t>########</t>
        </is>
      </c>
      <c r="K161" s="16" t="inlineStr">
        <is>
          <t>(50)Blue</t>
        </is>
      </c>
      <c r="L161" s="16" t="inlineStr">
        <is>
          <t>营业中</t>
        </is>
      </c>
      <c r="M161" s="16" t="inlineStr">
        <is>
          <t>EECKG23E0150160</t>
        </is>
      </c>
      <c r="N161" s="16">
        <f>LEFT(M161,12)</f>
        <v/>
      </c>
      <c r="O161" s="16" t="inlineStr">
        <is>
          <t>EECKG23E01, (50)Blue, (160)160</t>
        </is>
      </c>
      <c r="P161" s="16" t="n">
        <v>699</v>
      </c>
      <c r="Q161" s="16" t="n">
        <v>699</v>
      </c>
      <c r="R161" s="16" t="n"/>
      <c r="S161" s="16" t="n"/>
      <c r="T161" s="16" t="n">
        <v>1</v>
      </c>
    </row>
    <row r="162" s="103">
      <c r="A162" s="16" t="inlineStr">
        <is>
          <t>B331</t>
        </is>
      </c>
      <c r="B162" s="16" t="inlineStr">
        <is>
          <t>上海区域</t>
        </is>
      </c>
      <c r="C162" s="16" t="inlineStr">
        <is>
          <t>CN0Q</t>
        </is>
      </c>
      <c r="D162" s="16" t="inlineStr">
        <is>
          <t>EE 苏州比斯特购物村</t>
        </is>
      </c>
      <c r="E162" s="16" t="n">
        <v>4</v>
      </c>
      <c r="F162" s="16" t="inlineStr">
        <is>
          <t>奥特莱斯</t>
        </is>
      </c>
      <c r="G162" s="16" t="inlineStr">
        <is>
          <t>EECKG23E01</t>
        </is>
      </c>
      <c r="H162" s="16" t="n">
        <v>699</v>
      </c>
      <c r="I162" s="16" t="n">
        <v>699</v>
      </c>
      <c r="J162" s="17" t="inlineStr">
        <is>
          <t>########</t>
        </is>
      </c>
      <c r="K162" s="16" t="inlineStr">
        <is>
          <t>(50)Blue</t>
        </is>
      </c>
      <c r="L162" s="16" t="inlineStr">
        <is>
          <t>营业中</t>
        </is>
      </c>
      <c r="M162" s="16" t="inlineStr">
        <is>
          <t>EECKG23E0150165</t>
        </is>
      </c>
      <c r="N162" s="16">
        <f>LEFT(M162,12)</f>
        <v/>
      </c>
      <c r="O162" s="16" t="inlineStr">
        <is>
          <t>EECKG23E01, (50)Blue, (165)165</t>
        </is>
      </c>
      <c r="P162" s="16" t="n">
        <v>699</v>
      </c>
      <c r="Q162" s="16" t="n">
        <v>699</v>
      </c>
      <c r="R162" s="16" t="n">
        <v>1</v>
      </c>
      <c r="S162" s="16" t="n">
        <v>489</v>
      </c>
      <c r="T162" s="16" t="n">
        <v>1</v>
      </c>
    </row>
    <row r="163" s="103">
      <c r="A163" s="16" t="inlineStr">
        <is>
          <t>B331</t>
        </is>
      </c>
      <c r="B163" s="16" t="inlineStr">
        <is>
          <t>上海区域</t>
        </is>
      </c>
      <c r="C163" s="16" t="inlineStr">
        <is>
          <t>CN0Q</t>
        </is>
      </c>
      <c r="D163" s="16" t="inlineStr">
        <is>
          <t>EE 苏州比斯特购物村</t>
        </is>
      </c>
      <c r="E163" s="16" t="n">
        <v>4</v>
      </c>
      <c r="F163" s="16" t="inlineStr">
        <is>
          <t>奥特莱斯</t>
        </is>
      </c>
      <c r="G163" s="16" t="inlineStr">
        <is>
          <t>EECKG23E01</t>
        </is>
      </c>
      <c r="H163" s="16" t="n">
        <v>699</v>
      </c>
      <c r="I163" s="16" t="n">
        <v>699</v>
      </c>
      <c r="J163" s="17" t="inlineStr">
        <is>
          <t>########</t>
        </is>
      </c>
      <c r="K163" s="16" t="inlineStr">
        <is>
          <t>(50)Blue</t>
        </is>
      </c>
      <c r="L163" s="16" t="inlineStr">
        <is>
          <t>营业中</t>
        </is>
      </c>
      <c r="M163" s="16" t="inlineStr">
        <is>
          <t>EECKG23E0150170</t>
        </is>
      </c>
      <c r="N163" s="16">
        <f>LEFT(M163,12)</f>
        <v/>
      </c>
      <c r="O163" s="16" t="inlineStr">
        <is>
          <t>EECKG23E01, (50)Blue, (170)170</t>
        </is>
      </c>
      <c r="P163" s="16" t="n">
        <v>699</v>
      </c>
      <c r="Q163" s="16" t="n">
        <v>699</v>
      </c>
      <c r="R163" s="16" t="n">
        <v>2</v>
      </c>
      <c r="S163" s="16" t="n">
        <v>452</v>
      </c>
      <c r="T163" s="16" t="n">
        <v>1</v>
      </c>
    </row>
    <row r="164" s="103">
      <c r="A164" s="16" t="inlineStr">
        <is>
          <t>B331</t>
        </is>
      </c>
      <c r="B164" s="16" t="inlineStr">
        <is>
          <t>上海区域</t>
        </is>
      </c>
      <c r="C164" s="16" t="inlineStr">
        <is>
          <t>CN0Q</t>
        </is>
      </c>
      <c r="D164" s="16" t="inlineStr">
        <is>
          <t>EE 苏州比斯特购物村</t>
        </is>
      </c>
      <c r="E164" s="16" t="n">
        <v>4</v>
      </c>
      <c r="F164" s="16" t="inlineStr">
        <is>
          <t>奥特莱斯</t>
        </is>
      </c>
      <c r="G164" s="16" t="inlineStr">
        <is>
          <t>EECKG23E01</t>
        </is>
      </c>
      <c r="H164" s="16" t="n">
        <v>699</v>
      </c>
      <c r="I164" s="16" t="n">
        <v>699</v>
      </c>
      <c r="J164" s="17" t="inlineStr">
        <is>
          <t>########</t>
        </is>
      </c>
      <c r="K164" s="16" t="inlineStr">
        <is>
          <t>(50)Blue</t>
        </is>
      </c>
      <c r="L164" s="16" t="inlineStr">
        <is>
          <t>营业中</t>
        </is>
      </c>
      <c r="M164" s="16" t="inlineStr">
        <is>
          <t>EECKG23E0150175</t>
        </is>
      </c>
      <c r="N164" s="16">
        <f>LEFT(M164,12)</f>
        <v/>
      </c>
      <c r="O164" s="16" t="inlineStr">
        <is>
          <t>EECKG23E01, (50)Blue, (175)175</t>
        </is>
      </c>
      <c r="P164" s="16" t="n">
        <v>699</v>
      </c>
      <c r="Q164" s="16" t="n">
        <v>699</v>
      </c>
      <c r="R164" s="16" t="n"/>
      <c r="S164" s="16" t="n"/>
      <c r="T164" s="16" t="n">
        <v>2</v>
      </c>
    </row>
    <row r="165" s="103">
      <c r="A165" s="16" t="inlineStr">
        <is>
          <t>B331</t>
        </is>
      </c>
      <c r="B165" s="16" t="inlineStr">
        <is>
          <t>上海区域</t>
        </is>
      </c>
      <c r="C165" s="16" t="inlineStr">
        <is>
          <t>CN0Q</t>
        </is>
      </c>
      <c r="D165" s="16" t="inlineStr">
        <is>
          <t>EE 苏州比斯特购物村</t>
        </is>
      </c>
      <c r="E165" s="16" t="n">
        <v>4</v>
      </c>
      <c r="F165" s="16" t="inlineStr">
        <is>
          <t>奥特莱斯</t>
        </is>
      </c>
      <c r="G165" s="16" t="inlineStr">
        <is>
          <t>EECKG23E01</t>
        </is>
      </c>
      <c r="H165" s="16" t="n">
        <v>699</v>
      </c>
      <c r="I165" s="16" t="n">
        <v>699</v>
      </c>
      <c r="J165" s="17" t="inlineStr">
        <is>
          <t>########</t>
        </is>
      </c>
      <c r="K165" s="16" t="inlineStr">
        <is>
          <t>(51)L/Blue</t>
        </is>
      </c>
      <c r="L165" s="16" t="inlineStr">
        <is>
          <t>营业中</t>
        </is>
      </c>
      <c r="M165" s="16" t="inlineStr">
        <is>
          <t>EECKG23E0151160</t>
        </is>
      </c>
      <c r="N165" s="16">
        <f>LEFT(M165,12)</f>
        <v/>
      </c>
      <c r="O165" s="16" t="inlineStr">
        <is>
          <t>EECKG23E01, (51)L/Blue, (160)160</t>
        </is>
      </c>
      <c r="P165" s="16" t="n">
        <v>699</v>
      </c>
      <c r="Q165" s="16" t="n">
        <v>699</v>
      </c>
      <c r="R165" s="16" t="n"/>
      <c r="S165" s="16" t="n"/>
      <c r="T165" s="16" t="n">
        <v>2</v>
      </c>
    </row>
    <row r="166" s="103">
      <c r="A166" s="16" t="inlineStr">
        <is>
          <t>B331</t>
        </is>
      </c>
      <c r="B166" s="16" t="inlineStr">
        <is>
          <t>上海区域</t>
        </is>
      </c>
      <c r="C166" s="16" t="inlineStr">
        <is>
          <t>CN0Q</t>
        </is>
      </c>
      <c r="D166" s="16" t="inlineStr">
        <is>
          <t>EE 苏州比斯特购物村</t>
        </is>
      </c>
      <c r="E166" s="16" t="n">
        <v>4</v>
      </c>
      <c r="F166" s="16" t="inlineStr">
        <is>
          <t>奥特莱斯</t>
        </is>
      </c>
      <c r="G166" s="16" t="inlineStr">
        <is>
          <t>EECKG23E01</t>
        </is>
      </c>
      <c r="H166" s="16" t="n">
        <v>699</v>
      </c>
      <c r="I166" s="16" t="n">
        <v>699</v>
      </c>
      <c r="J166" s="17" t="inlineStr">
        <is>
          <t>########</t>
        </is>
      </c>
      <c r="K166" s="16" t="inlineStr">
        <is>
          <t>(51)L/Blue</t>
        </is>
      </c>
      <c r="L166" s="16" t="inlineStr">
        <is>
          <t>营业中</t>
        </is>
      </c>
      <c r="M166" s="16" t="inlineStr">
        <is>
          <t>EECKG23E0151165</t>
        </is>
      </c>
      <c r="N166" s="16">
        <f>LEFT(M166,12)</f>
        <v/>
      </c>
      <c r="O166" s="16" t="inlineStr">
        <is>
          <t>EECKG23E01, (51)L/Blue, (165)165</t>
        </is>
      </c>
      <c r="P166" s="16" t="n">
        <v>699</v>
      </c>
      <c r="Q166" s="16" t="n">
        <v>699</v>
      </c>
      <c r="R166" s="16" t="n"/>
      <c r="S166" s="16" t="n"/>
      <c r="T166" s="16" t="n">
        <v>3</v>
      </c>
    </row>
    <row r="167" s="103">
      <c r="A167" s="16" t="inlineStr">
        <is>
          <t>B331</t>
        </is>
      </c>
      <c r="B167" s="16" t="inlineStr">
        <is>
          <t>上海区域</t>
        </is>
      </c>
      <c r="C167" s="16" t="inlineStr">
        <is>
          <t>CN0Q</t>
        </is>
      </c>
      <c r="D167" s="16" t="inlineStr">
        <is>
          <t>EE 苏州比斯特购物村</t>
        </is>
      </c>
      <c r="E167" s="16" t="n">
        <v>4</v>
      </c>
      <c r="F167" s="16" t="inlineStr">
        <is>
          <t>奥特莱斯</t>
        </is>
      </c>
      <c r="G167" s="16" t="inlineStr">
        <is>
          <t>EECKG23E01</t>
        </is>
      </c>
      <c r="H167" s="16" t="n">
        <v>699</v>
      </c>
      <c r="I167" s="16" t="n">
        <v>699</v>
      </c>
      <c r="J167" s="17" t="inlineStr">
        <is>
          <t>########</t>
        </is>
      </c>
      <c r="K167" s="16" t="inlineStr">
        <is>
          <t>(51)L/Blue</t>
        </is>
      </c>
      <c r="L167" s="16" t="inlineStr">
        <is>
          <t>营业中</t>
        </is>
      </c>
      <c r="M167" s="16" t="inlineStr">
        <is>
          <t>EECKG23E0151170</t>
        </is>
      </c>
      <c r="N167" s="16">
        <f>LEFT(M167,12)</f>
        <v/>
      </c>
      <c r="O167" s="16" t="inlineStr">
        <is>
          <t>EECKG23E01, (51)L/Blue, (170)170</t>
        </is>
      </c>
      <c r="P167" s="16" t="n">
        <v>699</v>
      </c>
      <c r="Q167" s="16" t="n">
        <v>699</v>
      </c>
      <c r="R167" s="16" t="n"/>
      <c r="S167" s="16" t="n"/>
      <c r="T167" s="16" t="n">
        <v>2</v>
      </c>
    </row>
    <row r="168" s="103">
      <c r="A168" s="16" t="inlineStr">
        <is>
          <t>B331</t>
        </is>
      </c>
      <c r="B168" s="16" t="inlineStr">
        <is>
          <t>上海区域</t>
        </is>
      </c>
      <c r="C168" s="16" t="inlineStr">
        <is>
          <t>CN0Q</t>
        </is>
      </c>
      <c r="D168" s="16" t="inlineStr">
        <is>
          <t>EE 苏州比斯特购物村</t>
        </is>
      </c>
      <c r="E168" s="16" t="n">
        <v>4</v>
      </c>
      <c r="F168" s="16" t="inlineStr">
        <is>
          <t>奥特莱斯</t>
        </is>
      </c>
      <c r="G168" s="16" t="inlineStr">
        <is>
          <t>EECKG23E01</t>
        </is>
      </c>
      <c r="H168" s="16" t="n">
        <v>699</v>
      </c>
      <c r="I168" s="16" t="n">
        <v>699</v>
      </c>
      <c r="J168" s="17" t="inlineStr">
        <is>
          <t>########</t>
        </is>
      </c>
      <c r="K168" s="16" t="inlineStr">
        <is>
          <t>(51)L/Blue</t>
        </is>
      </c>
      <c r="L168" s="16" t="inlineStr">
        <is>
          <t>营业中</t>
        </is>
      </c>
      <c r="M168" s="16" t="inlineStr">
        <is>
          <t>EECKG23E0151175</t>
        </is>
      </c>
      <c r="N168" s="16">
        <f>LEFT(M168,12)</f>
        <v/>
      </c>
      <c r="O168" s="16" t="inlineStr">
        <is>
          <t>EECKG23E01, (51)L/Blue, (175)175</t>
        </is>
      </c>
      <c r="P168" s="16" t="n">
        <v>699</v>
      </c>
      <c r="Q168" s="16" t="n">
        <v>699</v>
      </c>
      <c r="R168" s="16" t="n"/>
      <c r="S168" s="16" t="n"/>
      <c r="T168" s="16" t="n">
        <v>1</v>
      </c>
    </row>
    <row r="169" s="103">
      <c r="A169" s="16" t="inlineStr">
        <is>
          <t>B331</t>
        </is>
      </c>
      <c r="B169" s="16" t="inlineStr">
        <is>
          <t>上海区域</t>
        </is>
      </c>
      <c r="C169" s="16" t="inlineStr">
        <is>
          <t>CN0Q</t>
        </is>
      </c>
      <c r="D169" s="16" t="inlineStr">
        <is>
          <t>EE 苏州比斯特购物村</t>
        </is>
      </c>
      <c r="E169" s="16" t="n">
        <v>4</v>
      </c>
      <c r="F169" s="16" t="inlineStr">
        <is>
          <t>奥特莱斯</t>
        </is>
      </c>
      <c r="G169" s="16" t="inlineStr">
        <is>
          <t>EECKG23E01</t>
        </is>
      </c>
      <c r="H169" s="16" t="n">
        <v>699</v>
      </c>
      <c r="I169" s="16" t="n">
        <v>699</v>
      </c>
      <c r="J169" s="17" t="inlineStr">
        <is>
          <t>########</t>
        </is>
      </c>
      <c r="K169" s="16" t="inlineStr">
        <is>
          <t>(59)Navy</t>
        </is>
      </c>
      <c r="L169" s="16" t="inlineStr">
        <is>
          <t>营业中</t>
        </is>
      </c>
      <c r="M169" s="16" t="inlineStr">
        <is>
          <t>EECKG23E0159160</t>
        </is>
      </c>
      <c r="N169" s="16">
        <f>LEFT(M169,12)</f>
        <v/>
      </c>
      <c r="O169" s="16" t="inlineStr">
        <is>
          <t>EECKG23E01, (59)Navy, (160)160</t>
        </is>
      </c>
      <c r="P169" s="16" t="n">
        <v>699</v>
      </c>
      <c r="Q169" s="16" t="n">
        <v>699</v>
      </c>
      <c r="R169" s="16" t="n"/>
      <c r="S169" s="16" t="n"/>
      <c r="T169" s="16" t="n">
        <v>2</v>
      </c>
    </row>
    <row r="170" s="103">
      <c r="A170" s="16" t="inlineStr">
        <is>
          <t>B331</t>
        </is>
      </c>
      <c r="B170" s="16" t="inlineStr">
        <is>
          <t>上海区域</t>
        </is>
      </c>
      <c r="C170" s="16" t="inlineStr">
        <is>
          <t>CN0Q</t>
        </is>
      </c>
      <c r="D170" s="16" t="inlineStr">
        <is>
          <t>EE 苏州比斯特购物村</t>
        </is>
      </c>
      <c r="E170" s="16" t="n">
        <v>4</v>
      </c>
      <c r="F170" s="16" t="inlineStr">
        <is>
          <t>奥特莱斯</t>
        </is>
      </c>
      <c r="G170" s="16" t="inlineStr">
        <is>
          <t>EECKG23E01</t>
        </is>
      </c>
      <c r="H170" s="16" t="n">
        <v>699</v>
      </c>
      <c r="I170" s="16" t="n">
        <v>699</v>
      </c>
      <c r="J170" s="17" t="inlineStr">
        <is>
          <t>########</t>
        </is>
      </c>
      <c r="K170" s="16" t="inlineStr">
        <is>
          <t>(59)Navy</t>
        </is>
      </c>
      <c r="L170" s="16" t="inlineStr">
        <is>
          <t>营业中</t>
        </is>
      </c>
      <c r="M170" s="16" t="inlineStr">
        <is>
          <t>EECKG23E0159165</t>
        </is>
      </c>
      <c r="N170" s="16">
        <f>LEFT(M170,12)</f>
        <v/>
      </c>
      <c r="O170" s="16" t="inlineStr">
        <is>
          <t>EECKG23E01, (59)Navy, (165)165</t>
        </is>
      </c>
      <c r="P170" s="16" t="n">
        <v>699</v>
      </c>
      <c r="Q170" s="16" t="n">
        <v>699</v>
      </c>
      <c r="R170" s="16" t="n">
        <v>1</v>
      </c>
      <c r="S170" s="16" t="n"/>
      <c r="T170" s="16" t="n">
        <v>2</v>
      </c>
    </row>
    <row r="171" s="103">
      <c r="A171" s="16" t="inlineStr">
        <is>
          <t>B331</t>
        </is>
      </c>
      <c r="B171" s="16" t="inlineStr">
        <is>
          <t>上海区域</t>
        </is>
      </c>
      <c r="C171" s="16" t="inlineStr">
        <is>
          <t>CN0Q</t>
        </is>
      </c>
      <c r="D171" s="16" t="inlineStr">
        <is>
          <t>EE 苏州比斯特购物村</t>
        </is>
      </c>
      <c r="E171" s="16" t="n">
        <v>4</v>
      </c>
      <c r="F171" s="16" t="inlineStr">
        <is>
          <t>奥特莱斯</t>
        </is>
      </c>
      <c r="G171" s="16" t="inlineStr">
        <is>
          <t>EECKG23E01</t>
        </is>
      </c>
      <c r="H171" s="16" t="n">
        <v>699</v>
      </c>
      <c r="I171" s="16" t="n">
        <v>699</v>
      </c>
      <c r="J171" s="17" t="inlineStr">
        <is>
          <t>########</t>
        </is>
      </c>
      <c r="K171" s="16" t="inlineStr">
        <is>
          <t>(59)Navy</t>
        </is>
      </c>
      <c r="L171" s="16" t="inlineStr">
        <is>
          <t>营业中</t>
        </is>
      </c>
      <c r="M171" s="16" t="inlineStr">
        <is>
          <t>EECKG23E0159170</t>
        </is>
      </c>
      <c r="N171" s="16">
        <f>LEFT(M171,12)</f>
        <v/>
      </c>
      <c r="O171" s="16" t="inlineStr">
        <is>
          <t>EECKG23E01, (59)Navy, (170)170</t>
        </is>
      </c>
      <c r="P171" s="16" t="n">
        <v>699</v>
      </c>
      <c r="Q171" s="16" t="n">
        <v>699</v>
      </c>
      <c r="R171" s="16" t="n"/>
      <c r="S171" s="16" t="n"/>
      <c r="T171" s="16" t="n">
        <v>2</v>
      </c>
    </row>
    <row r="172" s="103">
      <c r="A172" s="16" t="inlineStr">
        <is>
          <t>B331</t>
        </is>
      </c>
      <c r="B172" s="16" t="inlineStr">
        <is>
          <t>上海区域</t>
        </is>
      </c>
      <c r="C172" s="16" t="inlineStr">
        <is>
          <t>CN0Q</t>
        </is>
      </c>
      <c r="D172" s="16" t="inlineStr">
        <is>
          <t>EE 苏州比斯特购物村</t>
        </is>
      </c>
      <c r="E172" s="16" t="n">
        <v>4</v>
      </c>
      <c r="F172" s="16" t="inlineStr">
        <is>
          <t>奥特莱斯</t>
        </is>
      </c>
      <c r="G172" s="16" t="inlineStr">
        <is>
          <t>EECKG23E01</t>
        </is>
      </c>
      <c r="H172" s="16" t="n">
        <v>699</v>
      </c>
      <c r="I172" s="16" t="n">
        <v>699</v>
      </c>
      <c r="J172" s="17" t="inlineStr">
        <is>
          <t>########</t>
        </is>
      </c>
      <c r="K172" s="16" t="inlineStr">
        <is>
          <t>(59)Navy</t>
        </is>
      </c>
      <c r="L172" s="16" t="inlineStr">
        <is>
          <t>营业中</t>
        </is>
      </c>
      <c r="M172" s="16" t="inlineStr">
        <is>
          <t>EECKG23E0159175</t>
        </is>
      </c>
      <c r="N172" s="16">
        <f>LEFT(M172,12)</f>
        <v/>
      </c>
      <c r="O172" s="16" t="inlineStr">
        <is>
          <t>EECKG23E01, (59)Navy, (175)175</t>
        </is>
      </c>
      <c r="P172" s="16" t="n">
        <v>699</v>
      </c>
      <c r="Q172" s="16" t="n">
        <v>699</v>
      </c>
      <c r="R172" s="16" t="n"/>
      <c r="S172" s="16" t="n"/>
      <c r="T172" s="16" t="n">
        <v>1</v>
      </c>
    </row>
    <row r="173" s="103">
      <c r="A173" s="16" t="inlineStr">
        <is>
          <t>B331</t>
        </is>
      </c>
      <c r="B173" s="16" t="inlineStr">
        <is>
          <t>上海区域</t>
        </is>
      </c>
      <c r="C173" s="16" t="inlineStr">
        <is>
          <t>CN0Q</t>
        </is>
      </c>
      <c r="D173" s="16" t="inlineStr">
        <is>
          <t>EE 苏州比斯特购物村</t>
        </is>
      </c>
      <c r="E173" s="16" t="n">
        <v>4</v>
      </c>
      <c r="F173" s="16" t="inlineStr">
        <is>
          <t>奥特莱斯</t>
        </is>
      </c>
      <c r="G173" s="16" t="inlineStr">
        <is>
          <t>EECKG23E02</t>
        </is>
      </c>
      <c r="H173" s="16" t="n">
        <v>699</v>
      </c>
      <c r="I173" s="16" t="n">
        <v>699</v>
      </c>
      <c r="J173" s="17" t="inlineStr">
        <is>
          <t>########</t>
        </is>
      </c>
      <c r="K173" s="16" t="inlineStr">
        <is>
          <t>(27)D/Pink</t>
        </is>
      </c>
      <c r="L173" s="16" t="inlineStr">
        <is>
          <t>营业中</t>
        </is>
      </c>
      <c r="M173" s="16" t="inlineStr">
        <is>
          <t>EECKG23E0227160</t>
        </is>
      </c>
      <c r="N173" s="16">
        <f>LEFT(M173,12)</f>
        <v/>
      </c>
      <c r="O173" s="16" t="inlineStr">
        <is>
          <t>EECKG23E02, (27)D/Pink, (160)160</t>
        </is>
      </c>
      <c r="P173" s="16" t="n">
        <v>699</v>
      </c>
      <c r="Q173" s="16" t="n">
        <v>699</v>
      </c>
      <c r="R173" s="16" t="n">
        <v>1</v>
      </c>
      <c r="S173" s="16" t="n">
        <v>443</v>
      </c>
      <c r="T173" s="16" t="n">
        <v>2</v>
      </c>
    </row>
    <row r="174" s="103">
      <c r="A174" s="16" t="inlineStr">
        <is>
          <t>B331</t>
        </is>
      </c>
      <c r="B174" s="16" t="inlineStr">
        <is>
          <t>上海区域</t>
        </is>
      </c>
      <c r="C174" s="16" t="inlineStr">
        <is>
          <t>CN0Q</t>
        </is>
      </c>
      <c r="D174" s="16" t="inlineStr">
        <is>
          <t>EE 苏州比斯特购物村</t>
        </is>
      </c>
      <c r="E174" s="16" t="n">
        <v>4</v>
      </c>
      <c r="F174" s="16" t="inlineStr">
        <is>
          <t>奥特莱斯</t>
        </is>
      </c>
      <c r="G174" s="16" t="inlineStr">
        <is>
          <t>EECKG23E02</t>
        </is>
      </c>
      <c r="H174" s="16" t="n">
        <v>699</v>
      </c>
      <c r="I174" s="16" t="n">
        <v>699</v>
      </c>
      <c r="J174" s="17" t="inlineStr">
        <is>
          <t>########</t>
        </is>
      </c>
      <c r="K174" s="16" t="inlineStr">
        <is>
          <t>(27)D/Pink</t>
        </is>
      </c>
      <c r="L174" s="16" t="inlineStr">
        <is>
          <t>营业中</t>
        </is>
      </c>
      <c r="M174" s="16" t="inlineStr">
        <is>
          <t>EECKG23E0227165</t>
        </is>
      </c>
      <c r="N174" s="16">
        <f>LEFT(M174,12)</f>
        <v/>
      </c>
      <c r="O174" s="16" t="inlineStr">
        <is>
          <t>EECKG23E02, (27)D/Pink, (165)165</t>
        </is>
      </c>
      <c r="P174" s="16" t="n">
        <v>699</v>
      </c>
      <c r="Q174" s="16" t="n">
        <v>699</v>
      </c>
      <c r="R174" s="16" t="n">
        <v>2</v>
      </c>
      <c r="S174" s="16" t="n">
        <v>965</v>
      </c>
      <c r="T174" s="16" t="n">
        <v>2</v>
      </c>
    </row>
    <row r="175" s="103">
      <c r="A175" s="16" t="inlineStr">
        <is>
          <t>B331</t>
        </is>
      </c>
      <c r="B175" s="16" t="inlineStr">
        <is>
          <t>上海区域</t>
        </is>
      </c>
      <c r="C175" s="16" t="inlineStr">
        <is>
          <t>CN0Q</t>
        </is>
      </c>
      <c r="D175" s="16" t="inlineStr">
        <is>
          <t>EE 苏州比斯特购物村</t>
        </is>
      </c>
      <c r="E175" s="16" t="n">
        <v>4</v>
      </c>
      <c r="F175" s="16" t="inlineStr">
        <is>
          <t>奥特莱斯</t>
        </is>
      </c>
      <c r="G175" s="16" t="inlineStr">
        <is>
          <t>EECKG23E02</t>
        </is>
      </c>
      <c r="H175" s="16" t="n">
        <v>699</v>
      </c>
      <c r="I175" s="16" t="n">
        <v>699</v>
      </c>
      <c r="J175" s="17" t="inlineStr">
        <is>
          <t>########</t>
        </is>
      </c>
      <c r="K175" s="16" t="inlineStr">
        <is>
          <t>(27)D/Pink</t>
        </is>
      </c>
      <c r="L175" s="16" t="inlineStr">
        <is>
          <t>营业中</t>
        </is>
      </c>
      <c r="M175" s="16" t="inlineStr">
        <is>
          <t>EECKG23E0227170</t>
        </is>
      </c>
      <c r="N175" s="16">
        <f>LEFT(M175,12)</f>
        <v/>
      </c>
      <c r="O175" s="16" t="inlineStr">
        <is>
          <t>EECKG23E02, (27)D/Pink, (170)170</t>
        </is>
      </c>
      <c r="P175" s="16" t="n">
        <v>699</v>
      </c>
      <c r="Q175" s="16" t="n">
        <v>699</v>
      </c>
      <c r="R175" s="16" t="n"/>
      <c r="S175" s="16" t="n"/>
      <c r="T175" s="16" t="n">
        <v>2</v>
      </c>
    </row>
    <row r="176" s="103">
      <c r="A176" s="16" t="inlineStr">
        <is>
          <t>B331</t>
        </is>
      </c>
      <c r="B176" s="16" t="inlineStr">
        <is>
          <t>上海区域</t>
        </is>
      </c>
      <c r="C176" s="16" t="inlineStr">
        <is>
          <t>CN0Q</t>
        </is>
      </c>
      <c r="D176" s="16" t="inlineStr">
        <is>
          <t>EE 苏州比斯特购物村</t>
        </is>
      </c>
      <c r="E176" s="16" t="n">
        <v>4</v>
      </c>
      <c r="F176" s="16" t="inlineStr">
        <is>
          <t>奥特莱斯</t>
        </is>
      </c>
      <c r="G176" s="16" t="inlineStr">
        <is>
          <t>EECKG23E02</t>
        </is>
      </c>
      <c r="H176" s="16" t="n">
        <v>699</v>
      </c>
      <c r="I176" s="16" t="n">
        <v>699</v>
      </c>
      <c r="J176" s="17" t="inlineStr">
        <is>
          <t>########</t>
        </is>
      </c>
      <c r="K176" s="16" t="inlineStr">
        <is>
          <t>(27)D/Pink</t>
        </is>
      </c>
      <c r="L176" s="16" t="inlineStr">
        <is>
          <t>营业中</t>
        </is>
      </c>
      <c r="M176" s="16" t="inlineStr">
        <is>
          <t>EECKG23E0227175</t>
        </is>
      </c>
      <c r="N176" s="16">
        <f>LEFT(M176,12)</f>
        <v/>
      </c>
      <c r="O176" s="16" t="inlineStr">
        <is>
          <t>EECKG23E02, (27)D/Pink, (175)175</t>
        </is>
      </c>
      <c r="P176" s="16" t="n">
        <v>699</v>
      </c>
      <c r="Q176" s="16" t="n">
        <v>699</v>
      </c>
      <c r="R176" s="16" t="n"/>
      <c r="S176" s="16" t="n"/>
      <c r="T176" s="16" t="n">
        <v>1</v>
      </c>
    </row>
    <row r="177" s="103">
      <c r="A177" s="16" t="inlineStr">
        <is>
          <t>B331</t>
        </is>
      </c>
      <c r="B177" s="16" t="inlineStr">
        <is>
          <t>上海区域</t>
        </is>
      </c>
      <c r="C177" s="16" t="inlineStr">
        <is>
          <t>CN0Q</t>
        </is>
      </c>
      <c r="D177" s="16" t="inlineStr">
        <is>
          <t>EE 苏州比斯特购物村</t>
        </is>
      </c>
      <c r="E177" s="16" t="n">
        <v>4</v>
      </c>
      <c r="F177" s="16" t="inlineStr">
        <is>
          <t>奥特莱斯</t>
        </is>
      </c>
      <c r="G177" s="16" t="inlineStr">
        <is>
          <t>EECKG23E02</t>
        </is>
      </c>
      <c r="H177" s="16" t="n">
        <v>699</v>
      </c>
      <c r="I177" s="16" t="n">
        <v>699</v>
      </c>
      <c r="J177" s="17" t="inlineStr">
        <is>
          <t>########</t>
        </is>
      </c>
      <c r="K177" s="16" t="inlineStr">
        <is>
          <t>(31)L/Yellow</t>
        </is>
      </c>
      <c r="L177" s="16" t="inlineStr">
        <is>
          <t>营业中</t>
        </is>
      </c>
      <c r="M177" s="16" t="inlineStr">
        <is>
          <t>EECKG23E0231160</t>
        </is>
      </c>
      <c r="N177" s="16">
        <f>LEFT(M177,12)</f>
        <v/>
      </c>
      <c r="O177" s="16" t="inlineStr">
        <is>
          <t>EECKG23E02, (31)L/Yellow, (160)160</t>
        </is>
      </c>
      <c r="P177" s="16" t="n">
        <v>699</v>
      </c>
      <c r="Q177" s="16" t="n">
        <v>699</v>
      </c>
      <c r="R177" s="16" t="n">
        <v>6</v>
      </c>
      <c r="S177" s="18" t="n">
        <v>2496</v>
      </c>
      <c r="T177" s="16" t="n">
        <v>7</v>
      </c>
    </row>
    <row r="178" s="103">
      <c r="A178" s="16" t="inlineStr">
        <is>
          <t>B331</t>
        </is>
      </c>
      <c r="B178" s="16" t="inlineStr">
        <is>
          <t>上海区域</t>
        </is>
      </c>
      <c r="C178" s="16" t="inlineStr">
        <is>
          <t>CN0Q</t>
        </is>
      </c>
      <c r="D178" s="16" t="inlineStr">
        <is>
          <t>EE 苏州比斯特购物村</t>
        </is>
      </c>
      <c r="E178" s="16" t="n">
        <v>4</v>
      </c>
      <c r="F178" s="16" t="inlineStr">
        <is>
          <t>奥特莱斯</t>
        </is>
      </c>
      <c r="G178" s="16" t="inlineStr">
        <is>
          <t>EECKG23E02</t>
        </is>
      </c>
      <c r="H178" s="16" t="n">
        <v>699</v>
      </c>
      <c r="I178" s="16" t="n">
        <v>699</v>
      </c>
      <c r="J178" s="17" t="inlineStr">
        <is>
          <t>########</t>
        </is>
      </c>
      <c r="K178" s="16" t="inlineStr">
        <is>
          <t>(31)L/Yellow</t>
        </is>
      </c>
      <c r="L178" s="16" t="inlineStr">
        <is>
          <t>营业中</t>
        </is>
      </c>
      <c r="M178" s="16" t="inlineStr">
        <is>
          <t>EECKG23E0231165</t>
        </is>
      </c>
      <c r="N178" s="16">
        <f>LEFT(M178,12)</f>
        <v/>
      </c>
      <c r="O178" s="16" t="inlineStr">
        <is>
          <t>EECKG23E02, (31)L/Yellow, (165)165</t>
        </is>
      </c>
      <c r="P178" s="16" t="n">
        <v>699</v>
      </c>
      <c r="Q178" s="16" t="n">
        <v>699</v>
      </c>
      <c r="R178" s="16" t="n">
        <v>3</v>
      </c>
      <c r="S178" s="18" t="n">
        <v>1153</v>
      </c>
      <c r="T178" s="16" t="n">
        <v>1</v>
      </c>
    </row>
    <row r="179" s="103">
      <c r="A179" s="16" t="inlineStr">
        <is>
          <t>B331</t>
        </is>
      </c>
      <c r="B179" s="16" t="inlineStr">
        <is>
          <t>上海区域</t>
        </is>
      </c>
      <c r="C179" s="16" t="inlineStr">
        <is>
          <t>CN0Q</t>
        </is>
      </c>
      <c r="D179" s="16" t="inlineStr">
        <is>
          <t>EE 苏州比斯特购物村</t>
        </is>
      </c>
      <c r="E179" s="16" t="n">
        <v>4</v>
      </c>
      <c r="F179" s="16" t="inlineStr">
        <is>
          <t>奥特莱斯</t>
        </is>
      </c>
      <c r="G179" s="16" t="inlineStr">
        <is>
          <t>EECKG23E02</t>
        </is>
      </c>
      <c r="H179" s="16" t="n">
        <v>699</v>
      </c>
      <c r="I179" s="16" t="n">
        <v>699</v>
      </c>
      <c r="J179" s="17" t="inlineStr">
        <is>
          <t>########</t>
        </is>
      </c>
      <c r="K179" s="16" t="inlineStr">
        <is>
          <t>(31)L/Yellow</t>
        </is>
      </c>
      <c r="L179" s="16" t="inlineStr">
        <is>
          <t>营业中</t>
        </is>
      </c>
      <c r="M179" s="16" t="inlineStr">
        <is>
          <t>EECKG23E0231170</t>
        </is>
      </c>
      <c r="N179" s="16">
        <f>LEFT(M179,12)</f>
        <v/>
      </c>
      <c r="O179" s="16" t="inlineStr">
        <is>
          <t>EECKG23E02, (31)L/Yellow, (170)170</t>
        </is>
      </c>
      <c r="P179" s="16" t="n">
        <v>699</v>
      </c>
      <c r="Q179" s="16" t="n">
        <v>699</v>
      </c>
      <c r="R179" s="16" t="n">
        <v>1</v>
      </c>
      <c r="S179" s="16" t="n">
        <v>459</v>
      </c>
      <c r="T179" s="16" t="n">
        <v>0</v>
      </c>
    </row>
    <row r="180" s="103">
      <c r="A180" s="16" t="inlineStr">
        <is>
          <t>B331</t>
        </is>
      </c>
      <c r="B180" s="16" t="inlineStr">
        <is>
          <t>上海区域</t>
        </is>
      </c>
      <c r="C180" s="16" t="inlineStr">
        <is>
          <t>CN0Q</t>
        </is>
      </c>
      <c r="D180" s="16" t="inlineStr">
        <is>
          <t>EE 苏州比斯特购物村</t>
        </is>
      </c>
      <c r="E180" s="16" t="n">
        <v>4</v>
      </c>
      <c r="F180" s="16" t="inlineStr">
        <is>
          <t>奥特莱斯</t>
        </is>
      </c>
      <c r="G180" s="16" t="inlineStr">
        <is>
          <t>EECKG23E02</t>
        </is>
      </c>
      <c r="H180" s="16" t="n">
        <v>699</v>
      </c>
      <c r="I180" s="16" t="n">
        <v>699</v>
      </c>
      <c r="J180" s="17" t="inlineStr">
        <is>
          <t>########</t>
        </is>
      </c>
      <c r="K180" s="16" t="inlineStr">
        <is>
          <t>(31)L/Yellow</t>
        </is>
      </c>
      <c r="L180" s="16" t="inlineStr">
        <is>
          <t>营业中</t>
        </is>
      </c>
      <c r="M180" s="16" t="inlineStr">
        <is>
          <t>EECKG23E0231175</t>
        </is>
      </c>
      <c r="N180" s="16">
        <f>LEFT(M180,12)</f>
        <v/>
      </c>
      <c r="O180" s="16" t="inlineStr">
        <is>
          <t>EECKG23E02, (31)L/Yellow, (175)175</t>
        </is>
      </c>
      <c r="P180" s="16" t="n">
        <v>699</v>
      </c>
      <c r="Q180" s="16" t="n">
        <v>699</v>
      </c>
      <c r="R180" s="16" t="n"/>
      <c r="S180" s="16" t="n"/>
      <c r="T180" s="16" t="n">
        <v>1</v>
      </c>
    </row>
    <row r="181" s="103">
      <c r="A181" s="16" t="inlineStr">
        <is>
          <t>B331</t>
        </is>
      </c>
      <c r="B181" s="16" t="inlineStr">
        <is>
          <t>上海区域</t>
        </is>
      </c>
      <c r="C181" s="16" t="inlineStr">
        <is>
          <t>CN0Q</t>
        </is>
      </c>
      <c r="D181" s="16" t="inlineStr">
        <is>
          <t>EE 苏州比斯特购物村</t>
        </is>
      </c>
      <c r="E181" s="16" t="n">
        <v>4</v>
      </c>
      <c r="F181" s="16" t="inlineStr">
        <is>
          <t>奥特莱斯</t>
        </is>
      </c>
      <c r="G181" s="16" t="inlineStr">
        <is>
          <t>EECKG23E02</t>
        </is>
      </c>
      <c r="H181" s="16" t="n">
        <v>699</v>
      </c>
      <c r="I181" s="16" t="n">
        <v>699</v>
      </c>
      <c r="J181" s="17" t="inlineStr">
        <is>
          <t>########</t>
        </is>
      </c>
      <c r="K181" s="16" t="inlineStr">
        <is>
          <t>(39)Ivory</t>
        </is>
      </c>
      <c r="L181" s="16" t="inlineStr">
        <is>
          <t>营业中</t>
        </is>
      </c>
      <c r="M181" s="16" t="inlineStr">
        <is>
          <t>EECKG23E0239160</t>
        </is>
      </c>
      <c r="N181" s="16">
        <f>LEFT(M181,12)</f>
        <v/>
      </c>
      <c r="O181" s="16" t="inlineStr">
        <is>
          <t>EECKG23E02, (39)Ivory, (160)160</t>
        </is>
      </c>
      <c r="P181" s="16" t="n">
        <v>699</v>
      </c>
      <c r="Q181" s="16" t="n">
        <v>699</v>
      </c>
      <c r="R181" s="16" t="n">
        <v>5</v>
      </c>
      <c r="S181" s="18" t="n">
        <v>2006</v>
      </c>
      <c r="T181" s="16" t="n">
        <v>5</v>
      </c>
    </row>
    <row r="182" s="103">
      <c r="A182" s="16" t="inlineStr">
        <is>
          <t>B331</t>
        </is>
      </c>
      <c r="B182" s="16" t="inlineStr">
        <is>
          <t>上海区域</t>
        </is>
      </c>
      <c r="C182" s="16" t="inlineStr">
        <is>
          <t>CN0Q</t>
        </is>
      </c>
      <c r="D182" s="16" t="inlineStr">
        <is>
          <t>EE 苏州比斯特购物村</t>
        </is>
      </c>
      <c r="E182" s="16" t="n">
        <v>4</v>
      </c>
      <c r="F182" s="16" t="inlineStr">
        <is>
          <t>奥特莱斯</t>
        </is>
      </c>
      <c r="G182" s="16" t="inlineStr">
        <is>
          <t>EECKG23E02</t>
        </is>
      </c>
      <c r="H182" s="16" t="n">
        <v>699</v>
      </c>
      <c r="I182" s="16" t="n">
        <v>699</v>
      </c>
      <c r="J182" s="17" t="inlineStr">
        <is>
          <t>########</t>
        </is>
      </c>
      <c r="K182" s="16" t="inlineStr">
        <is>
          <t>(39)Ivory</t>
        </is>
      </c>
      <c r="L182" s="16" t="inlineStr">
        <is>
          <t>营业中</t>
        </is>
      </c>
      <c r="M182" s="16" t="inlineStr">
        <is>
          <t>EECKG23E0239165</t>
        </is>
      </c>
      <c r="N182" s="16">
        <f>LEFT(M182,12)</f>
        <v/>
      </c>
      <c r="O182" s="16" t="inlineStr">
        <is>
          <t>EECKG23E02, (39)Ivory, (165)165</t>
        </is>
      </c>
      <c r="P182" s="16" t="n">
        <v>699</v>
      </c>
      <c r="Q182" s="16" t="n">
        <v>699</v>
      </c>
      <c r="R182" s="16" t="n">
        <v>6</v>
      </c>
      <c r="S182" s="18" t="n">
        <v>2703</v>
      </c>
      <c r="T182" s="16" t="n">
        <v>6</v>
      </c>
    </row>
    <row r="183" s="103">
      <c r="A183" s="16" t="inlineStr">
        <is>
          <t>B331</t>
        </is>
      </c>
      <c r="B183" s="16" t="inlineStr">
        <is>
          <t>上海区域</t>
        </is>
      </c>
      <c r="C183" s="16" t="inlineStr">
        <is>
          <t>CN0Q</t>
        </is>
      </c>
      <c r="D183" s="16" t="inlineStr">
        <is>
          <t>EE 苏州比斯特购物村</t>
        </is>
      </c>
      <c r="E183" s="16" t="n">
        <v>4</v>
      </c>
      <c r="F183" s="16" t="inlineStr">
        <is>
          <t>奥特莱斯</t>
        </is>
      </c>
      <c r="G183" s="16" t="inlineStr">
        <is>
          <t>EECKG23E02</t>
        </is>
      </c>
      <c r="H183" s="16" t="n">
        <v>699</v>
      </c>
      <c r="I183" s="16" t="n">
        <v>699</v>
      </c>
      <c r="J183" s="17" t="inlineStr">
        <is>
          <t>########</t>
        </is>
      </c>
      <c r="K183" s="16" t="inlineStr">
        <is>
          <t>(39)Ivory</t>
        </is>
      </c>
      <c r="L183" s="16" t="inlineStr">
        <is>
          <t>营业中</t>
        </is>
      </c>
      <c r="M183" s="16" t="inlineStr">
        <is>
          <t>EECKG23E0239170</t>
        </is>
      </c>
      <c r="N183" s="16">
        <f>LEFT(M183,12)</f>
        <v/>
      </c>
      <c r="O183" s="16" t="inlineStr">
        <is>
          <t>EECKG23E02, (39)Ivory, (170)170</t>
        </is>
      </c>
      <c r="P183" s="16" t="n">
        <v>699</v>
      </c>
      <c r="Q183" s="16" t="n">
        <v>699</v>
      </c>
      <c r="R183" s="16" t="n"/>
      <c r="S183" s="16" t="n"/>
      <c r="T183" s="16" t="n">
        <v>2</v>
      </c>
    </row>
    <row r="184" s="103">
      <c r="A184" s="16" t="inlineStr">
        <is>
          <t>B331</t>
        </is>
      </c>
      <c r="B184" s="16" t="inlineStr">
        <is>
          <t>上海区域</t>
        </is>
      </c>
      <c r="C184" s="16" t="inlineStr">
        <is>
          <t>CN0Q</t>
        </is>
      </c>
      <c r="D184" s="16" t="inlineStr">
        <is>
          <t>EE 苏州比斯特购物村</t>
        </is>
      </c>
      <c r="E184" s="16" t="n">
        <v>4</v>
      </c>
      <c r="F184" s="16" t="inlineStr">
        <is>
          <t>奥特莱斯</t>
        </is>
      </c>
      <c r="G184" s="16" t="inlineStr">
        <is>
          <t>EECKG23E02</t>
        </is>
      </c>
      <c r="H184" s="16" t="n">
        <v>699</v>
      </c>
      <c r="I184" s="16" t="n">
        <v>699</v>
      </c>
      <c r="J184" s="17" t="inlineStr">
        <is>
          <t>########</t>
        </is>
      </c>
      <c r="K184" s="16" t="inlineStr">
        <is>
          <t>(39)Ivory</t>
        </is>
      </c>
      <c r="L184" s="16" t="inlineStr">
        <is>
          <t>营业中</t>
        </is>
      </c>
      <c r="M184" s="16" t="inlineStr">
        <is>
          <t>EECKG23E0239175</t>
        </is>
      </c>
      <c r="N184" s="16">
        <f>LEFT(M184,12)</f>
        <v/>
      </c>
      <c r="O184" s="16" t="inlineStr">
        <is>
          <t>EECKG23E02, (39)Ivory, (175)175</t>
        </is>
      </c>
      <c r="P184" s="16" t="n">
        <v>699</v>
      </c>
      <c r="Q184" s="16" t="n">
        <v>699</v>
      </c>
      <c r="R184" s="16" t="n"/>
      <c r="S184" s="16" t="n"/>
      <c r="T184" s="16" t="n">
        <v>2</v>
      </c>
    </row>
    <row r="185" s="103">
      <c r="A185" s="16" t="inlineStr">
        <is>
          <t>B331</t>
        </is>
      </c>
      <c r="B185" s="16" t="inlineStr">
        <is>
          <t>上海区域</t>
        </is>
      </c>
      <c r="C185" s="16" t="inlineStr">
        <is>
          <t>CN0Q</t>
        </is>
      </c>
      <c r="D185" s="16" t="inlineStr">
        <is>
          <t>EE 苏州比斯特购物村</t>
        </is>
      </c>
      <c r="E185" s="16" t="n">
        <v>4</v>
      </c>
      <c r="F185" s="16" t="inlineStr">
        <is>
          <t>奥特莱斯</t>
        </is>
      </c>
      <c r="G185" s="16" t="inlineStr">
        <is>
          <t>EECKG23E02</t>
        </is>
      </c>
      <c r="H185" s="16" t="n">
        <v>699</v>
      </c>
      <c r="I185" s="16" t="n">
        <v>699</v>
      </c>
      <c r="J185" s="17" t="inlineStr">
        <is>
          <t>########</t>
        </is>
      </c>
      <c r="K185" s="16" t="inlineStr">
        <is>
          <t>(50)Blue</t>
        </is>
      </c>
      <c r="L185" s="16" t="inlineStr">
        <is>
          <t>营业中</t>
        </is>
      </c>
      <c r="M185" s="16" t="inlineStr">
        <is>
          <t>EECKG23E0250160</t>
        </is>
      </c>
      <c r="N185" s="16">
        <f>LEFT(M185,12)</f>
        <v/>
      </c>
      <c r="O185" s="16" t="inlineStr">
        <is>
          <t>EECKG23E02, (50)Blue, (160)160</t>
        </is>
      </c>
      <c r="P185" s="16" t="n">
        <v>699</v>
      </c>
      <c r="Q185" s="16" t="n">
        <v>699</v>
      </c>
      <c r="R185" s="16" t="n">
        <v>2</v>
      </c>
      <c r="S185" s="16" t="n">
        <v>652</v>
      </c>
      <c r="T185" s="16" t="n">
        <v>1</v>
      </c>
    </row>
    <row r="186" s="103">
      <c r="A186" s="16" t="inlineStr">
        <is>
          <t>B331</t>
        </is>
      </c>
      <c r="B186" s="16" t="inlineStr">
        <is>
          <t>上海区域</t>
        </is>
      </c>
      <c r="C186" s="16" t="inlineStr">
        <is>
          <t>CN0Q</t>
        </is>
      </c>
      <c r="D186" s="16" t="inlineStr">
        <is>
          <t>EE 苏州比斯特购物村</t>
        </is>
      </c>
      <c r="E186" s="16" t="n">
        <v>4</v>
      </c>
      <c r="F186" s="16" t="inlineStr">
        <is>
          <t>奥特莱斯</t>
        </is>
      </c>
      <c r="G186" s="16" t="inlineStr">
        <is>
          <t>EECKG23E02</t>
        </is>
      </c>
      <c r="H186" s="16" t="n">
        <v>699</v>
      </c>
      <c r="I186" s="16" t="n">
        <v>699</v>
      </c>
      <c r="J186" s="17" t="inlineStr">
        <is>
          <t>########</t>
        </is>
      </c>
      <c r="K186" s="16" t="inlineStr">
        <is>
          <t>(50)Blue</t>
        </is>
      </c>
      <c r="L186" s="16" t="inlineStr">
        <is>
          <t>营业中</t>
        </is>
      </c>
      <c r="M186" s="16" t="inlineStr">
        <is>
          <t>EECKG23E0250165</t>
        </is>
      </c>
      <c r="N186" s="16">
        <f>LEFT(M186,12)</f>
        <v/>
      </c>
      <c r="O186" s="16" t="inlineStr">
        <is>
          <t>EECKG23E02, (50)Blue, (165)165</t>
        </is>
      </c>
      <c r="P186" s="16" t="n">
        <v>699</v>
      </c>
      <c r="Q186" s="16" t="n">
        <v>699</v>
      </c>
      <c r="R186" s="16" t="n">
        <v>2</v>
      </c>
      <c r="S186" s="18" t="n">
        <v>1145</v>
      </c>
      <c r="T186" s="16" t="n">
        <v>1</v>
      </c>
    </row>
    <row r="187" s="103">
      <c r="A187" s="16" t="inlineStr">
        <is>
          <t>B331</t>
        </is>
      </c>
      <c r="B187" s="16" t="inlineStr">
        <is>
          <t>上海区域</t>
        </is>
      </c>
      <c r="C187" s="16" t="inlineStr">
        <is>
          <t>CN0Q</t>
        </is>
      </c>
      <c r="D187" s="16" t="inlineStr">
        <is>
          <t>EE 苏州比斯特购物村</t>
        </is>
      </c>
      <c r="E187" s="16" t="n">
        <v>4</v>
      </c>
      <c r="F187" s="16" t="inlineStr">
        <is>
          <t>奥特莱斯</t>
        </is>
      </c>
      <c r="G187" s="16" t="inlineStr">
        <is>
          <t>EECKG23E02</t>
        </is>
      </c>
      <c r="H187" s="16" t="n">
        <v>699</v>
      </c>
      <c r="I187" s="16" t="n">
        <v>699</v>
      </c>
      <c r="J187" s="17" t="inlineStr">
        <is>
          <t>########</t>
        </is>
      </c>
      <c r="K187" s="16" t="inlineStr">
        <is>
          <t>(50)Blue</t>
        </is>
      </c>
      <c r="L187" s="16" t="inlineStr">
        <is>
          <t>营业中</t>
        </is>
      </c>
      <c r="M187" s="16" t="inlineStr">
        <is>
          <t>EECKG23E0250170</t>
        </is>
      </c>
      <c r="N187" s="16">
        <f>LEFT(M187,12)</f>
        <v/>
      </c>
      <c r="O187" s="16" t="inlineStr">
        <is>
          <t>EECKG23E02, (50)Blue, (170)170</t>
        </is>
      </c>
      <c r="P187" s="16" t="n">
        <v>699</v>
      </c>
      <c r="Q187" s="16" t="n">
        <v>699</v>
      </c>
      <c r="R187" s="16" t="n">
        <v>1</v>
      </c>
      <c r="S187" s="16" t="n">
        <v>489</v>
      </c>
      <c r="T187" s="16" t="n">
        <v>0</v>
      </c>
    </row>
    <row r="188" s="103">
      <c r="A188" s="16" t="inlineStr">
        <is>
          <t>B331</t>
        </is>
      </c>
      <c r="B188" s="16" t="inlineStr">
        <is>
          <t>上海区域</t>
        </is>
      </c>
      <c r="C188" s="16" t="inlineStr">
        <is>
          <t>CN0Q</t>
        </is>
      </c>
      <c r="D188" s="16" t="inlineStr">
        <is>
          <t>EE 苏州比斯特购物村</t>
        </is>
      </c>
      <c r="E188" s="16" t="n">
        <v>4</v>
      </c>
      <c r="F188" s="16" t="inlineStr">
        <is>
          <t>奥特莱斯</t>
        </is>
      </c>
      <c r="G188" s="16" t="inlineStr">
        <is>
          <t>EECKG23E02</t>
        </is>
      </c>
      <c r="H188" s="16" t="n">
        <v>699</v>
      </c>
      <c r="I188" s="16" t="n">
        <v>699</v>
      </c>
      <c r="J188" s="17" t="inlineStr">
        <is>
          <t>########</t>
        </is>
      </c>
      <c r="K188" s="16" t="inlineStr">
        <is>
          <t>(50)Blue</t>
        </is>
      </c>
      <c r="L188" s="16" t="inlineStr">
        <is>
          <t>营业中</t>
        </is>
      </c>
      <c r="M188" s="16" t="inlineStr">
        <is>
          <t>EECKG23E0250175</t>
        </is>
      </c>
      <c r="N188" s="16">
        <f>LEFT(M188,12)</f>
        <v/>
      </c>
      <c r="O188" s="16" t="inlineStr">
        <is>
          <t>EECKG23E02, (50)Blue, (175)175</t>
        </is>
      </c>
      <c r="P188" s="16" t="n">
        <v>699</v>
      </c>
      <c r="Q188" s="16" t="n">
        <v>699</v>
      </c>
      <c r="R188" s="16" t="n"/>
      <c r="S188" s="16" t="n"/>
      <c r="T188" s="16" t="n">
        <v>1</v>
      </c>
    </row>
    <row r="189" s="103">
      <c r="A189" s="16" t="inlineStr">
        <is>
          <t>B331</t>
        </is>
      </c>
      <c r="B189" s="16" t="inlineStr">
        <is>
          <t>上海区域</t>
        </is>
      </c>
      <c r="C189" s="16" t="inlineStr">
        <is>
          <t>CN0Q</t>
        </is>
      </c>
      <c r="D189" s="16" t="inlineStr">
        <is>
          <t>EE 苏州比斯特购物村</t>
        </is>
      </c>
      <c r="E189" s="16" t="n">
        <v>4</v>
      </c>
      <c r="F189" s="16" t="inlineStr">
        <is>
          <t>奥特莱斯</t>
        </is>
      </c>
      <c r="G189" s="16" t="inlineStr">
        <is>
          <t>EECKG24E02</t>
        </is>
      </c>
      <c r="H189" s="16" t="n">
        <v>699</v>
      </c>
      <c r="I189" s="16" t="n">
        <v>699</v>
      </c>
      <c r="J189" s="17" t="inlineStr">
        <is>
          <t>########</t>
        </is>
      </c>
      <c r="K189" s="16" t="inlineStr">
        <is>
          <t>(39)Ivory</t>
        </is>
      </c>
      <c r="L189" s="16" t="inlineStr">
        <is>
          <t>营业中</t>
        </is>
      </c>
      <c r="M189" s="16" t="inlineStr">
        <is>
          <t>EECKG24E0239160</t>
        </is>
      </c>
      <c r="N189" s="16">
        <f>LEFT(M189,12)</f>
        <v/>
      </c>
      <c r="O189" s="16" t="inlineStr">
        <is>
          <t>EECKG24E02, (39)Ivory, (160)160</t>
        </is>
      </c>
      <c r="P189" s="16" t="n">
        <v>699</v>
      </c>
      <c r="Q189" s="16" t="n">
        <v>699</v>
      </c>
      <c r="R189" s="16" t="n">
        <v>6</v>
      </c>
      <c r="S189" s="18" t="n">
        <v>2659</v>
      </c>
      <c r="T189" s="16" t="n">
        <v>0</v>
      </c>
    </row>
    <row r="190" s="103">
      <c r="A190" s="16" t="inlineStr">
        <is>
          <t>B331</t>
        </is>
      </c>
      <c r="B190" s="16" t="inlineStr">
        <is>
          <t>上海区域</t>
        </is>
      </c>
      <c r="C190" s="16" t="inlineStr">
        <is>
          <t>CN0Q</t>
        </is>
      </c>
      <c r="D190" s="16" t="inlineStr">
        <is>
          <t>EE 苏州比斯特购物村</t>
        </is>
      </c>
      <c r="E190" s="16" t="n">
        <v>4</v>
      </c>
      <c r="F190" s="16" t="inlineStr">
        <is>
          <t>奥特莱斯</t>
        </is>
      </c>
      <c r="G190" s="16" t="inlineStr">
        <is>
          <t>EECKG24E02</t>
        </is>
      </c>
      <c r="H190" s="16" t="n">
        <v>699</v>
      </c>
      <c r="I190" s="16" t="n">
        <v>699</v>
      </c>
      <c r="J190" s="17" t="inlineStr">
        <is>
          <t>########</t>
        </is>
      </c>
      <c r="K190" s="16" t="inlineStr">
        <is>
          <t>(39)Ivory</t>
        </is>
      </c>
      <c r="L190" s="16" t="inlineStr">
        <is>
          <t>营业中</t>
        </is>
      </c>
      <c r="M190" s="16" t="inlineStr">
        <is>
          <t>EECKG24E0239165</t>
        </is>
      </c>
      <c r="N190" s="16">
        <f>LEFT(M190,12)</f>
        <v/>
      </c>
      <c r="O190" s="16" t="inlineStr">
        <is>
          <t>EECKG24E02, (39)Ivory, (165)165</t>
        </is>
      </c>
      <c r="P190" s="16" t="n">
        <v>699</v>
      </c>
      <c r="Q190" s="16" t="n">
        <v>699</v>
      </c>
      <c r="R190" s="16" t="n">
        <v>4</v>
      </c>
      <c r="S190" s="18" t="n">
        <v>1872</v>
      </c>
      <c r="T190" s="16" t="n">
        <v>4</v>
      </c>
    </row>
    <row r="191" s="103">
      <c r="A191" s="16" t="inlineStr">
        <is>
          <t>B331</t>
        </is>
      </c>
      <c r="B191" s="16" t="inlineStr">
        <is>
          <t>上海区域</t>
        </is>
      </c>
      <c r="C191" s="16" t="inlineStr">
        <is>
          <t>CN0Q</t>
        </is>
      </c>
      <c r="D191" s="16" t="inlineStr">
        <is>
          <t>EE 苏州比斯特购物村</t>
        </is>
      </c>
      <c r="E191" s="16" t="n">
        <v>4</v>
      </c>
      <c r="F191" s="16" t="inlineStr">
        <is>
          <t>奥特莱斯</t>
        </is>
      </c>
      <c r="G191" s="16" t="inlineStr">
        <is>
          <t>EECKG24E02</t>
        </is>
      </c>
      <c r="H191" s="16" t="n">
        <v>699</v>
      </c>
      <c r="I191" s="16" t="n">
        <v>699</v>
      </c>
      <c r="J191" s="17" t="inlineStr">
        <is>
          <t>########</t>
        </is>
      </c>
      <c r="K191" s="16" t="inlineStr">
        <is>
          <t>(39)Ivory</t>
        </is>
      </c>
      <c r="L191" s="16" t="inlineStr">
        <is>
          <t>营业中</t>
        </is>
      </c>
      <c r="M191" s="16" t="inlineStr">
        <is>
          <t>EECKG24E0239170</t>
        </is>
      </c>
      <c r="N191" s="16">
        <f>LEFT(M191,12)</f>
        <v/>
      </c>
      <c r="O191" s="16" t="inlineStr">
        <is>
          <t>EECKG24E02, (39)Ivory, (170)170</t>
        </is>
      </c>
      <c r="P191" s="16" t="n">
        <v>699</v>
      </c>
      <c r="Q191" s="16" t="n">
        <v>699</v>
      </c>
      <c r="R191" s="16" t="n">
        <v>3</v>
      </c>
      <c r="S191" s="18" t="n">
        <v>1373</v>
      </c>
      <c r="T191" s="16" t="n">
        <v>3</v>
      </c>
    </row>
    <row r="192" s="103">
      <c r="A192" s="16" t="inlineStr">
        <is>
          <t>B331</t>
        </is>
      </c>
      <c r="B192" s="16" t="inlineStr">
        <is>
          <t>上海区域</t>
        </is>
      </c>
      <c r="C192" s="16" t="inlineStr">
        <is>
          <t>CN0Q</t>
        </is>
      </c>
      <c r="D192" s="16" t="inlineStr">
        <is>
          <t>EE 苏州比斯特购物村</t>
        </is>
      </c>
      <c r="E192" s="16" t="n">
        <v>4</v>
      </c>
      <c r="F192" s="16" t="inlineStr">
        <is>
          <t>奥特莱斯</t>
        </is>
      </c>
      <c r="G192" s="16" t="inlineStr">
        <is>
          <t>EECKG25B04</t>
        </is>
      </c>
      <c r="H192" s="16" t="n">
        <v>899</v>
      </c>
      <c r="I192" s="16" t="n">
        <v>599</v>
      </c>
      <c r="J192" s="17" t="inlineStr">
        <is>
          <t>########</t>
        </is>
      </c>
      <c r="K192" s="16" t="inlineStr">
        <is>
          <t>(39)Ivory</t>
        </is>
      </c>
      <c r="L192" s="16" t="inlineStr">
        <is>
          <t>营业中</t>
        </is>
      </c>
      <c r="M192" s="16" t="inlineStr">
        <is>
          <t>EECKG25B0439160</t>
        </is>
      </c>
      <c r="N192" s="16">
        <f>LEFT(M192,12)</f>
        <v/>
      </c>
      <c r="O192" s="16" t="inlineStr">
        <is>
          <t>EECKG25B04, (39)Ivory, (160)160</t>
        </is>
      </c>
      <c r="P192" s="16" t="n">
        <v>899</v>
      </c>
      <c r="Q192" s="16" t="n">
        <v>599</v>
      </c>
      <c r="R192" s="16" t="n">
        <v>1</v>
      </c>
      <c r="S192" s="16" t="n">
        <v>383</v>
      </c>
      <c r="T192" s="16" t="n">
        <v>2</v>
      </c>
    </row>
    <row r="193" s="103">
      <c r="A193" s="16" t="inlineStr">
        <is>
          <t>B331</t>
        </is>
      </c>
      <c r="B193" s="16" t="inlineStr">
        <is>
          <t>上海区域</t>
        </is>
      </c>
      <c r="C193" s="16" t="inlineStr">
        <is>
          <t>CN0Q</t>
        </is>
      </c>
      <c r="D193" s="16" t="inlineStr">
        <is>
          <t>EE 苏州比斯特购物村</t>
        </is>
      </c>
      <c r="E193" s="16" t="n">
        <v>4</v>
      </c>
      <c r="F193" s="16" t="inlineStr">
        <is>
          <t>奥特莱斯</t>
        </is>
      </c>
      <c r="G193" s="16" t="inlineStr">
        <is>
          <t>EECKG25B04</t>
        </is>
      </c>
      <c r="H193" s="16" t="n">
        <v>899</v>
      </c>
      <c r="I193" s="16" t="n">
        <v>599</v>
      </c>
      <c r="J193" s="17" t="inlineStr">
        <is>
          <t>########</t>
        </is>
      </c>
      <c r="K193" s="16" t="inlineStr">
        <is>
          <t>(39)Ivory</t>
        </is>
      </c>
      <c r="L193" s="16" t="inlineStr">
        <is>
          <t>营业中</t>
        </is>
      </c>
      <c r="M193" s="16" t="inlineStr">
        <is>
          <t>EECKG25B0439165</t>
        </is>
      </c>
      <c r="N193" s="16">
        <f>LEFT(M193,12)</f>
        <v/>
      </c>
      <c r="O193" s="16" t="inlineStr">
        <is>
          <t>EECKG25B04, (39)Ivory, (165)165</t>
        </is>
      </c>
      <c r="P193" s="16" t="n">
        <v>899</v>
      </c>
      <c r="Q193" s="16" t="n">
        <v>599</v>
      </c>
      <c r="R193" s="16" t="n">
        <v>1</v>
      </c>
      <c r="S193" s="16" t="n">
        <v>419</v>
      </c>
      <c r="T193" s="16" t="n">
        <v>1</v>
      </c>
    </row>
    <row r="194" s="103">
      <c r="A194" s="16" t="inlineStr">
        <is>
          <t>B331</t>
        </is>
      </c>
      <c r="B194" s="16" t="inlineStr">
        <is>
          <t>上海区域</t>
        </is>
      </c>
      <c r="C194" s="16" t="inlineStr">
        <is>
          <t>CN0Q</t>
        </is>
      </c>
      <c r="D194" s="16" t="inlineStr">
        <is>
          <t>EE 苏州比斯特购物村</t>
        </is>
      </c>
      <c r="E194" s="16" t="n">
        <v>4</v>
      </c>
      <c r="F194" s="16" t="inlineStr">
        <is>
          <t>奥特莱斯</t>
        </is>
      </c>
      <c r="G194" s="16" t="inlineStr">
        <is>
          <t>EECKG25B04</t>
        </is>
      </c>
      <c r="H194" s="16" t="n">
        <v>899</v>
      </c>
      <c r="I194" s="16" t="n">
        <v>599</v>
      </c>
      <c r="J194" s="17" t="inlineStr">
        <is>
          <t>########</t>
        </is>
      </c>
      <c r="K194" s="16" t="inlineStr">
        <is>
          <t>(39)Ivory</t>
        </is>
      </c>
      <c r="L194" s="16" t="inlineStr">
        <is>
          <t>营业中</t>
        </is>
      </c>
      <c r="M194" s="16" t="inlineStr">
        <is>
          <t>EECKG25B0439170</t>
        </is>
      </c>
      <c r="N194" s="16">
        <f>LEFT(M194,12)</f>
        <v/>
      </c>
      <c r="O194" s="16" t="inlineStr">
        <is>
          <t>EECKG25B04, (39)Ivory, (170)170</t>
        </is>
      </c>
      <c r="P194" s="16" t="n">
        <v>899</v>
      </c>
      <c r="Q194" s="16" t="n">
        <v>599</v>
      </c>
      <c r="R194" s="16" t="n"/>
      <c r="S194" s="16" t="n"/>
      <c r="T194" s="16" t="n">
        <v>2</v>
      </c>
    </row>
    <row r="195" s="103">
      <c r="A195" s="16" t="inlineStr">
        <is>
          <t>B331</t>
        </is>
      </c>
      <c r="B195" s="16" t="inlineStr">
        <is>
          <t>上海区域</t>
        </is>
      </c>
      <c r="C195" s="16" t="inlineStr">
        <is>
          <t>CN0Q</t>
        </is>
      </c>
      <c r="D195" s="16" t="inlineStr">
        <is>
          <t>EE 苏州比斯特购物村</t>
        </is>
      </c>
      <c r="E195" s="16" t="n">
        <v>4</v>
      </c>
      <c r="F195" s="16" t="inlineStr">
        <is>
          <t>奥特莱斯</t>
        </is>
      </c>
      <c r="G195" s="16" t="inlineStr">
        <is>
          <t>EECKG25D03</t>
        </is>
      </c>
      <c r="H195" s="16" t="n">
        <v>899</v>
      </c>
      <c r="I195" s="16" t="n">
        <v>899</v>
      </c>
      <c r="J195" s="17" t="inlineStr">
        <is>
          <t>########</t>
        </is>
      </c>
      <c r="K195" s="16" t="inlineStr">
        <is>
          <t>(39)Ivory</t>
        </is>
      </c>
      <c r="L195" s="16" t="inlineStr">
        <is>
          <t>营业中</t>
        </is>
      </c>
      <c r="M195" s="16" t="inlineStr">
        <is>
          <t>EECKG25D0339160</t>
        </is>
      </c>
      <c r="N195" s="16">
        <f>LEFT(M195,12)</f>
        <v/>
      </c>
      <c r="O195" s="16" t="inlineStr">
        <is>
          <t>EECKG25D03, (39)Ivory, (160)160</t>
        </is>
      </c>
      <c r="P195" s="16" t="n">
        <v>899</v>
      </c>
      <c r="Q195" s="16" t="n">
        <v>899</v>
      </c>
      <c r="R195" s="16" t="n">
        <v>2</v>
      </c>
      <c r="S195" s="18" t="n">
        <v>1154</v>
      </c>
      <c r="T195" s="16" t="n">
        <v>0</v>
      </c>
    </row>
    <row r="196" s="103">
      <c r="A196" s="16" t="inlineStr">
        <is>
          <t>B331</t>
        </is>
      </c>
      <c r="B196" s="16" t="inlineStr">
        <is>
          <t>上海区域</t>
        </is>
      </c>
      <c r="C196" s="16" t="inlineStr">
        <is>
          <t>CN0Q</t>
        </is>
      </c>
      <c r="D196" s="16" t="inlineStr">
        <is>
          <t>EE 苏州比斯特购物村</t>
        </is>
      </c>
      <c r="E196" s="16" t="n">
        <v>4</v>
      </c>
      <c r="F196" s="16" t="inlineStr">
        <is>
          <t>奥特莱斯</t>
        </is>
      </c>
      <c r="G196" s="16" t="inlineStr">
        <is>
          <t>EECKG25D03</t>
        </is>
      </c>
      <c r="H196" s="16" t="n">
        <v>899</v>
      </c>
      <c r="I196" s="16" t="n">
        <v>899</v>
      </c>
      <c r="J196" s="17" t="inlineStr">
        <is>
          <t>########</t>
        </is>
      </c>
      <c r="K196" s="16" t="inlineStr">
        <is>
          <t>(39)Ivory</t>
        </is>
      </c>
      <c r="L196" s="16" t="inlineStr">
        <is>
          <t>营业中</t>
        </is>
      </c>
      <c r="M196" s="16" t="inlineStr">
        <is>
          <t>EECKG25D0339165</t>
        </is>
      </c>
      <c r="N196" s="16">
        <f>LEFT(M196,12)</f>
        <v/>
      </c>
      <c r="O196" s="16" t="inlineStr">
        <is>
          <t>EECKG25D03, (39)Ivory, (165)165</t>
        </is>
      </c>
      <c r="P196" s="16" t="n">
        <v>899</v>
      </c>
      <c r="Q196" s="16" t="n">
        <v>899</v>
      </c>
      <c r="R196" s="16" t="n">
        <v>2</v>
      </c>
      <c r="S196" s="16" t="n">
        <v>629</v>
      </c>
      <c r="T196" s="16" t="n">
        <v>0</v>
      </c>
    </row>
    <row r="197" s="103">
      <c r="A197" s="16" t="inlineStr">
        <is>
          <t>B331</t>
        </is>
      </c>
      <c r="B197" s="16" t="inlineStr">
        <is>
          <t>上海区域</t>
        </is>
      </c>
      <c r="C197" s="16" t="inlineStr">
        <is>
          <t>CN0Q</t>
        </is>
      </c>
      <c r="D197" s="16" t="inlineStr">
        <is>
          <t>EE 苏州比斯特购物村</t>
        </is>
      </c>
      <c r="E197" s="16" t="n">
        <v>4</v>
      </c>
      <c r="F197" s="16" t="inlineStr">
        <is>
          <t>奥特莱斯</t>
        </is>
      </c>
      <c r="G197" s="16" t="inlineStr">
        <is>
          <t>EECKG25D03</t>
        </is>
      </c>
      <c r="H197" s="16" t="n">
        <v>899</v>
      </c>
      <c r="I197" s="16" t="n">
        <v>899</v>
      </c>
      <c r="J197" s="17" t="inlineStr">
        <is>
          <t>########</t>
        </is>
      </c>
      <c r="K197" s="16" t="inlineStr">
        <is>
          <t>(39)Ivory</t>
        </is>
      </c>
      <c r="L197" s="16" t="inlineStr">
        <is>
          <t>营业中</t>
        </is>
      </c>
      <c r="M197" s="16" t="inlineStr">
        <is>
          <t>EECKG25D0339170</t>
        </is>
      </c>
      <c r="N197" s="16">
        <f>LEFT(M197,12)</f>
        <v/>
      </c>
      <c r="O197" s="16" t="inlineStr">
        <is>
          <t>EECKG25D03, (39)Ivory, (170)170</t>
        </is>
      </c>
      <c r="P197" s="16" t="n">
        <v>899</v>
      </c>
      <c r="Q197" s="16" t="n">
        <v>899</v>
      </c>
      <c r="R197" s="16" t="n"/>
      <c r="S197" s="16" t="n"/>
      <c r="T197" s="16" t="n">
        <v>2</v>
      </c>
    </row>
    <row r="198" s="103">
      <c r="A198" s="16" t="inlineStr">
        <is>
          <t>B331</t>
        </is>
      </c>
      <c r="B198" s="16" t="inlineStr">
        <is>
          <t>上海区域</t>
        </is>
      </c>
      <c r="C198" s="16" t="inlineStr">
        <is>
          <t>CN0Q</t>
        </is>
      </c>
      <c r="D198" s="16" t="inlineStr">
        <is>
          <t>EE 苏州比斯特购物村</t>
        </is>
      </c>
      <c r="E198" s="16" t="n">
        <v>4</v>
      </c>
      <c r="F198" s="16" t="inlineStr">
        <is>
          <t>奥特莱斯</t>
        </is>
      </c>
      <c r="G198" s="16" t="inlineStr">
        <is>
          <t>EECKG62S01</t>
        </is>
      </c>
      <c r="H198" s="16" t="n">
        <v>899</v>
      </c>
      <c r="I198" s="16" t="n">
        <v>899</v>
      </c>
      <c r="J198" s="17" t="n">
        <v>46024</v>
      </c>
      <c r="K198" s="16" t="inlineStr">
        <is>
          <t>(39)Ivory</t>
        </is>
      </c>
      <c r="L198" s="16" t="inlineStr">
        <is>
          <t>营业中</t>
        </is>
      </c>
      <c r="M198" s="16" t="inlineStr">
        <is>
          <t>EECKG62S0139160</t>
        </is>
      </c>
      <c r="N198" s="16">
        <f>LEFT(M198,12)</f>
        <v/>
      </c>
      <c r="O198" s="16" t="inlineStr">
        <is>
          <t>EECKG62S01, (39)Ivory, (160)160</t>
        </is>
      </c>
      <c r="P198" s="16" t="n">
        <v>899</v>
      </c>
      <c r="Q198" s="16" t="n">
        <v>899</v>
      </c>
      <c r="R198" s="16" t="n"/>
      <c r="S198" s="16" t="n"/>
      <c r="T198" s="16" t="n">
        <v>2</v>
      </c>
    </row>
    <row r="199" s="103">
      <c r="A199" s="16" t="inlineStr">
        <is>
          <t>B331</t>
        </is>
      </c>
      <c r="B199" s="16" t="inlineStr">
        <is>
          <t>上海区域</t>
        </is>
      </c>
      <c r="C199" s="16" t="inlineStr">
        <is>
          <t>CN0Q</t>
        </is>
      </c>
      <c r="D199" s="16" t="inlineStr">
        <is>
          <t>EE 苏州比斯特购物村</t>
        </is>
      </c>
      <c r="E199" s="16" t="n">
        <v>4</v>
      </c>
      <c r="F199" s="16" t="inlineStr">
        <is>
          <t>奥特莱斯</t>
        </is>
      </c>
      <c r="G199" s="16" t="inlineStr">
        <is>
          <t>EECKG62S01</t>
        </is>
      </c>
      <c r="H199" s="16" t="n">
        <v>899</v>
      </c>
      <c r="I199" s="16" t="n">
        <v>899</v>
      </c>
      <c r="J199" s="17" t="n">
        <v>46024</v>
      </c>
      <c r="K199" s="16" t="inlineStr">
        <is>
          <t>(39)Ivory</t>
        </is>
      </c>
      <c r="L199" s="16" t="inlineStr">
        <is>
          <t>营业中</t>
        </is>
      </c>
      <c r="M199" s="16" t="inlineStr">
        <is>
          <t>EECKG62S0139165</t>
        </is>
      </c>
      <c r="N199" s="16">
        <f>LEFT(M199,12)</f>
        <v/>
      </c>
      <c r="O199" s="16" t="inlineStr">
        <is>
          <t>EECKG62S01, (39)Ivory, (165)165</t>
        </is>
      </c>
      <c r="P199" s="16" t="n">
        <v>899</v>
      </c>
      <c r="Q199" s="16" t="n">
        <v>899</v>
      </c>
      <c r="R199" s="16" t="n"/>
      <c r="S199" s="16" t="n"/>
      <c r="T199" s="16" t="n">
        <v>4</v>
      </c>
    </row>
    <row r="200" s="103">
      <c r="A200" s="16" t="inlineStr">
        <is>
          <t>B331</t>
        </is>
      </c>
      <c r="B200" s="16" t="inlineStr">
        <is>
          <t>上海区域</t>
        </is>
      </c>
      <c r="C200" s="16" t="inlineStr">
        <is>
          <t>CN0Q</t>
        </is>
      </c>
      <c r="D200" s="16" t="inlineStr">
        <is>
          <t>EE 苏州比斯特购物村</t>
        </is>
      </c>
      <c r="E200" s="16" t="n">
        <v>4</v>
      </c>
      <c r="F200" s="16" t="inlineStr">
        <is>
          <t>奥特莱斯</t>
        </is>
      </c>
      <c r="G200" s="16" t="inlineStr">
        <is>
          <t>EECKG62S01</t>
        </is>
      </c>
      <c r="H200" s="16" t="n">
        <v>899</v>
      </c>
      <c r="I200" s="16" t="n">
        <v>899</v>
      </c>
      <c r="J200" s="17" t="n">
        <v>46024</v>
      </c>
      <c r="K200" s="16" t="inlineStr">
        <is>
          <t>(39)Ivory</t>
        </is>
      </c>
      <c r="L200" s="16" t="inlineStr">
        <is>
          <t>营业中</t>
        </is>
      </c>
      <c r="M200" s="16" t="inlineStr">
        <is>
          <t>EECKG62S0139170</t>
        </is>
      </c>
      <c r="N200" s="16">
        <f>LEFT(M200,12)</f>
        <v/>
      </c>
      <c r="O200" s="16" t="inlineStr">
        <is>
          <t>EECKG62S01, (39)Ivory, (170)170</t>
        </is>
      </c>
      <c r="P200" s="16" t="n">
        <v>899</v>
      </c>
      <c r="Q200" s="16" t="n">
        <v>899</v>
      </c>
      <c r="R200" s="16" t="n"/>
      <c r="S200" s="16" t="n"/>
      <c r="T200" s="16" t="n">
        <v>2</v>
      </c>
    </row>
    <row r="201" s="103">
      <c r="A201" s="16" t="inlineStr">
        <is>
          <t>B331</t>
        </is>
      </c>
      <c r="B201" s="16" t="inlineStr">
        <is>
          <t>上海区域</t>
        </is>
      </c>
      <c r="C201" s="16" t="inlineStr">
        <is>
          <t>CN0Q</t>
        </is>
      </c>
      <c r="D201" s="16" t="inlineStr">
        <is>
          <t>EE 苏州比斯特购物村</t>
        </is>
      </c>
      <c r="E201" s="16" t="n">
        <v>4</v>
      </c>
      <c r="F201" s="16" t="inlineStr">
        <is>
          <t>奥特莱斯</t>
        </is>
      </c>
      <c r="G201" s="16" t="inlineStr">
        <is>
          <t>EECKG62S01</t>
        </is>
      </c>
      <c r="H201" s="16" t="n">
        <v>899</v>
      </c>
      <c r="I201" s="16" t="n">
        <v>899</v>
      </c>
      <c r="J201" s="17" t="n">
        <v>46024</v>
      </c>
      <c r="K201" s="16" t="inlineStr">
        <is>
          <t>(59)Navy</t>
        </is>
      </c>
      <c r="L201" s="16" t="inlineStr">
        <is>
          <t>营业中</t>
        </is>
      </c>
      <c r="M201" s="16" t="inlineStr">
        <is>
          <t>EECKG62S0159160</t>
        </is>
      </c>
      <c r="N201" s="16">
        <f>LEFT(M201,12)</f>
        <v/>
      </c>
      <c r="O201" s="16" t="inlineStr">
        <is>
          <t>EECKG62S01, (59)Navy, (160)160</t>
        </is>
      </c>
      <c r="P201" s="16" t="n">
        <v>899</v>
      </c>
      <c r="Q201" s="16" t="n">
        <v>899</v>
      </c>
      <c r="R201" s="16" t="n"/>
      <c r="S201" s="16" t="n"/>
      <c r="T201" s="16" t="n">
        <v>2</v>
      </c>
    </row>
    <row r="202" s="103">
      <c r="A202" s="16" t="inlineStr">
        <is>
          <t>B331</t>
        </is>
      </c>
      <c r="B202" s="16" t="inlineStr">
        <is>
          <t>上海区域</t>
        </is>
      </c>
      <c r="C202" s="16" t="inlineStr">
        <is>
          <t>CN0Q</t>
        </is>
      </c>
      <c r="D202" s="16" t="inlineStr">
        <is>
          <t>EE 苏州比斯特购物村</t>
        </is>
      </c>
      <c r="E202" s="16" t="n">
        <v>4</v>
      </c>
      <c r="F202" s="16" t="inlineStr">
        <is>
          <t>奥特莱斯</t>
        </is>
      </c>
      <c r="G202" s="16" t="inlineStr">
        <is>
          <t>EECKG62S01</t>
        </is>
      </c>
      <c r="H202" s="16" t="n">
        <v>899</v>
      </c>
      <c r="I202" s="16" t="n">
        <v>899</v>
      </c>
      <c r="J202" s="17" t="n">
        <v>46024</v>
      </c>
      <c r="K202" s="16" t="inlineStr">
        <is>
          <t>(59)Navy</t>
        </is>
      </c>
      <c r="L202" s="16" t="inlineStr">
        <is>
          <t>营业中</t>
        </is>
      </c>
      <c r="M202" s="16" t="inlineStr">
        <is>
          <t>EECKG62S0159165</t>
        </is>
      </c>
      <c r="N202" s="16">
        <f>LEFT(M202,12)</f>
        <v/>
      </c>
      <c r="O202" s="16" t="inlineStr">
        <is>
          <t>EECKG62S01, (59)Navy, (165)165</t>
        </is>
      </c>
      <c r="P202" s="16" t="n">
        <v>899</v>
      </c>
      <c r="Q202" s="16" t="n">
        <v>899</v>
      </c>
      <c r="R202" s="16" t="n"/>
      <c r="S202" s="16" t="n"/>
      <c r="T202" s="16" t="n">
        <v>4</v>
      </c>
    </row>
    <row r="203" s="103">
      <c r="A203" s="16" t="inlineStr">
        <is>
          <t>B331</t>
        </is>
      </c>
      <c r="B203" s="16" t="inlineStr">
        <is>
          <t>上海区域</t>
        </is>
      </c>
      <c r="C203" s="16" t="inlineStr">
        <is>
          <t>CN0Q</t>
        </is>
      </c>
      <c r="D203" s="16" t="inlineStr">
        <is>
          <t>EE 苏州比斯特购物村</t>
        </is>
      </c>
      <c r="E203" s="16" t="n">
        <v>4</v>
      </c>
      <c r="F203" s="16" t="inlineStr">
        <is>
          <t>奥特莱斯</t>
        </is>
      </c>
      <c r="G203" s="16" t="inlineStr">
        <is>
          <t>EECKG62S01</t>
        </is>
      </c>
      <c r="H203" s="16" t="n">
        <v>899</v>
      </c>
      <c r="I203" s="16" t="n">
        <v>899</v>
      </c>
      <c r="J203" s="17" t="n">
        <v>46024</v>
      </c>
      <c r="K203" s="16" t="inlineStr">
        <is>
          <t>(59)Navy</t>
        </is>
      </c>
      <c r="L203" s="16" t="inlineStr">
        <is>
          <t>营业中</t>
        </is>
      </c>
      <c r="M203" s="16" t="inlineStr">
        <is>
          <t>EECKG62S0159170</t>
        </is>
      </c>
      <c r="N203" s="16">
        <f>LEFT(M203,12)</f>
        <v/>
      </c>
      <c r="O203" s="16" t="inlineStr">
        <is>
          <t>EECKG62S01, (59)Navy, (170)170</t>
        </is>
      </c>
      <c r="P203" s="16" t="n">
        <v>899</v>
      </c>
      <c r="Q203" s="16" t="n">
        <v>899</v>
      </c>
      <c r="R203" s="16" t="n"/>
      <c r="S203" s="16" t="n"/>
      <c r="T203" s="16" t="n">
        <v>2</v>
      </c>
    </row>
    <row r="204" s="103">
      <c r="A204" s="16" t="inlineStr">
        <is>
          <t>B331</t>
        </is>
      </c>
      <c r="B204" s="16" t="inlineStr">
        <is>
          <t>上海区域</t>
        </is>
      </c>
      <c r="C204" s="16" t="inlineStr">
        <is>
          <t>CN0Q</t>
        </is>
      </c>
      <c r="D204" s="16" t="inlineStr">
        <is>
          <t>EE 苏州比斯特购物村</t>
        </is>
      </c>
      <c r="E204" s="16" t="n">
        <v>4</v>
      </c>
      <c r="F204" s="16" t="inlineStr">
        <is>
          <t>奥特莱斯</t>
        </is>
      </c>
      <c r="G204" s="16" t="inlineStr">
        <is>
          <t>EEHWF24E01</t>
        </is>
      </c>
      <c r="H204" s="16" t="n">
        <v>499</v>
      </c>
      <c r="I204" s="16" t="n">
        <v>499</v>
      </c>
      <c r="J204" s="17" t="inlineStr">
        <is>
          <t>########</t>
        </is>
      </c>
      <c r="K204" s="16" t="inlineStr">
        <is>
          <t>(15)Grey</t>
        </is>
      </c>
      <c r="L204" s="16" t="inlineStr">
        <is>
          <t>营业中</t>
        </is>
      </c>
      <c r="M204" s="16" t="inlineStr">
        <is>
          <t>EEHWF24E0115160</t>
        </is>
      </c>
      <c r="N204" s="16">
        <f>LEFT(M204,12)</f>
        <v/>
      </c>
      <c r="O204" s="16" t="inlineStr">
        <is>
          <t>EEHWF24E01, (15)Grey, (160)160</t>
        </is>
      </c>
      <c r="P204" s="16" t="n">
        <v>499</v>
      </c>
      <c r="Q204" s="16" t="n">
        <v>499</v>
      </c>
      <c r="R204" s="16" t="n"/>
      <c r="S204" s="16" t="n"/>
      <c r="T204" s="16" t="n">
        <v>2</v>
      </c>
    </row>
    <row r="205" s="103">
      <c r="A205" s="16" t="inlineStr">
        <is>
          <t>B331</t>
        </is>
      </c>
      <c r="B205" s="16" t="inlineStr">
        <is>
          <t>上海区域</t>
        </is>
      </c>
      <c r="C205" s="16" t="inlineStr">
        <is>
          <t>CN0Q</t>
        </is>
      </c>
      <c r="D205" s="16" t="inlineStr">
        <is>
          <t>EE 苏州比斯特购物村</t>
        </is>
      </c>
      <c r="E205" s="16" t="n">
        <v>4</v>
      </c>
      <c r="F205" s="16" t="inlineStr">
        <is>
          <t>奥特莱斯</t>
        </is>
      </c>
      <c r="G205" s="16" t="inlineStr">
        <is>
          <t>EEHWF24E01</t>
        </is>
      </c>
      <c r="H205" s="16" t="n">
        <v>499</v>
      </c>
      <c r="I205" s="16" t="n">
        <v>499</v>
      </c>
      <c r="J205" s="17" t="inlineStr">
        <is>
          <t>########</t>
        </is>
      </c>
      <c r="K205" s="16" t="inlineStr">
        <is>
          <t>(15)Grey</t>
        </is>
      </c>
      <c r="L205" s="16" t="inlineStr">
        <is>
          <t>营业中</t>
        </is>
      </c>
      <c r="M205" s="16" t="inlineStr">
        <is>
          <t>EEHWF24E0115165</t>
        </is>
      </c>
      <c r="N205" s="16">
        <f>LEFT(M205,12)</f>
        <v/>
      </c>
      <c r="O205" s="16" t="inlineStr">
        <is>
          <t>EEHWF24E01, (15)Grey, (165)165</t>
        </is>
      </c>
      <c r="P205" s="16" t="n">
        <v>499</v>
      </c>
      <c r="Q205" s="16" t="n">
        <v>499</v>
      </c>
      <c r="R205" s="16" t="n"/>
      <c r="S205" s="16" t="n"/>
      <c r="T205" s="16" t="n">
        <v>2</v>
      </c>
    </row>
    <row r="206" s="103">
      <c r="A206" s="16" t="inlineStr">
        <is>
          <t>B331</t>
        </is>
      </c>
      <c r="B206" s="16" t="inlineStr">
        <is>
          <t>上海区域</t>
        </is>
      </c>
      <c r="C206" s="16" t="inlineStr">
        <is>
          <t>CN0Q</t>
        </is>
      </c>
      <c r="D206" s="16" t="inlineStr">
        <is>
          <t>EE 苏州比斯特购物村</t>
        </is>
      </c>
      <c r="E206" s="16" t="n">
        <v>4</v>
      </c>
      <c r="F206" s="16" t="inlineStr">
        <is>
          <t>奥特莱斯</t>
        </is>
      </c>
      <c r="G206" s="16" t="inlineStr">
        <is>
          <t>EEHWF24E01</t>
        </is>
      </c>
      <c r="H206" s="16" t="n">
        <v>499</v>
      </c>
      <c r="I206" s="16" t="n">
        <v>499</v>
      </c>
      <c r="J206" s="17" t="inlineStr">
        <is>
          <t>########</t>
        </is>
      </c>
      <c r="K206" s="16" t="inlineStr">
        <is>
          <t>(15)Grey</t>
        </is>
      </c>
      <c r="L206" s="16" t="inlineStr">
        <is>
          <t>营业中</t>
        </is>
      </c>
      <c r="M206" s="16" t="inlineStr">
        <is>
          <t>EEHWF24E0115170</t>
        </is>
      </c>
      <c r="N206" s="16">
        <f>LEFT(M206,12)</f>
        <v/>
      </c>
      <c r="O206" s="16" t="inlineStr">
        <is>
          <t>EEHWF24E01, (15)Grey, (170)170</t>
        </is>
      </c>
      <c r="P206" s="16" t="n">
        <v>499</v>
      </c>
      <c r="Q206" s="16" t="n">
        <v>499</v>
      </c>
      <c r="R206" s="16" t="n"/>
      <c r="S206" s="16" t="n"/>
      <c r="T206" s="16" t="n">
        <v>1</v>
      </c>
    </row>
    <row r="207" s="103">
      <c r="A207" s="16" t="inlineStr">
        <is>
          <t>B331</t>
        </is>
      </c>
      <c r="B207" s="16" t="inlineStr">
        <is>
          <t>上海区域</t>
        </is>
      </c>
      <c r="C207" s="16" t="inlineStr">
        <is>
          <t>CN0Q</t>
        </is>
      </c>
      <c r="D207" s="16" t="inlineStr">
        <is>
          <t>EE 苏州比斯特购物村</t>
        </is>
      </c>
      <c r="E207" s="16" t="n">
        <v>4</v>
      </c>
      <c r="F207" s="16" t="inlineStr">
        <is>
          <t>奥特莱斯</t>
        </is>
      </c>
      <c r="G207" s="16" t="inlineStr">
        <is>
          <t>EEHWF24E01</t>
        </is>
      </c>
      <c r="H207" s="16" t="n">
        <v>499</v>
      </c>
      <c r="I207" s="16" t="n">
        <v>499</v>
      </c>
      <c r="J207" s="17" t="inlineStr">
        <is>
          <t>########</t>
        </is>
      </c>
      <c r="K207" s="16" t="inlineStr">
        <is>
          <t>(15)Grey</t>
        </is>
      </c>
      <c r="L207" s="16" t="inlineStr">
        <is>
          <t>营业中</t>
        </is>
      </c>
      <c r="M207" s="16" t="inlineStr">
        <is>
          <t>EEHWF24E0115175</t>
        </is>
      </c>
      <c r="N207" s="16">
        <f>LEFT(M207,12)</f>
        <v/>
      </c>
      <c r="O207" s="16" t="inlineStr">
        <is>
          <t>EEHWF24E01, (15)Grey, (175)175</t>
        </is>
      </c>
      <c r="P207" s="16" t="n">
        <v>499</v>
      </c>
      <c r="Q207" s="16" t="n">
        <v>499</v>
      </c>
      <c r="R207" s="16" t="n"/>
      <c r="S207" s="16" t="n"/>
      <c r="T207" s="16" t="n">
        <v>1</v>
      </c>
    </row>
    <row r="208" s="103">
      <c r="A208" s="16" t="inlineStr">
        <is>
          <t>B331</t>
        </is>
      </c>
      <c r="B208" s="16" t="inlineStr">
        <is>
          <t>上海区域</t>
        </is>
      </c>
      <c r="C208" s="16" t="inlineStr">
        <is>
          <t>CN0Q</t>
        </is>
      </c>
      <c r="D208" s="16" t="inlineStr">
        <is>
          <t>EE 苏州比斯特购物村</t>
        </is>
      </c>
      <c r="E208" s="16" t="n">
        <v>4</v>
      </c>
      <c r="F208" s="16" t="inlineStr">
        <is>
          <t>奥特莱斯</t>
        </is>
      </c>
      <c r="G208" s="16" t="inlineStr">
        <is>
          <t>EEHWF24E01</t>
        </is>
      </c>
      <c r="H208" s="16" t="n">
        <v>499</v>
      </c>
      <c r="I208" s="16" t="n">
        <v>499</v>
      </c>
      <c r="J208" s="17" t="inlineStr">
        <is>
          <t>########</t>
        </is>
      </c>
      <c r="K208" s="16" t="inlineStr">
        <is>
          <t>(26)L/Pink</t>
        </is>
      </c>
      <c r="L208" s="16" t="inlineStr">
        <is>
          <t>营业中</t>
        </is>
      </c>
      <c r="M208" s="16" t="inlineStr">
        <is>
          <t>EEHWF24E0126160</t>
        </is>
      </c>
      <c r="N208" s="16">
        <f>LEFT(M208,12)</f>
        <v/>
      </c>
      <c r="O208" s="16" t="inlineStr">
        <is>
          <t>EEHWF24E01, (26)L/Pink, (160)160</t>
        </is>
      </c>
      <c r="P208" s="16" t="n">
        <v>499</v>
      </c>
      <c r="Q208" s="16" t="n">
        <v>499</v>
      </c>
      <c r="R208" s="16" t="n"/>
      <c r="S208" s="16" t="n"/>
      <c r="T208" s="16" t="n">
        <v>2</v>
      </c>
    </row>
    <row r="209" s="103">
      <c r="A209" s="16" t="inlineStr">
        <is>
          <t>B331</t>
        </is>
      </c>
      <c r="B209" s="16" t="inlineStr">
        <is>
          <t>上海区域</t>
        </is>
      </c>
      <c r="C209" s="16" t="inlineStr">
        <is>
          <t>CN0Q</t>
        </is>
      </c>
      <c r="D209" s="16" t="inlineStr">
        <is>
          <t>EE 苏州比斯特购物村</t>
        </is>
      </c>
      <c r="E209" s="16" t="n">
        <v>4</v>
      </c>
      <c r="F209" s="16" t="inlineStr">
        <is>
          <t>奥特莱斯</t>
        </is>
      </c>
      <c r="G209" s="16" t="inlineStr">
        <is>
          <t>EEHWF24E01</t>
        </is>
      </c>
      <c r="H209" s="16" t="n">
        <v>499</v>
      </c>
      <c r="I209" s="16" t="n">
        <v>499</v>
      </c>
      <c r="J209" s="17" t="inlineStr">
        <is>
          <t>########</t>
        </is>
      </c>
      <c r="K209" s="16" t="inlineStr">
        <is>
          <t>(26)L/Pink</t>
        </is>
      </c>
      <c r="L209" s="16" t="inlineStr">
        <is>
          <t>营业中</t>
        </is>
      </c>
      <c r="M209" s="16" t="inlineStr">
        <is>
          <t>EEHWF24E0126165</t>
        </is>
      </c>
      <c r="N209" s="16">
        <f>LEFT(M209,12)</f>
        <v/>
      </c>
      <c r="O209" s="16" t="inlineStr">
        <is>
          <t>EEHWF24E01, (26)L/Pink, (165)165</t>
        </is>
      </c>
      <c r="P209" s="16" t="n">
        <v>499</v>
      </c>
      <c r="Q209" s="16" t="n">
        <v>499</v>
      </c>
      <c r="R209" s="16" t="n"/>
      <c r="S209" s="16" t="n"/>
      <c r="T209" s="16" t="n">
        <v>2</v>
      </c>
    </row>
    <row r="210" s="103">
      <c r="A210" s="16" t="inlineStr">
        <is>
          <t>B331</t>
        </is>
      </c>
      <c r="B210" s="16" t="inlineStr">
        <is>
          <t>上海区域</t>
        </is>
      </c>
      <c r="C210" s="16" t="inlineStr">
        <is>
          <t>CN0Q</t>
        </is>
      </c>
      <c r="D210" s="16" t="inlineStr">
        <is>
          <t>EE 苏州比斯特购物村</t>
        </is>
      </c>
      <c r="E210" s="16" t="n">
        <v>4</v>
      </c>
      <c r="F210" s="16" t="inlineStr">
        <is>
          <t>奥特莱斯</t>
        </is>
      </c>
      <c r="G210" s="16" t="inlineStr">
        <is>
          <t>EEHWF24E01</t>
        </is>
      </c>
      <c r="H210" s="16" t="n">
        <v>499</v>
      </c>
      <c r="I210" s="16" t="n">
        <v>499</v>
      </c>
      <c r="J210" s="17" t="inlineStr">
        <is>
          <t>########</t>
        </is>
      </c>
      <c r="K210" s="16" t="inlineStr">
        <is>
          <t>(26)L/Pink</t>
        </is>
      </c>
      <c r="L210" s="16" t="inlineStr">
        <is>
          <t>营业中</t>
        </is>
      </c>
      <c r="M210" s="16" t="inlineStr">
        <is>
          <t>EEHWF24E0126170</t>
        </is>
      </c>
      <c r="N210" s="16">
        <f>LEFT(M210,12)</f>
        <v/>
      </c>
      <c r="O210" s="16" t="inlineStr">
        <is>
          <t>EEHWF24E01, (26)L/Pink, (170)170</t>
        </is>
      </c>
      <c r="P210" s="16" t="n">
        <v>499</v>
      </c>
      <c r="Q210" s="16" t="n">
        <v>499</v>
      </c>
      <c r="R210" s="16" t="n"/>
      <c r="S210" s="16" t="n"/>
      <c r="T210" s="16" t="n">
        <v>2</v>
      </c>
    </row>
    <row r="211" s="103">
      <c r="A211" s="16" t="inlineStr">
        <is>
          <t>B331</t>
        </is>
      </c>
      <c r="B211" s="16" t="inlineStr">
        <is>
          <t>上海区域</t>
        </is>
      </c>
      <c r="C211" s="16" t="inlineStr">
        <is>
          <t>CN0Q</t>
        </is>
      </c>
      <c r="D211" s="16" t="inlineStr">
        <is>
          <t>EE 苏州比斯特购物村</t>
        </is>
      </c>
      <c r="E211" s="16" t="n">
        <v>4</v>
      </c>
      <c r="F211" s="16" t="inlineStr">
        <is>
          <t>奥特莱斯</t>
        </is>
      </c>
      <c r="G211" s="16" t="inlineStr">
        <is>
          <t>EEHWF24E01</t>
        </is>
      </c>
      <c r="H211" s="16" t="n">
        <v>499</v>
      </c>
      <c r="I211" s="16" t="n">
        <v>499</v>
      </c>
      <c r="J211" s="17" t="inlineStr">
        <is>
          <t>########</t>
        </is>
      </c>
      <c r="K211" s="16" t="inlineStr">
        <is>
          <t>(39)Ivory</t>
        </is>
      </c>
      <c r="L211" s="16" t="inlineStr">
        <is>
          <t>营业中</t>
        </is>
      </c>
      <c r="M211" s="16" t="inlineStr">
        <is>
          <t>EEHWF24E0139160</t>
        </is>
      </c>
      <c r="N211" s="16">
        <f>LEFT(M211,12)</f>
        <v/>
      </c>
      <c r="O211" s="16" t="inlineStr">
        <is>
          <t>EEHWF24E01, (39)Ivory, (160)160</t>
        </is>
      </c>
      <c r="P211" s="16" t="n">
        <v>499</v>
      </c>
      <c r="Q211" s="16" t="n">
        <v>499</v>
      </c>
      <c r="R211" s="16" t="n"/>
      <c r="S211" s="16" t="n"/>
      <c r="T211" s="16" t="n">
        <v>1</v>
      </c>
    </row>
    <row r="212" s="103">
      <c r="A212" s="16" t="inlineStr">
        <is>
          <t>B331</t>
        </is>
      </c>
      <c r="B212" s="16" t="inlineStr">
        <is>
          <t>上海区域</t>
        </is>
      </c>
      <c r="C212" s="16" t="inlineStr">
        <is>
          <t>CN0Q</t>
        </is>
      </c>
      <c r="D212" s="16" t="inlineStr">
        <is>
          <t>EE 苏州比斯特购物村</t>
        </is>
      </c>
      <c r="E212" s="16" t="n">
        <v>4</v>
      </c>
      <c r="F212" s="16" t="inlineStr">
        <is>
          <t>奥特莱斯</t>
        </is>
      </c>
      <c r="G212" s="16" t="inlineStr">
        <is>
          <t>EEHWF24E01</t>
        </is>
      </c>
      <c r="H212" s="16" t="n">
        <v>499</v>
      </c>
      <c r="I212" s="16" t="n">
        <v>499</v>
      </c>
      <c r="J212" s="17" t="inlineStr">
        <is>
          <t>########</t>
        </is>
      </c>
      <c r="K212" s="16" t="inlineStr">
        <is>
          <t>(39)Ivory</t>
        </is>
      </c>
      <c r="L212" s="16" t="inlineStr">
        <is>
          <t>营业中</t>
        </is>
      </c>
      <c r="M212" s="16" t="inlineStr">
        <is>
          <t>EEHWF24E0139165</t>
        </is>
      </c>
      <c r="N212" s="16">
        <f>LEFT(M212,12)</f>
        <v/>
      </c>
      <c r="O212" s="16" t="inlineStr">
        <is>
          <t>EEHWF24E01, (39)Ivory, (165)165</t>
        </is>
      </c>
      <c r="P212" s="16" t="n">
        <v>499</v>
      </c>
      <c r="Q212" s="16" t="n">
        <v>499</v>
      </c>
      <c r="R212" s="16" t="n"/>
      <c r="S212" s="16" t="n"/>
      <c r="T212" s="16" t="n">
        <v>2</v>
      </c>
    </row>
    <row r="213" s="103">
      <c r="A213" s="16" t="inlineStr">
        <is>
          <t>B331</t>
        </is>
      </c>
      <c r="B213" s="16" t="inlineStr">
        <is>
          <t>上海区域</t>
        </is>
      </c>
      <c r="C213" s="16" t="inlineStr">
        <is>
          <t>CN0Q</t>
        </is>
      </c>
      <c r="D213" s="16" t="inlineStr">
        <is>
          <t>EE 苏州比斯特购物村</t>
        </is>
      </c>
      <c r="E213" s="16" t="n">
        <v>4</v>
      </c>
      <c r="F213" s="16" t="inlineStr">
        <is>
          <t>奥特莱斯</t>
        </is>
      </c>
      <c r="G213" s="16" t="inlineStr">
        <is>
          <t>EEHWF24E01</t>
        </is>
      </c>
      <c r="H213" s="16" t="n">
        <v>499</v>
      </c>
      <c r="I213" s="16" t="n">
        <v>499</v>
      </c>
      <c r="J213" s="17" t="inlineStr">
        <is>
          <t>########</t>
        </is>
      </c>
      <c r="K213" s="16" t="inlineStr">
        <is>
          <t>(39)Ivory</t>
        </is>
      </c>
      <c r="L213" s="16" t="inlineStr">
        <is>
          <t>营业中</t>
        </is>
      </c>
      <c r="M213" s="16" t="inlineStr">
        <is>
          <t>EEHWF24E0139170</t>
        </is>
      </c>
      <c r="N213" s="16">
        <f>LEFT(M213,12)</f>
        <v/>
      </c>
      <c r="O213" s="16" t="inlineStr">
        <is>
          <t>EEHWF24E01, (39)Ivory, (170)170</t>
        </is>
      </c>
      <c r="P213" s="16" t="n">
        <v>499</v>
      </c>
      <c r="Q213" s="16" t="n">
        <v>499</v>
      </c>
      <c r="R213" s="16" t="n"/>
      <c r="S213" s="16" t="n"/>
      <c r="T213" s="16" t="n">
        <v>2</v>
      </c>
    </row>
    <row r="214" s="103">
      <c r="A214" s="16" t="inlineStr">
        <is>
          <t>B331</t>
        </is>
      </c>
      <c r="B214" s="16" t="inlineStr">
        <is>
          <t>上海区域</t>
        </is>
      </c>
      <c r="C214" s="16" t="inlineStr">
        <is>
          <t>CN0Q</t>
        </is>
      </c>
      <c r="D214" s="16" t="inlineStr">
        <is>
          <t>EE 苏州比斯特购物村</t>
        </is>
      </c>
      <c r="E214" s="16" t="n">
        <v>4</v>
      </c>
      <c r="F214" s="16" t="inlineStr">
        <is>
          <t>奥特莱斯</t>
        </is>
      </c>
      <c r="G214" s="16" t="inlineStr">
        <is>
          <t>EEHWF24E01</t>
        </is>
      </c>
      <c r="H214" s="16" t="n">
        <v>499</v>
      </c>
      <c r="I214" s="16" t="n">
        <v>499</v>
      </c>
      <c r="J214" s="17" t="inlineStr">
        <is>
          <t>########</t>
        </is>
      </c>
      <c r="K214" s="16" t="inlineStr">
        <is>
          <t>(39)Ivory</t>
        </is>
      </c>
      <c r="L214" s="16" t="inlineStr">
        <is>
          <t>营业中</t>
        </is>
      </c>
      <c r="M214" s="16" t="inlineStr">
        <is>
          <t>EEHWF24E0139175</t>
        </is>
      </c>
      <c r="N214" s="16">
        <f>LEFT(M214,12)</f>
        <v/>
      </c>
      <c r="O214" s="16" t="inlineStr">
        <is>
          <t>EEHWF24E01, (39)Ivory, (175)175</t>
        </is>
      </c>
      <c r="P214" s="16" t="n">
        <v>499</v>
      </c>
      <c r="Q214" s="16" t="n">
        <v>499</v>
      </c>
      <c r="R214" s="16" t="n"/>
      <c r="S214" s="16" t="n"/>
      <c r="T214" s="16" t="n">
        <v>1</v>
      </c>
    </row>
    <row r="215" s="103">
      <c r="A215" s="16" t="inlineStr">
        <is>
          <t>B331</t>
        </is>
      </c>
      <c r="B215" s="16" t="inlineStr">
        <is>
          <t>上海区域</t>
        </is>
      </c>
      <c r="C215" s="16" t="inlineStr">
        <is>
          <t>CN0Q</t>
        </is>
      </c>
      <c r="D215" s="16" t="inlineStr">
        <is>
          <t>EE 苏州比斯特购物村</t>
        </is>
      </c>
      <c r="E215" s="16" t="n">
        <v>4</v>
      </c>
      <c r="F215" s="16" t="inlineStr">
        <is>
          <t>奥特莱斯</t>
        </is>
      </c>
      <c r="G215" s="16" t="inlineStr">
        <is>
          <t>EEHWF24E01</t>
        </is>
      </c>
      <c r="H215" s="16" t="n">
        <v>499</v>
      </c>
      <c r="I215" s="16" t="n">
        <v>499</v>
      </c>
      <c r="J215" s="17" t="inlineStr">
        <is>
          <t>########</t>
        </is>
      </c>
      <c r="K215" s="16" t="inlineStr">
        <is>
          <t>(59)Navy</t>
        </is>
      </c>
      <c r="L215" s="16" t="inlineStr">
        <is>
          <t>营业中</t>
        </is>
      </c>
      <c r="M215" s="16" t="inlineStr">
        <is>
          <t>EEHWF24E0159160</t>
        </is>
      </c>
      <c r="N215" s="16">
        <f>LEFT(M215,12)</f>
        <v/>
      </c>
      <c r="O215" s="16" t="inlineStr">
        <is>
          <t>EEHWF24E01, (59)Navy, (160)160</t>
        </is>
      </c>
      <c r="P215" s="16" t="n">
        <v>499</v>
      </c>
      <c r="Q215" s="16" t="n">
        <v>499</v>
      </c>
      <c r="R215" s="16" t="n"/>
      <c r="S215" s="16" t="n"/>
      <c r="T215" s="16" t="n">
        <v>3</v>
      </c>
    </row>
    <row r="216" s="103">
      <c r="A216" s="16" t="inlineStr">
        <is>
          <t>B331</t>
        </is>
      </c>
      <c r="B216" s="16" t="inlineStr">
        <is>
          <t>上海区域</t>
        </is>
      </c>
      <c r="C216" s="16" t="inlineStr">
        <is>
          <t>CN0Q</t>
        </is>
      </c>
      <c r="D216" s="16" t="inlineStr">
        <is>
          <t>EE 苏州比斯特购物村</t>
        </is>
      </c>
      <c r="E216" s="16" t="n">
        <v>4</v>
      </c>
      <c r="F216" s="16" t="inlineStr">
        <is>
          <t>奥特莱斯</t>
        </is>
      </c>
      <c r="G216" s="16" t="inlineStr">
        <is>
          <t>EEHWF24E01</t>
        </is>
      </c>
      <c r="H216" s="16" t="n">
        <v>499</v>
      </c>
      <c r="I216" s="16" t="n">
        <v>499</v>
      </c>
      <c r="J216" s="17" t="inlineStr">
        <is>
          <t>########</t>
        </is>
      </c>
      <c r="K216" s="16" t="inlineStr">
        <is>
          <t>(59)Navy</t>
        </is>
      </c>
      <c r="L216" s="16" t="inlineStr">
        <is>
          <t>营业中</t>
        </is>
      </c>
      <c r="M216" s="16" t="inlineStr">
        <is>
          <t>EEHWF24E0159165</t>
        </is>
      </c>
      <c r="N216" s="16">
        <f>LEFT(M216,12)</f>
        <v/>
      </c>
      <c r="O216" s="16" t="inlineStr">
        <is>
          <t>EEHWF24E01, (59)Navy, (165)165</t>
        </is>
      </c>
      <c r="P216" s="16" t="n">
        <v>499</v>
      </c>
      <c r="Q216" s="16" t="n">
        <v>499</v>
      </c>
      <c r="R216" s="16" t="n"/>
      <c r="S216" s="16" t="n"/>
      <c r="T216" s="16" t="n">
        <v>3</v>
      </c>
    </row>
    <row r="217" s="103">
      <c r="A217" s="16" t="inlineStr">
        <is>
          <t>B331</t>
        </is>
      </c>
      <c r="B217" s="16" t="inlineStr">
        <is>
          <t>上海区域</t>
        </is>
      </c>
      <c r="C217" s="16" t="inlineStr">
        <is>
          <t>CN0Q</t>
        </is>
      </c>
      <c r="D217" s="16" t="inlineStr">
        <is>
          <t>EE 苏州比斯特购物村</t>
        </is>
      </c>
      <c r="E217" s="16" t="n">
        <v>4</v>
      </c>
      <c r="F217" s="16" t="inlineStr">
        <is>
          <t>奥特莱斯</t>
        </is>
      </c>
      <c r="G217" s="16" t="inlineStr">
        <is>
          <t>EEHWF24E01</t>
        </is>
      </c>
      <c r="H217" s="16" t="n">
        <v>499</v>
      </c>
      <c r="I217" s="16" t="n">
        <v>499</v>
      </c>
      <c r="J217" s="17" t="inlineStr">
        <is>
          <t>########</t>
        </is>
      </c>
      <c r="K217" s="16" t="inlineStr">
        <is>
          <t>(59)Navy</t>
        </is>
      </c>
      <c r="L217" s="16" t="inlineStr">
        <is>
          <t>营业中</t>
        </is>
      </c>
      <c r="M217" s="16" t="inlineStr">
        <is>
          <t>EEHWF24E0159170</t>
        </is>
      </c>
      <c r="N217" s="16">
        <f>LEFT(M217,12)</f>
        <v/>
      </c>
      <c r="O217" s="16" t="inlineStr">
        <is>
          <t>EEHWF24E01, (59)Navy, (170)170</t>
        </is>
      </c>
      <c r="P217" s="16" t="n">
        <v>499</v>
      </c>
      <c r="Q217" s="16" t="n">
        <v>499</v>
      </c>
      <c r="R217" s="16" t="n"/>
      <c r="S217" s="16" t="n"/>
      <c r="T217" s="16" t="n">
        <v>1</v>
      </c>
    </row>
    <row r="218" s="103">
      <c r="A218" s="16" t="inlineStr">
        <is>
          <t>B331</t>
        </is>
      </c>
      <c r="B218" s="16" t="inlineStr">
        <is>
          <t>上海区域</t>
        </is>
      </c>
      <c r="C218" s="16" t="inlineStr">
        <is>
          <t>CN0Q</t>
        </is>
      </c>
      <c r="D218" s="16" t="inlineStr">
        <is>
          <t>EE 苏州比斯特购物村</t>
        </is>
      </c>
      <c r="E218" s="16" t="n">
        <v>4</v>
      </c>
      <c r="F218" s="16" t="inlineStr">
        <is>
          <t>奥特莱斯</t>
        </is>
      </c>
      <c r="G218" s="16" t="inlineStr">
        <is>
          <t>EEHWF24E01</t>
        </is>
      </c>
      <c r="H218" s="16" t="n">
        <v>499</v>
      </c>
      <c r="I218" s="16" t="n">
        <v>499</v>
      </c>
      <c r="J218" s="17" t="inlineStr">
        <is>
          <t>########</t>
        </is>
      </c>
      <c r="K218" s="16" t="inlineStr">
        <is>
          <t>(59)Navy</t>
        </is>
      </c>
      <c r="L218" s="16" t="inlineStr">
        <is>
          <t>营业中</t>
        </is>
      </c>
      <c r="M218" s="16" t="inlineStr">
        <is>
          <t>EEHWF24E0159175</t>
        </is>
      </c>
      <c r="N218" s="16">
        <f>LEFT(M218,12)</f>
        <v/>
      </c>
      <c r="O218" s="16" t="inlineStr">
        <is>
          <t>EEHWF24E01, (59)Navy, (175)175</t>
        </is>
      </c>
      <c r="P218" s="16" t="n">
        <v>499</v>
      </c>
      <c r="Q218" s="16" t="n">
        <v>499</v>
      </c>
      <c r="R218" s="16" t="n"/>
      <c r="S218" s="16" t="n"/>
      <c r="T218" s="16" t="n">
        <v>1</v>
      </c>
    </row>
    <row r="219" s="103">
      <c r="A219" s="16" t="inlineStr">
        <is>
          <t>B331</t>
        </is>
      </c>
      <c r="B219" s="16" t="inlineStr">
        <is>
          <t>上海区域</t>
        </is>
      </c>
      <c r="C219" s="16" t="inlineStr">
        <is>
          <t>CN0Q</t>
        </is>
      </c>
      <c r="D219" s="16" t="inlineStr">
        <is>
          <t>EE 苏州比斯特购物村</t>
        </is>
      </c>
      <c r="E219" s="16" t="n">
        <v>4</v>
      </c>
      <c r="F219" s="16" t="inlineStr">
        <is>
          <t>奥特莱斯</t>
        </is>
      </c>
      <c r="G219" s="16" t="inlineStr">
        <is>
          <t>EEHWF24E02</t>
        </is>
      </c>
      <c r="H219" s="16" t="n">
        <v>499</v>
      </c>
      <c r="I219" s="16" t="n">
        <v>499</v>
      </c>
      <c r="J219" s="17" t="inlineStr">
        <is>
          <t>########</t>
        </is>
      </c>
      <c r="K219" s="16" t="inlineStr">
        <is>
          <t>(25)Pink</t>
        </is>
      </c>
      <c r="L219" s="16" t="inlineStr">
        <is>
          <t>营业中</t>
        </is>
      </c>
      <c r="M219" s="16" t="inlineStr">
        <is>
          <t>EEHWF24E0225160</t>
        </is>
      </c>
      <c r="N219" s="16">
        <f>LEFT(M219,12)</f>
        <v/>
      </c>
      <c r="O219" s="16" t="inlineStr">
        <is>
          <t>EEHWF24E02, (25)Pink, (160)160</t>
        </is>
      </c>
      <c r="P219" s="16" t="n">
        <v>499</v>
      </c>
      <c r="Q219" s="16" t="n">
        <v>499</v>
      </c>
      <c r="R219" s="16" t="n"/>
      <c r="S219" s="16" t="n"/>
      <c r="T219" s="16" t="n">
        <v>3</v>
      </c>
    </row>
    <row r="220" s="103">
      <c r="A220" s="16" t="inlineStr">
        <is>
          <t>B331</t>
        </is>
      </c>
      <c r="B220" s="16" t="inlineStr">
        <is>
          <t>上海区域</t>
        </is>
      </c>
      <c r="C220" s="16" t="inlineStr">
        <is>
          <t>CN0Q</t>
        </is>
      </c>
      <c r="D220" s="16" t="inlineStr">
        <is>
          <t>EE 苏州比斯特购物村</t>
        </is>
      </c>
      <c r="E220" s="16" t="n">
        <v>4</v>
      </c>
      <c r="F220" s="16" t="inlineStr">
        <is>
          <t>奥特莱斯</t>
        </is>
      </c>
      <c r="G220" s="16" t="inlineStr">
        <is>
          <t>EEHWF24E02</t>
        </is>
      </c>
      <c r="H220" s="16" t="n">
        <v>499</v>
      </c>
      <c r="I220" s="16" t="n">
        <v>499</v>
      </c>
      <c r="J220" s="17" t="inlineStr">
        <is>
          <t>########</t>
        </is>
      </c>
      <c r="K220" s="16" t="inlineStr">
        <is>
          <t>(25)Pink</t>
        </is>
      </c>
      <c r="L220" s="16" t="inlineStr">
        <is>
          <t>营业中</t>
        </is>
      </c>
      <c r="M220" s="16" t="inlineStr">
        <is>
          <t>EEHWF24E0225165</t>
        </is>
      </c>
      <c r="N220" s="16">
        <f>LEFT(M220,12)</f>
        <v/>
      </c>
      <c r="O220" s="16" t="inlineStr">
        <is>
          <t>EEHWF24E02, (25)Pink, (165)165</t>
        </is>
      </c>
      <c r="P220" s="16" t="n">
        <v>499</v>
      </c>
      <c r="Q220" s="16" t="n">
        <v>499</v>
      </c>
      <c r="R220" s="16" t="n"/>
      <c r="S220" s="16" t="n"/>
      <c r="T220" s="16" t="n">
        <v>2</v>
      </c>
    </row>
    <row r="221" s="103">
      <c r="A221" s="16" t="inlineStr">
        <is>
          <t>B331</t>
        </is>
      </c>
      <c r="B221" s="16" t="inlineStr">
        <is>
          <t>上海区域</t>
        </is>
      </c>
      <c r="C221" s="16" t="inlineStr">
        <is>
          <t>CN0Q</t>
        </is>
      </c>
      <c r="D221" s="16" t="inlineStr">
        <is>
          <t>EE 苏州比斯特购物村</t>
        </is>
      </c>
      <c r="E221" s="16" t="n">
        <v>4</v>
      </c>
      <c r="F221" s="16" t="inlineStr">
        <is>
          <t>奥特莱斯</t>
        </is>
      </c>
      <c r="G221" s="16" t="inlineStr">
        <is>
          <t>EEHWF24E02</t>
        </is>
      </c>
      <c r="H221" s="16" t="n">
        <v>499</v>
      </c>
      <c r="I221" s="16" t="n">
        <v>499</v>
      </c>
      <c r="J221" s="17" t="inlineStr">
        <is>
          <t>########</t>
        </is>
      </c>
      <c r="K221" s="16" t="inlineStr">
        <is>
          <t>(25)Pink</t>
        </is>
      </c>
      <c r="L221" s="16" t="inlineStr">
        <is>
          <t>营业中</t>
        </is>
      </c>
      <c r="M221" s="16" t="inlineStr">
        <is>
          <t>EEHWF24E0225170</t>
        </is>
      </c>
      <c r="N221" s="16">
        <f>LEFT(M221,12)</f>
        <v/>
      </c>
      <c r="O221" s="16" t="inlineStr">
        <is>
          <t>EEHWF24E02, (25)Pink, (170)170</t>
        </is>
      </c>
      <c r="P221" s="16" t="n">
        <v>499</v>
      </c>
      <c r="Q221" s="16" t="n">
        <v>499</v>
      </c>
      <c r="R221" s="16" t="n"/>
      <c r="S221" s="16" t="n"/>
      <c r="T221" s="16" t="n">
        <v>1</v>
      </c>
    </row>
    <row r="222" s="103">
      <c r="A222" s="16" t="inlineStr">
        <is>
          <t>B331</t>
        </is>
      </c>
      <c r="B222" s="16" t="inlineStr">
        <is>
          <t>上海区域</t>
        </is>
      </c>
      <c r="C222" s="16" t="inlineStr">
        <is>
          <t>CN0Q</t>
        </is>
      </c>
      <c r="D222" s="16" t="inlineStr">
        <is>
          <t>EE 苏州比斯特购物村</t>
        </is>
      </c>
      <c r="E222" s="16" t="n">
        <v>4</v>
      </c>
      <c r="F222" s="16" t="inlineStr">
        <is>
          <t>奥特莱斯</t>
        </is>
      </c>
      <c r="G222" s="16" t="inlineStr">
        <is>
          <t>EEHWF24E02</t>
        </is>
      </c>
      <c r="H222" s="16" t="n">
        <v>499</v>
      </c>
      <c r="I222" s="16" t="n">
        <v>499</v>
      </c>
      <c r="J222" s="17" t="inlineStr">
        <is>
          <t>########</t>
        </is>
      </c>
      <c r="K222" s="16" t="inlineStr">
        <is>
          <t>(31)L/Yellow</t>
        </is>
      </c>
      <c r="L222" s="16" t="inlineStr">
        <is>
          <t>营业中</t>
        </is>
      </c>
      <c r="M222" s="16" t="inlineStr">
        <is>
          <t>EEHWF24E0231160</t>
        </is>
      </c>
      <c r="N222" s="16">
        <f>LEFT(M222,12)</f>
        <v/>
      </c>
      <c r="O222" s="16" t="inlineStr">
        <is>
          <t>EEHWF24E02, (31)L/Yellow, (160)160</t>
        </is>
      </c>
      <c r="P222" s="16" t="n">
        <v>499</v>
      </c>
      <c r="Q222" s="16" t="n">
        <v>499</v>
      </c>
      <c r="R222" s="16" t="n"/>
      <c r="S222" s="16" t="n"/>
      <c r="T222" s="16" t="n">
        <v>2</v>
      </c>
    </row>
    <row r="223" s="103">
      <c r="A223" s="16" t="inlineStr">
        <is>
          <t>B331</t>
        </is>
      </c>
      <c r="B223" s="16" t="inlineStr">
        <is>
          <t>上海区域</t>
        </is>
      </c>
      <c r="C223" s="16" t="inlineStr">
        <is>
          <t>CN0Q</t>
        </is>
      </c>
      <c r="D223" s="16" t="inlineStr">
        <is>
          <t>EE 苏州比斯特购物村</t>
        </is>
      </c>
      <c r="E223" s="16" t="n">
        <v>4</v>
      </c>
      <c r="F223" s="16" t="inlineStr">
        <is>
          <t>奥特莱斯</t>
        </is>
      </c>
      <c r="G223" s="16" t="inlineStr">
        <is>
          <t>EEHWF24E02</t>
        </is>
      </c>
      <c r="H223" s="16" t="n">
        <v>499</v>
      </c>
      <c r="I223" s="16" t="n">
        <v>499</v>
      </c>
      <c r="J223" s="17" t="inlineStr">
        <is>
          <t>########</t>
        </is>
      </c>
      <c r="K223" s="16" t="inlineStr">
        <is>
          <t>(31)L/Yellow</t>
        </is>
      </c>
      <c r="L223" s="16" t="inlineStr">
        <is>
          <t>营业中</t>
        </is>
      </c>
      <c r="M223" s="16" t="inlineStr">
        <is>
          <t>EEHWF24E0231165</t>
        </is>
      </c>
      <c r="N223" s="16">
        <f>LEFT(M223,12)</f>
        <v/>
      </c>
      <c r="O223" s="16" t="inlineStr">
        <is>
          <t>EEHWF24E02, (31)L/Yellow, (165)165</t>
        </is>
      </c>
      <c r="P223" s="16" t="n">
        <v>499</v>
      </c>
      <c r="Q223" s="16" t="n">
        <v>499</v>
      </c>
      <c r="R223" s="16" t="n"/>
      <c r="S223" s="16" t="n"/>
      <c r="T223" s="16" t="n">
        <v>2</v>
      </c>
    </row>
    <row r="224" s="103">
      <c r="A224" s="16" t="inlineStr">
        <is>
          <t>B331</t>
        </is>
      </c>
      <c r="B224" s="16" t="inlineStr">
        <is>
          <t>上海区域</t>
        </is>
      </c>
      <c r="C224" s="16" t="inlineStr">
        <is>
          <t>CN0Q</t>
        </is>
      </c>
      <c r="D224" s="16" t="inlineStr">
        <is>
          <t>EE 苏州比斯特购物村</t>
        </is>
      </c>
      <c r="E224" s="16" t="n">
        <v>4</v>
      </c>
      <c r="F224" s="16" t="inlineStr">
        <is>
          <t>奥特莱斯</t>
        </is>
      </c>
      <c r="G224" s="16" t="inlineStr">
        <is>
          <t>EEHWF24E02</t>
        </is>
      </c>
      <c r="H224" s="16" t="n">
        <v>499</v>
      </c>
      <c r="I224" s="16" t="n">
        <v>499</v>
      </c>
      <c r="J224" s="17" t="inlineStr">
        <is>
          <t>########</t>
        </is>
      </c>
      <c r="K224" s="16" t="inlineStr">
        <is>
          <t>(31)L/Yellow</t>
        </is>
      </c>
      <c r="L224" s="16" t="inlineStr">
        <is>
          <t>营业中</t>
        </is>
      </c>
      <c r="M224" s="16" t="inlineStr">
        <is>
          <t>EEHWF24E0231170</t>
        </is>
      </c>
      <c r="N224" s="16">
        <f>LEFT(M224,12)</f>
        <v/>
      </c>
      <c r="O224" s="16" t="inlineStr">
        <is>
          <t>EEHWF24E02, (31)L/Yellow, (170)170</t>
        </is>
      </c>
      <c r="P224" s="16" t="n">
        <v>499</v>
      </c>
      <c r="Q224" s="16" t="n">
        <v>499</v>
      </c>
      <c r="R224" s="16" t="n"/>
      <c r="S224" s="16" t="n"/>
      <c r="T224" s="16" t="n">
        <v>1</v>
      </c>
    </row>
    <row r="225" s="103">
      <c r="A225" s="16" t="inlineStr">
        <is>
          <t>B331</t>
        </is>
      </c>
      <c r="B225" s="16" t="inlineStr">
        <is>
          <t>上海区域</t>
        </is>
      </c>
      <c r="C225" s="16" t="inlineStr">
        <is>
          <t>CN0Q</t>
        </is>
      </c>
      <c r="D225" s="16" t="inlineStr">
        <is>
          <t>EE 苏州比斯特购物村</t>
        </is>
      </c>
      <c r="E225" s="16" t="n">
        <v>4</v>
      </c>
      <c r="F225" s="16" t="inlineStr">
        <is>
          <t>奥特莱斯</t>
        </is>
      </c>
      <c r="G225" s="16" t="inlineStr">
        <is>
          <t>EEHWF24E02</t>
        </is>
      </c>
      <c r="H225" s="16" t="n">
        <v>499</v>
      </c>
      <c r="I225" s="16" t="n">
        <v>499</v>
      </c>
      <c r="J225" s="17" t="inlineStr">
        <is>
          <t>########</t>
        </is>
      </c>
      <c r="K225" s="16" t="inlineStr">
        <is>
          <t>(64)Cream</t>
        </is>
      </c>
      <c r="L225" s="16" t="inlineStr">
        <is>
          <t>营业中</t>
        </is>
      </c>
      <c r="M225" s="16" t="inlineStr">
        <is>
          <t>EEHWF24E0264160</t>
        </is>
      </c>
      <c r="N225" s="16">
        <f>LEFT(M225,12)</f>
        <v/>
      </c>
      <c r="O225" s="16" t="inlineStr">
        <is>
          <t>EEHWF24E02, (64)Cream, (160)160</t>
        </is>
      </c>
      <c r="P225" s="16" t="n">
        <v>499</v>
      </c>
      <c r="Q225" s="16" t="n">
        <v>499</v>
      </c>
      <c r="R225" s="16" t="n"/>
      <c r="S225" s="16" t="n"/>
      <c r="T225" s="16" t="n">
        <v>4</v>
      </c>
    </row>
    <row r="226" s="103">
      <c r="A226" s="16" t="inlineStr">
        <is>
          <t>B331</t>
        </is>
      </c>
      <c r="B226" s="16" t="inlineStr">
        <is>
          <t>上海区域</t>
        </is>
      </c>
      <c r="C226" s="16" t="inlineStr">
        <is>
          <t>CN0Q</t>
        </is>
      </c>
      <c r="D226" s="16" t="inlineStr">
        <is>
          <t>EE 苏州比斯特购物村</t>
        </is>
      </c>
      <c r="E226" s="16" t="n">
        <v>4</v>
      </c>
      <c r="F226" s="16" t="inlineStr">
        <is>
          <t>奥特莱斯</t>
        </is>
      </c>
      <c r="G226" s="16" t="inlineStr">
        <is>
          <t>EEHWF24E02</t>
        </is>
      </c>
      <c r="H226" s="16" t="n">
        <v>499</v>
      </c>
      <c r="I226" s="16" t="n">
        <v>499</v>
      </c>
      <c r="J226" s="17" t="inlineStr">
        <is>
          <t>########</t>
        </is>
      </c>
      <c r="K226" s="16" t="inlineStr">
        <is>
          <t>(64)Cream</t>
        </is>
      </c>
      <c r="L226" s="16" t="inlineStr">
        <is>
          <t>营业中</t>
        </is>
      </c>
      <c r="M226" s="16" t="inlineStr">
        <is>
          <t>EEHWF24E0264165</t>
        </is>
      </c>
      <c r="N226" s="16">
        <f>LEFT(M226,12)</f>
        <v/>
      </c>
      <c r="O226" s="16" t="inlineStr">
        <is>
          <t>EEHWF24E02, (64)Cream, (165)165</t>
        </is>
      </c>
      <c r="P226" s="16" t="n">
        <v>499</v>
      </c>
      <c r="Q226" s="16" t="n">
        <v>499</v>
      </c>
      <c r="R226" s="16" t="n"/>
      <c r="S226" s="16" t="n"/>
      <c r="T226" s="16" t="n">
        <v>3</v>
      </c>
    </row>
    <row r="227" s="103">
      <c r="A227" s="16" t="inlineStr">
        <is>
          <t>B331</t>
        </is>
      </c>
      <c r="B227" s="16" t="inlineStr">
        <is>
          <t>上海区域</t>
        </is>
      </c>
      <c r="C227" s="16" t="inlineStr">
        <is>
          <t>CN0Q</t>
        </is>
      </c>
      <c r="D227" s="16" t="inlineStr">
        <is>
          <t>EE 苏州比斯特购物村</t>
        </is>
      </c>
      <c r="E227" s="16" t="n">
        <v>4</v>
      </c>
      <c r="F227" s="16" t="inlineStr">
        <is>
          <t>奥特莱斯</t>
        </is>
      </c>
      <c r="G227" s="16" t="inlineStr">
        <is>
          <t>EEHWF24E02</t>
        </is>
      </c>
      <c r="H227" s="16" t="n">
        <v>499</v>
      </c>
      <c r="I227" s="16" t="n">
        <v>499</v>
      </c>
      <c r="J227" s="17" t="inlineStr">
        <is>
          <t>########</t>
        </is>
      </c>
      <c r="K227" s="16" t="inlineStr">
        <is>
          <t>(64)Cream</t>
        </is>
      </c>
      <c r="L227" s="16" t="inlineStr">
        <is>
          <t>营业中</t>
        </is>
      </c>
      <c r="M227" s="16" t="inlineStr">
        <is>
          <t>EEHWF24E0264170</t>
        </is>
      </c>
      <c r="N227" s="16">
        <f>LEFT(M227,12)</f>
        <v/>
      </c>
      <c r="O227" s="16" t="inlineStr">
        <is>
          <t>EEHWF24E02, (64)Cream, (170)170</t>
        </is>
      </c>
      <c r="P227" s="16" t="n">
        <v>499</v>
      </c>
      <c r="Q227" s="16" t="n">
        <v>499</v>
      </c>
      <c r="R227" s="16" t="n"/>
      <c r="S227" s="16" t="n"/>
      <c r="T227" s="16" t="n">
        <v>2</v>
      </c>
    </row>
    <row r="228" s="103">
      <c r="A228" s="16" t="inlineStr">
        <is>
          <t>B331</t>
        </is>
      </c>
      <c r="B228" s="16" t="inlineStr">
        <is>
          <t>上海区域</t>
        </is>
      </c>
      <c r="C228" s="16" t="inlineStr">
        <is>
          <t>CN0Q</t>
        </is>
      </c>
      <c r="D228" s="16" t="inlineStr">
        <is>
          <t>EE 苏州比斯特购物村</t>
        </is>
      </c>
      <c r="E228" s="16" t="n">
        <v>4</v>
      </c>
      <c r="F228" s="16" t="inlineStr">
        <is>
          <t>奥特莱斯</t>
        </is>
      </c>
      <c r="G228" s="16" t="inlineStr">
        <is>
          <t>EEHWF24E02</t>
        </is>
      </c>
      <c r="H228" s="16" t="n">
        <v>499</v>
      </c>
      <c r="I228" s="16" t="n">
        <v>499</v>
      </c>
      <c r="J228" s="17" t="inlineStr">
        <is>
          <t>########</t>
        </is>
      </c>
      <c r="K228" s="16" t="inlineStr">
        <is>
          <t>(84)Mint</t>
        </is>
      </c>
      <c r="L228" s="16" t="inlineStr">
        <is>
          <t>营业中</t>
        </is>
      </c>
      <c r="M228" s="16" t="inlineStr">
        <is>
          <t>EEHWF24E0284160</t>
        </is>
      </c>
      <c r="N228" s="16">
        <f>LEFT(M228,12)</f>
        <v/>
      </c>
      <c r="O228" s="16" t="inlineStr">
        <is>
          <t>EEHWF24E02, (84)Mint, (160)160</t>
        </is>
      </c>
      <c r="P228" s="16" t="n">
        <v>499</v>
      </c>
      <c r="Q228" s="16" t="n">
        <v>499</v>
      </c>
      <c r="R228" s="16" t="n"/>
      <c r="S228" s="16" t="n"/>
      <c r="T228" s="16" t="n">
        <v>1</v>
      </c>
    </row>
    <row r="229" s="103">
      <c r="A229" s="16" t="inlineStr">
        <is>
          <t>B331</t>
        </is>
      </c>
      <c r="B229" s="16" t="inlineStr">
        <is>
          <t>上海区域</t>
        </is>
      </c>
      <c r="C229" s="16" t="inlineStr">
        <is>
          <t>CN0Q</t>
        </is>
      </c>
      <c r="D229" s="16" t="inlineStr">
        <is>
          <t>EE 苏州比斯特购物村</t>
        </is>
      </c>
      <c r="E229" s="16" t="n">
        <v>4</v>
      </c>
      <c r="F229" s="16" t="inlineStr">
        <is>
          <t>奥特莱斯</t>
        </is>
      </c>
      <c r="G229" s="16" t="inlineStr">
        <is>
          <t>EEHWF24E02</t>
        </is>
      </c>
      <c r="H229" s="16" t="n">
        <v>499</v>
      </c>
      <c r="I229" s="16" t="n">
        <v>499</v>
      </c>
      <c r="J229" s="17" t="inlineStr">
        <is>
          <t>########</t>
        </is>
      </c>
      <c r="K229" s="16" t="inlineStr">
        <is>
          <t>(84)Mint</t>
        </is>
      </c>
      <c r="L229" s="16" t="inlineStr">
        <is>
          <t>营业中</t>
        </is>
      </c>
      <c r="M229" s="16" t="inlineStr">
        <is>
          <t>EEHWF24E0284165</t>
        </is>
      </c>
      <c r="N229" s="16">
        <f>LEFT(M229,12)</f>
        <v/>
      </c>
      <c r="O229" s="16" t="inlineStr">
        <is>
          <t>EEHWF24E02, (84)Mint, (165)165</t>
        </is>
      </c>
      <c r="P229" s="16" t="n">
        <v>499</v>
      </c>
      <c r="Q229" s="16" t="n">
        <v>499</v>
      </c>
      <c r="R229" s="16" t="n"/>
      <c r="S229" s="16" t="n"/>
      <c r="T229" s="16" t="n">
        <v>3</v>
      </c>
    </row>
    <row r="230" s="103">
      <c r="A230" s="16" t="inlineStr">
        <is>
          <t>B331</t>
        </is>
      </c>
      <c r="B230" s="16" t="inlineStr">
        <is>
          <t>上海区域</t>
        </is>
      </c>
      <c r="C230" s="16" t="inlineStr">
        <is>
          <t>CN0Q</t>
        </is>
      </c>
      <c r="D230" s="16" t="inlineStr">
        <is>
          <t>EE 苏州比斯特购物村</t>
        </is>
      </c>
      <c r="E230" s="16" t="n">
        <v>4</v>
      </c>
      <c r="F230" s="16" t="inlineStr">
        <is>
          <t>奥特莱斯</t>
        </is>
      </c>
      <c r="G230" s="16" t="inlineStr">
        <is>
          <t>EEHWF25M01</t>
        </is>
      </c>
      <c r="H230" s="16" t="n">
        <v>399</v>
      </c>
      <c r="I230" s="16" t="n">
        <v>499</v>
      </c>
      <c r="J230" s="17" t="inlineStr">
        <is>
          <t>########</t>
        </is>
      </c>
      <c r="K230" s="16" t="inlineStr">
        <is>
          <t>(26)L/Pink</t>
        </is>
      </c>
      <c r="L230" s="16" t="inlineStr">
        <is>
          <t>营业中</t>
        </is>
      </c>
      <c r="M230" s="16" t="inlineStr">
        <is>
          <t>EEHWF25M0126160</t>
        </is>
      </c>
      <c r="N230" s="16">
        <f>LEFT(M230,12)</f>
        <v/>
      </c>
      <c r="O230" s="16" t="inlineStr">
        <is>
          <t>EEHWF25M01, (26)L/Pink, (160)160</t>
        </is>
      </c>
      <c r="P230" s="16" t="n">
        <v>399</v>
      </c>
      <c r="Q230" s="16" t="n">
        <v>499</v>
      </c>
      <c r="R230" s="16" t="n"/>
      <c r="S230" s="16" t="n"/>
      <c r="T230" s="16" t="n">
        <v>1</v>
      </c>
    </row>
    <row r="231" s="103">
      <c r="A231" s="16" t="inlineStr">
        <is>
          <t>B331</t>
        </is>
      </c>
      <c r="B231" s="16" t="inlineStr">
        <is>
          <t>上海区域</t>
        </is>
      </c>
      <c r="C231" s="16" t="inlineStr">
        <is>
          <t>CN0Q</t>
        </is>
      </c>
      <c r="D231" s="16" t="inlineStr">
        <is>
          <t>EE 苏州比斯特购物村</t>
        </is>
      </c>
      <c r="E231" s="16" t="n">
        <v>4</v>
      </c>
      <c r="F231" s="16" t="inlineStr">
        <is>
          <t>奥特莱斯</t>
        </is>
      </c>
      <c r="G231" s="16" t="inlineStr">
        <is>
          <t>EEHWF25M01</t>
        </is>
      </c>
      <c r="H231" s="16" t="n">
        <v>399</v>
      </c>
      <c r="I231" s="16" t="n">
        <v>499</v>
      </c>
      <c r="J231" s="17" t="inlineStr">
        <is>
          <t>########</t>
        </is>
      </c>
      <c r="K231" s="16" t="inlineStr">
        <is>
          <t>(26)L/Pink</t>
        </is>
      </c>
      <c r="L231" s="16" t="inlineStr">
        <is>
          <t>营业中</t>
        </is>
      </c>
      <c r="M231" s="16" t="inlineStr">
        <is>
          <t>EEHWF25M0126165</t>
        </is>
      </c>
      <c r="N231" s="16">
        <f>LEFT(M231,12)</f>
        <v/>
      </c>
      <c r="O231" s="16" t="inlineStr">
        <is>
          <t>EEHWF25M01, (26)L/Pink, (165)165</t>
        </is>
      </c>
      <c r="P231" s="16" t="n">
        <v>399</v>
      </c>
      <c r="Q231" s="16" t="n">
        <v>499</v>
      </c>
      <c r="R231" s="16" t="n"/>
      <c r="S231" s="16" t="n"/>
      <c r="T231" s="16" t="n">
        <v>3</v>
      </c>
    </row>
    <row r="232" s="103">
      <c r="A232" s="16" t="inlineStr">
        <is>
          <t>B331</t>
        </is>
      </c>
      <c r="B232" s="16" t="inlineStr">
        <is>
          <t>上海区域</t>
        </is>
      </c>
      <c r="C232" s="16" t="inlineStr">
        <is>
          <t>CN0Q</t>
        </is>
      </c>
      <c r="D232" s="16" t="inlineStr">
        <is>
          <t>EE 苏州比斯特购物村</t>
        </is>
      </c>
      <c r="E232" s="16" t="n">
        <v>4</v>
      </c>
      <c r="F232" s="16" t="inlineStr">
        <is>
          <t>奥特莱斯</t>
        </is>
      </c>
      <c r="G232" s="16" t="inlineStr">
        <is>
          <t>EEHWF25M01</t>
        </is>
      </c>
      <c r="H232" s="16" t="n">
        <v>399</v>
      </c>
      <c r="I232" s="16" t="n">
        <v>499</v>
      </c>
      <c r="J232" s="17" t="inlineStr">
        <is>
          <t>########</t>
        </is>
      </c>
      <c r="K232" s="16" t="inlineStr">
        <is>
          <t>(26)L/Pink</t>
        </is>
      </c>
      <c r="L232" s="16" t="inlineStr">
        <is>
          <t>营业中</t>
        </is>
      </c>
      <c r="M232" s="16" t="inlineStr">
        <is>
          <t>EEHWF25M0126170</t>
        </is>
      </c>
      <c r="N232" s="16">
        <f>LEFT(M232,12)</f>
        <v/>
      </c>
      <c r="O232" s="16" t="inlineStr">
        <is>
          <t>EEHWF25M01, (26)L/Pink, (170)170</t>
        </is>
      </c>
      <c r="P232" s="16" t="n">
        <v>399</v>
      </c>
      <c r="Q232" s="16" t="n">
        <v>499</v>
      </c>
      <c r="R232" s="16" t="n"/>
      <c r="S232" s="16" t="n"/>
      <c r="T232" s="16" t="n">
        <v>2</v>
      </c>
    </row>
    <row r="233" s="103">
      <c r="A233" s="16" t="inlineStr">
        <is>
          <t>B331</t>
        </is>
      </c>
      <c r="B233" s="16" t="inlineStr">
        <is>
          <t>上海区域</t>
        </is>
      </c>
      <c r="C233" s="16" t="inlineStr">
        <is>
          <t>CN0Q</t>
        </is>
      </c>
      <c r="D233" s="16" t="inlineStr">
        <is>
          <t>EE 苏州比斯特购物村</t>
        </is>
      </c>
      <c r="E233" s="16" t="n">
        <v>4</v>
      </c>
      <c r="F233" s="16" t="inlineStr">
        <is>
          <t>奥特莱斯</t>
        </is>
      </c>
      <c r="G233" s="16" t="inlineStr">
        <is>
          <t>EEHWF25M01</t>
        </is>
      </c>
      <c r="H233" s="16" t="n">
        <v>399</v>
      </c>
      <c r="I233" s="16" t="n">
        <v>499</v>
      </c>
      <c r="J233" s="17" t="inlineStr">
        <is>
          <t>########</t>
        </is>
      </c>
      <c r="K233" s="16" t="inlineStr">
        <is>
          <t>(39)Ivory</t>
        </is>
      </c>
      <c r="L233" s="16" t="inlineStr">
        <is>
          <t>营业中</t>
        </is>
      </c>
      <c r="M233" s="16" t="inlineStr">
        <is>
          <t>EEHWF25M0139160</t>
        </is>
      </c>
      <c r="N233" s="16">
        <f>LEFT(M233,12)</f>
        <v/>
      </c>
      <c r="O233" s="16" t="inlineStr">
        <is>
          <t>EEHWF25M01, (39)Ivory, (160)160</t>
        </is>
      </c>
      <c r="P233" s="16" t="n">
        <v>399</v>
      </c>
      <c r="Q233" s="16" t="n">
        <v>499</v>
      </c>
      <c r="R233" s="16" t="n"/>
      <c r="S233" s="16" t="n"/>
      <c r="T233" s="16" t="n">
        <v>1</v>
      </c>
    </row>
    <row r="234" s="103">
      <c r="A234" s="16" t="inlineStr">
        <is>
          <t>B331</t>
        </is>
      </c>
      <c r="B234" s="16" t="inlineStr">
        <is>
          <t>上海区域</t>
        </is>
      </c>
      <c r="C234" s="16" t="inlineStr">
        <is>
          <t>CN0Q</t>
        </is>
      </c>
      <c r="D234" s="16" t="inlineStr">
        <is>
          <t>EE 苏州比斯特购物村</t>
        </is>
      </c>
      <c r="E234" s="16" t="n">
        <v>4</v>
      </c>
      <c r="F234" s="16" t="inlineStr">
        <is>
          <t>奥特莱斯</t>
        </is>
      </c>
      <c r="G234" s="16" t="inlineStr">
        <is>
          <t>EEHWF25M01</t>
        </is>
      </c>
      <c r="H234" s="16" t="n">
        <v>399</v>
      </c>
      <c r="I234" s="16" t="n">
        <v>499</v>
      </c>
      <c r="J234" s="17" t="inlineStr">
        <is>
          <t>########</t>
        </is>
      </c>
      <c r="K234" s="16" t="inlineStr">
        <is>
          <t>(39)Ivory</t>
        </is>
      </c>
      <c r="L234" s="16" t="inlineStr">
        <is>
          <t>营业中</t>
        </is>
      </c>
      <c r="M234" s="16" t="inlineStr">
        <is>
          <t>EEHWF25M0139165</t>
        </is>
      </c>
      <c r="N234" s="16">
        <f>LEFT(M234,12)</f>
        <v/>
      </c>
      <c r="O234" s="16" t="inlineStr">
        <is>
          <t>EEHWF25M01, (39)Ivory, (165)165</t>
        </is>
      </c>
      <c r="P234" s="16" t="n">
        <v>399</v>
      </c>
      <c r="Q234" s="16" t="n">
        <v>499</v>
      </c>
      <c r="R234" s="16" t="n"/>
      <c r="S234" s="16" t="n"/>
      <c r="T234" s="16" t="n">
        <v>2</v>
      </c>
    </row>
    <row r="235" s="103">
      <c r="A235" s="16" t="inlineStr">
        <is>
          <t>B331</t>
        </is>
      </c>
      <c r="B235" s="16" t="inlineStr">
        <is>
          <t>上海区域</t>
        </is>
      </c>
      <c r="C235" s="16" t="inlineStr">
        <is>
          <t>CN0Q</t>
        </is>
      </c>
      <c r="D235" s="16" t="inlineStr">
        <is>
          <t>EE 苏州比斯特购物村</t>
        </is>
      </c>
      <c r="E235" s="16" t="n">
        <v>4</v>
      </c>
      <c r="F235" s="16" t="inlineStr">
        <is>
          <t>奥特莱斯</t>
        </is>
      </c>
      <c r="G235" s="16" t="inlineStr">
        <is>
          <t>EEHWF25M01</t>
        </is>
      </c>
      <c r="H235" s="16" t="n">
        <v>399</v>
      </c>
      <c r="I235" s="16" t="n">
        <v>499</v>
      </c>
      <c r="J235" s="17" t="inlineStr">
        <is>
          <t>########</t>
        </is>
      </c>
      <c r="K235" s="16" t="inlineStr">
        <is>
          <t>(39)Ivory</t>
        </is>
      </c>
      <c r="L235" s="16" t="inlineStr">
        <is>
          <t>营业中</t>
        </is>
      </c>
      <c r="M235" s="16" t="inlineStr">
        <is>
          <t>EEHWF25M0139170</t>
        </is>
      </c>
      <c r="N235" s="16">
        <f>LEFT(M235,12)</f>
        <v/>
      </c>
      <c r="O235" s="16" t="inlineStr">
        <is>
          <t>EEHWF25M01, (39)Ivory, (170)170</t>
        </is>
      </c>
      <c r="P235" s="16" t="n">
        <v>399</v>
      </c>
      <c r="Q235" s="16" t="n">
        <v>499</v>
      </c>
      <c r="R235" s="16" t="n"/>
      <c r="S235" s="16" t="n"/>
      <c r="T235" s="16" t="n">
        <v>4</v>
      </c>
    </row>
    <row r="236" s="103">
      <c r="A236" s="16" t="inlineStr">
        <is>
          <t>B331</t>
        </is>
      </c>
      <c r="B236" s="16" t="inlineStr">
        <is>
          <t>上海区域</t>
        </is>
      </c>
      <c r="C236" s="16" t="inlineStr">
        <is>
          <t>CN0Q</t>
        </is>
      </c>
      <c r="D236" s="16" t="inlineStr">
        <is>
          <t>EE 苏州比斯特购物村</t>
        </is>
      </c>
      <c r="E236" s="16" t="n">
        <v>4</v>
      </c>
      <c r="F236" s="16" t="inlineStr">
        <is>
          <t>奥特莱斯</t>
        </is>
      </c>
      <c r="G236" s="16" t="inlineStr">
        <is>
          <t>EEHWF25M01</t>
        </is>
      </c>
      <c r="H236" s="16" t="n">
        <v>399</v>
      </c>
      <c r="I236" s="16" t="n">
        <v>499</v>
      </c>
      <c r="J236" s="17" t="inlineStr">
        <is>
          <t>########</t>
        </is>
      </c>
      <c r="K236" s="16" t="inlineStr">
        <is>
          <t>(39)Ivory</t>
        </is>
      </c>
      <c r="L236" s="16" t="inlineStr">
        <is>
          <t>营业中</t>
        </is>
      </c>
      <c r="M236" s="16" t="inlineStr">
        <is>
          <t>EEHWF25M0139175</t>
        </is>
      </c>
      <c r="N236" s="16">
        <f>LEFT(M236,12)</f>
        <v/>
      </c>
      <c r="O236" s="16" t="inlineStr">
        <is>
          <t>EEHWF25M01, (39)Ivory, (175)175</t>
        </is>
      </c>
      <c r="P236" s="16" t="n">
        <v>399</v>
      </c>
      <c r="Q236" s="16" t="n">
        <v>499</v>
      </c>
      <c r="R236" s="16" t="n"/>
      <c r="S236" s="16" t="n"/>
      <c r="T236" s="16" t="n">
        <v>1</v>
      </c>
    </row>
    <row r="237" s="103">
      <c r="A237" s="16" t="inlineStr">
        <is>
          <t>B331</t>
        </is>
      </c>
      <c r="B237" s="16" t="inlineStr">
        <is>
          <t>上海区域</t>
        </is>
      </c>
      <c r="C237" s="16" t="inlineStr">
        <is>
          <t>CN0Q</t>
        </is>
      </c>
      <c r="D237" s="16" t="inlineStr">
        <is>
          <t>EE 苏州比斯特购物村</t>
        </is>
      </c>
      <c r="E237" s="16" t="n">
        <v>4</v>
      </c>
      <c r="F237" s="16" t="inlineStr">
        <is>
          <t>奥特莱斯</t>
        </is>
      </c>
      <c r="G237" s="16" t="inlineStr">
        <is>
          <t>EEHWG23B1G</t>
        </is>
      </c>
      <c r="H237" s="16" t="n">
        <v>699</v>
      </c>
      <c r="I237" s="16" t="n">
        <v>699</v>
      </c>
      <c r="J237" s="17" t="n">
        <v>46062</v>
      </c>
      <c r="K237" s="16" t="inlineStr">
        <is>
          <t>(59)Navy</t>
        </is>
      </c>
      <c r="L237" s="16" t="inlineStr">
        <is>
          <t>营业中</t>
        </is>
      </c>
      <c r="M237" s="16" t="inlineStr">
        <is>
          <t>EEHWG23B1G59170</t>
        </is>
      </c>
      <c r="N237" s="16">
        <f>LEFT(M237,12)</f>
        <v/>
      </c>
      <c r="O237" s="16" t="inlineStr">
        <is>
          <t>EEHWG23B1G, (59)Navy, (170)170</t>
        </is>
      </c>
      <c r="P237" s="16" t="n">
        <v>699</v>
      </c>
      <c r="Q237" s="16" t="n">
        <v>699</v>
      </c>
      <c r="R237" s="16" t="n">
        <v>1</v>
      </c>
      <c r="S237" s="16" t="n"/>
      <c r="T237" s="16" t="n">
        <v>2</v>
      </c>
    </row>
    <row r="238" s="103">
      <c r="A238" s="16" t="inlineStr">
        <is>
          <t>B331</t>
        </is>
      </c>
      <c r="B238" s="16" t="inlineStr">
        <is>
          <t>上海区域</t>
        </is>
      </c>
      <c r="C238" s="16" t="inlineStr">
        <is>
          <t>CN0Q</t>
        </is>
      </c>
      <c r="D238" s="16" t="inlineStr">
        <is>
          <t>EE 苏州比斯特购物村</t>
        </is>
      </c>
      <c r="E238" s="16" t="n">
        <v>4</v>
      </c>
      <c r="F238" s="16" t="inlineStr">
        <is>
          <t>奥特莱斯</t>
        </is>
      </c>
      <c r="G238" s="16" t="inlineStr">
        <is>
          <t>EEHWG23B1G</t>
        </is>
      </c>
      <c r="H238" s="16" t="n">
        <v>699</v>
      </c>
      <c r="I238" s="16" t="n">
        <v>699</v>
      </c>
      <c r="J238" s="17" t="n">
        <v>46062</v>
      </c>
      <c r="K238" s="16" t="inlineStr">
        <is>
          <t>(59)Navy</t>
        </is>
      </c>
      <c r="L238" s="16" t="inlineStr">
        <is>
          <t>营业中</t>
        </is>
      </c>
      <c r="M238" s="16" t="inlineStr">
        <is>
          <t>EEHWG23B1G59175</t>
        </is>
      </c>
      <c r="N238" s="16">
        <f>LEFT(M238,12)</f>
        <v/>
      </c>
      <c r="O238" s="16" t="inlineStr">
        <is>
          <t>EEHWG23B1G, (59)Navy, (175)175</t>
        </is>
      </c>
      <c r="P238" s="16" t="n">
        <v>699</v>
      </c>
      <c r="Q238" s="16" t="n">
        <v>699</v>
      </c>
      <c r="R238" s="16" t="n">
        <v>2</v>
      </c>
      <c r="S238" s="16" t="n">
        <v>447</v>
      </c>
      <c r="T238" s="16" t="n">
        <v>1</v>
      </c>
    </row>
    <row r="239" s="103">
      <c r="A239" s="16" t="inlineStr">
        <is>
          <t>B331</t>
        </is>
      </c>
      <c r="B239" s="16" t="inlineStr">
        <is>
          <t>上海区域</t>
        </is>
      </c>
      <c r="C239" s="16" t="inlineStr">
        <is>
          <t>CN0Q</t>
        </is>
      </c>
      <c r="D239" s="16" t="inlineStr">
        <is>
          <t>EE 苏州比斯特购物村</t>
        </is>
      </c>
      <c r="E239" s="16" t="n">
        <v>4</v>
      </c>
      <c r="F239" s="16" t="inlineStr">
        <is>
          <t>奥特莱斯</t>
        </is>
      </c>
      <c r="G239" s="16" t="inlineStr">
        <is>
          <t>EEHWG23B1G</t>
        </is>
      </c>
      <c r="H239" s="16" t="n">
        <v>699</v>
      </c>
      <c r="I239" s="16" t="n">
        <v>699</v>
      </c>
      <c r="J239" s="17" t="n">
        <v>46062</v>
      </c>
      <c r="K239" s="16" t="inlineStr">
        <is>
          <t>(59)Navy</t>
        </is>
      </c>
      <c r="L239" s="16" t="inlineStr">
        <is>
          <t>营业中</t>
        </is>
      </c>
      <c r="M239" s="16" t="inlineStr">
        <is>
          <t>EEHWG23B1G59180</t>
        </is>
      </c>
      <c r="N239" s="16">
        <f>LEFT(M239,12)</f>
        <v/>
      </c>
      <c r="O239" s="16" t="inlineStr">
        <is>
          <t>EEHWG23B1G, (59)Navy, (180)180</t>
        </is>
      </c>
      <c r="P239" s="16" t="n">
        <v>699</v>
      </c>
      <c r="Q239" s="16" t="n">
        <v>699</v>
      </c>
      <c r="R239" s="16" t="n"/>
      <c r="S239" s="16" t="n"/>
      <c r="T239" s="16" t="n">
        <v>2</v>
      </c>
    </row>
    <row r="240" s="103">
      <c r="A240" s="16" t="inlineStr">
        <is>
          <t>B331</t>
        </is>
      </c>
      <c r="B240" s="16" t="inlineStr">
        <is>
          <t>上海区域</t>
        </is>
      </c>
      <c r="C240" s="16" t="inlineStr">
        <is>
          <t>CN0Q</t>
        </is>
      </c>
      <c r="D240" s="16" t="inlineStr">
        <is>
          <t>EE 苏州比斯特购物村</t>
        </is>
      </c>
      <c r="E240" s="16" t="n">
        <v>4</v>
      </c>
      <c r="F240" s="16" t="inlineStr">
        <is>
          <t>奥特莱斯</t>
        </is>
      </c>
      <c r="G240" s="16" t="inlineStr">
        <is>
          <t>EEHWG23B1G</t>
        </is>
      </c>
      <c r="H240" s="16" t="n">
        <v>699</v>
      </c>
      <c r="I240" s="16" t="n">
        <v>699</v>
      </c>
      <c r="J240" s="17" t="n">
        <v>46062</v>
      </c>
      <c r="K240" s="16" t="inlineStr">
        <is>
          <t>(59)Navy</t>
        </is>
      </c>
      <c r="L240" s="16" t="inlineStr">
        <is>
          <t>营业中</t>
        </is>
      </c>
      <c r="M240" s="16" t="inlineStr">
        <is>
          <t>EEHWG23B1G59185</t>
        </is>
      </c>
      <c r="N240" s="16">
        <f>LEFT(M240,12)</f>
        <v/>
      </c>
      <c r="O240" s="16" t="inlineStr">
        <is>
          <t>EEHWG23B1G, (59)Navy, (185)185</t>
        </is>
      </c>
      <c r="P240" s="16" t="n">
        <v>699</v>
      </c>
      <c r="Q240" s="16" t="n">
        <v>699</v>
      </c>
      <c r="R240" s="16" t="n"/>
      <c r="S240" s="16" t="n"/>
      <c r="T240" s="16" t="n">
        <v>1</v>
      </c>
    </row>
    <row r="241" s="103">
      <c r="A241" s="16" t="inlineStr">
        <is>
          <t>B331</t>
        </is>
      </c>
      <c r="B241" s="16" t="inlineStr">
        <is>
          <t>上海区域</t>
        </is>
      </c>
      <c r="C241" s="16" t="inlineStr">
        <is>
          <t>CN0Q</t>
        </is>
      </c>
      <c r="D241" s="16" t="inlineStr">
        <is>
          <t>EE 苏州比斯特购物村</t>
        </is>
      </c>
      <c r="E241" s="16" t="n">
        <v>4</v>
      </c>
      <c r="F241" s="16" t="inlineStr">
        <is>
          <t>奥特莱斯</t>
        </is>
      </c>
      <c r="G241" s="16" t="inlineStr">
        <is>
          <t>EEHWG23E1G</t>
        </is>
      </c>
      <c r="H241" s="16" t="n">
        <v>599</v>
      </c>
      <c r="I241" s="16" t="n">
        <v>599</v>
      </c>
      <c r="J241" s="17" t="n">
        <v>46059</v>
      </c>
      <c r="K241" s="16" t="inlineStr">
        <is>
          <t>(10)White</t>
        </is>
      </c>
      <c r="L241" s="16" t="inlineStr">
        <is>
          <t>营业中</t>
        </is>
      </c>
      <c r="M241" s="16" t="inlineStr">
        <is>
          <t>EEHWG23E1G10170</t>
        </is>
      </c>
      <c r="N241" s="16">
        <f>LEFT(M241,12)</f>
        <v/>
      </c>
      <c r="O241" s="16" t="inlineStr">
        <is>
          <t>EEHWG23E1G, (10)White, (170)170</t>
        </is>
      </c>
      <c r="P241" s="16" t="n">
        <v>599</v>
      </c>
      <c r="Q241" s="16" t="n">
        <v>599</v>
      </c>
      <c r="R241" s="16" t="n">
        <v>1</v>
      </c>
      <c r="S241" s="16" t="n">
        <v>379</v>
      </c>
      <c r="T241" s="16" t="n">
        <v>1</v>
      </c>
    </row>
    <row r="242" s="103">
      <c r="A242" s="16" t="inlineStr">
        <is>
          <t>B331</t>
        </is>
      </c>
      <c r="B242" s="16" t="inlineStr">
        <is>
          <t>上海区域</t>
        </is>
      </c>
      <c r="C242" s="16" t="inlineStr">
        <is>
          <t>CN0Q</t>
        </is>
      </c>
      <c r="D242" s="16" t="inlineStr">
        <is>
          <t>EE 苏州比斯特购物村</t>
        </is>
      </c>
      <c r="E242" s="16" t="n">
        <v>4</v>
      </c>
      <c r="F242" s="16" t="inlineStr">
        <is>
          <t>奥特莱斯</t>
        </is>
      </c>
      <c r="G242" s="16" t="inlineStr">
        <is>
          <t>EEHWG23E1G</t>
        </is>
      </c>
      <c r="H242" s="16" t="n">
        <v>599</v>
      </c>
      <c r="I242" s="16" t="n">
        <v>599</v>
      </c>
      <c r="J242" s="17" t="n">
        <v>46059</v>
      </c>
      <c r="K242" s="16" t="inlineStr">
        <is>
          <t>(10)White</t>
        </is>
      </c>
      <c r="L242" s="16" t="inlineStr">
        <is>
          <t>营业中</t>
        </is>
      </c>
      <c r="M242" s="16" t="inlineStr">
        <is>
          <t>EEHWG23E1G10175</t>
        </is>
      </c>
      <c r="N242" s="16">
        <f>LEFT(M242,12)</f>
        <v/>
      </c>
      <c r="O242" s="16" t="inlineStr">
        <is>
          <t>EEHWG23E1G, (10)White, (175)175</t>
        </is>
      </c>
      <c r="P242" s="16" t="n">
        <v>599</v>
      </c>
      <c r="Q242" s="16" t="n">
        <v>599</v>
      </c>
      <c r="R242" s="16" t="n"/>
      <c r="S242" s="16" t="n"/>
      <c r="T242" s="16" t="n">
        <v>2</v>
      </c>
    </row>
    <row r="243" s="103">
      <c r="A243" s="16" t="inlineStr">
        <is>
          <t>B331</t>
        </is>
      </c>
      <c r="B243" s="16" t="inlineStr">
        <is>
          <t>上海区域</t>
        </is>
      </c>
      <c r="C243" s="16" t="inlineStr">
        <is>
          <t>CN0Q</t>
        </is>
      </c>
      <c r="D243" s="16" t="inlineStr">
        <is>
          <t>EE 苏州比斯特购物村</t>
        </is>
      </c>
      <c r="E243" s="16" t="n">
        <v>4</v>
      </c>
      <c r="F243" s="16" t="inlineStr">
        <is>
          <t>奥特莱斯</t>
        </is>
      </c>
      <c r="G243" s="16" t="inlineStr">
        <is>
          <t>EEHWG23E1G</t>
        </is>
      </c>
      <c r="H243" s="16" t="n">
        <v>599</v>
      </c>
      <c r="I243" s="16" t="n">
        <v>599</v>
      </c>
      <c r="J243" s="17" t="n">
        <v>46059</v>
      </c>
      <c r="K243" s="16" t="inlineStr">
        <is>
          <t>(10)White</t>
        </is>
      </c>
      <c r="L243" s="16" t="inlineStr">
        <is>
          <t>营业中</t>
        </is>
      </c>
      <c r="M243" s="16" t="inlineStr">
        <is>
          <t>EEHWG23E1G10180</t>
        </is>
      </c>
      <c r="N243" s="16">
        <f>LEFT(M243,12)</f>
        <v/>
      </c>
      <c r="O243" s="16" t="inlineStr">
        <is>
          <t>EEHWG23E1G, (10)White, (180)180</t>
        </is>
      </c>
      <c r="P243" s="16" t="n">
        <v>599</v>
      </c>
      <c r="Q243" s="16" t="n">
        <v>599</v>
      </c>
      <c r="R243" s="16" t="n"/>
      <c r="S243" s="16" t="n"/>
      <c r="T243" s="16" t="n">
        <v>2</v>
      </c>
    </row>
    <row r="244" s="103">
      <c r="A244" s="16" t="inlineStr">
        <is>
          <t>B331</t>
        </is>
      </c>
      <c r="B244" s="16" t="inlineStr">
        <is>
          <t>上海区域</t>
        </is>
      </c>
      <c r="C244" s="16" t="inlineStr">
        <is>
          <t>CN0Q</t>
        </is>
      </c>
      <c r="D244" s="16" t="inlineStr">
        <is>
          <t>EE 苏州比斯特购物村</t>
        </is>
      </c>
      <c r="E244" s="16" t="n">
        <v>4</v>
      </c>
      <c r="F244" s="16" t="inlineStr">
        <is>
          <t>奥特莱斯</t>
        </is>
      </c>
      <c r="G244" s="16" t="inlineStr">
        <is>
          <t>EEHWG23E1G</t>
        </is>
      </c>
      <c r="H244" s="16" t="n">
        <v>599</v>
      </c>
      <c r="I244" s="16" t="n">
        <v>599</v>
      </c>
      <c r="J244" s="17" t="n">
        <v>46059</v>
      </c>
      <c r="K244" s="16" t="inlineStr">
        <is>
          <t>(10)White</t>
        </is>
      </c>
      <c r="L244" s="16" t="inlineStr">
        <is>
          <t>营业中</t>
        </is>
      </c>
      <c r="M244" s="16" t="inlineStr">
        <is>
          <t>EEHWG23E1G10185</t>
        </is>
      </c>
      <c r="N244" s="16">
        <f>LEFT(M244,12)</f>
        <v/>
      </c>
      <c r="O244" s="16" t="inlineStr">
        <is>
          <t>EEHWG23E1G, (10)White, (185)185</t>
        </is>
      </c>
      <c r="P244" s="16" t="n">
        <v>599</v>
      </c>
      <c r="Q244" s="16" t="n">
        <v>599</v>
      </c>
      <c r="R244" s="16" t="n"/>
      <c r="S244" s="16" t="n"/>
      <c r="T244" s="16" t="n">
        <v>1</v>
      </c>
    </row>
    <row r="245" s="103">
      <c r="A245" s="16" t="inlineStr">
        <is>
          <t>B331</t>
        </is>
      </c>
      <c r="B245" s="16" t="inlineStr">
        <is>
          <t>上海区域</t>
        </is>
      </c>
      <c r="C245" s="16" t="inlineStr">
        <is>
          <t>CN0Q</t>
        </is>
      </c>
      <c r="D245" s="16" t="inlineStr">
        <is>
          <t>EE 苏州比斯特购物村</t>
        </is>
      </c>
      <c r="E245" s="16" t="n">
        <v>4</v>
      </c>
      <c r="F245" s="16" t="inlineStr">
        <is>
          <t>奥特莱斯</t>
        </is>
      </c>
      <c r="G245" s="16" t="inlineStr">
        <is>
          <t>EEHWG23E1G</t>
        </is>
      </c>
      <c r="H245" s="16" t="n">
        <v>599</v>
      </c>
      <c r="I245" s="16" t="n">
        <v>599</v>
      </c>
      <c r="J245" s="17" t="n">
        <v>46059</v>
      </c>
      <c r="K245" s="16" t="inlineStr">
        <is>
          <t>(15)Grey</t>
        </is>
      </c>
      <c r="L245" s="16" t="inlineStr">
        <is>
          <t>营业中</t>
        </is>
      </c>
      <c r="M245" s="16" t="inlineStr">
        <is>
          <t>EEHWG23E1G15170</t>
        </is>
      </c>
      <c r="N245" s="16">
        <f>LEFT(M245,12)</f>
        <v/>
      </c>
      <c r="O245" s="16" t="inlineStr">
        <is>
          <t>EEHWG23E1G, (15)Grey, (170)170</t>
        </is>
      </c>
      <c r="P245" s="16" t="n">
        <v>599</v>
      </c>
      <c r="Q245" s="16" t="n">
        <v>599</v>
      </c>
      <c r="R245" s="16" t="n">
        <v>2</v>
      </c>
      <c r="S245" s="16" t="n">
        <v>385</v>
      </c>
      <c r="T245" s="16" t="n">
        <v>1</v>
      </c>
    </row>
    <row r="246" s="103">
      <c r="A246" s="16" t="inlineStr">
        <is>
          <t>B331</t>
        </is>
      </c>
      <c r="B246" s="16" t="inlineStr">
        <is>
          <t>上海区域</t>
        </is>
      </c>
      <c r="C246" s="16" t="inlineStr">
        <is>
          <t>CN0Q</t>
        </is>
      </c>
      <c r="D246" s="16" t="inlineStr">
        <is>
          <t>EE 苏州比斯特购物村</t>
        </is>
      </c>
      <c r="E246" s="16" t="n">
        <v>4</v>
      </c>
      <c r="F246" s="16" t="inlineStr">
        <is>
          <t>奥特莱斯</t>
        </is>
      </c>
      <c r="G246" s="16" t="inlineStr">
        <is>
          <t>EEHWG23E1G</t>
        </is>
      </c>
      <c r="H246" s="16" t="n">
        <v>599</v>
      </c>
      <c r="I246" s="16" t="n">
        <v>599</v>
      </c>
      <c r="J246" s="17" t="n">
        <v>46059</v>
      </c>
      <c r="K246" s="16" t="inlineStr">
        <is>
          <t>(15)Grey</t>
        </is>
      </c>
      <c r="L246" s="16" t="inlineStr">
        <is>
          <t>营业中</t>
        </is>
      </c>
      <c r="M246" s="16" t="inlineStr">
        <is>
          <t>EEHWG23E1G15175</t>
        </is>
      </c>
      <c r="N246" s="16">
        <f>LEFT(M246,12)</f>
        <v/>
      </c>
      <c r="O246" s="16" t="inlineStr">
        <is>
          <t>EEHWG23E1G, (15)Grey, (175)175</t>
        </is>
      </c>
      <c r="P246" s="16" t="n">
        <v>599</v>
      </c>
      <c r="Q246" s="16" t="n">
        <v>599</v>
      </c>
      <c r="R246" s="16" t="n"/>
      <c r="S246" s="16" t="n"/>
      <c r="T246" s="16" t="n">
        <v>2</v>
      </c>
    </row>
    <row r="247" s="103">
      <c r="A247" s="16" t="inlineStr">
        <is>
          <t>B331</t>
        </is>
      </c>
      <c r="B247" s="16" t="inlineStr">
        <is>
          <t>上海区域</t>
        </is>
      </c>
      <c r="C247" s="16" t="inlineStr">
        <is>
          <t>CN0Q</t>
        </is>
      </c>
      <c r="D247" s="16" t="inlineStr">
        <is>
          <t>EE 苏州比斯特购物村</t>
        </is>
      </c>
      <c r="E247" s="16" t="n">
        <v>4</v>
      </c>
      <c r="F247" s="16" t="inlineStr">
        <is>
          <t>奥特莱斯</t>
        </is>
      </c>
      <c r="G247" s="16" t="inlineStr">
        <is>
          <t>EEHWG23E1G</t>
        </is>
      </c>
      <c r="H247" s="16" t="n">
        <v>599</v>
      </c>
      <c r="I247" s="16" t="n">
        <v>599</v>
      </c>
      <c r="J247" s="17" t="n">
        <v>46059</v>
      </c>
      <c r="K247" s="16" t="inlineStr">
        <is>
          <t>(15)Grey</t>
        </is>
      </c>
      <c r="L247" s="16" t="inlineStr">
        <is>
          <t>营业中</t>
        </is>
      </c>
      <c r="M247" s="16" t="inlineStr">
        <is>
          <t>EEHWG23E1G15180</t>
        </is>
      </c>
      <c r="N247" s="16">
        <f>LEFT(M247,12)</f>
        <v/>
      </c>
      <c r="O247" s="16" t="inlineStr">
        <is>
          <t>EEHWG23E1G, (15)Grey, (180)180</t>
        </is>
      </c>
      <c r="P247" s="16" t="n">
        <v>599</v>
      </c>
      <c r="Q247" s="16" t="n">
        <v>599</v>
      </c>
      <c r="R247" s="16" t="n">
        <v>2</v>
      </c>
      <c r="S247" s="16" t="n">
        <v>382</v>
      </c>
      <c r="T247" s="16" t="n">
        <v>1</v>
      </c>
    </row>
    <row r="248" s="103">
      <c r="A248" s="16" t="inlineStr">
        <is>
          <t>B331</t>
        </is>
      </c>
      <c r="B248" s="16" t="inlineStr">
        <is>
          <t>上海区域</t>
        </is>
      </c>
      <c r="C248" s="16" t="inlineStr">
        <is>
          <t>CN0Q</t>
        </is>
      </c>
      <c r="D248" s="16" t="inlineStr">
        <is>
          <t>EE 苏州比斯特购物村</t>
        </is>
      </c>
      <c r="E248" s="16" t="n">
        <v>4</v>
      </c>
      <c r="F248" s="16" t="inlineStr">
        <is>
          <t>奥特莱斯</t>
        </is>
      </c>
      <c r="G248" s="16" t="inlineStr">
        <is>
          <t>EEHWG23E1G</t>
        </is>
      </c>
      <c r="H248" s="16" t="n">
        <v>599</v>
      </c>
      <c r="I248" s="16" t="n">
        <v>599</v>
      </c>
      <c r="J248" s="17" t="n">
        <v>46059</v>
      </c>
      <c r="K248" s="16" t="inlineStr">
        <is>
          <t>(15)Grey</t>
        </is>
      </c>
      <c r="L248" s="16" t="inlineStr">
        <is>
          <t>营业中</t>
        </is>
      </c>
      <c r="M248" s="16" t="inlineStr">
        <is>
          <t>EEHWG23E1G15185</t>
        </is>
      </c>
      <c r="N248" s="16">
        <f>LEFT(M248,12)</f>
        <v/>
      </c>
      <c r="O248" s="16" t="inlineStr">
        <is>
          <t>EEHWG23E1G, (15)Grey, (185)185</t>
        </is>
      </c>
      <c r="P248" s="16" t="n">
        <v>599</v>
      </c>
      <c r="Q248" s="16" t="n">
        <v>599</v>
      </c>
      <c r="R248" s="16" t="n"/>
      <c r="S248" s="16" t="n"/>
      <c r="T248" s="16" t="n">
        <v>1</v>
      </c>
    </row>
    <row r="249" s="103">
      <c r="A249" s="16" t="inlineStr">
        <is>
          <t>B331</t>
        </is>
      </c>
      <c r="B249" s="16" t="inlineStr">
        <is>
          <t>上海区域</t>
        </is>
      </c>
      <c r="C249" s="16" t="inlineStr">
        <is>
          <t>CN0Q</t>
        </is>
      </c>
      <c r="D249" s="16" t="inlineStr">
        <is>
          <t>EE 苏州比斯特购物村</t>
        </is>
      </c>
      <c r="E249" s="16" t="n">
        <v>4</v>
      </c>
      <c r="F249" s="16" t="inlineStr">
        <is>
          <t>奥特莱斯</t>
        </is>
      </c>
      <c r="G249" s="16" t="inlineStr">
        <is>
          <t>EEHWG23E1G</t>
        </is>
      </c>
      <c r="H249" s="16" t="n">
        <v>599</v>
      </c>
      <c r="I249" s="16" t="n">
        <v>599</v>
      </c>
      <c r="J249" s="17" t="n">
        <v>46059</v>
      </c>
      <c r="K249" s="16" t="inlineStr">
        <is>
          <t>(25)Pink</t>
        </is>
      </c>
      <c r="L249" s="16" t="inlineStr">
        <is>
          <t>营业中</t>
        </is>
      </c>
      <c r="M249" s="16" t="inlineStr">
        <is>
          <t>EEHWG23E1G25170</t>
        </is>
      </c>
      <c r="N249" s="16">
        <f>LEFT(M249,12)</f>
        <v/>
      </c>
      <c r="O249" s="16" t="inlineStr">
        <is>
          <t>EEHWG23E1G, (25)Pink, (170)170</t>
        </is>
      </c>
      <c r="P249" s="16" t="n">
        <v>599</v>
      </c>
      <c r="Q249" s="16" t="n">
        <v>599</v>
      </c>
      <c r="R249" s="16" t="n"/>
      <c r="S249" s="16" t="n"/>
      <c r="T249" s="16" t="n">
        <v>2</v>
      </c>
    </row>
    <row r="250" s="103">
      <c r="A250" s="16" t="inlineStr">
        <is>
          <t>B331</t>
        </is>
      </c>
      <c r="B250" s="16" t="inlineStr">
        <is>
          <t>上海区域</t>
        </is>
      </c>
      <c r="C250" s="16" t="inlineStr">
        <is>
          <t>CN0Q</t>
        </is>
      </c>
      <c r="D250" s="16" t="inlineStr">
        <is>
          <t>EE 苏州比斯特购物村</t>
        </is>
      </c>
      <c r="E250" s="16" t="n">
        <v>4</v>
      </c>
      <c r="F250" s="16" t="inlineStr">
        <is>
          <t>奥特莱斯</t>
        </is>
      </c>
      <c r="G250" s="16" t="inlineStr">
        <is>
          <t>EEHWG23E1G</t>
        </is>
      </c>
      <c r="H250" s="16" t="n">
        <v>599</v>
      </c>
      <c r="I250" s="16" t="n">
        <v>599</v>
      </c>
      <c r="J250" s="17" t="n">
        <v>46059</v>
      </c>
      <c r="K250" s="16" t="inlineStr">
        <is>
          <t>(25)Pink</t>
        </is>
      </c>
      <c r="L250" s="16" t="inlineStr">
        <is>
          <t>营业中</t>
        </is>
      </c>
      <c r="M250" s="16" t="inlineStr">
        <is>
          <t>EEHWG23E1G25175</t>
        </is>
      </c>
      <c r="N250" s="16">
        <f>LEFT(M250,12)</f>
        <v/>
      </c>
      <c r="O250" s="16" t="inlineStr">
        <is>
          <t>EEHWG23E1G, (25)Pink, (175)175</t>
        </is>
      </c>
      <c r="P250" s="16" t="n">
        <v>599</v>
      </c>
      <c r="Q250" s="16" t="n">
        <v>599</v>
      </c>
      <c r="R250" s="16" t="n">
        <v>2</v>
      </c>
      <c r="S250" s="16" t="n">
        <v>384</v>
      </c>
      <c r="T250" s="16" t="n">
        <v>1</v>
      </c>
    </row>
    <row r="251" s="103">
      <c r="A251" s="16" t="inlineStr">
        <is>
          <t>B331</t>
        </is>
      </c>
      <c r="B251" s="16" t="inlineStr">
        <is>
          <t>上海区域</t>
        </is>
      </c>
      <c r="C251" s="16" t="inlineStr">
        <is>
          <t>CN0Q</t>
        </is>
      </c>
      <c r="D251" s="16" t="inlineStr">
        <is>
          <t>EE 苏州比斯特购物村</t>
        </is>
      </c>
      <c r="E251" s="16" t="n">
        <v>4</v>
      </c>
      <c r="F251" s="16" t="inlineStr">
        <is>
          <t>奥特莱斯</t>
        </is>
      </c>
      <c r="G251" s="16" t="inlineStr">
        <is>
          <t>EEHWG23E1G</t>
        </is>
      </c>
      <c r="H251" s="16" t="n">
        <v>599</v>
      </c>
      <c r="I251" s="16" t="n">
        <v>599</v>
      </c>
      <c r="J251" s="17" t="n">
        <v>46059</v>
      </c>
      <c r="K251" s="16" t="inlineStr">
        <is>
          <t>(25)Pink</t>
        </is>
      </c>
      <c r="L251" s="16" t="inlineStr">
        <is>
          <t>营业中</t>
        </is>
      </c>
      <c r="M251" s="16" t="inlineStr">
        <is>
          <t>EEHWG23E1G25180</t>
        </is>
      </c>
      <c r="N251" s="16">
        <f>LEFT(M251,12)</f>
        <v/>
      </c>
      <c r="O251" s="16" t="inlineStr">
        <is>
          <t>EEHWG23E1G, (25)Pink, (180)180</t>
        </is>
      </c>
      <c r="P251" s="16" t="n">
        <v>599</v>
      </c>
      <c r="Q251" s="16" t="n">
        <v>599</v>
      </c>
      <c r="R251" s="16" t="n">
        <v>1</v>
      </c>
      <c r="S251" s="16" t="n"/>
      <c r="T251" s="16" t="n">
        <v>1</v>
      </c>
    </row>
    <row r="252" s="103">
      <c r="A252" s="16" t="inlineStr">
        <is>
          <t>B331</t>
        </is>
      </c>
      <c r="B252" s="16" t="inlineStr">
        <is>
          <t>上海区域</t>
        </is>
      </c>
      <c r="C252" s="16" t="inlineStr">
        <is>
          <t>CN0Q</t>
        </is>
      </c>
      <c r="D252" s="16" t="inlineStr">
        <is>
          <t>EE 苏州比斯特购物村</t>
        </is>
      </c>
      <c r="E252" s="16" t="n">
        <v>4</v>
      </c>
      <c r="F252" s="16" t="inlineStr">
        <is>
          <t>奥特莱斯</t>
        </is>
      </c>
      <c r="G252" s="16" t="inlineStr">
        <is>
          <t>EEHWG23E1G</t>
        </is>
      </c>
      <c r="H252" s="16" t="n">
        <v>599</v>
      </c>
      <c r="I252" s="16" t="n">
        <v>599</v>
      </c>
      <c r="J252" s="17" t="n">
        <v>46059</v>
      </c>
      <c r="K252" s="16" t="inlineStr">
        <is>
          <t>(40)Green</t>
        </is>
      </c>
      <c r="L252" s="16" t="inlineStr">
        <is>
          <t>营业中</t>
        </is>
      </c>
      <c r="M252" s="16" t="inlineStr">
        <is>
          <t>EEHWG23E1G40170</t>
        </is>
      </c>
      <c r="N252" s="16">
        <f>LEFT(M252,12)</f>
        <v/>
      </c>
      <c r="O252" s="16" t="inlineStr">
        <is>
          <t>EEHWG23E1G, (40)Green, (170)170</t>
        </is>
      </c>
      <c r="P252" s="16" t="n">
        <v>599</v>
      </c>
      <c r="Q252" s="16" t="n">
        <v>599</v>
      </c>
      <c r="R252" s="16" t="n">
        <v>1</v>
      </c>
      <c r="S252" s="16" t="n"/>
      <c r="T252" s="16" t="n">
        <v>2</v>
      </c>
    </row>
    <row r="253" s="103">
      <c r="A253" s="16" t="inlineStr">
        <is>
          <t>B331</t>
        </is>
      </c>
      <c r="B253" s="16" t="inlineStr">
        <is>
          <t>上海区域</t>
        </is>
      </c>
      <c r="C253" s="16" t="inlineStr">
        <is>
          <t>CN0Q</t>
        </is>
      </c>
      <c r="D253" s="16" t="inlineStr">
        <is>
          <t>EE 苏州比斯特购物村</t>
        </is>
      </c>
      <c r="E253" s="16" t="n">
        <v>4</v>
      </c>
      <c r="F253" s="16" t="inlineStr">
        <is>
          <t>奥特莱斯</t>
        </is>
      </c>
      <c r="G253" s="16" t="inlineStr">
        <is>
          <t>EEHWG23E1G</t>
        </is>
      </c>
      <c r="H253" s="16" t="n">
        <v>599</v>
      </c>
      <c r="I253" s="16" t="n">
        <v>599</v>
      </c>
      <c r="J253" s="17" t="n">
        <v>46059</v>
      </c>
      <c r="K253" s="16" t="inlineStr">
        <is>
          <t>(40)Green</t>
        </is>
      </c>
      <c r="L253" s="16" t="inlineStr">
        <is>
          <t>营业中</t>
        </is>
      </c>
      <c r="M253" s="16" t="inlineStr">
        <is>
          <t>EEHWG23E1G40175</t>
        </is>
      </c>
      <c r="N253" s="16">
        <f>LEFT(M253,12)</f>
        <v/>
      </c>
      <c r="O253" s="16" t="inlineStr">
        <is>
          <t>EEHWG23E1G, (40)Green, (175)175</t>
        </is>
      </c>
      <c r="P253" s="16" t="n">
        <v>599</v>
      </c>
      <c r="Q253" s="16" t="n">
        <v>599</v>
      </c>
      <c r="R253" s="16" t="n"/>
      <c r="S253" s="16" t="n"/>
      <c r="T253" s="16" t="n">
        <v>2</v>
      </c>
    </row>
    <row r="254" s="103">
      <c r="A254" s="16" t="inlineStr">
        <is>
          <t>B331</t>
        </is>
      </c>
      <c r="B254" s="16" t="inlineStr">
        <is>
          <t>上海区域</t>
        </is>
      </c>
      <c r="C254" s="16" t="inlineStr">
        <is>
          <t>CN0Q</t>
        </is>
      </c>
      <c r="D254" s="16" t="inlineStr">
        <is>
          <t>EE 苏州比斯特购物村</t>
        </is>
      </c>
      <c r="E254" s="16" t="n">
        <v>4</v>
      </c>
      <c r="F254" s="16" t="inlineStr">
        <is>
          <t>奥特莱斯</t>
        </is>
      </c>
      <c r="G254" s="16" t="inlineStr">
        <is>
          <t>EEHWG23E1G</t>
        </is>
      </c>
      <c r="H254" s="16" t="n">
        <v>599</v>
      </c>
      <c r="I254" s="16" t="n">
        <v>599</v>
      </c>
      <c r="J254" s="17" t="n">
        <v>46059</v>
      </c>
      <c r="K254" s="16" t="inlineStr">
        <is>
          <t>(40)Green</t>
        </is>
      </c>
      <c r="L254" s="16" t="inlineStr">
        <is>
          <t>营业中</t>
        </is>
      </c>
      <c r="M254" s="16" t="inlineStr">
        <is>
          <t>EEHWG23E1G40180</t>
        </is>
      </c>
      <c r="N254" s="16">
        <f>LEFT(M254,12)</f>
        <v/>
      </c>
      <c r="O254" s="16" t="inlineStr">
        <is>
          <t>EEHWG23E1G, (40)Green, (180)180</t>
        </is>
      </c>
      <c r="P254" s="16" t="n">
        <v>599</v>
      </c>
      <c r="Q254" s="16" t="n">
        <v>599</v>
      </c>
      <c r="R254" s="16" t="n"/>
      <c r="S254" s="16" t="n"/>
      <c r="T254" s="16" t="n">
        <v>2</v>
      </c>
    </row>
    <row r="255" s="103">
      <c r="A255" s="16" t="inlineStr">
        <is>
          <t>B331</t>
        </is>
      </c>
      <c r="B255" s="16" t="inlineStr">
        <is>
          <t>上海区域</t>
        </is>
      </c>
      <c r="C255" s="16" t="inlineStr">
        <is>
          <t>CN0Q</t>
        </is>
      </c>
      <c r="D255" s="16" t="inlineStr">
        <is>
          <t>EE 苏州比斯特购物村</t>
        </is>
      </c>
      <c r="E255" s="16" t="n">
        <v>4</v>
      </c>
      <c r="F255" s="16" t="inlineStr">
        <is>
          <t>奥特莱斯</t>
        </is>
      </c>
      <c r="G255" s="16" t="inlineStr">
        <is>
          <t>EEHWG23E1G</t>
        </is>
      </c>
      <c r="H255" s="16" t="n">
        <v>599</v>
      </c>
      <c r="I255" s="16" t="n">
        <v>599</v>
      </c>
      <c r="J255" s="17" t="n">
        <v>46059</v>
      </c>
      <c r="K255" s="16" t="inlineStr">
        <is>
          <t>(40)Green</t>
        </is>
      </c>
      <c r="L255" s="16" t="inlineStr">
        <is>
          <t>营业中</t>
        </is>
      </c>
      <c r="M255" s="16" t="inlineStr">
        <is>
          <t>EEHWG23E1G40185</t>
        </is>
      </c>
      <c r="N255" s="16">
        <f>LEFT(M255,12)</f>
        <v/>
      </c>
      <c r="O255" s="16" t="inlineStr">
        <is>
          <t>EEHWG23E1G, (40)Green, (185)185</t>
        </is>
      </c>
      <c r="P255" s="16" t="n">
        <v>599</v>
      </c>
      <c r="Q255" s="16" t="n">
        <v>599</v>
      </c>
      <c r="R255" s="16" t="n">
        <v>1</v>
      </c>
      <c r="S255" s="16" t="n"/>
      <c r="T255" s="16" t="n">
        <v>0</v>
      </c>
    </row>
    <row r="256" s="103">
      <c r="A256" s="16" t="inlineStr">
        <is>
          <t>B331</t>
        </is>
      </c>
      <c r="B256" s="16" t="inlineStr">
        <is>
          <t>上海区域</t>
        </is>
      </c>
      <c r="C256" s="16" t="inlineStr">
        <is>
          <t>CN0Q</t>
        </is>
      </c>
      <c r="D256" s="16" t="inlineStr">
        <is>
          <t>EE 苏州比斯特购物村</t>
        </is>
      </c>
      <c r="E256" s="16" t="n">
        <v>4</v>
      </c>
      <c r="F256" s="16" t="inlineStr">
        <is>
          <t>奥特莱斯</t>
        </is>
      </c>
      <c r="G256" s="16" t="inlineStr">
        <is>
          <t>EEHWG23E1G</t>
        </is>
      </c>
      <c r="H256" s="16" t="n">
        <v>599</v>
      </c>
      <c r="I256" s="16" t="n">
        <v>599</v>
      </c>
      <c r="J256" s="17" t="n">
        <v>46059</v>
      </c>
      <c r="K256" s="16" t="inlineStr">
        <is>
          <t>(59)Navy</t>
        </is>
      </c>
      <c r="L256" s="16" t="inlineStr">
        <is>
          <t>营业中</t>
        </is>
      </c>
      <c r="M256" s="16" t="inlineStr">
        <is>
          <t>EEHWG23E1G59170</t>
        </is>
      </c>
      <c r="N256" s="16">
        <f>LEFT(M256,12)</f>
        <v/>
      </c>
      <c r="O256" s="16" t="inlineStr">
        <is>
          <t>EEHWG23E1G, (59)Navy, (170)170</t>
        </is>
      </c>
      <c r="P256" s="16" t="n">
        <v>599</v>
      </c>
      <c r="Q256" s="16" t="n">
        <v>599</v>
      </c>
      <c r="R256" s="16" t="n">
        <v>1</v>
      </c>
      <c r="S256" s="16" t="n">
        <v>391</v>
      </c>
      <c r="T256" s="16" t="n">
        <v>1</v>
      </c>
    </row>
    <row r="257" s="103">
      <c r="A257" s="16" t="inlineStr">
        <is>
          <t>B331</t>
        </is>
      </c>
      <c r="B257" s="16" t="inlineStr">
        <is>
          <t>上海区域</t>
        </is>
      </c>
      <c r="C257" s="16" t="inlineStr">
        <is>
          <t>CN0Q</t>
        </is>
      </c>
      <c r="D257" s="16" t="inlineStr">
        <is>
          <t>EE 苏州比斯特购物村</t>
        </is>
      </c>
      <c r="E257" s="16" t="n">
        <v>4</v>
      </c>
      <c r="F257" s="16" t="inlineStr">
        <is>
          <t>奥特莱斯</t>
        </is>
      </c>
      <c r="G257" s="16" t="inlineStr">
        <is>
          <t>EEHWG23E1G</t>
        </is>
      </c>
      <c r="H257" s="16" t="n">
        <v>599</v>
      </c>
      <c r="I257" s="16" t="n">
        <v>599</v>
      </c>
      <c r="J257" s="17" t="n">
        <v>46059</v>
      </c>
      <c r="K257" s="16" t="inlineStr">
        <is>
          <t>(59)Navy</t>
        </is>
      </c>
      <c r="L257" s="16" t="inlineStr">
        <is>
          <t>营业中</t>
        </is>
      </c>
      <c r="M257" s="16" t="inlineStr">
        <is>
          <t>EEHWG23E1G59175</t>
        </is>
      </c>
      <c r="N257" s="16">
        <f>LEFT(M257,12)</f>
        <v/>
      </c>
      <c r="O257" s="16" t="inlineStr">
        <is>
          <t>EEHWG23E1G, (59)Navy, (175)175</t>
        </is>
      </c>
      <c r="P257" s="16" t="n">
        <v>599</v>
      </c>
      <c r="Q257" s="16" t="n">
        <v>599</v>
      </c>
      <c r="R257" s="16" t="n"/>
      <c r="S257" s="16" t="n"/>
      <c r="T257" s="16" t="n">
        <v>2</v>
      </c>
    </row>
    <row r="258" s="103">
      <c r="A258" s="16" t="inlineStr">
        <is>
          <t>B331</t>
        </is>
      </c>
      <c r="B258" s="16" t="inlineStr">
        <is>
          <t>上海区域</t>
        </is>
      </c>
      <c r="C258" s="16" t="inlineStr">
        <is>
          <t>CN0Q</t>
        </is>
      </c>
      <c r="D258" s="16" t="inlineStr">
        <is>
          <t>EE 苏州比斯特购物村</t>
        </is>
      </c>
      <c r="E258" s="16" t="n">
        <v>4</v>
      </c>
      <c r="F258" s="16" t="inlineStr">
        <is>
          <t>奥特莱斯</t>
        </is>
      </c>
      <c r="G258" s="16" t="inlineStr">
        <is>
          <t>EEHWG23E1G</t>
        </is>
      </c>
      <c r="H258" s="16" t="n">
        <v>599</v>
      </c>
      <c r="I258" s="16" t="n">
        <v>599</v>
      </c>
      <c r="J258" s="17" t="n">
        <v>46059</v>
      </c>
      <c r="K258" s="16" t="inlineStr">
        <is>
          <t>(59)Navy</t>
        </is>
      </c>
      <c r="L258" s="16" t="inlineStr">
        <is>
          <t>营业中</t>
        </is>
      </c>
      <c r="M258" s="16" t="inlineStr">
        <is>
          <t>EEHWG23E1G59180</t>
        </is>
      </c>
      <c r="N258" s="16">
        <f>LEFT(M258,12)</f>
        <v/>
      </c>
      <c r="O258" s="16" t="inlineStr">
        <is>
          <t>EEHWG23E1G, (59)Navy, (180)180</t>
        </is>
      </c>
      <c r="P258" s="16" t="n">
        <v>599</v>
      </c>
      <c r="Q258" s="16" t="n">
        <v>599</v>
      </c>
      <c r="R258" s="16" t="n">
        <v>2</v>
      </c>
      <c r="S258" s="16" t="n">
        <v>386</v>
      </c>
      <c r="T258" s="16" t="n">
        <v>1</v>
      </c>
    </row>
    <row r="259" s="103">
      <c r="A259" s="16" t="inlineStr">
        <is>
          <t>B331</t>
        </is>
      </c>
      <c r="B259" s="16" t="inlineStr">
        <is>
          <t>上海区域</t>
        </is>
      </c>
      <c r="C259" s="16" t="inlineStr">
        <is>
          <t>CN0Q</t>
        </is>
      </c>
      <c r="D259" s="16" t="inlineStr">
        <is>
          <t>EE 苏州比斯特购物村</t>
        </is>
      </c>
      <c r="E259" s="16" t="n">
        <v>4</v>
      </c>
      <c r="F259" s="16" t="inlineStr">
        <is>
          <t>奥特莱斯</t>
        </is>
      </c>
      <c r="G259" s="16" t="inlineStr">
        <is>
          <t>EEHWG23E1G</t>
        </is>
      </c>
      <c r="H259" s="16" t="n">
        <v>599</v>
      </c>
      <c r="I259" s="16" t="n">
        <v>599</v>
      </c>
      <c r="J259" s="17" t="n">
        <v>46059</v>
      </c>
      <c r="K259" s="16" t="inlineStr">
        <is>
          <t>(59)Navy</t>
        </is>
      </c>
      <c r="L259" s="16" t="inlineStr">
        <is>
          <t>营业中</t>
        </is>
      </c>
      <c r="M259" s="16" t="inlineStr">
        <is>
          <t>EEHWG23E1G59185</t>
        </is>
      </c>
      <c r="N259" s="16">
        <f>LEFT(M259,12)</f>
        <v/>
      </c>
      <c r="O259" s="16" t="inlineStr">
        <is>
          <t>EEHWG23E1G, (59)Navy, (185)185</t>
        </is>
      </c>
      <c r="P259" s="16" t="n">
        <v>599</v>
      </c>
      <c r="Q259" s="16" t="n">
        <v>599</v>
      </c>
      <c r="R259" s="16" t="n">
        <v>1</v>
      </c>
      <c r="S259" s="16" t="n">
        <v>379</v>
      </c>
      <c r="T259" s="16" t="n">
        <v>0</v>
      </c>
    </row>
    <row r="260" s="103">
      <c r="A260" s="16" t="inlineStr">
        <is>
          <t>B331</t>
        </is>
      </c>
      <c r="B260" s="16" t="inlineStr">
        <is>
          <t>上海区域</t>
        </is>
      </c>
      <c r="C260" s="16" t="inlineStr">
        <is>
          <t>CN0Q</t>
        </is>
      </c>
      <c r="D260" s="16" t="inlineStr">
        <is>
          <t>EE 苏州比斯特购物村</t>
        </is>
      </c>
      <c r="E260" s="16" t="n">
        <v>4</v>
      </c>
      <c r="F260" s="16" t="inlineStr">
        <is>
          <t>奥特莱斯</t>
        </is>
      </c>
      <c r="G260" s="16" t="inlineStr">
        <is>
          <t>EEHWG23E1G</t>
        </is>
      </c>
      <c r="H260" s="16" t="n">
        <v>599</v>
      </c>
      <c r="I260" s="16" t="n">
        <v>599</v>
      </c>
      <c r="J260" s="17" t="n">
        <v>46059</v>
      </c>
      <c r="K260" s="16" t="inlineStr">
        <is>
          <t>(85)Brown</t>
        </is>
      </c>
      <c r="L260" s="16" t="inlineStr">
        <is>
          <t>营业中</t>
        </is>
      </c>
      <c r="M260" s="16" t="inlineStr">
        <is>
          <t>EEHWG23E1G85170</t>
        </is>
      </c>
      <c r="N260" s="16">
        <f>LEFT(M260,12)</f>
        <v/>
      </c>
      <c r="O260" s="16" t="inlineStr">
        <is>
          <t>EEHWG23E1G, (85)Brown, (170)170</t>
        </is>
      </c>
      <c r="P260" s="16" t="n">
        <v>599</v>
      </c>
      <c r="Q260" s="16" t="n">
        <v>599</v>
      </c>
      <c r="R260" s="16" t="n">
        <v>1</v>
      </c>
      <c r="S260" s="16" t="n"/>
      <c r="T260" s="16" t="n">
        <v>2</v>
      </c>
    </row>
    <row r="261" s="103">
      <c r="A261" s="16" t="inlineStr">
        <is>
          <t>B331</t>
        </is>
      </c>
      <c r="B261" s="16" t="inlineStr">
        <is>
          <t>上海区域</t>
        </is>
      </c>
      <c r="C261" s="16" t="inlineStr">
        <is>
          <t>CN0Q</t>
        </is>
      </c>
      <c r="D261" s="16" t="inlineStr">
        <is>
          <t>EE 苏州比斯特购物村</t>
        </is>
      </c>
      <c r="E261" s="16" t="n">
        <v>4</v>
      </c>
      <c r="F261" s="16" t="inlineStr">
        <is>
          <t>奥特莱斯</t>
        </is>
      </c>
      <c r="G261" s="16" t="inlineStr">
        <is>
          <t>EEHWG23E1G</t>
        </is>
      </c>
      <c r="H261" s="16" t="n">
        <v>599</v>
      </c>
      <c r="I261" s="16" t="n">
        <v>599</v>
      </c>
      <c r="J261" s="17" t="n">
        <v>46059</v>
      </c>
      <c r="K261" s="16" t="inlineStr">
        <is>
          <t>(85)Brown</t>
        </is>
      </c>
      <c r="L261" s="16" t="inlineStr">
        <is>
          <t>营业中</t>
        </is>
      </c>
      <c r="M261" s="16" t="inlineStr">
        <is>
          <t>EEHWG23E1G85175</t>
        </is>
      </c>
      <c r="N261" s="16">
        <f>LEFT(M261,12)</f>
        <v/>
      </c>
      <c r="O261" s="16" t="inlineStr">
        <is>
          <t>EEHWG23E1G, (85)Brown, (175)175</t>
        </is>
      </c>
      <c r="P261" s="16" t="n">
        <v>599</v>
      </c>
      <c r="Q261" s="16" t="n">
        <v>599</v>
      </c>
      <c r="R261" s="16" t="n"/>
      <c r="S261" s="16" t="n"/>
      <c r="T261" s="16" t="n">
        <v>2</v>
      </c>
    </row>
    <row r="262" s="103">
      <c r="A262" s="16" t="inlineStr">
        <is>
          <t>B331</t>
        </is>
      </c>
      <c r="B262" s="16" t="inlineStr">
        <is>
          <t>上海区域</t>
        </is>
      </c>
      <c r="C262" s="16" t="inlineStr">
        <is>
          <t>CN0Q</t>
        </is>
      </c>
      <c r="D262" s="16" t="inlineStr">
        <is>
          <t>EE 苏州比斯特购物村</t>
        </is>
      </c>
      <c r="E262" s="16" t="n">
        <v>4</v>
      </c>
      <c r="F262" s="16" t="inlineStr">
        <is>
          <t>奥特莱斯</t>
        </is>
      </c>
      <c r="G262" s="16" t="inlineStr">
        <is>
          <t>EEHWG23E1G</t>
        </is>
      </c>
      <c r="H262" s="16" t="n">
        <v>599</v>
      </c>
      <c r="I262" s="16" t="n">
        <v>599</v>
      </c>
      <c r="J262" s="17" t="n">
        <v>46059</v>
      </c>
      <c r="K262" s="16" t="inlineStr">
        <is>
          <t>(85)Brown</t>
        </is>
      </c>
      <c r="L262" s="16" t="inlineStr">
        <is>
          <t>营业中</t>
        </is>
      </c>
      <c r="M262" s="16" t="inlineStr">
        <is>
          <t>EEHWG23E1G85180</t>
        </is>
      </c>
      <c r="N262" s="16">
        <f>LEFT(M262,12)</f>
        <v/>
      </c>
      <c r="O262" s="16" t="inlineStr">
        <is>
          <t>EEHWG23E1G, (85)Brown, (180)180</t>
        </is>
      </c>
      <c r="P262" s="16" t="n">
        <v>599</v>
      </c>
      <c r="Q262" s="16" t="n">
        <v>599</v>
      </c>
      <c r="R262" s="16" t="n"/>
      <c r="S262" s="16" t="n"/>
      <c r="T262" s="16" t="n">
        <v>2</v>
      </c>
    </row>
    <row r="263" s="103">
      <c r="A263" s="16" t="inlineStr">
        <is>
          <t>B331</t>
        </is>
      </c>
      <c r="B263" s="16" t="inlineStr">
        <is>
          <t>上海区域</t>
        </is>
      </c>
      <c r="C263" s="16" t="inlineStr">
        <is>
          <t>CN0Q</t>
        </is>
      </c>
      <c r="D263" s="16" t="inlineStr">
        <is>
          <t>EE 苏州比斯特购物村</t>
        </is>
      </c>
      <c r="E263" s="16" t="n">
        <v>4</v>
      </c>
      <c r="F263" s="16" t="inlineStr">
        <is>
          <t>奥特莱斯</t>
        </is>
      </c>
      <c r="G263" s="16" t="inlineStr">
        <is>
          <t>EEHWG23E1G</t>
        </is>
      </c>
      <c r="H263" s="16" t="n">
        <v>599</v>
      </c>
      <c r="I263" s="16" t="n">
        <v>599</v>
      </c>
      <c r="J263" s="17" t="n">
        <v>46059</v>
      </c>
      <c r="K263" s="16" t="inlineStr">
        <is>
          <t>(85)Brown</t>
        </is>
      </c>
      <c r="L263" s="16" t="inlineStr">
        <is>
          <t>营业中</t>
        </is>
      </c>
      <c r="M263" s="16" t="inlineStr">
        <is>
          <t>EEHWG23E1G85185</t>
        </is>
      </c>
      <c r="N263" s="16">
        <f>LEFT(M263,12)</f>
        <v/>
      </c>
      <c r="O263" s="16" t="inlineStr">
        <is>
          <t>EEHWG23E1G, (85)Brown, (185)185</t>
        </is>
      </c>
      <c r="P263" s="16" t="n">
        <v>599</v>
      </c>
      <c r="Q263" s="16" t="n">
        <v>599</v>
      </c>
      <c r="R263" s="16" t="n"/>
      <c r="S263" s="16" t="n"/>
      <c r="T263" s="16" t="n">
        <v>1</v>
      </c>
    </row>
    <row r="264" s="103">
      <c r="A264" s="16" t="inlineStr">
        <is>
          <t>B331</t>
        </is>
      </c>
      <c r="B264" s="16" t="inlineStr">
        <is>
          <t>上海区域</t>
        </is>
      </c>
      <c r="C264" s="16" t="inlineStr">
        <is>
          <t>CN0Q</t>
        </is>
      </c>
      <c r="D264" s="16" t="inlineStr">
        <is>
          <t>EE 苏州比斯特购物村</t>
        </is>
      </c>
      <c r="E264" s="16" t="n">
        <v>4</v>
      </c>
      <c r="F264" s="16" t="inlineStr">
        <is>
          <t>奥特莱斯</t>
        </is>
      </c>
      <c r="G264" s="16" t="inlineStr">
        <is>
          <t>EEHWG24E02</t>
        </is>
      </c>
      <c r="H264" s="16" t="n">
        <v>599</v>
      </c>
      <c r="I264" s="16" t="n">
        <v>599</v>
      </c>
      <c r="J264" s="17" t="inlineStr">
        <is>
          <t>########</t>
        </is>
      </c>
      <c r="K264" s="16" t="inlineStr">
        <is>
          <t>(19)BLACK</t>
        </is>
      </c>
      <c r="L264" s="16" t="inlineStr">
        <is>
          <t>营业中</t>
        </is>
      </c>
      <c r="M264" s="16" t="inlineStr">
        <is>
          <t>EEHWG24E0219160</t>
        </is>
      </c>
      <c r="N264" s="16">
        <f>LEFT(M264,12)</f>
        <v/>
      </c>
      <c r="O264" s="16" t="inlineStr">
        <is>
          <t>EEHWG24E02, (19)BLACK, (160)160</t>
        </is>
      </c>
      <c r="P264" s="16" t="n">
        <v>599</v>
      </c>
      <c r="Q264" s="16" t="n">
        <v>599</v>
      </c>
      <c r="R264" s="16" t="n"/>
      <c r="S264" s="16" t="n"/>
      <c r="T264" s="16" t="n">
        <v>1</v>
      </c>
    </row>
    <row r="265" s="103">
      <c r="A265" s="16" t="inlineStr">
        <is>
          <t>B331</t>
        </is>
      </c>
      <c r="B265" s="16" t="inlineStr">
        <is>
          <t>上海区域</t>
        </is>
      </c>
      <c r="C265" s="16" t="inlineStr">
        <is>
          <t>CN0Q</t>
        </is>
      </c>
      <c r="D265" s="16" t="inlineStr">
        <is>
          <t>EE 苏州比斯特购物村</t>
        </is>
      </c>
      <c r="E265" s="16" t="n">
        <v>4</v>
      </c>
      <c r="F265" s="16" t="inlineStr">
        <is>
          <t>奥特莱斯</t>
        </is>
      </c>
      <c r="G265" s="16" t="inlineStr">
        <is>
          <t>EEHWG24E02</t>
        </is>
      </c>
      <c r="H265" s="16" t="n">
        <v>599</v>
      </c>
      <c r="I265" s="16" t="n">
        <v>599</v>
      </c>
      <c r="J265" s="17" t="inlineStr">
        <is>
          <t>########</t>
        </is>
      </c>
      <c r="K265" s="16" t="inlineStr">
        <is>
          <t>(31)L/Yellow</t>
        </is>
      </c>
      <c r="L265" s="16" t="inlineStr">
        <is>
          <t>营业中</t>
        </is>
      </c>
      <c r="M265" s="16" t="inlineStr">
        <is>
          <t>EEHWG24E0231165</t>
        </is>
      </c>
      <c r="N265" s="16">
        <f>LEFT(M265,12)</f>
        <v/>
      </c>
      <c r="O265" s="16" t="inlineStr">
        <is>
          <t>EEHWG24E02, (31)L/Yellow, (165)165</t>
        </is>
      </c>
      <c r="P265" s="16" t="n">
        <v>599</v>
      </c>
      <c r="Q265" s="16" t="n">
        <v>599</v>
      </c>
      <c r="R265" s="16" t="n">
        <v>2</v>
      </c>
      <c r="S265" s="16" t="n">
        <v>388</v>
      </c>
      <c r="T265" s="16" t="n">
        <v>2</v>
      </c>
    </row>
    <row r="266" s="103">
      <c r="A266" s="16" t="inlineStr">
        <is>
          <t>B331</t>
        </is>
      </c>
      <c r="B266" s="16" t="inlineStr">
        <is>
          <t>上海区域</t>
        </is>
      </c>
      <c r="C266" s="16" t="inlineStr">
        <is>
          <t>CN0Q</t>
        </is>
      </c>
      <c r="D266" s="16" t="inlineStr">
        <is>
          <t>EE 苏州比斯特购物村</t>
        </is>
      </c>
      <c r="E266" s="16" t="n">
        <v>4</v>
      </c>
      <c r="F266" s="16" t="inlineStr">
        <is>
          <t>奥特莱斯</t>
        </is>
      </c>
      <c r="G266" s="16" t="inlineStr">
        <is>
          <t>EEHWG24E02</t>
        </is>
      </c>
      <c r="H266" s="16" t="n">
        <v>599</v>
      </c>
      <c r="I266" s="16" t="n">
        <v>599</v>
      </c>
      <c r="J266" s="17" t="inlineStr">
        <is>
          <t>########</t>
        </is>
      </c>
      <c r="K266" s="16" t="inlineStr">
        <is>
          <t>(39)Ivory</t>
        </is>
      </c>
      <c r="L266" s="16" t="inlineStr">
        <is>
          <t>营业中</t>
        </is>
      </c>
      <c r="M266" s="16" t="inlineStr">
        <is>
          <t>EEHWG24E0239160</t>
        </is>
      </c>
      <c r="N266" s="16">
        <f>LEFT(M266,12)</f>
        <v/>
      </c>
      <c r="O266" s="16" t="inlineStr">
        <is>
          <t>EEHWG24E02, (39)Ivory, (160)160</t>
        </is>
      </c>
      <c r="P266" s="16" t="n">
        <v>599</v>
      </c>
      <c r="Q266" s="16" t="n">
        <v>599</v>
      </c>
      <c r="R266" s="16" t="n"/>
      <c r="S266" s="16" t="n"/>
      <c r="T266" s="16" t="n">
        <v>2</v>
      </c>
    </row>
    <row r="267" s="103">
      <c r="A267" s="16" t="inlineStr">
        <is>
          <t>B331</t>
        </is>
      </c>
      <c r="B267" s="16" t="inlineStr">
        <is>
          <t>上海区域</t>
        </is>
      </c>
      <c r="C267" s="16" t="inlineStr">
        <is>
          <t>CN0Q</t>
        </is>
      </c>
      <c r="D267" s="16" t="inlineStr">
        <is>
          <t>EE 苏州比斯特购物村</t>
        </is>
      </c>
      <c r="E267" s="16" t="n">
        <v>4</v>
      </c>
      <c r="F267" s="16" t="inlineStr">
        <is>
          <t>奥特莱斯</t>
        </is>
      </c>
      <c r="G267" s="16" t="inlineStr">
        <is>
          <t>EEHWG24E02</t>
        </is>
      </c>
      <c r="H267" s="16" t="n">
        <v>599</v>
      </c>
      <c r="I267" s="16" t="n">
        <v>599</v>
      </c>
      <c r="J267" s="17" t="inlineStr">
        <is>
          <t>########</t>
        </is>
      </c>
      <c r="K267" s="16" t="inlineStr">
        <is>
          <t>(39)Ivory</t>
        </is>
      </c>
      <c r="L267" s="16" t="inlineStr">
        <is>
          <t>营业中</t>
        </is>
      </c>
      <c r="M267" s="16" t="inlineStr">
        <is>
          <t>EEHWG24E0239165</t>
        </is>
      </c>
      <c r="N267" s="16">
        <f>LEFT(M267,12)</f>
        <v/>
      </c>
      <c r="O267" s="16" t="inlineStr">
        <is>
          <t>EEHWG24E02, (39)Ivory, (165)165</t>
        </is>
      </c>
      <c r="P267" s="16" t="n">
        <v>599</v>
      </c>
      <c r="Q267" s="16" t="n">
        <v>599</v>
      </c>
      <c r="R267" s="16" t="n"/>
      <c r="S267" s="16" t="n"/>
      <c r="T267" s="16" t="n">
        <v>2</v>
      </c>
    </row>
    <row r="268" s="103">
      <c r="A268" s="16" t="inlineStr">
        <is>
          <t>B331</t>
        </is>
      </c>
      <c r="B268" s="16" t="inlineStr">
        <is>
          <t>上海区域</t>
        </is>
      </c>
      <c r="C268" s="16" t="inlineStr">
        <is>
          <t>CN0Q</t>
        </is>
      </c>
      <c r="D268" s="16" t="inlineStr">
        <is>
          <t>EE 苏州比斯特购物村</t>
        </is>
      </c>
      <c r="E268" s="16" t="n">
        <v>4</v>
      </c>
      <c r="F268" s="16" t="inlineStr">
        <is>
          <t>奥特莱斯</t>
        </is>
      </c>
      <c r="G268" s="16" t="inlineStr">
        <is>
          <t>EEHWG24E02</t>
        </is>
      </c>
      <c r="H268" s="16" t="n">
        <v>599</v>
      </c>
      <c r="I268" s="16" t="n">
        <v>599</v>
      </c>
      <c r="J268" s="17" t="inlineStr">
        <is>
          <t>########</t>
        </is>
      </c>
      <c r="K268" s="16" t="inlineStr">
        <is>
          <t>(39)Ivory</t>
        </is>
      </c>
      <c r="L268" s="16" t="inlineStr">
        <is>
          <t>营业中</t>
        </is>
      </c>
      <c r="M268" s="16" t="inlineStr">
        <is>
          <t>EEHWG24E0239170</t>
        </is>
      </c>
      <c r="N268" s="16">
        <f>LEFT(M268,12)</f>
        <v/>
      </c>
      <c r="O268" s="16" t="inlineStr">
        <is>
          <t>EEHWG24E02, (39)Ivory, (170)170</t>
        </is>
      </c>
      <c r="P268" s="16" t="n">
        <v>599</v>
      </c>
      <c r="Q268" s="16" t="n">
        <v>599</v>
      </c>
      <c r="R268" s="16" t="n"/>
      <c r="S268" s="16" t="n"/>
      <c r="T268" s="16" t="n">
        <v>1</v>
      </c>
    </row>
    <row r="269" s="103">
      <c r="A269" s="16" t="inlineStr">
        <is>
          <t>B331</t>
        </is>
      </c>
      <c r="B269" s="16" t="inlineStr">
        <is>
          <t>上海区域</t>
        </is>
      </c>
      <c r="C269" s="16" t="inlineStr">
        <is>
          <t>CN0Q</t>
        </is>
      </c>
      <c r="D269" s="16" t="inlineStr">
        <is>
          <t>EE 苏州比斯特购物村</t>
        </is>
      </c>
      <c r="E269" s="16" t="n">
        <v>4</v>
      </c>
      <c r="F269" s="16" t="inlineStr">
        <is>
          <t>奥特莱斯</t>
        </is>
      </c>
      <c r="G269" s="16" t="inlineStr">
        <is>
          <t>EEHWG24E02</t>
        </is>
      </c>
      <c r="H269" s="16" t="n">
        <v>599</v>
      </c>
      <c r="I269" s="16" t="n">
        <v>599</v>
      </c>
      <c r="J269" s="17" t="inlineStr">
        <is>
          <t>########</t>
        </is>
      </c>
      <c r="K269" s="16" t="inlineStr">
        <is>
          <t>(39)Ivory</t>
        </is>
      </c>
      <c r="L269" s="16" t="inlineStr">
        <is>
          <t>营业中</t>
        </is>
      </c>
      <c r="M269" s="16" t="inlineStr">
        <is>
          <t>EEHWG24E0239175</t>
        </is>
      </c>
      <c r="N269" s="16">
        <f>LEFT(M269,12)</f>
        <v/>
      </c>
      <c r="O269" s="16" t="inlineStr">
        <is>
          <t>EEHWG24E02, (39)Ivory, (175)175</t>
        </is>
      </c>
      <c r="P269" s="16" t="n">
        <v>599</v>
      </c>
      <c r="Q269" s="16" t="n">
        <v>599</v>
      </c>
      <c r="R269" s="16" t="n"/>
      <c r="S269" s="16" t="n"/>
      <c r="T269" s="16" t="n">
        <v>1</v>
      </c>
    </row>
    <row r="270" s="103">
      <c r="A270" s="16" t="inlineStr">
        <is>
          <t>B331</t>
        </is>
      </c>
      <c r="B270" s="16" t="inlineStr">
        <is>
          <t>上海区域</t>
        </is>
      </c>
      <c r="C270" s="16" t="inlineStr">
        <is>
          <t>CN0Q</t>
        </is>
      </c>
      <c r="D270" s="16" t="inlineStr">
        <is>
          <t>EE 苏州比斯特购物村</t>
        </is>
      </c>
      <c r="E270" s="16" t="n">
        <v>4</v>
      </c>
      <c r="F270" s="16" t="inlineStr">
        <is>
          <t>奥特莱斯</t>
        </is>
      </c>
      <c r="G270" s="16" t="inlineStr">
        <is>
          <t>EEHWG25B01</t>
        </is>
      </c>
      <c r="H270" s="16" t="n">
        <v>599</v>
      </c>
      <c r="I270" s="16" t="n">
        <v>499</v>
      </c>
      <c r="J270" s="17" t="inlineStr">
        <is>
          <t>########</t>
        </is>
      </c>
      <c r="K270" s="16" t="inlineStr">
        <is>
          <t>(39)Ivory</t>
        </is>
      </c>
      <c r="L270" s="16" t="inlineStr">
        <is>
          <t>营业中</t>
        </is>
      </c>
      <c r="M270" s="16" t="inlineStr">
        <is>
          <t>EEHWG25B0139160</t>
        </is>
      </c>
      <c r="N270" s="16">
        <f>LEFT(M270,12)</f>
        <v/>
      </c>
      <c r="O270" s="16" t="inlineStr">
        <is>
          <t>EEHWG25B01, (39)Ivory, (160)160</t>
        </is>
      </c>
      <c r="P270" s="16" t="n">
        <v>599</v>
      </c>
      <c r="Q270" s="16" t="n">
        <v>499</v>
      </c>
      <c r="R270" s="16" t="n">
        <v>2</v>
      </c>
      <c r="S270" s="16" t="n">
        <v>665</v>
      </c>
      <c r="T270" s="16" t="n">
        <v>1</v>
      </c>
    </row>
    <row r="271" s="103">
      <c r="A271" s="16" t="inlineStr">
        <is>
          <t>B331</t>
        </is>
      </c>
      <c r="B271" s="16" t="inlineStr">
        <is>
          <t>上海区域</t>
        </is>
      </c>
      <c r="C271" s="16" t="inlineStr">
        <is>
          <t>CN0Q</t>
        </is>
      </c>
      <c r="D271" s="16" t="inlineStr">
        <is>
          <t>EE 苏州比斯特购物村</t>
        </is>
      </c>
      <c r="E271" s="16" t="n">
        <v>4</v>
      </c>
      <c r="F271" s="16" t="inlineStr">
        <is>
          <t>奥特莱斯</t>
        </is>
      </c>
      <c r="G271" s="16" t="inlineStr">
        <is>
          <t>EEHWG25B01</t>
        </is>
      </c>
      <c r="H271" s="16" t="n">
        <v>599</v>
      </c>
      <c r="I271" s="16" t="n">
        <v>499</v>
      </c>
      <c r="J271" s="17" t="inlineStr">
        <is>
          <t>########</t>
        </is>
      </c>
      <c r="K271" s="16" t="inlineStr">
        <is>
          <t>(39)Ivory</t>
        </is>
      </c>
      <c r="L271" s="16" t="inlineStr">
        <is>
          <t>营业中</t>
        </is>
      </c>
      <c r="M271" s="16" t="inlineStr">
        <is>
          <t>EEHWG25B0139165</t>
        </is>
      </c>
      <c r="N271" s="16">
        <f>LEFT(M271,12)</f>
        <v/>
      </c>
      <c r="O271" s="16" t="inlineStr">
        <is>
          <t>EEHWG25B01, (39)Ivory, (165)165</t>
        </is>
      </c>
      <c r="P271" s="16" t="n">
        <v>599</v>
      </c>
      <c r="Q271" s="16" t="n">
        <v>499</v>
      </c>
      <c r="R271" s="16" t="n">
        <v>2</v>
      </c>
      <c r="S271" s="16" t="n">
        <v>699</v>
      </c>
      <c r="T271" s="16" t="n">
        <v>3</v>
      </c>
    </row>
    <row r="272" s="103">
      <c r="A272" s="16" t="inlineStr">
        <is>
          <t>B331</t>
        </is>
      </c>
      <c r="B272" s="16" t="inlineStr">
        <is>
          <t>上海区域</t>
        </is>
      </c>
      <c r="C272" s="16" t="inlineStr">
        <is>
          <t>CN0Q</t>
        </is>
      </c>
      <c r="D272" s="16" t="inlineStr">
        <is>
          <t>EE 苏州比斯特购物村</t>
        </is>
      </c>
      <c r="E272" s="16" t="n">
        <v>4</v>
      </c>
      <c r="F272" s="16" t="inlineStr">
        <is>
          <t>奥特莱斯</t>
        </is>
      </c>
      <c r="G272" s="16" t="inlineStr">
        <is>
          <t>EEHWG25B01</t>
        </is>
      </c>
      <c r="H272" s="16" t="n">
        <v>599</v>
      </c>
      <c r="I272" s="16" t="n">
        <v>499</v>
      </c>
      <c r="J272" s="17" t="inlineStr">
        <is>
          <t>########</t>
        </is>
      </c>
      <c r="K272" s="16" t="inlineStr">
        <is>
          <t>(39)Ivory</t>
        </is>
      </c>
      <c r="L272" s="16" t="inlineStr">
        <is>
          <t>营业中</t>
        </is>
      </c>
      <c r="M272" s="16" t="inlineStr">
        <is>
          <t>EEHWG25B0139170</t>
        </is>
      </c>
      <c r="N272" s="16">
        <f>LEFT(M272,12)</f>
        <v/>
      </c>
      <c r="O272" s="16" t="inlineStr">
        <is>
          <t>EEHWG25B01, (39)Ivory, (170)170</t>
        </is>
      </c>
      <c r="P272" s="16" t="n">
        <v>599</v>
      </c>
      <c r="Q272" s="16" t="n">
        <v>499</v>
      </c>
      <c r="R272" s="16" t="n">
        <v>2</v>
      </c>
      <c r="S272" s="16" t="n">
        <v>664</v>
      </c>
      <c r="T272" s="16" t="n">
        <v>0</v>
      </c>
    </row>
    <row r="273" s="103">
      <c r="A273" s="16" t="inlineStr">
        <is>
          <t>B331</t>
        </is>
      </c>
      <c r="B273" s="16" t="inlineStr">
        <is>
          <t>上海区域</t>
        </is>
      </c>
      <c r="C273" s="16" t="inlineStr">
        <is>
          <t>CN0Q</t>
        </is>
      </c>
      <c r="D273" s="16" t="inlineStr">
        <is>
          <t>EE 苏州比斯特购物村</t>
        </is>
      </c>
      <c r="E273" s="16" t="n">
        <v>4</v>
      </c>
      <c r="F273" s="16" t="inlineStr">
        <is>
          <t>奥特莱斯</t>
        </is>
      </c>
      <c r="G273" s="16" t="inlineStr">
        <is>
          <t>EEHWG25B01</t>
        </is>
      </c>
      <c r="H273" s="16" t="n">
        <v>599</v>
      </c>
      <c r="I273" s="16" t="n">
        <v>499</v>
      </c>
      <c r="J273" s="17" t="inlineStr">
        <is>
          <t>########</t>
        </is>
      </c>
      <c r="K273" s="16" t="inlineStr">
        <is>
          <t>(39)Ivory</t>
        </is>
      </c>
      <c r="L273" s="16" t="inlineStr">
        <is>
          <t>营业中</t>
        </is>
      </c>
      <c r="M273" s="16" t="inlineStr">
        <is>
          <t>EEHWG25B0139175</t>
        </is>
      </c>
      <c r="N273" s="16">
        <f>LEFT(M273,12)</f>
        <v/>
      </c>
      <c r="O273" s="16" t="inlineStr">
        <is>
          <t>EEHWG25B01, (39)Ivory, (175)175</t>
        </is>
      </c>
      <c r="P273" s="16" t="n">
        <v>599</v>
      </c>
      <c r="Q273" s="16" t="n">
        <v>499</v>
      </c>
      <c r="R273" s="16" t="n">
        <v>1</v>
      </c>
      <c r="S273" s="16" t="n"/>
      <c r="T273" s="16" t="n">
        <v>2</v>
      </c>
    </row>
    <row r="274" s="103">
      <c r="A274" s="16" t="inlineStr">
        <is>
          <t>B331</t>
        </is>
      </c>
      <c r="B274" s="16" t="inlineStr">
        <is>
          <t>上海区域</t>
        </is>
      </c>
      <c r="C274" s="16" t="inlineStr">
        <is>
          <t>CN0Q</t>
        </is>
      </c>
      <c r="D274" s="16" t="inlineStr">
        <is>
          <t>EE 苏州比斯特购物村</t>
        </is>
      </c>
      <c r="E274" s="16" t="n">
        <v>4</v>
      </c>
      <c r="F274" s="16" t="inlineStr">
        <is>
          <t>奥特莱斯</t>
        </is>
      </c>
      <c r="G274" s="16" t="inlineStr">
        <is>
          <t>EEHWG25B1G</t>
        </is>
      </c>
      <c r="H274" s="16" t="n">
        <v>699</v>
      </c>
      <c r="I274" s="16" t="n">
        <v>699</v>
      </c>
      <c r="J274" s="17" t="n">
        <v>46115</v>
      </c>
      <c r="K274" s="16" t="inlineStr">
        <is>
          <t>(10)White</t>
        </is>
      </c>
      <c r="L274" s="16" t="inlineStr">
        <is>
          <t>营业中</t>
        </is>
      </c>
      <c r="M274" s="16" t="inlineStr">
        <is>
          <t>EEHWG25B1G10170</t>
        </is>
      </c>
      <c r="N274" s="16">
        <f>LEFT(M274,12)</f>
        <v/>
      </c>
      <c r="O274" s="16" t="inlineStr">
        <is>
          <t>EEHWG25B1G, (10)White, (170)170</t>
        </is>
      </c>
      <c r="P274" s="16" t="n">
        <v>699</v>
      </c>
      <c r="Q274" s="16" t="n">
        <v>699</v>
      </c>
      <c r="R274" s="16" t="n"/>
      <c r="S274" s="16" t="n"/>
      <c r="T274" s="16" t="n">
        <v>1</v>
      </c>
    </row>
    <row r="275" s="103">
      <c r="A275" s="16" t="inlineStr">
        <is>
          <t>B331</t>
        </is>
      </c>
      <c r="B275" s="16" t="inlineStr">
        <is>
          <t>上海区域</t>
        </is>
      </c>
      <c r="C275" s="16" t="inlineStr">
        <is>
          <t>CN0Q</t>
        </is>
      </c>
      <c r="D275" s="16" t="inlineStr">
        <is>
          <t>EE 苏州比斯特购物村</t>
        </is>
      </c>
      <c r="E275" s="16" t="n">
        <v>4</v>
      </c>
      <c r="F275" s="16" t="inlineStr">
        <is>
          <t>奥特莱斯</t>
        </is>
      </c>
      <c r="G275" s="16" t="inlineStr">
        <is>
          <t>EEHWG25B1G</t>
        </is>
      </c>
      <c r="H275" s="16" t="n">
        <v>699</v>
      </c>
      <c r="I275" s="16" t="n">
        <v>699</v>
      </c>
      <c r="J275" s="17" t="n">
        <v>46115</v>
      </c>
      <c r="K275" s="16" t="inlineStr">
        <is>
          <t>(10)White</t>
        </is>
      </c>
      <c r="L275" s="16" t="inlineStr">
        <is>
          <t>营业中</t>
        </is>
      </c>
      <c r="M275" s="16" t="inlineStr">
        <is>
          <t>EEHWG25B1G10175</t>
        </is>
      </c>
      <c r="N275" s="16">
        <f>LEFT(M275,12)</f>
        <v/>
      </c>
      <c r="O275" s="16" t="inlineStr">
        <is>
          <t>EEHWG25B1G, (10)White, (175)175</t>
        </is>
      </c>
      <c r="P275" s="16" t="n">
        <v>699</v>
      </c>
      <c r="Q275" s="16" t="n">
        <v>699</v>
      </c>
      <c r="R275" s="16" t="n">
        <v>1</v>
      </c>
      <c r="S275" s="16" t="n">
        <v>448</v>
      </c>
      <c r="T275" s="16" t="n">
        <v>1</v>
      </c>
    </row>
    <row r="276" s="103">
      <c r="A276" s="16" t="inlineStr">
        <is>
          <t>B331</t>
        </is>
      </c>
      <c r="B276" s="16" t="inlineStr">
        <is>
          <t>上海区域</t>
        </is>
      </c>
      <c r="C276" s="16" t="inlineStr">
        <is>
          <t>CN0Q</t>
        </is>
      </c>
      <c r="D276" s="16" t="inlineStr">
        <is>
          <t>EE 苏州比斯特购物村</t>
        </is>
      </c>
      <c r="E276" s="16" t="n">
        <v>4</v>
      </c>
      <c r="F276" s="16" t="inlineStr">
        <is>
          <t>奥特莱斯</t>
        </is>
      </c>
      <c r="G276" s="16" t="inlineStr">
        <is>
          <t>EEHWG25B1G</t>
        </is>
      </c>
      <c r="H276" s="16" t="n">
        <v>699</v>
      </c>
      <c r="I276" s="16" t="n">
        <v>699</v>
      </c>
      <c r="J276" s="17" t="n">
        <v>46115</v>
      </c>
      <c r="K276" s="16" t="inlineStr">
        <is>
          <t>(10)White</t>
        </is>
      </c>
      <c r="L276" s="16" t="inlineStr">
        <is>
          <t>营业中</t>
        </is>
      </c>
      <c r="M276" s="16" t="inlineStr">
        <is>
          <t>EEHWG25B1G10180</t>
        </is>
      </c>
      <c r="N276" s="16">
        <f>LEFT(M276,12)</f>
        <v/>
      </c>
      <c r="O276" s="16" t="inlineStr">
        <is>
          <t>EEHWG25B1G, (10)White, (180)180</t>
        </is>
      </c>
      <c r="P276" s="16" t="n">
        <v>699</v>
      </c>
      <c r="Q276" s="16" t="n">
        <v>699</v>
      </c>
      <c r="R276" s="16" t="n">
        <v>1</v>
      </c>
      <c r="S276" s="16" t="n">
        <v>447</v>
      </c>
      <c r="T276" s="16" t="n">
        <v>0</v>
      </c>
    </row>
    <row r="277" s="103">
      <c r="A277" s="16" t="inlineStr">
        <is>
          <t>B331</t>
        </is>
      </c>
      <c r="B277" s="16" t="inlineStr">
        <is>
          <t>上海区域</t>
        </is>
      </c>
      <c r="C277" s="16" t="inlineStr">
        <is>
          <t>CN0Q</t>
        </is>
      </c>
      <c r="D277" s="16" t="inlineStr">
        <is>
          <t>EE 苏州比斯特购物村</t>
        </is>
      </c>
      <c r="E277" s="16" t="n">
        <v>4</v>
      </c>
      <c r="F277" s="16" t="inlineStr">
        <is>
          <t>奥特莱斯</t>
        </is>
      </c>
      <c r="G277" s="16" t="inlineStr">
        <is>
          <t>EEHWG25B1G</t>
        </is>
      </c>
      <c r="H277" s="16" t="n">
        <v>699</v>
      </c>
      <c r="I277" s="16" t="n">
        <v>699</v>
      </c>
      <c r="J277" s="17" t="n">
        <v>46115</v>
      </c>
      <c r="K277" s="16" t="inlineStr">
        <is>
          <t>(59)Navy</t>
        </is>
      </c>
      <c r="L277" s="16" t="inlineStr">
        <is>
          <t>营业中</t>
        </is>
      </c>
      <c r="M277" s="16" t="inlineStr">
        <is>
          <t>EEHWG25B1G59170</t>
        </is>
      </c>
      <c r="N277" s="16">
        <f>LEFT(M277,12)</f>
        <v/>
      </c>
      <c r="O277" s="16" t="inlineStr">
        <is>
          <t>EEHWG25B1G, (59)Navy, (170)170</t>
        </is>
      </c>
      <c r="P277" s="16" t="n">
        <v>699</v>
      </c>
      <c r="Q277" s="16" t="n">
        <v>699</v>
      </c>
      <c r="R277" s="16" t="n"/>
      <c r="S277" s="16" t="n"/>
      <c r="T277" s="16" t="n">
        <v>1</v>
      </c>
    </row>
    <row r="278" s="103">
      <c r="A278" s="16" t="inlineStr">
        <is>
          <t>B331</t>
        </is>
      </c>
      <c r="B278" s="16" t="inlineStr">
        <is>
          <t>上海区域</t>
        </is>
      </c>
      <c r="C278" s="16" t="inlineStr">
        <is>
          <t>CN0Q</t>
        </is>
      </c>
      <c r="D278" s="16" t="inlineStr">
        <is>
          <t>EE 苏州比斯特购物村</t>
        </is>
      </c>
      <c r="E278" s="16" t="n">
        <v>4</v>
      </c>
      <c r="F278" s="16" t="inlineStr">
        <is>
          <t>奥特莱斯</t>
        </is>
      </c>
      <c r="G278" s="16" t="inlineStr">
        <is>
          <t>EEHWG25B1G</t>
        </is>
      </c>
      <c r="H278" s="16" t="n">
        <v>699</v>
      </c>
      <c r="I278" s="16" t="n">
        <v>699</v>
      </c>
      <c r="J278" s="17" t="n">
        <v>46115</v>
      </c>
      <c r="K278" s="16" t="inlineStr">
        <is>
          <t>(59)Navy</t>
        </is>
      </c>
      <c r="L278" s="16" t="inlineStr">
        <is>
          <t>营业中</t>
        </is>
      </c>
      <c r="M278" s="16" t="inlineStr">
        <is>
          <t>EEHWG25B1G59175</t>
        </is>
      </c>
      <c r="N278" s="16">
        <f>LEFT(M278,12)</f>
        <v/>
      </c>
      <c r="O278" s="16" t="inlineStr">
        <is>
          <t>EEHWG25B1G, (59)Navy, (175)175</t>
        </is>
      </c>
      <c r="P278" s="16" t="n">
        <v>699</v>
      </c>
      <c r="Q278" s="16" t="n">
        <v>699</v>
      </c>
      <c r="R278" s="16" t="n"/>
      <c r="S278" s="16" t="n"/>
      <c r="T278" s="16" t="n">
        <v>2</v>
      </c>
    </row>
    <row r="279" s="103">
      <c r="A279" s="16" t="inlineStr">
        <is>
          <t>B331</t>
        </is>
      </c>
      <c r="B279" s="16" t="inlineStr">
        <is>
          <t>上海区域</t>
        </is>
      </c>
      <c r="C279" s="16" t="inlineStr">
        <is>
          <t>CN0Q</t>
        </is>
      </c>
      <c r="D279" s="16" t="inlineStr">
        <is>
          <t>EE 苏州比斯特购物村</t>
        </is>
      </c>
      <c r="E279" s="16" t="n">
        <v>4</v>
      </c>
      <c r="F279" s="16" t="inlineStr">
        <is>
          <t>奥特莱斯</t>
        </is>
      </c>
      <c r="G279" s="16" t="inlineStr">
        <is>
          <t>EEHWG25B1G</t>
        </is>
      </c>
      <c r="H279" s="16" t="n">
        <v>699</v>
      </c>
      <c r="I279" s="16" t="n">
        <v>699</v>
      </c>
      <c r="J279" s="17" t="n">
        <v>46115</v>
      </c>
      <c r="K279" s="16" t="inlineStr">
        <is>
          <t>(59)Navy</t>
        </is>
      </c>
      <c r="L279" s="16" t="inlineStr">
        <is>
          <t>营业中</t>
        </is>
      </c>
      <c r="M279" s="16" t="inlineStr">
        <is>
          <t>EEHWG25B1G59180</t>
        </is>
      </c>
      <c r="N279" s="16">
        <f>LEFT(M279,12)</f>
        <v/>
      </c>
      <c r="O279" s="16" t="inlineStr">
        <is>
          <t>EEHWG25B1G, (59)Navy, (180)180</t>
        </is>
      </c>
      <c r="P279" s="16" t="n">
        <v>699</v>
      </c>
      <c r="Q279" s="16" t="n">
        <v>699</v>
      </c>
      <c r="R279" s="16" t="n"/>
      <c r="S279" s="16" t="n"/>
      <c r="T279" s="16" t="n">
        <v>1</v>
      </c>
    </row>
    <row r="280" s="103">
      <c r="A280" s="16" t="inlineStr">
        <is>
          <t>B331</t>
        </is>
      </c>
      <c r="B280" s="16" t="inlineStr">
        <is>
          <t>上海区域</t>
        </is>
      </c>
      <c r="C280" s="16" t="inlineStr">
        <is>
          <t>CN0Q</t>
        </is>
      </c>
      <c r="D280" s="16" t="inlineStr">
        <is>
          <t>EE 苏州比斯特购物村</t>
        </is>
      </c>
      <c r="E280" s="16" t="n">
        <v>4</v>
      </c>
      <c r="F280" s="16" t="inlineStr">
        <is>
          <t>奥特莱斯</t>
        </is>
      </c>
      <c r="G280" s="16" t="inlineStr">
        <is>
          <t>EEHWG25B2G</t>
        </is>
      </c>
      <c r="H280" s="16" t="n">
        <v>699</v>
      </c>
      <c r="I280" s="16" t="n">
        <v>699</v>
      </c>
      <c r="J280" s="17" t="inlineStr">
        <is>
          <t>########</t>
        </is>
      </c>
      <c r="K280" s="16" t="inlineStr">
        <is>
          <t>(40)Green</t>
        </is>
      </c>
      <c r="L280" s="16" t="inlineStr">
        <is>
          <t>营业中</t>
        </is>
      </c>
      <c r="M280" s="16" t="inlineStr">
        <is>
          <t>EEHWG25B2G40170</t>
        </is>
      </c>
      <c r="N280" s="16">
        <f>LEFT(M280,12)</f>
        <v/>
      </c>
      <c r="O280" s="16" t="inlineStr">
        <is>
          <t>EEHWG25B2G, (40)Green, (170)170</t>
        </is>
      </c>
      <c r="P280" s="16" t="n">
        <v>699</v>
      </c>
      <c r="Q280" s="16" t="n">
        <v>699</v>
      </c>
      <c r="R280" s="16" t="n"/>
      <c r="S280" s="16" t="n"/>
      <c r="T280" s="16" t="n">
        <v>2</v>
      </c>
    </row>
    <row r="281" s="103">
      <c r="A281" s="16" t="inlineStr">
        <is>
          <t>B331</t>
        </is>
      </c>
      <c r="B281" s="16" t="inlineStr">
        <is>
          <t>上海区域</t>
        </is>
      </c>
      <c r="C281" s="16" t="inlineStr">
        <is>
          <t>CN0Q</t>
        </is>
      </c>
      <c r="D281" s="16" t="inlineStr">
        <is>
          <t>EE 苏州比斯特购物村</t>
        </is>
      </c>
      <c r="E281" s="16" t="n">
        <v>4</v>
      </c>
      <c r="F281" s="16" t="inlineStr">
        <is>
          <t>奥特莱斯</t>
        </is>
      </c>
      <c r="G281" s="16" t="inlineStr">
        <is>
          <t>EEHWG25B2G</t>
        </is>
      </c>
      <c r="H281" s="16" t="n">
        <v>699</v>
      </c>
      <c r="I281" s="16" t="n">
        <v>699</v>
      </c>
      <c r="J281" s="17" t="inlineStr">
        <is>
          <t>########</t>
        </is>
      </c>
      <c r="K281" s="16" t="inlineStr">
        <is>
          <t>(40)Green</t>
        </is>
      </c>
      <c r="L281" s="16" t="inlineStr">
        <is>
          <t>营业中</t>
        </is>
      </c>
      <c r="M281" s="16" t="inlineStr">
        <is>
          <t>EEHWG25B2G40175</t>
        </is>
      </c>
      <c r="N281" s="16">
        <f>LEFT(M281,12)</f>
        <v/>
      </c>
      <c r="O281" s="16" t="inlineStr">
        <is>
          <t>EEHWG25B2G, (40)Green, (175)175</t>
        </is>
      </c>
      <c r="P281" s="16" t="n">
        <v>699</v>
      </c>
      <c r="Q281" s="16" t="n">
        <v>699</v>
      </c>
      <c r="R281" s="16" t="n"/>
      <c r="S281" s="16" t="n"/>
      <c r="T281" s="16" t="n">
        <v>2</v>
      </c>
    </row>
    <row r="282" s="103">
      <c r="A282" s="16" t="inlineStr">
        <is>
          <t>B331</t>
        </is>
      </c>
      <c r="B282" s="16" t="inlineStr">
        <is>
          <t>上海区域</t>
        </is>
      </c>
      <c r="C282" s="16" t="inlineStr">
        <is>
          <t>CN0Q</t>
        </is>
      </c>
      <c r="D282" s="16" t="inlineStr">
        <is>
          <t>EE 苏州比斯特购物村</t>
        </is>
      </c>
      <c r="E282" s="16" t="n">
        <v>4</v>
      </c>
      <c r="F282" s="16" t="inlineStr">
        <is>
          <t>奥特莱斯</t>
        </is>
      </c>
      <c r="G282" s="16" t="inlineStr">
        <is>
          <t>EEHWG25B2G</t>
        </is>
      </c>
      <c r="H282" s="16" t="n">
        <v>699</v>
      </c>
      <c r="I282" s="16" t="n">
        <v>699</v>
      </c>
      <c r="J282" s="17" t="inlineStr">
        <is>
          <t>########</t>
        </is>
      </c>
      <c r="K282" s="16" t="inlineStr">
        <is>
          <t>(40)Green</t>
        </is>
      </c>
      <c r="L282" s="16" t="inlineStr">
        <is>
          <t>营业中</t>
        </is>
      </c>
      <c r="M282" s="16" t="inlineStr">
        <is>
          <t>EEHWG25B2G40180</t>
        </is>
      </c>
      <c r="N282" s="16">
        <f>LEFT(M282,12)</f>
        <v/>
      </c>
      <c r="O282" s="16" t="inlineStr">
        <is>
          <t>EEHWG25B2G, (40)Green, (180)180</t>
        </is>
      </c>
      <c r="P282" s="16" t="n">
        <v>699</v>
      </c>
      <c r="Q282" s="16" t="n">
        <v>699</v>
      </c>
      <c r="R282" s="16" t="n">
        <v>2</v>
      </c>
      <c r="S282" s="16" t="n">
        <v>945</v>
      </c>
      <c r="T282" s="16" t="n">
        <v>0</v>
      </c>
    </row>
    <row r="283" s="103">
      <c r="A283" s="16" t="inlineStr">
        <is>
          <t>B331</t>
        </is>
      </c>
      <c r="B283" s="16" t="inlineStr">
        <is>
          <t>上海区域</t>
        </is>
      </c>
      <c r="C283" s="16" t="inlineStr">
        <is>
          <t>CN0Q</t>
        </is>
      </c>
      <c r="D283" s="16" t="inlineStr">
        <is>
          <t>EE 苏州比斯特购物村</t>
        </is>
      </c>
      <c r="E283" s="16" t="n">
        <v>4</v>
      </c>
      <c r="F283" s="16" t="inlineStr">
        <is>
          <t>奥特莱斯</t>
        </is>
      </c>
      <c r="G283" s="16" t="inlineStr">
        <is>
          <t>EEHWG25B2G</t>
        </is>
      </c>
      <c r="H283" s="16" t="n">
        <v>699</v>
      </c>
      <c r="I283" s="16" t="n">
        <v>699</v>
      </c>
      <c r="J283" s="17" t="inlineStr">
        <is>
          <t>########</t>
        </is>
      </c>
      <c r="K283" s="16" t="inlineStr">
        <is>
          <t>(40)Green</t>
        </is>
      </c>
      <c r="L283" s="16" t="inlineStr">
        <is>
          <t>营业中</t>
        </is>
      </c>
      <c r="M283" s="16" t="inlineStr">
        <is>
          <t>EEHWG25B2G40185</t>
        </is>
      </c>
      <c r="N283" s="16">
        <f>LEFT(M283,12)</f>
        <v/>
      </c>
      <c r="O283" s="16" t="inlineStr">
        <is>
          <t>EEHWG25B2G, (40)Green, (185)185</t>
        </is>
      </c>
      <c r="P283" s="16" t="n">
        <v>699</v>
      </c>
      <c r="Q283" s="16" t="n">
        <v>699</v>
      </c>
      <c r="R283" s="16" t="n"/>
      <c r="S283" s="16" t="n"/>
      <c r="T283" s="16" t="n">
        <v>1</v>
      </c>
    </row>
    <row r="284" s="103">
      <c r="A284" s="16" t="inlineStr">
        <is>
          <t>B331</t>
        </is>
      </c>
      <c r="B284" s="16" t="inlineStr">
        <is>
          <t>上海区域</t>
        </is>
      </c>
      <c r="C284" s="16" t="inlineStr">
        <is>
          <t>CN0Q</t>
        </is>
      </c>
      <c r="D284" s="16" t="inlineStr">
        <is>
          <t>EE 苏州比斯特购物村</t>
        </is>
      </c>
      <c r="E284" s="16" t="n">
        <v>4</v>
      </c>
      <c r="F284" s="16" t="inlineStr">
        <is>
          <t>奥特莱斯</t>
        </is>
      </c>
      <c r="G284" s="16" t="inlineStr">
        <is>
          <t>EEHWG25B2G</t>
        </is>
      </c>
      <c r="H284" s="16" t="n">
        <v>699</v>
      </c>
      <c r="I284" s="16" t="n">
        <v>699</v>
      </c>
      <c r="J284" s="17" t="inlineStr">
        <is>
          <t>########</t>
        </is>
      </c>
      <c r="K284" s="16" t="inlineStr">
        <is>
          <t>(59)Navy</t>
        </is>
      </c>
      <c r="L284" s="16" t="inlineStr">
        <is>
          <t>营业中</t>
        </is>
      </c>
      <c r="M284" s="16" t="inlineStr">
        <is>
          <t>EEHWG25B2G59170</t>
        </is>
      </c>
      <c r="N284" s="16">
        <f>LEFT(M284,12)</f>
        <v/>
      </c>
      <c r="O284" s="16" t="inlineStr">
        <is>
          <t>EEHWG25B2G, (59)Navy, (170)170</t>
        </is>
      </c>
      <c r="P284" s="16" t="n">
        <v>699</v>
      </c>
      <c r="Q284" s="16" t="n">
        <v>699</v>
      </c>
      <c r="R284" s="16" t="n"/>
      <c r="S284" s="16" t="n"/>
      <c r="T284" s="16" t="n">
        <v>2</v>
      </c>
    </row>
    <row r="285" s="103">
      <c r="A285" s="16" t="inlineStr">
        <is>
          <t>B331</t>
        </is>
      </c>
      <c r="B285" s="16" t="inlineStr">
        <is>
          <t>上海区域</t>
        </is>
      </c>
      <c r="C285" s="16" t="inlineStr">
        <is>
          <t>CN0Q</t>
        </is>
      </c>
      <c r="D285" s="16" t="inlineStr">
        <is>
          <t>EE 苏州比斯特购物村</t>
        </is>
      </c>
      <c r="E285" s="16" t="n">
        <v>4</v>
      </c>
      <c r="F285" s="16" t="inlineStr">
        <is>
          <t>奥特莱斯</t>
        </is>
      </c>
      <c r="G285" s="16" t="inlineStr">
        <is>
          <t>EEHWG25B2G</t>
        </is>
      </c>
      <c r="H285" s="16" t="n">
        <v>699</v>
      </c>
      <c r="I285" s="16" t="n">
        <v>699</v>
      </c>
      <c r="J285" s="17" t="inlineStr">
        <is>
          <t>########</t>
        </is>
      </c>
      <c r="K285" s="16" t="inlineStr">
        <is>
          <t>(59)Navy</t>
        </is>
      </c>
      <c r="L285" s="16" t="inlineStr">
        <is>
          <t>营业中</t>
        </is>
      </c>
      <c r="M285" s="16" t="inlineStr">
        <is>
          <t>EEHWG25B2G59175</t>
        </is>
      </c>
      <c r="N285" s="16">
        <f>LEFT(M285,12)</f>
        <v/>
      </c>
      <c r="O285" s="16" t="inlineStr">
        <is>
          <t>EEHWG25B2G, (59)Navy, (175)175</t>
        </is>
      </c>
      <c r="P285" s="16" t="n">
        <v>699</v>
      </c>
      <c r="Q285" s="16" t="n">
        <v>699</v>
      </c>
      <c r="R285" s="16" t="n"/>
      <c r="S285" s="16" t="n"/>
      <c r="T285" s="16" t="n">
        <v>2</v>
      </c>
    </row>
    <row r="286" s="103">
      <c r="A286" s="16" t="inlineStr">
        <is>
          <t>B331</t>
        </is>
      </c>
      <c r="B286" s="16" t="inlineStr">
        <is>
          <t>上海区域</t>
        </is>
      </c>
      <c r="C286" s="16" t="inlineStr">
        <is>
          <t>CN0Q</t>
        </is>
      </c>
      <c r="D286" s="16" t="inlineStr">
        <is>
          <t>EE 苏州比斯特购物村</t>
        </is>
      </c>
      <c r="E286" s="16" t="n">
        <v>4</v>
      </c>
      <c r="F286" s="16" t="inlineStr">
        <is>
          <t>奥特莱斯</t>
        </is>
      </c>
      <c r="G286" s="16" t="inlineStr">
        <is>
          <t>EEHWG25B2G</t>
        </is>
      </c>
      <c r="H286" s="16" t="n">
        <v>699</v>
      </c>
      <c r="I286" s="16" t="n">
        <v>699</v>
      </c>
      <c r="J286" s="17" t="inlineStr">
        <is>
          <t>########</t>
        </is>
      </c>
      <c r="K286" s="16" t="inlineStr">
        <is>
          <t>(59)Navy</t>
        </is>
      </c>
      <c r="L286" s="16" t="inlineStr">
        <is>
          <t>营业中</t>
        </is>
      </c>
      <c r="M286" s="16" t="inlineStr">
        <is>
          <t>EEHWG25B2G59180</t>
        </is>
      </c>
      <c r="N286" s="16">
        <f>LEFT(M286,12)</f>
        <v/>
      </c>
      <c r="O286" s="16" t="inlineStr">
        <is>
          <t>EEHWG25B2G, (59)Navy, (180)180</t>
        </is>
      </c>
      <c r="P286" s="16" t="n">
        <v>699</v>
      </c>
      <c r="Q286" s="16" t="n">
        <v>699</v>
      </c>
      <c r="R286" s="16" t="n"/>
      <c r="S286" s="16" t="n"/>
      <c r="T286" s="16" t="n">
        <v>2</v>
      </c>
    </row>
    <row r="287" s="103">
      <c r="A287" s="16" t="inlineStr">
        <is>
          <t>B331</t>
        </is>
      </c>
      <c r="B287" s="16" t="inlineStr">
        <is>
          <t>上海区域</t>
        </is>
      </c>
      <c r="C287" s="16" t="inlineStr">
        <is>
          <t>CN0Q</t>
        </is>
      </c>
      <c r="D287" s="16" t="inlineStr">
        <is>
          <t>EE 苏州比斯特购物村</t>
        </is>
      </c>
      <c r="E287" s="16" t="n">
        <v>4</v>
      </c>
      <c r="F287" s="16" t="inlineStr">
        <is>
          <t>奥特莱斯</t>
        </is>
      </c>
      <c r="G287" s="16" t="inlineStr">
        <is>
          <t>EEHWG25B2G</t>
        </is>
      </c>
      <c r="H287" s="16" t="n">
        <v>699</v>
      </c>
      <c r="I287" s="16" t="n">
        <v>699</v>
      </c>
      <c r="J287" s="17" t="inlineStr">
        <is>
          <t>########</t>
        </is>
      </c>
      <c r="K287" s="16" t="inlineStr">
        <is>
          <t>(59)Navy</t>
        </is>
      </c>
      <c r="L287" s="16" t="inlineStr">
        <is>
          <t>营业中</t>
        </is>
      </c>
      <c r="M287" s="16" t="inlineStr">
        <is>
          <t>EEHWG25B2G59185</t>
        </is>
      </c>
      <c r="N287" s="16">
        <f>LEFT(M287,12)</f>
        <v/>
      </c>
      <c r="O287" s="16" t="inlineStr">
        <is>
          <t>EEHWG25B2G, (59)Navy, (185)185</t>
        </is>
      </c>
      <c r="P287" s="16" t="n">
        <v>699</v>
      </c>
      <c r="Q287" s="16" t="n">
        <v>699</v>
      </c>
      <c r="R287" s="16" t="n"/>
      <c r="S287" s="16" t="n"/>
      <c r="T287" s="16" t="n">
        <v>1</v>
      </c>
    </row>
    <row r="288" s="103">
      <c r="A288" s="16" t="inlineStr">
        <is>
          <t>B331</t>
        </is>
      </c>
      <c r="B288" s="16" t="inlineStr">
        <is>
          <t>上海区域</t>
        </is>
      </c>
      <c r="C288" s="16" t="inlineStr">
        <is>
          <t>CN0Q</t>
        </is>
      </c>
      <c r="D288" s="16" t="inlineStr">
        <is>
          <t>EE 苏州比斯特购物村</t>
        </is>
      </c>
      <c r="E288" s="16" t="n">
        <v>4</v>
      </c>
      <c r="F288" s="16" t="inlineStr">
        <is>
          <t>奥特莱斯</t>
        </is>
      </c>
      <c r="G288" s="16" t="inlineStr">
        <is>
          <t>EEHWG25D1G</t>
        </is>
      </c>
      <c r="H288" s="16" t="n">
        <v>799</v>
      </c>
      <c r="I288" s="16" t="n">
        <v>799</v>
      </c>
      <c r="J288" s="17" t="inlineStr">
        <is>
          <t>########</t>
        </is>
      </c>
      <c r="K288" s="16" t="inlineStr">
        <is>
          <t>(39)Ivory</t>
        </is>
      </c>
      <c r="L288" s="16" t="inlineStr">
        <is>
          <t>营业中</t>
        </is>
      </c>
      <c r="M288" s="16" t="inlineStr">
        <is>
          <t>EEHWG25D1G39175</t>
        </is>
      </c>
      <c r="N288" s="16">
        <f>LEFT(M288,12)</f>
        <v/>
      </c>
      <c r="O288" s="16" t="inlineStr">
        <is>
          <t>EEHWG25D1G, (39)Ivory, (175)175</t>
        </is>
      </c>
      <c r="P288" s="16" t="n">
        <v>799</v>
      </c>
      <c r="Q288" s="16" t="n">
        <v>799</v>
      </c>
      <c r="R288" s="16" t="n">
        <v>2</v>
      </c>
      <c r="S288" s="18" t="n">
        <v>1026</v>
      </c>
      <c r="T288" s="16" t="n">
        <v>0</v>
      </c>
    </row>
    <row r="289" s="103">
      <c r="A289" s="16" t="inlineStr">
        <is>
          <t>B331</t>
        </is>
      </c>
      <c r="B289" s="16" t="inlineStr">
        <is>
          <t>上海区域</t>
        </is>
      </c>
      <c r="C289" s="16" t="inlineStr">
        <is>
          <t>CN0Q</t>
        </is>
      </c>
      <c r="D289" s="16" t="inlineStr">
        <is>
          <t>EE 苏州比斯特购物村</t>
        </is>
      </c>
      <c r="E289" s="16" t="n">
        <v>4</v>
      </c>
      <c r="F289" s="16" t="inlineStr">
        <is>
          <t>奥特莱斯</t>
        </is>
      </c>
      <c r="G289" s="16" t="inlineStr">
        <is>
          <t>EEHWG25D1G</t>
        </is>
      </c>
      <c r="H289" s="16" t="n">
        <v>799</v>
      </c>
      <c r="I289" s="16" t="n">
        <v>799</v>
      </c>
      <c r="J289" s="17" t="inlineStr">
        <is>
          <t>########</t>
        </is>
      </c>
      <c r="K289" s="16" t="inlineStr">
        <is>
          <t>(39)Ivory</t>
        </is>
      </c>
      <c r="L289" s="16" t="inlineStr">
        <is>
          <t>营业中</t>
        </is>
      </c>
      <c r="M289" s="16" t="inlineStr">
        <is>
          <t>EEHWG25D1G39180</t>
        </is>
      </c>
      <c r="N289" s="16">
        <f>LEFT(M289,12)</f>
        <v/>
      </c>
      <c r="O289" s="16" t="inlineStr">
        <is>
          <t>EEHWG25D1G, (39)Ivory, (180)180</t>
        </is>
      </c>
      <c r="P289" s="16" t="n">
        <v>799</v>
      </c>
      <c r="Q289" s="16" t="n">
        <v>799</v>
      </c>
      <c r="R289" s="16" t="n"/>
      <c r="S289" s="16" t="n"/>
      <c r="T289" s="16" t="n">
        <v>2</v>
      </c>
    </row>
    <row r="290" s="103">
      <c r="A290" s="16" t="inlineStr">
        <is>
          <t>B331</t>
        </is>
      </c>
      <c r="B290" s="16" t="inlineStr">
        <is>
          <t>上海区域</t>
        </is>
      </c>
      <c r="C290" s="16" t="inlineStr">
        <is>
          <t>CN0Q</t>
        </is>
      </c>
      <c r="D290" s="16" t="inlineStr">
        <is>
          <t>EE 苏州比斯特购物村</t>
        </is>
      </c>
      <c r="E290" s="16" t="n">
        <v>4</v>
      </c>
      <c r="F290" s="16" t="inlineStr">
        <is>
          <t>奥特莱斯</t>
        </is>
      </c>
      <c r="G290" s="16" t="inlineStr">
        <is>
          <t>EEHWG25D2G</t>
        </is>
      </c>
      <c r="H290" s="16" t="n">
        <v>699</v>
      </c>
      <c r="I290" s="16" t="n">
        <v>699</v>
      </c>
      <c r="J290" s="17" t="inlineStr">
        <is>
          <t>########</t>
        </is>
      </c>
      <c r="K290" s="16" t="inlineStr">
        <is>
          <t>(85)Brown</t>
        </is>
      </c>
      <c r="L290" s="16" t="inlineStr">
        <is>
          <t>营业中</t>
        </is>
      </c>
      <c r="M290" s="16" t="inlineStr">
        <is>
          <t>EEHWG25D2G85170</t>
        </is>
      </c>
      <c r="N290" s="16">
        <f>LEFT(M290,12)</f>
        <v/>
      </c>
      <c r="O290" s="16" t="inlineStr">
        <is>
          <t>EEHWG25D2G, (85)Brown, (170)170</t>
        </is>
      </c>
      <c r="P290" s="16" t="n">
        <v>699</v>
      </c>
      <c r="Q290" s="16" t="n">
        <v>699</v>
      </c>
      <c r="R290" s="16" t="n">
        <v>1</v>
      </c>
      <c r="S290" s="16" t="n">
        <v>443</v>
      </c>
      <c r="T290" s="16" t="n">
        <v>1</v>
      </c>
    </row>
    <row r="291" s="103">
      <c r="A291" s="16" t="inlineStr">
        <is>
          <t>B331</t>
        </is>
      </c>
      <c r="B291" s="16" t="inlineStr">
        <is>
          <t>上海区域</t>
        </is>
      </c>
      <c r="C291" s="16" t="inlineStr">
        <is>
          <t>CN0Q</t>
        </is>
      </c>
      <c r="D291" s="16" t="inlineStr">
        <is>
          <t>EE 苏州比斯特购物村</t>
        </is>
      </c>
      <c r="E291" s="16" t="n">
        <v>4</v>
      </c>
      <c r="F291" s="16" t="inlineStr">
        <is>
          <t>奥特莱斯</t>
        </is>
      </c>
      <c r="G291" s="16" t="inlineStr">
        <is>
          <t>EEHWG25D2G</t>
        </is>
      </c>
      <c r="H291" s="16" t="n">
        <v>699</v>
      </c>
      <c r="I291" s="16" t="n">
        <v>699</v>
      </c>
      <c r="J291" s="17" t="inlineStr">
        <is>
          <t>########</t>
        </is>
      </c>
      <c r="K291" s="16" t="inlineStr">
        <is>
          <t>(85)Brown</t>
        </is>
      </c>
      <c r="L291" s="16" t="inlineStr">
        <is>
          <t>营业中</t>
        </is>
      </c>
      <c r="M291" s="16" t="inlineStr">
        <is>
          <t>EEHWG25D2G85175</t>
        </is>
      </c>
      <c r="N291" s="16">
        <f>LEFT(M291,12)</f>
        <v/>
      </c>
      <c r="O291" s="16" t="inlineStr">
        <is>
          <t>EEHWG25D2G, (85)Brown, (175)175</t>
        </is>
      </c>
      <c r="P291" s="16" t="n">
        <v>699</v>
      </c>
      <c r="Q291" s="16" t="n">
        <v>699</v>
      </c>
      <c r="R291" s="16" t="n">
        <v>1</v>
      </c>
      <c r="S291" s="16" t="n"/>
      <c r="T291" s="16" t="n">
        <v>2</v>
      </c>
    </row>
    <row r="292" s="103">
      <c r="A292" s="16" t="inlineStr">
        <is>
          <t>B331</t>
        </is>
      </c>
      <c r="B292" s="16" t="inlineStr">
        <is>
          <t>上海区域</t>
        </is>
      </c>
      <c r="C292" s="16" t="inlineStr">
        <is>
          <t>CN0Q</t>
        </is>
      </c>
      <c r="D292" s="16" t="inlineStr">
        <is>
          <t>EE 苏州比斯特购物村</t>
        </is>
      </c>
      <c r="E292" s="16" t="n">
        <v>4</v>
      </c>
      <c r="F292" s="16" t="inlineStr">
        <is>
          <t>奥特莱斯</t>
        </is>
      </c>
      <c r="G292" s="16" t="inlineStr">
        <is>
          <t>EEHWG25D2G</t>
        </is>
      </c>
      <c r="H292" s="16" t="n">
        <v>699</v>
      </c>
      <c r="I292" s="16" t="n">
        <v>699</v>
      </c>
      <c r="J292" s="17" t="inlineStr">
        <is>
          <t>########</t>
        </is>
      </c>
      <c r="K292" s="16" t="inlineStr">
        <is>
          <t>(85)Brown</t>
        </is>
      </c>
      <c r="L292" s="16" t="inlineStr">
        <is>
          <t>营业中</t>
        </is>
      </c>
      <c r="M292" s="16" t="inlineStr">
        <is>
          <t>EEHWG25D2G85180</t>
        </is>
      </c>
      <c r="N292" s="16">
        <f>LEFT(M292,12)</f>
        <v/>
      </c>
      <c r="O292" s="16" t="inlineStr">
        <is>
          <t>EEHWG25D2G, (85)Brown, (180)180</t>
        </is>
      </c>
      <c r="P292" s="16" t="n">
        <v>699</v>
      </c>
      <c r="Q292" s="16" t="n">
        <v>699</v>
      </c>
      <c r="R292" s="16" t="n"/>
      <c r="S292" s="16" t="n"/>
      <c r="T292" s="16" t="n">
        <v>2</v>
      </c>
    </row>
    <row r="293" s="103">
      <c r="A293" s="16" t="inlineStr">
        <is>
          <t>B331</t>
        </is>
      </c>
      <c r="B293" s="16" t="inlineStr">
        <is>
          <t>上海区域</t>
        </is>
      </c>
      <c r="C293" s="16" t="inlineStr">
        <is>
          <t>CN0Q</t>
        </is>
      </c>
      <c r="D293" s="16" t="inlineStr">
        <is>
          <t>EE 苏州比斯特购物村</t>
        </is>
      </c>
      <c r="E293" s="16" t="n">
        <v>4</v>
      </c>
      <c r="F293" s="16" t="inlineStr">
        <is>
          <t>奥特莱斯</t>
        </is>
      </c>
      <c r="G293" s="16" t="inlineStr">
        <is>
          <t>EEHWG25D2G</t>
        </is>
      </c>
      <c r="H293" s="16" t="n">
        <v>699</v>
      </c>
      <c r="I293" s="16" t="n">
        <v>699</v>
      </c>
      <c r="J293" s="17" t="inlineStr">
        <is>
          <t>########</t>
        </is>
      </c>
      <c r="K293" s="16" t="inlineStr">
        <is>
          <t>(85)Brown</t>
        </is>
      </c>
      <c r="L293" s="16" t="inlineStr">
        <is>
          <t>营业中</t>
        </is>
      </c>
      <c r="M293" s="16" t="inlineStr">
        <is>
          <t>EEHWG25D2G85185</t>
        </is>
      </c>
      <c r="N293" s="16">
        <f>LEFT(M293,12)</f>
        <v/>
      </c>
      <c r="O293" s="16" t="inlineStr">
        <is>
          <t>EEHWG25D2G, (85)Brown, (185)185</t>
        </is>
      </c>
      <c r="P293" s="16" t="n">
        <v>699</v>
      </c>
      <c r="Q293" s="16" t="n">
        <v>699</v>
      </c>
      <c r="R293" s="16" t="n"/>
      <c r="S293" s="16" t="n"/>
      <c r="T293" s="16" t="n">
        <v>1</v>
      </c>
    </row>
    <row r="294" s="103">
      <c r="A294" s="16" t="inlineStr">
        <is>
          <t>B331</t>
        </is>
      </c>
      <c r="B294" s="16" t="inlineStr">
        <is>
          <t>上海区域</t>
        </is>
      </c>
      <c r="C294" s="16" t="inlineStr">
        <is>
          <t>CN0Q</t>
        </is>
      </c>
      <c r="D294" s="16" t="inlineStr">
        <is>
          <t>EE 苏州比斯特购物村</t>
        </is>
      </c>
      <c r="E294" s="16" t="n">
        <v>4</v>
      </c>
      <c r="F294" s="16" t="inlineStr">
        <is>
          <t>奥特莱斯</t>
        </is>
      </c>
      <c r="G294" s="16" t="inlineStr">
        <is>
          <t>EEJAG12B1G</t>
        </is>
      </c>
      <c r="H294" s="16" t="n">
        <v>1599</v>
      </c>
      <c r="I294" s="16" t="n">
        <v>1599</v>
      </c>
      <c r="J294" s="17" t="inlineStr">
        <is>
          <t>########</t>
        </is>
      </c>
      <c r="K294" s="16" t="inlineStr">
        <is>
          <t>(39)Ivory</t>
        </is>
      </c>
      <c r="L294" s="16" t="inlineStr">
        <is>
          <t>营业中</t>
        </is>
      </c>
      <c r="M294" s="16" t="inlineStr">
        <is>
          <t>EEJAG12B1G39170</t>
        </is>
      </c>
      <c r="N294" s="16">
        <f>LEFT(M294,12)</f>
        <v/>
      </c>
      <c r="O294" s="16" t="inlineStr">
        <is>
          <t>EEJAG12B1G, (39)Ivory, (170)170</t>
        </is>
      </c>
      <c r="P294" s="16" t="n">
        <v>1599</v>
      </c>
      <c r="Q294" s="16" t="n">
        <v>1599</v>
      </c>
      <c r="R294" s="16" t="n"/>
      <c r="S294" s="16" t="n"/>
      <c r="T294" s="16" t="n">
        <v>1</v>
      </c>
    </row>
    <row r="295" s="103">
      <c r="A295" s="16" t="inlineStr">
        <is>
          <t>B331</t>
        </is>
      </c>
      <c r="B295" s="16" t="inlineStr">
        <is>
          <t>上海区域</t>
        </is>
      </c>
      <c r="C295" s="16" t="inlineStr">
        <is>
          <t>CN0Q</t>
        </is>
      </c>
      <c r="D295" s="16" t="inlineStr">
        <is>
          <t>EE 苏州比斯特购物村</t>
        </is>
      </c>
      <c r="E295" s="16" t="n">
        <v>4</v>
      </c>
      <c r="F295" s="16" t="inlineStr">
        <is>
          <t>奥特莱斯</t>
        </is>
      </c>
      <c r="G295" s="16" t="inlineStr">
        <is>
          <t>EEJAG12B1G</t>
        </is>
      </c>
      <c r="H295" s="16" t="n">
        <v>1599</v>
      </c>
      <c r="I295" s="16" t="n">
        <v>1599</v>
      </c>
      <c r="J295" s="17" t="inlineStr">
        <is>
          <t>########</t>
        </is>
      </c>
      <c r="K295" s="16" t="inlineStr">
        <is>
          <t>(39)Ivory</t>
        </is>
      </c>
      <c r="L295" s="16" t="inlineStr">
        <is>
          <t>营业中</t>
        </is>
      </c>
      <c r="M295" s="16" t="inlineStr">
        <is>
          <t>EEJAG12B1G39175</t>
        </is>
      </c>
      <c r="N295" s="16">
        <f>LEFT(M295,12)</f>
        <v/>
      </c>
      <c r="O295" s="16" t="inlineStr">
        <is>
          <t>EEJAG12B1G, (39)Ivory, (175)175</t>
        </is>
      </c>
      <c r="P295" s="16" t="n">
        <v>1599</v>
      </c>
      <c r="Q295" s="16" t="n">
        <v>1599</v>
      </c>
      <c r="R295" s="16" t="n"/>
      <c r="S295" s="16" t="n"/>
      <c r="T295" s="16" t="n">
        <v>1</v>
      </c>
    </row>
    <row r="296" s="103">
      <c r="A296" s="16" t="inlineStr">
        <is>
          <t>B331</t>
        </is>
      </c>
      <c r="B296" s="16" t="inlineStr">
        <is>
          <t>上海区域</t>
        </is>
      </c>
      <c r="C296" s="16" t="inlineStr">
        <is>
          <t>CN0Q</t>
        </is>
      </c>
      <c r="D296" s="16" t="inlineStr">
        <is>
          <t>EE 苏州比斯特购物村</t>
        </is>
      </c>
      <c r="E296" s="16" t="n">
        <v>4</v>
      </c>
      <c r="F296" s="16" t="inlineStr">
        <is>
          <t>奥特莱斯</t>
        </is>
      </c>
      <c r="G296" s="16" t="inlineStr">
        <is>
          <t>EEJAG12B1G</t>
        </is>
      </c>
      <c r="H296" s="16" t="n">
        <v>1599</v>
      </c>
      <c r="I296" s="16" t="n">
        <v>1599</v>
      </c>
      <c r="J296" s="17" t="inlineStr">
        <is>
          <t>########</t>
        </is>
      </c>
      <c r="K296" s="16" t="inlineStr">
        <is>
          <t>(39)Ivory</t>
        </is>
      </c>
      <c r="L296" s="16" t="inlineStr">
        <is>
          <t>营业中</t>
        </is>
      </c>
      <c r="M296" s="16" t="inlineStr">
        <is>
          <t>EEJAG12B1G39180</t>
        </is>
      </c>
      <c r="N296" s="16">
        <f>LEFT(M296,12)</f>
        <v/>
      </c>
      <c r="O296" s="16" t="inlineStr">
        <is>
          <t>EEJAG12B1G, (39)Ivory, (180)180</t>
        </is>
      </c>
      <c r="P296" s="16" t="n">
        <v>1599</v>
      </c>
      <c r="Q296" s="16" t="n">
        <v>1599</v>
      </c>
      <c r="R296" s="16" t="n"/>
      <c r="S296" s="16" t="n"/>
      <c r="T296" s="16" t="n">
        <v>1</v>
      </c>
    </row>
    <row r="297" s="103">
      <c r="A297" s="16" t="inlineStr">
        <is>
          <t>B331</t>
        </is>
      </c>
      <c r="B297" s="16" t="inlineStr">
        <is>
          <t>上海区域</t>
        </is>
      </c>
      <c r="C297" s="16" t="inlineStr">
        <is>
          <t>CN0Q</t>
        </is>
      </c>
      <c r="D297" s="16" t="inlineStr">
        <is>
          <t>EE 苏州比斯特购物村</t>
        </is>
      </c>
      <c r="E297" s="16" t="n">
        <v>4</v>
      </c>
      <c r="F297" s="16" t="inlineStr">
        <is>
          <t>奥特莱斯</t>
        </is>
      </c>
      <c r="G297" s="16" t="inlineStr">
        <is>
          <t>EEJAG12B1G</t>
        </is>
      </c>
      <c r="H297" s="16" t="n">
        <v>1599</v>
      </c>
      <c r="I297" s="16" t="n">
        <v>1599</v>
      </c>
      <c r="J297" s="17" t="inlineStr">
        <is>
          <t>########</t>
        </is>
      </c>
      <c r="K297" s="16" t="inlineStr">
        <is>
          <t>(39)Ivory</t>
        </is>
      </c>
      <c r="L297" s="16" t="inlineStr">
        <is>
          <t>营业中</t>
        </is>
      </c>
      <c r="M297" s="16" t="inlineStr">
        <is>
          <t>EEJAG12B1G39185</t>
        </is>
      </c>
      <c r="N297" s="16">
        <f>LEFT(M297,12)</f>
        <v/>
      </c>
      <c r="O297" s="16" t="inlineStr">
        <is>
          <t>EEJAG12B1G, (39)Ivory, (185)185</t>
        </is>
      </c>
      <c r="P297" s="16" t="n">
        <v>1599</v>
      </c>
      <c r="Q297" s="16" t="n">
        <v>1599</v>
      </c>
      <c r="R297" s="16" t="n"/>
      <c r="S297" s="16" t="n"/>
      <c r="T297" s="16" t="n">
        <v>1</v>
      </c>
    </row>
    <row r="298" s="103">
      <c r="A298" s="16" t="inlineStr">
        <is>
          <t>B331</t>
        </is>
      </c>
      <c r="B298" s="16" t="inlineStr">
        <is>
          <t>上海区域</t>
        </is>
      </c>
      <c r="C298" s="16" t="inlineStr">
        <is>
          <t>CN0Q</t>
        </is>
      </c>
      <c r="D298" s="16" t="inlineStr">
        <is>
          <t>EE 苏州比斯特购物村</t>
        </is>
      </c>
      <c r="E298" s="16" t="n">
        <v>4</v>
      </c>
      <c r="F298" s="16" t="inlineStr">
        <is>
          <t>奥特莱斯</t>
        </is>
      </c>
      <c r="G298" s="16" t="inlineStr">
        <is>
          <t>EEJAG12B1G</t>
        </is>
      </c>
      <c r="H298" s="16" t="n">
        <v>1599</v>
      </c>
      <c r="I298" s="16" t="n">
        <v>1599</v>
      </c>
      <c r="J298" s="17" t="inlineStr">
        <is>
          <t>########</t>
        </is>
      </c>
      <c r="K298" s="16" t="inlineStr">
        <is>
          <t>(59)Navy</t>
        </is>
      </c>
      <c r="L298" s="16" t="inlineStr">
        <is>
          <t>营业中</t>
        </is>
      </c>
      <c r="M298" s="16" t="inlineStr">
        <is>
          <t>EEJAG12B1G59170</t>
        </is>
      </c>
      <c r="N298" s="16">
        <f>LEFT(M298,12)</f>
        <v/>
      </c>
      <c r="O298" s="16" t="inlineStr">
        <is>
          <t>EEJAG12B1G, (59)Navy, (170)170</t>
        </is>
      </c>
      <c r="P298" s="16" t="n">
        <v>1599</v>
      </c>
      <c r="Q298" s="16" t="n">
        <v>1599</v>
      </c>
      <c r="R298" s="16" t="n"/>
      <c r="S298" s="16" t="n"/>
      <c r="T298" s="16" t="n">
        <v>1</v>
      </c>
    </row>
    <row r="299" s="103">
      <c r="A299" s="16" t="inlineStr">
        <is>
          <t>B331</t>
        </is>
      </c>
      <c r="B299" s="16" t="inlineStr">
        <is>
          <t>上海区域</t>
        </is>
      </c>
      <c r="C299" s="16" t="inlineStr">
        <is>
          <t>CN0Q</t>
        </is>
      </c>
      <c r="D299" s="16" t="inlineStr">
        <is>
          <t>EE 苏州比斯特购物村</t>
        </is>
      </c>
      <c r="E299" s="16" t="n">
        <v>4</v>
      </c>
      <c r="F299" s="16" t="inlineStr">
        <is>
          <t>奥特莱斯</t>
        </is>
      </c>
      <c r="G299" s="16" t="inlineStr">
        <is>
          <t>EEJAG12B1G</t>
        </is>
      </c>
      <c r="H299" s="16" t="n">
        <v>1599</v>
      </c>
      <c r="I299" s="16" t="n">
        <v>1599</v>
      </c>
      <c r="J299" s="17" t="inlineStr">
        <is>
          <t>########</t>
        </is>
      </c>
      <c r="K299" s="16" t="inlineStr">
        <is>
          <t>(59)Navy</t>
        </is>
      </c>
      <c r="L299" s="16" t="inlineStr">
        <is>
          <t>营业中</t>
        </is>
      </c>
      <c r="M299" s="16" t="inlineStr">
        <is>
          <t>EEJAG12B1G59175</t>
        </is>
      </c>
      <c r="N299" s="16">
        <f>LEFT(M299,12)</f>
        <v/>
      </c>
      <c r="O299" s="16" t="inlineStr">
        <is>
          <t>EEJAG12B1G, (59)Navy, (175)175</t>
        </is>
      </c>
      <c r="P299" s="16" t="n">
        <v>1599</v>
      </c>
      <c r="Q299" s="16" t="n">
        <v>1599</v>
      </c>
      <c r="R299" s="16" t="n"/>
      <c r="S299" s="16" t="n"/>
      <c r="T299" s="16" t="n">
        <v>3</v>
      </c>
    </row>
    <row r="300" s="103">
      <c r="A300" s="16" t="inlineStr">
        <is>
          <t>B331</t>
        </is>
      </c>
      <c r="B300" s="16" t="inlineStr">
        <is>
          <t>上海区域</t>
        </is>
      </c>
      <c r="C300" s="16" t="inlineStr">
        <is>
          <t>CN0Q</t>
        </is>
      </c>
      <c r="D300" s="16" t="inlineStr">
        <is>
          <t>EE 苏州比斯特购物村</t>
        </is>
      </c>
      <c r="E300" s="16" t="n">
        <v>4</v>
      </c>
      <c r="F300" s="16" t="inlineStr">
        <is>
          <t>奥特莱斯</t>
        </is>
      </c>
      <c r="G300" s="16" t="inlineStr">
        <is>
          <t>EEJAG12B1G</t>
        </is>
      </c>
      <c r="H300" s="16" t="n">
        <v>1599</v>
      </c>
      <c r="I300" s="16" t="n">
        <v>1599</v>
      </c>
      <c r="J300" s="17" t="inlineStr">
        <is>
          <t>########</t>
        </is>
      </c>
      <c r="K300" s="16" t="inlineStr">
        <is>
          <t>(59)Navy</t>
        </is>
      </c>
      <c r="L300" s="16" t="inlineStr">
        <is>
          <t>营业中</t>
        </is>
      </c>
      <c r="M300" s="16" t="inlineStr">
        <is>
          <t>EEJAG12B1G59180</t>
        </is>
      </c>
      <c r="N300" s="16">
        <f>LEFT(M300,12)</f>
        <v/>
      </c>
      <c r="O300" s="16" t="inlineStr">
        <is>
          <t>EEJAG12B1G, (59)Navy, (180)180</t>
        </is>
      </c>
      <c r="P300" s="16" t="n">
        <v>1599</v>
      </c>
      <c r="Q300" s="16" t="n">
        <v>1599</v>
      </c>
      <c r="R300" s="16" t="n"/>
      <c r="S300" s="16" t="n"/>
      <c r="T300" s="16" t="n">
        <v>3</v>
      </c>
    </row>
    <row r="301" s="103">
      <c r="A301" s="16" t="inlineStr">
        <is>
          <t>B331</t>
        </is>
      </c>
      <c r="B301" s="16" t="inlineStr">
        <is>
          <t>上海区域</t>
        </is>
      </c>
      <c r="C301" s="16" t="inlineStr">
        <is>
          <t>CN0Q</t>
        </is>
      </c>
      <c r="D301" s="16" t="inlineStr">
        <is>
          <t>EE 苏州比斯特购物村</t>
        </is>
      </c>
      <c r="E301" s="16" t="n">
        <v>4</v>
      </c>
      <c r="F301" s="16" t="inlineStr">
        <is>
          <t>奥特莱斯</t>
        </is>
      </c>
      <c r="G301" s="16" t="inlineStr">
        <is>
          <t>EEJAG12B1G</t>
        </is>
      </c>
      <c r="H301" s="16" t="n">
        <v>1599</v>
      </c>
      <c r="I301" s="16" t="n">
        <v>1599</v>
      </c>
      <c r="J301" s="17" t="inlineStr">
        <is>
          <t>########</t>
        </is>
      </c>
      <c r="K301" s="16" t="inlineStr">
        <is>
          <t>(59)Navy</t>
        </is>
      </c>
      <c r="L301" s="16" t="inlineStr">
        <is>
          <t>营业中</t>
        </is>
      </c>
      <c r="M301" s="16" t="inlineStr">
        <is>
          <t>EEJAG12B1G59185</t>
        </is>
      </c>
      <c r="N301" s="16">
        <f>LEFT(M301,12)</f>
        <v/>
      </c>
      <c r="O301" s="16" t="inlineStr">
        <is>
          <t>EEJAG12B1G, (59)Navy, (185)185</t>
        </is>
      </c>
      <c r="P301" s="16" t="n">
        <v>1599</v>
      </c>
      <c r="Q301" s="16" t="n">
        <v>1599</v>
      </c>
      <c r="R301" s="16" t="n"/>
      <c r="S301" s="16" t="n"/>
      <c r="T301" s="16" t="n">
        <v>1</v>
      </c>
    </row>
    <row r="302" s="103">
      <c r="A302" s="16" t="inlineStr">
        <is>
          <t>B331</t>
        </is>
      </c>
      <c r="B302" s="16" t="inlineStr">
        <is>
          <t>上海区域</t>
        </is>
      </c>
      <c r="C302" s="16" t="inlineStr">
        <is>
          <t>CN0Q</t>
        </is>
      </c>
      <c r="D302" s="16" t="inlineStr">
        <is>
          <t>EE 苏州比斯特购物村</t>
        </is>
      </c>
      <c r="E302" s="16" t="n">
        <v>4</v>
      </c>
      <c r="F302" s="16" t="inlineStr">
        <is>
          <t>奥特莱斯</t>
        </is>
      </c>
      <c r="G302" s="16" t="inlineStr">
        <is>
          <t>EEJAG12E1G</t>
        </is>
      </c>
      <c r="H302" s="16" t="n">
        <v>1299</v>
      </c>
      <c r="I302" s="16" t="n">
        <v>1299</v>
      </c>
      <c r="J302" s="17" t="n">
        <v>46027</v>
      </c>
      <c r="K302" s="16" t="inlineStr">
        <is>
          <t>(39)Ivory</t>
        </is>
      </c>
      <c r="L302" s="16" t="inlineStr">
        <is>
          <t>营业中</t>
        </is>
      </c>
      <c r="M302" s="16" t="inlineStr">
        <is>
          <t>EEJAG12E1G39170</t>
        </is>
      </c>
      <c r="N302" s="16">
        <f>LEFT(M302,12)</f>
        <v/>
      </c>
      <c r="O302" s="16" t="inlineStr">
        <is>
          <t>EEJAG12E1G, (39)Ivory, (170)170</t>
        </is>
      </c>
      <c r="P302" s="16" t="n">
        <v>1299</v>
      </c>
      <c r="Q302" s="16" t="n">
        <v>1299</v>
      </c>
      <c r="R302" s="16" t="n"/>
      <c r="S302" s="16" t="n"/>
      <c r="T302" s="16" t="n">
        <v>3</v>
      </c>
    </row>
    <row r="303" s="103">
      <c r="A303" s="16" t="inlineStr">
        <is>
          <t>B331</t>
        </is>
      </c>
      <c r="B303" s="16" t="inlineStr">
        <is>
          <t>上海区域</t>
        </is>
      </c>
      <c r="C303" s="16" t="inlineStr">
        <is>
          <t>CN0Q</t>
        </is>
      </c>
      <c r="D303" s="16" t="inlineStr">
        <is>
          <t>EE 苏州比斯特购物村</t>
        </is>
      </c>
      <c r="E303" s="16" t="n">
        <v>4</v>
      </c>
      <c r="F303" s="16" t="inlineStr">
        <is>
          <t>奥特莱斯</t>
        </is>
      </c>
      <c r="G303" s="16" t="inlineStr">
        <is>
          <t>EEJAG12E1G</t>
        </is>
      </c>
      <c r="H303" s="16" t="n">
        <v>1299</v>
      </c>
      <c r="I303" s="16" t="n">
        <v>1299</v>
      </c>
      <c r="J303" s="17" t="n">
        <v>46027</v>
      </c>
      <c r="K303" s="16" t="inlineStr">
        <is>
          <t>(39)Ivory</t>
        </is>
      </c>
      <c r="L303" s="16" t="inlineStr">
        <is>
          <t>营业中</t>
        </is>
      </c>
      <c r="M303" s="16" t="inlineStr">
        <is>
          <t>EEJAG12E1G39175</t>
        </is>
      </c>
      <c r="N303" s="16">
        <f>LEFT(M303,12)</f>
        <v/>
      </c>
      <c r="O303" s="16" t="inlineStr">
        <is>
          <t>EEJAG12E1G, (39)Ivory, (175)175</t>
        </is>
      </c>
      <c r="P303" s="16" t="n">
        <v>1299</v>
      </c>
      <c r="Q303" s="16" t="n">
        <v>1299</v>
      </c>
      <c r="R303" s="16" t="n"/>
      <c r="S303" s="16" t="n"/>
      <c r="T303" s="16" t="n">
        <v>3</v>
      </c>
    </row>
    <row r="304" s="103">
      <c r="A304" s="16" t="inlineStr">
        <is>
          <t>B331</t>
        </is>
      </c>
      <c r="B304" s="16" t="inlineStr">
        <is>
          <t>上海区域</t>
        </is>
      </c>
      <c r="C304" s="16" t="inlineStr">
        <is>
          <t>CN0Q</t>
        </is>
      </c>
      <c r="D304" s="16" t="inlineStr">
        <is>
          <t>EE 苏州比斯特购物村</t>
        </is>
      </c>
      <c r="E304" s="16" t="n">
        <v>4</v>
      </c>
      <c r="F304" s="16" t="inlineStr">
        <is>
          <t>奥特莱斯</t>
        </is>
      </c>
      <c r="G304" s="16" t="inlineStr">
        <is>
          <t>EEJAG12E1G</t>
        </is>
      </c>
      <c r="H304" s="16" t="n">
        <v>1299</v>
      </c>
      <c r="I304" s="16" t="n">
        <v>1299</v>
      </c>
      <c r="J304" s="17" t="n">
        <v>46027</v>
      </c>
      <c r="K304" s="16" t="inlineStr">
        <is>
          <t>(39)Ivory</t>
        </is>
      </c>
      <c r="L304" s="16" t="inlineStr">
        <is>
          <t>营业中</t>
        </is>
      </c>
      <c r="M304" s="16" t="inlineStr">
        <is>
          <t>EEJAG12E1G39180</t>
        </is>
      </c>
      <c r="N304" s="16">
        <f>LEFT(M304,12)</f>
        <v/>
      </c>
      <c r="O304" s="16" t="inlineStr">
        <is>
          <t>EEJAG12E1G, (39)Ivory, (180)180</t>
        </is>
      </c>
      <c r="P304" s="16" t="n">
        <v>1299</v>
      </c>
      <c r="Q304" s="16" t="n">
        <v>1299</v>
      </c>
      <c r="R304" s="16" t="n"/>
      <c r="S304" s="16" t="n"/>
      <c r="T304" s="16" t="n">
        <v>3</v>
      </c>
    </row>
    <row r="305" s="103">
      <c r="A305" s="16" t="inlineStr">
        <is>
          <t>B331</t>
        </is>
      </c>
      <c r="B305" s="16" t="inlineStr">
        <is>
          <t>上海区域</t>
        </is>
      </c>
      <c r="C305" s="16" t="inlineStr">
        <is>
          <t>CN0Q</t>
        </is>
      </c>
      <c r="D305" s="16" t="inlineStr">
        <is>
          <t>EE 苏州比斯特购物村</t>
        </is>
      </c>
      <c r="E305" s="16" t="n">
        <v>4</v>
      </c>
      <c r="F305" s="16" t="inlineStr">
        <is>
          <t>奥特莱斯</t>
        </is>
      </c>
      <c r="G305" s="16" t="inlineStr">
        <is>
          <t>EEJAG12E1G</t>
        </is>
      </c>
      <c r="H305" s="16" t="n">
        <v>1299</v>
      </c>
      <c r="I305" s="16" t="n">
        <v>1299</v>
      </c>
      <c r="J305" s="17" t="n">
        <v>46027</v>
      </c>
      <c r="K305" s="16" t="inlineStr">
        <is>
          <t>(39)Ivory</t>
        </is>
      </c>
      <c r="L305" s="16" t="inlineStr">
        <is>
          <t>营业中</t>
        </is>
      </c>
      <c r="M305" s="16" t="inlineStr">
        <is>
          <t>EEJAG12E1G39185</t>
        </is>
      </c>
      <c r="N305" s="16">
        <f>LEFT(M305,12)</f>
        <v/>
      </c>
      <c r="O305" s="16" t="inlineStr">
        <is>
          <t>EEJAG12E1G, (39)Ivory, (185)185</t>
        </is>
      </c>
      <c r="P305" s="16" t="n">
        <v>1299</v>
      </c>
      <c r="Q305" s="16" t="n">
        <v>1299</v>
      </c>
      <c r="R305" s="16" t="n"/>
      <c r="S305" s="16" t="n"/>
      <c r="T305" s="16" t="n">
        <v>3</v>
      </c>
    </row>
    <row r="306" s="103">
      <c r="A306" s="16" t="inlineStr">
        <is>
          <t>B331</t>
        </is>
      </c>
      <c r="B306" s="16" t="inlineStr">
        <is>
          <t>上海区域</t>
        </is>
      </c>
      <c r="C306" s="16" t="inlineStr">
        <is>
          <t>CN0Q</t>
        </is>
      </c>
      <c r="D306" s="16" t="inlineStr">
        <is>
          <t>EE 苏州比斯特购物村</t>
        </is>
      </c>
      <c r="E306" s="16" t="n">
        <v>4</v>
      </c>
      <c r="F306" s="16" t="inlineStr">
        <is>
          <t>奥特莱斯</t>
        </is>
      </c>
      <c r="G306" s="16" t="inlineStr">
        <is>
          <t>EEJAG12E1G</t>
        </is>
      </c>
      <c r="H306" s="16" t="n">
        <v>1299</v>
      </c>
      <c r="I306" s="16" t="n">
        <v>1299</v>
      </c>
      <c r="J306" s="17" t="n">
        <v>46027</v>
      </c>
      <c r="K306" s="16" t="inlineStr">
        <is>
          <t>(49)Khaki</t>
        </is>
      </c>
      <c r="L306" s="16" t="inlineStr">
        <is>
          <t>营业中</t>
        </is>
      </c>
      <c r="M306" s="16" t="inlineStr">
        <is>
          <t>EEJAG12E1G49170</t>
        </is>
      </c>
      <c r="N306" s="16">
        <f>LEFT(M306,12)</f>
        <v/>
      </c>
      <c r="O306" s="16" t="inlineStr">
        <is>
          <t>EEJAG12E1G, (49)Khaki, (170)170</t>
        </is>
      </c>
      <c r="P306" s="16" t="n">
        <v>1299</v>
      </c>
      <c r="Q306" s="16" t="n">
        <v>1299</v>
      </c>
      <c r="R306" s="16" t="n"/>
      <c r="S306" s="16" t="n"/>
      <c r="T306" s="16" t="n">
        <v>3</v>
      </c>
    </row>
    <row r="307" s="103">
      <c r="A307" s="16" t="inlineStr">
        <is>
          <t>B331</t>
        </is>
      </c>
      <c r="B307" s="16" t="inlineStr">
        <is>
          <t>上海区域</t>
        </is>
      </c>
      <c r="C307" s="16" t="inlineStr">
        <is>
          <t>CN0Q</t>
        </is>
      </c>
      <c r="D307" s="16" t="inlineStr">
        <is>
          <t>EE 苏州比斯特购物村</t>
        </is>
      </c>
      <c r="E307" s="16" t="n">
        <v>4</v>
      </c>
      <c r="F307" s="16" t="inlineStr">
        <is>
          <t>奥特莱斯</t>
        </is>
      </c>
      <c r="G307" s="16" t="inlineStr">
        <is>
          <t>EEJAG12E1G</t>
        </is>
      </c>
      <c r="H307" s="16" t="n">
        <v>1299</v>
      </c>
      <c r="I307" s="16" t="n">
        <v>1299</v>
      </c>
      <c r="J307" s="17" t="n">
        <v>46027</v>
      </c>
      <c r="K307" s="16" t="inlineStr">
        <is>
          <t>(49)Khaki</t>
        </is>
      </c>
      <c r="L307" s="16" t="inlineStr">
        <is>
          <t>营业中</t>
        </is>
      </c>
      <c r="M307" s="16" t="inlineStr">
        <is>
          <t>EEJAG12E1G49175</t>
        </is>
      </c>
      <c r="N307" s="16">
        <f>LEFT(M307,12)</f>
        <v/>
      </c>
      <c r="O307" s="16" t="inlineStr">
        <is>
          <t>EEJAG12E1G, (49)Khaki, (175)175</t>
        </is>
      </c>
      <c r="P307" s="16" t="n">
        <v>1299</v>
      </c>
      <c r="Q307" s="16" t="n">
        <v>1299</v>
      </c>
      <c r="R307" s="16" t="n"/>
      <c r="S307" s="16" t="n"/>
      <c r="T307" s="16" t="n">
        <v>3</v>
      </c>
    </row>
    <row r="308" s="103">
      <c r="A308" s="16" t="inlineStr">
        <is>
          <t>B331</t>
        </is>
      </c>
      <c r="B308" s="16" t="inlineStr">
        <is>
          <t>上海区域</t>
        </is>
      </c>
      <c r="C308" s="16" t="inlineStr">
        <is>
          <t>CN0Q</t>
        </is>
      </c>
      <c r="D308" s="16" t="inlineStr">
        <is>
          <t>EE 苏州比斯特购物村</t>
        </is>
      </c>
      <c r="E308" s="16" t="n">
        <v>4</v>
      </c>
      <c r="F308" s="16" t="inlineStr">
        <is>
          <t>奥特莱斯</t>
        </is>
      </c>
      <c r="G308" s="16" t="inlineStr">
        <is>
          <t>EEJAG12E1G</t>
        </is>
      </c>
      <c r="H308" s="16" t="n">
        <v>1299</v>
      </c>
      <c r="I308" s="16" t="n">
        <v>1299</v>
      </c>
      <c r="J308" s="17" t="n">
        <v>46027</v>
      </c>
      <c r="K308" s="16" t="inlineStr">
        <is>
          <t>(49)Khaki</t>
        </is>
      </c>
      <c r="L308" s="16" t="inlineStr">
        <is>
          <t>营业中</t>
        </is>
      </c>
      <c r="M308" s="16" t="inlineStr">
        <is>
          <t>EEJAG12E1G49180</t>
        </is>
      </c>
      <c r="N308" s="16">
        <f>LEFT(M308,12)</f>
        <v/>
      </c>
      <c r="O308" s="16" t="inlineStr">
        <is>
          <t>EEJAG12E1G, (49)Khaki, (180)180</t>
        </is>
      </c>
      <c r="P308" s="16" t="n">
        <v>1299</v>
      </c>
      <c r="Q308" s="16" t="n">
        <v>1299</v>
      </c>
      <c r="R308" s="16" t="n"/>
      <c r="S308" s="16" t="n"/>
      <c r="T308" s="16" t="n">
        <v>3</v>
      </c>
    </row>
    <row r="309" s="103">
      <c r="A309" s="16" t="inlineStr">
        <is>
          <t>B331</t>
        </is>
      </c>
      <c r="B309" s="16" t="inlineStr">
        <is>
          <t>上海区域</t>
        </is>
      </c>
      <c r="C309" s="16" t="inlineStr">
        <is>
          <t>CN0Q</t>
        </is>
      </c>
      <c r="D309" s="16" t="inlineStr">
        <is>
          <t>EE 苏州比斯特购物村</t>
        </is>
      </c>
      <c r="E309" s="16" t="n">
        <v>4</v>
      </c>
      <c r="F309" s="16" t="inlineStr">
        <is>
          <t>奥特莱斯</t>
        </is>
      </c>
      <c r="G309" s="16" t="inlineStr">
        <is>
          <t>EEJAG12E1G</t>
        </is>
      </c>
      <c r="H309" s="16" t="n">
        <v>1299</v>
      </c>
      <c r="I309" s="16" t="n">
        <v>1299</v>
      </c>
      <c r="J309" s="17" t="n">
        <v>46027</v>
      </c>
      <c r="K309" s="16" t="inlineStr">
        <is>
          <t>(49)Khaki</t>
        </is>
      </c>
      <c r="L309" s="16" t="inlineStr">
        <is>
          <t>营业中</t>
        </is>
      </c>
      <c r="M309" s="16" t="inlineStr">
        <is>
          <t>EEJAG12E1G49185</t>
        </is>
      </c>
      <c r="N309" s="16">
        <f>LEFT(M309,12)</f>
        <v/>
      </c>
      <c r="O309" s="16" t="inlineStr">
        <is>
          <t>EEJAG12E1G, (49)Khaki, (185)185</t>
        </is>
      </c>
      <c r="P309" s="16" t="n">
        <v>1299</v>
      </c>
      <c r="Q309" s="16" t="n">
        <v>1299</v>
      </c>
      <c r="R309" s="16" t="n"/>
      <c r="S309" s="16" t="n"/>
      <c r="T309" s="16" t="n">
        <v>3</v>
      </c>
    </row>
    <row r="310" s="103">
      <c r="A310" s="16" t="inlineStr">
        <is>
          <t>B331</t>
        </is>
      </c>
      <c r="B310" s="16" t="inlineStr">
        <is>
          <t>上海区域</t>
        </is>
      </c>
      <c r="C310" s="16" t="inlineStr">
        <is>
          <t>CN0Q</t>
        </is>
      </c>
      <c r="D310" s="16" t="inlineStr">
        <is>
          <t>EE 苏州比斯特购物村</t>
        </is>
      </c>
      <c r="E310" s="16" t="n">
        <v>4</v>
      </c>
      <c r="F310" s="16" t="inlineStr">
        <is>
          <t>奥特莱斯</t>
        </is>
      </c>
      <c r="G310" s="16" t="inlineStr">
        <is>
          <t>EEJAG12E2G</t>
        </is>
      </c>
      <c r="H310" s="16" t="n">
        <v>1599</v>
      </c>
      <c r="I310" s="16" t="n">
        <v>1599</v>
      </c>
      <c r="J310" s="17" t="n">
        <v>46027</v>
      </c>
      <c r="K310" s="16" t="inlineStr">
        <is>
          <t>(36)L/Beige</t>
        </is>
      </c>
      <c r="L310" s="16" t="inlineStr">
        <is>
          <t>营业中</t>
        </is>
      </c>
      <c r="M310" s="16" t="inlineStr">
        <is>
          <t>EEJAG12E2G36170</t>
        </is>
      </c>
      <c r="N310" s="16">
        <f>LEFT(M310,12)</f>
        <v/>
      </c>
      <c r="O310" s="16" t="inlineStr">
        <is>
          <t>EEJAG12E2G, (36)L/Beige, (170)170</t>
        </is>
      </c>
      <c r="P310" s="16" t="n">
        <v>1599</v>
      </c>
      <c r="Q310" s="16" t="n">
        <v>1599</v>
      </c>
      <c r="R310" s="16" t="n"/>
      <c r="S310" s="16" t="n"/>
      <c r="T310" s="16" t="n">
        <v>2</v>
      </c>
    </row>
    <row r="311" s="103">
      <c r="A311" s="16" t="inlineStr">
        <is>
          <t>B331</t>
        </is>
      </c>
      <c r="B311" s="16" t="inlineStr">
        <is>
          <t>上海区域</t>
        </is>
      </c>
      <c r="C311" s="16" t="inlineStr">
        <is>
          <t>CN0Q</t>
        </is>
      </c>
      <c r="D311" s="16" t="inlineStr">
        <is>
          <t>EE 苏州比斯特购物村</t>
        </is>
      </c>
      <c r="E311" s="16" t="n">
        <v>4</v>
      </c>
      <c r="F311" s="16" t="inlineStr">
        <is>
          <t>奥特莱斯</t>
        </is>
      </c>
      <c r="G311" s="16" t="inlineStr">
        <is>
          <t>EEJAG12E2G</t>
        </is>
      </c>
      <c r="H311" s="16" t="n">
        <v>1599</v>
      </c>
      <c r="I311" s="16" t="n">
        <v>1599</v>
      </c>
      <c r="J311" s="17" t="n">
        <v>46027</v>
      </c>
      <c r="K311" s="16" t="inlineStr">
        <is>
          <t>(36)L/Beige</t>
        </is>
      </c>
      <c r="L311" s="16" t="inlineStr">
        <is>
          <t>营业中</t>
        </is>
      </c>
      <c r="M311" s="16" t="inlineStr">
        <is>
          <t>EEJAG12E2G36175</t>
        </is>
      </c>
      <c r="N311" s="16">
        <f>LEFT(M311,12)</f>
        <v/>
      </c>
      <c r="O311" s="16" t="inlineStr">
        <is>
          <t>EEJAG12E2G, (36)L/Beige, (175)175</t>
        </is>
      </c>
      <c r="P311" s="16" t="n">
        <v>1599</v>
      </c>
      <c r="Q311" s="16" t="n">
        <v>1599</v>
      </c>
      <c r="R311" s="16" t="n"/>
      <c r="S311" s="16" t="n"/>
      <c r="T311" s="16" t="n">
        <v>2</v>
      </c>
    </row>
    <row r="312" s="103">
      <c r="A312" s="16" t="inlineStr">
        <is>
          <t>B331</t>
        </is>
      </c>
      <c r="B312" s="16" t="inlineStr">
        <is>
          <t>上海区域</t>
        </is>
      </c>
      <c r="C312" s="16" t="inlineStr">
        <is>
          <t>CN0Q</t>
        </is>
      </c>
      <c r="D312" s="16" t="inlineStr">
        <is>
          <t>EE 苏州比斯特购物村</t>
        </is>
      </c>
      <c r="E312" s="16" t="n">
        <v>4</v>
      </c>
      <c r="F312" s="16" t="inlineStr">
        <is>
          <t>奥特莱斯</t>
        </is>
      </c>
      <c r="G312" s="16" t="inlineStr">
        <is>
          <t>EEJAG12E2G</t>
        </is>
      </c>
      <c r="H312" s="16" t="n">
        <v>1599</v>
      </c>
      <c r="I312" s="16" t="n">
        <v>1599</v>
      </c>
      <c r="J312" s="17" t="n">
        <v>46027</v>
      </c>
      <c r="K312" s="16" t="inlineStr">
        <is>
          <t>(36)L/Beige</t>
        </is>
      </c>
      <c r="L312" s="16" t="inlineStr">
        <is>
          <t>营业中</t>
        </is>
      </c>
      <c r="M312" s="16" t="inlineStr">
        <is>
          <t>EEJAG12E2G36180</t>
        </is>
      </c>
      <c r="N312" s="16">
        <f>LEFT(M312,12)</f>
        <v/>
      </c>
      <c r="O312" s="16" t="inlineStr">
        <is>
          <t>EEJAG12E2G, (36)L/Beige, (180)180</t>
        </is>
      </c>
      <c r="P312" s="16" t="n">
        <v>1599</v>
      </c>
      <c r="Q312" s="16" t="n">
        <v>1599</v>
      </c>
      <c r="R312" s="16" t="n"/>
      <c r="S312" s="16" t="n"/>
      <c r="T312" s="16" t="n">
        <v>2</v>
      </c>
    </row>
    <row r="313" s="103">
      <c r="A313" s="16" t="inlineStr">
        <is>
          <t>B331</t>
        </is>
      </c>
      <c r="B313" s="16" t="inlineStr">
        <is>
          <t>上海区域</t>
        </is>
      </c>
      <c r="C313" s="16" t="inlineStr">
        <is>
          <t>CN0Q</t>
        </is>
      </c>
      <c r="D313" s="16" t="inlineStr">
        <is>
          <t>EE 苏州比斯特购物村</t>
        </is>
      </c>
      <c r="E313" s="16" t="n">
        <v>4</v>
      </c>
      <c r="F313" s="16" t="inlineStr">
        <is>
          <t>奥特莱斯</t>
        </is>
      </c>
      <c r="G313" s="16" t="inlineStr">
        <is>
          <t>EEJAG12E2G</t>
        </is>
      </c>
      <c r="H313" s="16" t="n">
        <v>1599</v>
      </c>
      <c r="I313" s="16" t="n">
        <v>1599</v>
      </c>
      <c r="J313" s="17" t="n">
        <v>46027</v>
      </c>
      <c r="K313" s="16" t="inlineStr">
        <is>
          <t>(36)L/Beige</t>
        </is>
      </c>
      <c r="L313" s="16" t="inlineStr">
        <is>
          <t>营业中</t>
        </is>
      </c>
      <c r="M313" s="16" t="inlineStr">
        <is>
          <t>EEJAG12E2G36185</t>
        </is>
      </c>
      <c r="N313" s="16">
        <f>LEFT(M313,12)</f>
        <v/>
      </c>
      <c r="O313" s="16" t="inlineStr">
        <is>
          <t>EEJAG12E2G, (36)L/Beige, (185)185</t>
        </is>
      </c>
      <c r="P313" s="16" t="n">
        <v>1599</v>
      </c>
      <c r="Q313" s="16" t="n">
        <v>1599</v>
      </c>
      <c r="R313" s="16" t="n"/>
      <c r="S313" s="16" t="n"/>
      <c r="T313" s="16" t="n">
        <v>1</v>
      </c>
    </row>
    <row r="314" s="103">
      <c r="A314" s="16" t="inlineStr">
        <is>
          <t>B331</t>
        </is>
      </c>
      <c r="B314" s="16" t="inlineStr">
        <is>
          <t>上海区域</t>
        </is>
      </c>
      <c r="C314" s="16" t="inlineStr">
        <is>
          <t>CN0Q</t>
        </is>
      </c>
      <c r="D314" s="16" t="inlineStr">
        <is>
          <t>EE 苏州比斯特购物村</t>
        </is>
      </c>
      <c r="E314" s="16" t="n">
        <v>4</v>
      </c>
      <c r="F314" s="16" t="inlineStr">
        <is>
          <t>奥特莱斯</t>
        </is>
      </c>
      <c r="G314" s="16" t="inlineStr">
        <is>
          <t>EEJAG12E2G</t>
        </is>
      </c>
      <c r="H314" s="16" t="n">
        <v>1599</v>
      </c>
      <c r="I314" s="16" t="n">
        <v>1599</v>
      </c>
      <c r="J314" s="17" t="n">
        <v>46027</v>
      </c>
      <c r="K314" s="16" t="inlineStr">
        <is>
          <t>(59)Navy</t>
        </is>
      </c>
      <c r="L314" s="16" t="inlineStr">
        <is>
          <t>营业中</t>
        </is>
      </c>
      <c r="M314" s="16" t="inlineStr">
        <is>
          <t>EEJAG12E2G59170</t>
        </is>
      </c>
      <c r="N314" s="16">
        <f>LEFT(M314,12)</f>
        <v/>
      </c>
      <c r="O314" s="16" t="inlineStr">
        <is>
          <t>EEJAG12E2G, (59)Navy, (170)170</t>
        </is>
      </c>
      <c r="P314" s="16" t="n">
        <v>1599</v>
      </c>
      <c r="Q314" s="16" t="n">
        <v>1599</v>
      </c>
      <c r="R314" s="16" t="n"/>
      <c r="S314" s="16" t="n"/>
      <c r="T314" s="16" t="n">
        <v>2</v>
      </c>
    </row>
    <row r="315" s="103">
      <c r="A315" s="16" t="inlineStr">
        <is>
          <t>B331</t>
        </is>
      </c>
      <c r="B315" s="16" t="inlineStr">
        <is>
          <t>上海区域</t>
        </is>
      </c>
      <c r="C315" s="16" t="inlineStr">
        <is>
          <t>CN0Q</t>
        </is>
      </c>
      <c r="D315" s="16" t="inlineStr">
        <is>
          <t>EE 苏州比斯特购物村</t>
        </is>
      </c>
      <c r="E315" s="16" t="n">
        <v>4</v>
      </c>
      <c r="F315" s="16" t="inlineStr">
        <is>
          <t>奥特莱斯</t>
        </is>
      </c>
      <c r="G315" s="16" t="inlineStr">
        <is>
          <t>EEJAG12E2G</t>
        </is>
      </c>
      <c r="H315" s="16" t="n">
        <v>1599</v>
      </c>
      <c r="I315" s="16" t="n">
        <v>1599</v>
      </c>
      <c r="J315" s="17" t="n">
        <v>46027</v>
      </c>
      <c r="K315" s="16" t="inlineStr">
        <is>
          <t>(59)Navy</t>
        </is>
      </c>
      <c r="L315" s="16" t="inlineStr">
        <is>
          <t>营业中</t>
        </is>
      </c>
      <c r="M315" s="16" t="inlineStr">
        <is>
          <t>EEJAG12E2G59175</t>
        </is>
      </c>
      <c r="N315" s="16">
        <f>LEFT(M315,12)</f>
        <v/>
      </c>
      <c r="O315" s="16" t="inlineStr">
        <is>
          <t>EEJAG12E2G, (59)Navy, (175)175</t>
        </is>
      </c>
      <c r="P315" s="16" t="n">
        <v>1599</v>
      </c>
      <c r="Q315" s="16" t="n">
        <v>1599</v>
      </c>
      <c r="R315" s="16" t="n"/>
      <c r="S315" s="16" t="n"/>
      <c r="T315" s="16" t="n">
        <v>2</v>
      </c>
    </row>
    <row r="316" s="103">
      <c r="A316" s="16" t="inlineStr">
        <is>
          <t>B331</t>
        </is>
      </c>
      <c r="B316" s="16" t="inlineStr">
        <is>
          <t>上海区域</t>
        </is>
      </c>
      <c r="C316" s="16" t="inlineStr">
        <is>
          <t>CN0Q</t>
        </is>
      </c>
      <c r="D316" s="16" t="inlineStr">
        <is>
          <t>EE 苏州比斯特购物村</t>
        </is>
      </c>
      <c r="E316" s="16" t="n">
        <v>4</v>
      </c>
      <c r="F316" s="16" t="inlineStr">
        <is>
          <t>奥特莱斯</t>
        </is>
      </c>
      <c r="G316" s="16" t="inlineStr">
        <is>
          <t>EEJAG12E2G</t>
        </is>
      </c>
      <c r="H316" s="16" t="n">
        <v>1599</v>
      </c>
      <c r="I316" s="16" t="n">
        <v>1599</v>
      </c>
      <c r="J316" s="17" t="n">
        <v>46027</v>
      </c>
      <c r="K316" s="16" t="inlineStr">
        <is>
          <t>(59)Navy</t>
        </is>
      </c>
      <c r="L316" s="16" t="inlineStr">
        <is>
          <t>营业中</t>
        </is>
      </c>
      <c r="M316" s="16" t="inlineStr">
        <is>
          <t>EEJAG12E2G59180</t>
        </is>
      </c>
      <c r="N316" s="16">
        <f>LEFT(M316,12)</f>
        <v/>
      </c>
      <c r="O316" s="16" t="inlineStr">
        <is>
          <t>EEJAG12E2G, (59)Navy, (180)180</t>
        </is>
      </c>
      <c r="P316" s="16" t="n">
        <v>1599</v>
      </c>
      <c r="Q316" s="16" t="n">
        <v>1599</v>
      </c>
      <c r="R316" s="16" t="n"/>
      <c r="S316" s="16" t="n"/>
      <c r="T316" s="16" t="n">
        <v>2</v>
      </c>
    </row>
    <row r="317" s="103">
      <c r="A317" s="16" t="inlineStr">
        <is>
          <t>B331</t>
        </is>
      </c>
      <c r="B317" s="16" t="inlineStr">
        <is>
          <t>上海区域</t>
        </is>
      </c>
      <c r="C317" s="16" t="inlineStr">
        <is>
          <t>CN0Q</t>
        </is>
      </c>
      <c r="D317" s="16" t="inlineStr">
        <is>
          <t>EE 苏州比斯特购物村</t>
        </is>
      </c>
      <c r="E317" s="16" t="n">
        <v>4</v>
      </c>
      <c r="F317" s="16" t="inlineStr">
        <is>
          <t>奥特莱斯</t>
        </is>
      </c>
      <c r="G317" s="16" t="inlineStr">
        <is>
          <t>EEJAG12E2G</t>
        </is>
      </c>
      <c r="H317" s="16" t="n">
        <v>1599</v>
      </c>
      <c r="I317" s="16" t="n">
        <v>1599</v>
      </c>
      <c r="J317" s="17" t="n">
        <v>46027</v>
      </c>
      <c r="K317" s="16" t="inlineStr">
        <is>
          <t>(59)Navy</t>
        </is>
      </c>
      <c r="L317" s="16" t="inlineStr">
        <is>
          <t>营业中</t>
        </is>
      </c>
      <c r="M317" s="16" t="inlineStr">
        <is>
          <t>EEJAG12E2G59185</t>
        </is>
      </c>
      <c r="N317" s="16">
        <f>LEFT(M317,12)</f>
        <v/>
      </c>
      <c r="O317" s="16" t="inlineStr">
        <is>
          <t>EEJAG12E2G, (59)Navy, (185)185</t>
        </is>
      </c>
      <c r="P317" s="16" t="n">
        <v>1599</v>
      </c>
      <c r="Q317" s="16" t="n">
        <v>1599</v>
      </c>
      <c r="R317" s="16" t="n"/>
      <c r="S317" s="16" t="n"/>
      <c r="T317" s="16" t="n">
        <v>1</v>
      </c>
    </row>
    <row r="318" s="103">
      <c r="A318" s="16" t="inlineStr">
        <is>
          <t>B331</t>
        </is>
      </c>
      <c r="B318" s="16" t="inlineStr">
        <is>
          <t>上海区域</t>
        </is>
      </c>
      <c r="C318" s="16" t="inlineStr">
        <is>
          <t>CN0Q</t>
        </is>
      </c>
      <c r="D318" s="16" t="inlineStr">
        <is>
          <t>EE 苏州比斯特购物村</t>
        </is>
      </c>
      <c r="E318" s="16" t="n">
        <v>4</v>
      </c>
      <c r="F318" s="16" t="inlineStr">
        <is>
          <t>奥特莱斯</t>
        </is>
      </c>
      <c r="G318" s="16" t="inlineStr">
        <is>
          <t>EEJAG23B03</t>
        </is>
      </c>
      <c r="H318" s="16" t="n">
        <v>1599</v>
      </c>
      <c r="I318" s="16" t="n">
        <v>1599</v>
      </c>
      <c r="J318" s="17" t="inlineStr">
        <is>
          <t>########</t>
        </is>
      </c>
      <c r="K318" s="16" t="inlineStr">
        <is>
          <t>(36)L/Beige</t>
        </is>
      </c>
      <c r="L318" s="16" t="inlineStr">
        <is>
          <t>营业中</t>
        </is>
      </c>
      <c r="M318" s="16" t="inlineStr">
        <is>
          <t>EEJAG23B0336160</t>
        </is>
      </c>
      <c r="N318" s="16">
        <f>LEFT(M318,12)</f>
        <v/>
      </c>
      <c r="O318" s="16" t="inlineStr">
        <is>
          <t>EEJAG23B03, (36)L/Beige, (160)160</t>
        </is>
      </c>
      <c r="P318" s="16" t="n">
        <v>1599</v>
      </c>
      <c r="Q318" s="16" t="n">
        <v>1599</v>
      </c>
      <c r="R318" s="16" t="n"/>
      <c r="S318" s="16" t="n"/>
      <c r="T318" s="16" t="n">
        <v>2</v>
      </c>
    </row>
    <row r="319" s="103">
      <c r="A319" s="16" t="inlineStr">
        <is>
          <t>B331</t>
        </is>
      </c>
      <c r="B319" s="16" t="inlineStr">
        <is>
          <t>上海区域</t>
        </is>
      </c>
      <c r="C319" s="16" t="inlineStr">
        <is>
          <t>CN0Q</t>
        </is>
      </c>
      <c r="D319" s="16" t="inlineStr">
        <is>
          <t>EE 苏州比斯特购物村</t>
        </is>
      </c>
      <c r="E319" s="16" t="n">
        <v>4</v>
      </c>
      <c r="F319" s="16" t="inlineStr">
        <is>
          <t>奥特莱斯</t>
        </is>
      </c>
      <c r="G319" s="16" t="inlineStr">
        <is>
          <t>EEJAG23B03</t>
        </is>
      </c>
      <c r="H319" s="16" t="n">
        <v>1599</v>
      </c>
      <c r="I319" s="16" t="n">
        <v>1599</v>
      </c>
      <c r="J319" s="17" t="inlineStr">
        <is>
          <t>########</t>
        </is>
      </c>
      <c r="K319" s="16" t="inlineStr">
        <is>
          <t>(36)L/Beige</t>
        </is>
      </c>
      <c r="L319" s="16" t="inlineStr">
        <is>
          <t>营业中</t>
        </is>
      </c>
      <c r="M319" s="16" t="inlineStr">
        <is>
          <t>EEJAG23B0336165</t>
        </is>
      </c>
      <c r="N319" s="16">
        <f>LEFT(M319,12)</f>
        <v/>
      </c>
      <c r="O319" s="16" t="inlineStr">
        <is>
          <t>EEJAG23B03, (36)L/Beige, (165)165</t>
        </is>
      </c>
      <c r="P319" s="16" t="n">
        <v>1599</v>
      </c>
      <c r="Q319" s="16" t="n">
        <v>1599</v>
      </c>
      <c r="R319" s="16" t="n"/>
      <c r="S319" s="16" t="n"/>
      <c r="T319" s="16" t="n">
        <v>2</v>
      </c>
    </row>
    <row r="320" s="103">
      <c r="A320" s="16" t="inlineStr">
        <is>
          <t>B331</t>
        </is>
      </c>
      <c r="B320" s="16" t="inlineStr">
        <is>
          <t>上海区域</t>
        </is>
      </c>
      <c r="C320" s="16" t="inlineStr">
        <is>
          <t>CN0Q</t>
        </is>
      </c>
      <c r="D320" s="16" t="inlineStr">
        <is>
          <t>EE 苏州比斯特购物村</t>
        </is>
      </c>
      <c r="E320" s="16" t="n">
        <v>4</v>
      </c>
      <c r="F320" s="16" t="inlineStr">
        <is>
          <t>奥特莱斯</t>
        </is>
      </c>
      <c r="G320" s="16" t="inlineStr">
        <is>
          <t>EEJAG23B03</t>
        </is>
      </c>
      <c r="H320" s="16" t="n">
        <v>1599</v>
      </c>
      <c r="I320" s="16" t="n">
        <v>1599</v>
      </c>
      <c r="J320" s="17" t="inlineStr">
        <is>
          <t>########</t>
        </is>
      </c>
      <c r="K320" s="16" t="inlineStr">
        <is>
          <t>(36)L/Beige</t>
        </is>
      </c>
      <c r="L320" s="16" t="inlineStr">
        <is>
          <t>营业中</t>
        </is>
      </c>
      <c r="M320" s="16" t="inlineStr">
        <is>
          <t>EEJAG23B0336170</t>
        </is>
      </c>
      <c r="N320" s="16">
        <f>LEFT(M320,12)</f>
        <v/>
      </c>
      <c r="O320" s="16" t="inlineStr">
        <is>
          <t>EEJAG23B03, (36)L/Beige, (170)170</t>
        </is>
      </c>
      <c r="P320" s="16" t="n">
        <v>1599</v>
      </c>
      <c r="Q320" s="16" t="n">
        <v>1599</v>
      </c>
      <c r="R320" s="16" t="n"/>
      <c r="S320" s="16" t="n"/>
      <c r="T320" s="16" t="n">
        <v>2</v>
      </c>
    </row>
    <row r="321" s="103">
      <c r="A321" s="16" t="inlineStr">
        <is>
          <t>B331</t>
        </is>
      </c>
      <c r="B321" s="16" t="inlineStr">
        <is>
          <t>上海区域</t>
        </is>
      </c>
      <c r="C321" s="16" t="inlineStr">
        <is>
          <t>CN0Q</t>
        </is>
      </c>
      <c r="D321" s="16" t="inlineStr">
        <is>
          <t>EE 苏州比斯特购物村</t>
        </is>
      </c>
      <c r="E321" s="16" t="n">
        <v>4</v>
      </c>
      <c r="F321" s="16" t="inlineStr">
        <is>
          <t>奥特莱斯</t>
        </is>
      </c>
      <c r="G321" s="16" t="inlineStr">
        <is>
          <t>EEJAG23B03</t>
        </is>
      </c>
      <c r="H321" s="16" t="n">
        <v>1599</v>
      </c>
      <c r="I321" s="16" t="n">
        <v>1599</v>
      </c>
      <c r="J321" s="17" t="inlineStr">
        <is>
          <t>########</t>
        </is>
      </c>
      <c r="K321" s="16" t="inlineStr">
        <is>
          <t>(49)Khaki</t>
        </is>
      </c>
      <c r="L321" s="16" t="inlineStr">
        <is>
          <t>营业中</t>
        </is>
      </c>
      <c r="M321" s="16" t="inlineStr">
        <is>
          <t>EEJAG23B0349160</t>
        </is>
      </c>
      <c r="N321" s="16">
        <f>LEFT(M321,12)</f>
        <v/>
      </c>
      <c r="O321" s="16" t="inlineStr">
        <is>
          <t>EEJAG23B03, (49)Khaki, (160)160</t>
        </is>
      </c>
      <c r="P321" s="16" t="n">
        <v>1599</v>
      </c>
      <c r="Q321" s="16" t="n">
        <v>1599</v>
      </c>
      <c r="R321" s="16" t="n"/>
      <c r="S321" s="16" t="n"/>
      <c r="T321" s="16" t="n">
        <v>2</v>
      </c>
    </row>
    <row r="322" s="103">
      <c r="A322" s="16" t="inlineStr">
        <is>
          <t>B331</t>
        </is>
      </c>
      <c r="B322" s="16" t="inlineStr">
        <is>
          <t>上海区域</t>
        </is>
      </c>
      <c r="C322" s="16" t="inlineStr">
        <is>
          <t>CN0Q</t>
        </is>
      </c>
      <c r="D322" s="16" t="inlineStr">
        <is>
          <t>EE 苏州比斯特购物村</t>
        </is>
      </c>
      <c r="E322" s="16" t="n">
        <v>4</v>
      </c>
      <c r="F322" s="16" t="inlineStr">
        <is>
          <t>奥特莱斯</t>
        </is>
      </c>
      <c r="G322" s="16" t="inlineStr">
        <is>
          <t>EEJAG23B03</t>
        </is>
      </c>
      <c r="H322" s="16" t="n">
        <v>1599</v>
      </c>
      <c r="I322" s="16" t="n">
        <v>1599</v>
      </c>
      <c r="J322" s="17" t="inlineStr">
        <is>
          <t>########</t>
        </is>
      </c>
      <c r="K322" s="16" t="inlineStr">
        <is>
          <t>(49)Khaki</t>
        </is>
      </c>
      <c r="L322" s="16" t="inlineStr">
        <is>
          <t>营业中</t>
        </is>
      </c>
      <c r="M322" s="16" t="inlineStr">
        <is>
          <t>EEJAG23B0349165</t>
        </is>
      </c>
      <c r="N322" s="16">
        <f>LEFT(M322,12)</f>
        <v/>
      </c>
      <c r="O322" s="16" t="inlineStr">
        <is>
          <t>EEJAG23B03, (49)Khaki, (165)165</t>
        </is>
      </c>
      <c r="P322" s="16" t="n">
        <v>1599</v>
      </c>
      <c r="Q322" s="16" t="n">
        <v>1599</v>
      </c>
      <c r="R322" s="16" t="n"/>
      <c r="S322" s="16" t="n"/>
      <c r="T322" s="16" t="n">
        <v>2</v>
      </c>
    </row>
    <row r="323" s="103">
      <c r="A323" s="16" t="inlineStr">
        <is>
          <t>B331</t>
        </is>
      </c>
      <c r="B323" s="16" t="inlineStr">
        <is>
          <t>上海区域</t>
        </is>
      </c>
      <c r="C323" s="16" t="inlineStr">
        <is>
          <t>CN0Q</t>
        </is>
      </c>
      <c r="D323" s="16" t="inlineStr">
        <is>
          <t>EE 苏州比斯特购物村</t>
        </is>
      </c>
      <c r="E323" s="16" t="n">
        <v>4</v>
      </c>
      <c r="F323" s="16" t="inlineStr">
        <is>
          <t>奥特莱斯</t>
        </is>
      </c>
      <c r="G323" s="16" t="inlineStr">
        <is>
          <t>EEJAG23B03</t>
        </is>
      </c>
      <c r="H323" s="16" t="n">
        <v>1599</v>
      </c>
      <c r="I323" s="16" t="n">
        <v>1599</v>
      </c>
      <c r="J323" s="17" t="inlineStr">
        <is>
          <t>########</t>
        </is>
      </c>
      <c r="K323" s="16" t="inlineStr">
        <is>
          <t>(49)Khaki</t>
        </is>
      </c>
      <c r="L323" s="16" t="inlineStr">
        <is>
          <t>营业中</t>
        </is>
      </c>
      <c r="M323" s="16" t="inlineStr">
        <is>
          <t>EEJAG23B0349170</t>
        </is>
      </c>
      <c r="N323" s="16">
        <f>LEFT(M323,12)</f>
        <v/>
      </c>
      <c r="O323" s="16" t="inlineStr">
        <is>
          <t>EEJAG23B03, (49)Khaki, (170)170</t>
        </is>
      </c>
      <c r="P323" s="16" t="n">
        <v>1599</v>
      </c>
      <c r="Q323" s="16" t="n">
        <v>1599</v>
      </c>
      <c r="R323" s="16" t="n"/>
      <c r="S323" s="16" t="n"/>
      <c r="T323" s="16" t="n">
        <v>2</v>
      </c>
    </row>
    <row r="324" s="103">
      <c r="A324" s="16" t="inlineStr">
        <is>
          <t>B331</t>
        </is>
      </c>
      <c r="B324" s="16" t="inlineStr">
        <is>
          <t>上海区域</t>
        </is>
      </c>
      <c r="C324" s="16" t="inlineStr">
        <is>
          <t>CN0Q</t>
        </is>
      </c>
      <c r="D324" s="16" t="inlineStr">
        <is>
          <t>EE 苏州比斯特购物村</t>
        </is>
      </c>
      <c r="E324" s="16" t="n">
        <v>4</v>
      </c>
      <c r="F324" s="16" t="inlineStr">
        <is>
          <t>奥特莱斯</t>
        </is>
      </c>
      <c r="G324" s="16" t="inlineStr">
        <is>
          <t>EEJAG23B04</t>
        </is>
      </c>
      <c r="H324" s="16" t="n">
        <v>1599</v>
      </c>
      <c r="I324" s="16" t="n">
        <v>1599</v>
      </c>
      <c r="J324" s="17" t="inlineStr">
        <is>
          <t>########</t>
        </is>
      </c>
      <c r="K324" s="16" t="inlineStr">
        <is>
          <t>(49)Khaki</t>
        </is>
      </c>
      <c r="L324" s="16" t="inlineStr">
        <is>
          <t>营业中</t>
        </is>
      </c>
      <c r="M324" s="16" t="inlineStr">
        <is>
          <t>EEJAG23B0449160</t>
        </is>
      </c>
      <c r="N324" s="16">
        <f>LEFT(M324,12)</f>
        <v/>
      </c>
      <c r="O324" s="16" t="inlineStr">
        <is>
          <t>EEJAG23B04, (49)Khaki, (160)160</t>
        </is>
      </c>
      <c r="P324" s="16" t="n">
        <v>1599</v>
      </c>
      <c r="Q324" s="16" t="n">
        <v>1599</v>
      </c>
      <c r="R324" s="16" t="n"/>
      <c r="S324" s="16" t="n"/>
      <c r="T324" s="16" t="n">
        <v>2</v>
      </c>
    </row>
    <row r="325" s="103">
      <c r="A325" s="16" t="inlineStr">
        <is>
          <t>B331</t>
        </is>
      </c>
      <c r="B325" s="16" t="inlineStr">
        <is>
          <t>上海区域</t>
        </is>
      </c>
      <c r="C325" s="16" t="inlineStr">
        <is>
          <t>CN0Q</t>
        </is>
      </c>
      <c r="D325" s="16" t="inlineStr">
        <is>
          <t>EE 苏州比斯特购物村</t>
        </is>
      </c>
      <c r="E325" s="16" t="n">
        <v>4</v>
      </c>
      <c r="F325" s="16" t="inlineStr">
        <is>
          <t>奥特莱斯</t>
        </is>
      </c>
      <c r="G325" s="16" t="inlineStr">
        <is>
          <t>EEJAG23B04</t>
        </is>
      </c>
      <c r="H325" s="16" t="n">
        <v>1599</v>
      </c>
      <c r="I325" s="16" t="n">
        <v>1599</v>
      </c>
      <c r="J325" s="17" t="inlineStr">
        <is>
          <t>########</t>
        </is>
      </c>
      <c r="K325" s="16" t="inlineStr">
        <is>
          <t>(49)Khaki</t>
        </is>
      </c>
      <c r="L325" s="16" t="inlineStr">
        <is>
          <t>营业中</t>
        </is>
      </c>
      <c r="M325" s="16" t="inlineStr">
        <is>
          <t>EEJAG23B0449165</t>
        </is>
      </c>
      <c r="N325" s="16">
        <f>LEFT(M325,12)</f>
        <v/>
      </c>
      <c r="O325" s="16" t="inlineStr">
        <is>
          <t>EEJAG23B04, (49)Khaki, (165)165</t>
        </is>
      </c>
      <c r="P325" s="16" t="n">
        <v>1599</v>
      </c>
      <c r="Q325" s="16" t="n">
        <v>1599</v>
      </c>
      <c r="R325" s="16" t="n"/>
      <c r="S325" s="16" t="n"/>
      <c r="T325" s="16" t="n">
        <v>2</v>
      </c>
    </row>
    <row r="326" s="103">
      <c r="A326" s="16" t="inlineStr">
        <is>
          <t>B331</t>
        </is>
      </c>
      <c r="B326" s="16" t="inlineStr">
        <is>
          <t>上海区域</t>
        </is>
      </c>
      <c r="C326" s="16" t="inlineStr">
        <is>
          <t>CN0Q</t>
        </is>
      </c>
      <c r="D326" s="16" t="inlineStr">
        <is>
          <t>EE 苏州比斯特购物村</t>
        </is>
      </c>
      <c r="E326" s="16" t="n">
        <v>4</v>
      </c>
      <c r="F326" s="16" t="inlineStr">
        <is>
          <t>奥特莱斯</t>
        </is>
      </c>
      <c r="G326" s="16" t="inlineStr">
        <is>
          <t>EEJAG23B04</t>
        </is>
      </c>
      <c r="H326" s="16" t="n">
        <v>1599</v>
      </c>
      <c r="I326" s="16" t="n">
        <v>1599</v>
      </c>
      <c r="J326" s="17" t="inlineStr">
        <is>
          <t>########</t>
        </is>
      </c>
      <c r="K326" s="16" t="inlineStr">
        <is>
          <t>(49)Khaki</t>
        </is>
      </c>
      <c r="L326" s="16" t="inlineStr">
        <is>
          <t>营业中</t>
        </is>
      </c>
      <c r="M326" s="16" t="inlineStr">
        <is>
          <t>EEJAG23B0449170</t>
        </is>
      </c>
      <c r="N326" s="16">
        <f>LEFT(M326,12)</f>
        <v/>
      </c>
      <c r="O326" s="16" t="inlineStr">
        <is>
          <t>EEJAG23B04, (49)Khaki, (170)170</t>
        </is>
      </c>
      <c r="P326" s="16" t="n">
        <v>1599</v>
      </c>
      <c r="Q326" s="16" t="n">
        <v>1599</v>
      </c>
      <c r="R326" s="16" t="n"/>
      <c r="S326" s="16" t="n"/>
      <c r="T326" s="16" t="n">
        <v>2</v>
      </c>
    </row>
    <row r="327" s="103">
      <c r="A327" s="16" t="inlineStr">
        <is>
          <t>B331</t>
        </is>
      </c>
      <c r="B327" s="16" t="inlineStr">
        <is>
          <t>上海区域</t>
        </is>
      </c>
      <c r="C327" s="16" t="inlineStr">
        <is>
          <t>CN0Q</t>
        </is>
      </c>
      <c r="D327" s="16" t="inlineStr">
        <is>
          <t>EE 苏州比斯特购物村</t>
        </is>
      </c>
      <c r="E327" s="16" t="n">
        <v>4</v>
      </c>
      <c r="F327" s="16" t="inlineStr">
        <is>
          <t>奥特莱斯</t>
        </is>
      </c>
      <c r="G327" s="16" t="inlineStr">
        <is>
          <t>EEJAG23B04</t>
        </is>
      </c>
      <c r="H327" s="16" t="n">
        <v>1599</v>
      </c>
      <c r="I327" s="16" t="n">
        <v>1599</v>
      </c>
      <c r="J327" s="17" t="inlineStr">
        <is>
          <t>########</t>
        </is>
      </c>
      <c r="K327" s="16" t="inlineStr">
        <is>
          <t>(64)Cream</t>
        </is>
      </c>
      <c r="L327" s="16" t="inlineStr">
        <is>
          <t>营业中</t>
        </is>
      </c>
      <c r="M327" s="16" t="inlineStr">
        <is>
          <t>EEJAG23B0464160</t>
        </is>
      </c>
      <c r="N327" s="16">
        <f>LEFT(M327,12)</f>
        <v/>
      </c>
      <c r="O327" s="16" t="inlineStr">
        <is>
          <t>EEJAG23B04, (64)Cream, (160)160</t>
        </is>
      </c>
      <c r="P327" s="16" t="n">
        <v>1599</v>
      </c>
      <c r="Q327" s="16" t="n">
        <v>1599</v>
      </c>
      <c r="R327" s="16" t="n"/>
      <c r="S327" s="16" t="n"/>
      <c r="T327" s="16" t="n">
        <v>2</v>
      </c>
    </row>
    <row r="328" s="103">
      <c r="A328" s="16" t="inlineStr">
        <is>
          <t>B331</t>
        </is>
      </c>
      <c r="B328" s="16" t="inlineStr">
        <is>
          <t>上海区域</t>
        </is>
      </c>
      <c r="C328" s="16" t="inlineStr">
        <is>
          <t>CN0Q</t>
        </is>
      </c>
      <c r="D328" s="16" t="inlineStr">
        <is>
          <t>EE 苏州比斯特购物村</t>
        </is>
      </c>
      <c r="E328" s="16" t="n">
        <v>4</v>
      </c>
      <c r="F328" s="16" t="inlineStr">
        <is>
          <t>奥特莱斯</t>
        </is>
      </c>
      <c r="G328" s="16" t="inlineStr">
        <is>
          <t>EEJAG23B04</t>
        </is>
      </c>
      <c r="H328" s="16" t="n">
        <v>1599</v>
      </c>
      <c r="I328" s="16" t="n">
        <v>1599</v>
      </c>
      <c r="J328" s="17" t="inlineStr">
        <is>
          <t>########</t>
        </is>
      </c>
      <c r="K328" s="16" t="inlineStr">
        <is>
          <t>(64)Cream</t>
        </is>
      </c>
      <c r="L328" s="16" t="inlineStr">
        <is>
          <t>营业中</t>
        </is>
      </c>
      <c r="M328" s="16" t="inlineStr">
        <is>
          <t>EEJAG23B0464165</t>
        </is>
      </c>
      <c r="N328" s="16">
        <f>LEFT(M328,12)</f>
        <v/>
      </c>
      <c r="O328" s="16" t="inlineStr">
        <is>
          <t>EEJAG23B04, (64)Cream, (165)165</t>
        </is>
      </c>
      <c r="P328" s="16" t="n">
        <v>1599</v>
      </c>
      <c r="Q328" s="16" t="n">
        <v>1599</v>
      </c>
      <c r="R328" s="16" t="n"/>
      <c r="S328" s="16" t="n"/>
      <c r="T328" s="16" t="n">
        <v>2</v>
      </c>
    </row>
    <row r="329" s="103">
      <c r="A329" s="16" t="inlineStr">
        <is>
          <t>B331</t>
        </is>
      </c>
      <c r="B329" s="16" t="inlineStr">
        <is>
          <t>上海区域</t>
        </is>
      </c>
      <c r="C329" s="16" t="inlineStr">
        <is>
          <t>CN0Q</t>
        </is>
      </c>
      <c r="D329" s="16" t="inlineStr">
        <is>
          <t>EE 苏州比斯特购物村</t>
        </is>
      </c>
      <c r="E329" s="16" t="n">
        <v>4</v>
      </c>
      <c r="F329" s="16" t="inlineStr">
        <is>
          <t>奥特莱斯</t>
        </is>
      </c>
      <c r="G329" s="16" t="inlineStr">
        <is>
          <t>EEJAG23B04</t>
        </is>
      </c>
      <c r="H329" s="16" t="n">
        <v>1599</v>
      </c>
      <c r="I329" s="16" t="n">
        <v>1599</v>
      </c>
      <c r="J329" s="17" t="inlineStr">
        <is>
          <t>########</t>
        </is>
      </c>
      <c r="K329" s="16" t="inlineStr">
        <is>
          <t>(64)Cream</t>
        </is>
      </c>
      <c r="L329" s="16" t="inlineStr">
        <is>
          <t>营业中</t>
        </is>
      </c>
      <c r="M329" s="16" t="inlineStr">
        <is>
          <t>EEJAG23B0464170</t>
        </is>
      </c>
      <c r="N329" s="16">
        <f>LEFT(M329,12)</f>
        <v/>
      </c>
      <c r="O329" s="16" t="inlineStr">
        <is>
          <t>EEJAG23B04, (64)Cream, (170)170</t>
        </is>
      </c>
      <c r="P329" s="16" t="n">
        <v>1599</v>
      </c>
      <c r="Q329" s="16" t="n">
        <v>1599</v>
      </c>
      <c r="R329" s="16" t="n"/>
      <c r="S329" s="16" t="n"/>
      <c r="T329" s="16" t="n">
        <v>2</v>
      </c>
    </row>
    <row r="330" s="103">
      <c r="A330" s="16" t="inlineStr">
        <is>
          <t>B331</t>
        </is>
      </c>
      <c r="B330" s="16" t="inlineStr">
        <is>
          <t>上海区域</t>
        </is>
      </c>
      <c r="C330" s="16" t="inlineStr">
        <is>
          <t>CN0Q</t>
        </is>
      </c>
      <c r="D330" s="16" t="inlineStr">
        <is>
          <t>EE 苏州比斯特购物村</t>
        </is>
      </c>
      <c r="E330" s="16" t="n">
        <v>4</v>
      </c>
      <c r="F330" s="16" t="inlineStr">
        <is>
          <t>奥特莱斯</t>
        </is>
      </c>
      <c r="G330" s="16" t="inlineStr">
        <is>
          <t>EEJAG23B51</t>
        </is>
      </c>
      <c r="H330" s="16" t="n">
        <v>1599</v>
      </c>
      <c r="I330" s="16" t="n">
        <v>1599</v>
      </c>
      <c r="J330" s="17" t="n">
        <v>46062</v>
      </c>
      <c r="K330" s="16" t="inlineStr">
        <is>
          <t>(35)Beige</t>
        </is>
      </c>
      <c r="L330" s="16" t="inlineStr">
        <is>
          <t>营业中</t>
        </is>
      </c>
      <c r="M330" s="16" t="inlineStr">
        <is>
          <t>EEJAG23B5135155</t>
        </is>
      </c>
      <c r="N330" s="16">
        <f>LEFT(M330,12)</f>
        <v/>
      </c>
      <c r="O330" s="16" t="inlineStr">
        <is>
          <t>EEJAG23B51, (35)Beige, (155)155</t>
        </is>
      </c>
      <c r="P330" s="16" t="n">
        <v>1599</v>
      </c>
      <c r="Q330" s="16" t="n">
        <v>1599</v>
      </c>
      <c r="R330" s="16" t="n"/>
      <c r="S330" s="16" t="n"/>
      <c r="T330" s="16" t="n">
        <v>2</v>
      </c>
    </row>
    <row r="331" s="103">
      <c r="A331" s="16" t="inlineStr">
        <is>
          <t>B331</t>
        </is>
      </c>
      <c r="B331" s="16" t="inlineStr">
        <is>
          <t>上海区域</t>
        </is>
      </c>
      <c r="C331" s="16" t="inlineStr">
        <is>
          <t>CN0Q</t>
        </is>
      </c>
      <c r="D331" s="16" t="inlineStr">
        <is>
          <t>EE 苏州比斯特购物村</t>
        </is>
      </c>
      <c r="E331" s="16" t="n">
        <v>4</v>
      </c>
      <c r="F331" s="16" t="inlineStr">
        <is>
          <t>奥特莱斯</t>
        </is>
      </c>
      <c r="G331" s="16" t="inlineStr">
        <is>
          <t>EEJAG23B51</t>
        </is>
      </c>
      <c r="H331" s="16" t="n">
        <v>1599</v>
      </c>
      <c r="I331" s="16" t="n">
        <v>1599</v>
      </c>
      <c r="J331" s="17" t="n">
        <v>46062</v>
      </c>
      <c r="K331" s="16" t="inlineStr">
        <is>
          <t>(35)Beige</t>
        </is>
      </c>
      <c r="L331" s="16" t="inlineStr">
        <is>
          <t>营业中</t>
        </is>
      </c>
      <c r="M331" s="16" t="inlineStr">
        <is>
          <t>EEJAG23B5135160</t>
        </is>
      </c>
      <c r="N331" s="16">
        <f>LEFT(M331,12)</f>
        <v/>
      </c>
      <c r="O331" s="16" t="inlineStr">
        <is>
          <t>EEJAG23B51, (35)Beige, (160)160</t>
        </is>
      </c>
      <c r="P331" s="16" t="n">
        <v>1599</v>
      </c>
      <c r="Q331" s="16" t="n">
        <v>1599</v>
      </c>
      <c r="R331" s="16" t="n"/>
      <c r="S331" s="16" t="n"/>
      <c r="T331" s="16" t="n">
        <v>2</v>
      </c>
    </row>
    <row r="332" s="103">
      <c r="A332" s="16" t="inlineStr">
        <is>
          <t>B331</t>
        </is>
      </c>
      <c r="B332" s="16" t="inlineStr">
        <is>
          <t>上海区域</t>
        </is>
      </c>
      <c r="C332" s="16" t="inlineStr">
        <is>
          <t>CN0Q</t>
        </is>
      </c>
      <c r="D332" s="16" t="inlineStr">
        <is>
          <t>EE 苏州比斯特购物村</t>
        </is>
      </c>
      <c r="E332" s="16" t="n">
        <v>4</v>
      </c>
      <c r="F332" s="16" t="inlineStr">
        <is>
          <t>奥特莱斯</t>
        </is>
      </c>
      <c r="G332" s="16" t="inlineStr">
        <is>
          <t>EEJAG23B51</t>
        </is>
      </c>
      <c r="H332" s="16" t="n">
        <v>1599</v>
      </c>
      <c r="I332" s="16" t="n">
        <v>1599</v>
      </c>
      <c r="J332" s="17" t="n">
        <v>46062</v>
      </c>
      <c r="K332" s="16" t="inlineStr">
        <is>
          <t>(35)Beige</t>
        </is>
      </c>
      <c r="L332" s="16" t="inlineStr">
        <is>
          <t>营业中</t>
        </is>
      </c>
      <c r="M332" s="16" t="inlineStr">
        <is>
          <t>EEJAG23B5135165</t>
        </is>
      </c>
      <c r="N332" s="16">
        <f>LEFT(M332,12)</f>
        <v/>
      </c>
      <c r="O332" s="16" t="inlineStr">
        <is>
          <t>EEJAG23B51, (35)Beige, (165)165</t>
        </is>
      </c>
      <c r="P332" s="16" t="n">
        <v>1599</v>
      </c>
      <c r="Q332" s="16" t="n">
        <v>1599</v>
      </c>
      <c r="R332" s="16" t="n"/>
      <c r="S332" s="16" t="n"/>
      <c r="T332" s="16" t="n">
        <v>2</v>
      </c>
    </row>
    <row r="333" s="103">
      <c r="A333" s="16" t="inlineStr">
        <is>
          <t>B331</t>
        </is>
      </c>
      <c r="B333" s="16" t="inlineStr">
        <is>
          <t>上海区域</t>
        </is>
      </c>
      <c r="C333" s="16" t="inlineStr">
        <is>
          <t>CN0Q</t>
        </is>
      </c>
      <c r="D333" s="16" t="inlineStr">
        <is>
          <t>EE 苏州比斯特购物村</t>
        </is>
      </c>
      <c r="E333" s="16" t="n">
        <v>4</v>
      </c>
      <c r="F333" s="16" t="inlineStr">
        <is>
          <t>奥特莱斯</t>
        </is>
      </c>
      <c r="G333" s="16" t="inlineStr">
        <is>
          <t>EEJAG23D1G</t>
        </is>
      </c>
      <c r="H333" s="16" t="n">
        <v>1299</v>
      </c>
      <c r="I333" s="16" t="n">
        <v>1299</v>
      </c>
      <c r="J333" s="17" t="n">
        <v>46054</v>
      </c>
      <c r="K333" s="16" t="inlineStr">
        <is>
          <t>(35)Beige</t>
        </is>
      </c>
      <c r="L333" s="16" t="inlineStr">
        <is>
          <t>营业中</t>
        </is>
      </c>
      <c r="M333" s="16" t="inlineStr">
        <is>
          <t>EEJAG23D1G35170</t>
        </is>
      </c>
      <c r="N333" s="16">
        <f>LEFT(M333,12)</f>
        <v/>
      </c>
      <c r="O333" s="16" t="inlineStr">
        <is>
          <t>EEJAG23D1G, (35)Beige, (170)170</t>
        </is>
      </c>
      <c r="P333" s="16" t="n">
        <v>1299</v>
      </c>
      <c r="Q333" s="16" t="n">
        <v>1299</v>
      </c>
      <c r="R333" s="16" t="n">
        <v>1</v>
      </c>
      <c r="S333" s="16" t="n"/>
      <c r="T333" s="16" t="n">
        <v>1</v>
      </c>
    </row>
    <row r="334" s="103">
      <c r="A334" s="16" t="inlineStr">
        <is>
          <t>B331</t>
        </is>
      </c>
      <c r="B334" s="16" t="inlineStr">
        <is>
          <t>上海区域</t>
        </is>
      </c>
      <c r="C334" s="16" t="inlineStr">
        <is>
          <t>CN0Q</t>
        </is>
      </c>
      <c r="D334" s="16" t="inlineStr">
        <is>
          <t>EE 苏州比斯特购物村</t>
        </is>
      </c>
      <c r="E334" s="16" t="n">
        <v>4</v>
      </c>
      <c r="F334" s="16" t="inlineStr">
        <is>
          <t>奥特莱斯</t>
        </is>
      </c>
      <c r="G334" s="16" t="inlineStr">
        <is>
          <t>EEJAG23D1G</t>
        </is>
      </c>
      <c r="H334" s="16" t="n">
        <v>1299</v>
      </c>
      <c r="I334" s="16" t="n">
        <v>1299</v>
      </c>
      <c r="J334" s="17" t="n">
        <v>46054</v>
      </c>
      <c r="K334" s="16" t="inlineStr">
        <is>
          <t>(35)Beige</t>
        </is>
      </c>
      <c r="L334" s="16" t="inlineStr">
        <is>
          <t>营业中</t>
        </is>
      </c>
      <c r="M334" s="16" t="inlineStr">
        <is>
          <t>EEJAG23D1G35175</t>
        </is>
      </c>
      <c r="N334" s="16">
        <f>LEFT(M334,12)</f>
        <v/>
      </c>
      <c r="O334" s="16" t="inlineStr">
        <is>
          <t>EEJAG23D1G, (35)Beige, (175)175</t>
        </is>
      </c>
      <c r="P334" s="16" t="n">
        <v>1299</v>
      </c>
      <c r="Q334" s="16" t="n">
        <v>1299</v>
      </c>
      <c r="R334" s="16" t="n">
        <v>1</v>
      </c>
      <c r="S334" s="16" t="n">
        <v>821</v>
      </c>
      <c r="T334" s="16" t="n">
        <v>3</v>
      </c>
    </row>
    <row r="335" s="103">
      <c r="A335" s="16" t="inlineStr">
        <is>
          <t>B331</t>
        </is>
      </c>
      <c r="B335" s="16" t="inlineStr">
        <is>
          <t>上海区域</t>
        </is>
      </c>
      <c r="C335" s="16" t="inlineStr">
        <is>
          <t>CN0Q</t>
        </is>
      </c>
      <c r="D335" s="16" t="inlineStr">
        <is>
          <t>EE 苏州比斯特购物村</t>
        </is>
      </c>
      <c r="E335" s="16" t="n">
        <v>4</v>
      </c>
      <c r="F335" s="16" t="inlineStr">
        <is>
          <t>奥特莱斯</t>
        </is>
      </c>
      <c r="G335" s="16" t="inlineStr">
        <is>
          <t>EEJAG23D1G</t>
        </is>
      </c>
      <c r="H335" s="16" t="n">
        <v>1299</v>
      </c>
      <c r="I335" s="16" t="n">
        <v>1299</v>
      </c>
      <c r="J335" s="17" t="n">
        <v>46054</v>
      </c>
      <c r="K335" s="16" t="inlineStr">
        <is>
          <t>(35)Beige</t>
        </is>
      </c>
      <c r="L335" s="16" t="inlineStr">
        <is>
          <t>营业中</t>
        </is>
      </c>
      <c r="M335" s="16" t="inlineStr">
        <is>
          <t>EEJAG23D1G35180</t>
        </is>
      </c>
      <c r="N335" s="16">
        <f>LEFT(M335,12)</f>
        <v/>
      </c>
      <c r="O335" s="16" t="inlineStr">
        <is>
          <t>EEJAG23D1G, (35)Beige, (180)180</t>
        </is>
      </c>
      <c r="P335" s="16" t="n">
        <v>1299</v>
      </c>
      <c r="Q335" s="16" t="n">
        <v>1299</v>
      </c>
      <c r="R335" s="16" t="n"/>
      <c r="S335" s="16" t="n"/>
      <c r="T335" s="16" t="n">
        <v>2</v>
      </c>
    </row>
    <row r="336" s="103">
      <c r="A336" s="16" t="inlineStr">
        <is>
          <t>B331</t>
        </is>
      </c>
      <c r="B336" s="16" t="inlineStr">
        <is>
          <t>上海区域</t>
        </is>
      </c>
      <c r="C336" s="16" t="inlineStr">
        <is>
          <t>CN0Q</t>
        </is>
      </c>
      <c r="D336" s="16" t="inlineStr">
        <is>
          <t>EE 苏州比斯特购物村</t>
        </is>
      </c>
      <c r="E336" s="16" t="n">
        <v>4</v>
      </c>
      <c r="F336" s="16" t="inlineStr">
        <is>
          <t>奥特莱斯</t>
        </is>
      </c>
      <c r="G336" s="16" t="inlineStr">
        <is>
          <t>EEJAG23D1G</t>
        </is>
      </c>
      <c r="H336" s="16" t="n">
        <v>1299</v>
      </c>
      <c r="I336" s="16" t="n">
        <v>1299</v>
      </c>
      <c r="J336" s="17" t="n">
        <v>46054</v>
      </c>
      <c r="K336" s="16" t="inlineStr">
        <is>
          <t>(35)Beige</t>
        </is>
      </c>
      <c r="L336" s="16" t="inlineStr">
        <is>
          <t>营业中</t>
        </is>
      </c>
      <c r="M336" s="16" t="inlineStr">
        <is>
          <t>EEJAG23D1G35185</t>
        </is>
      </c>
      <c r="N336" s="16">
        <f>LEFT(M336,12)</f>
        <v/>
      </c>
      <c r="O336" s="16" t="inlineStr">
        <is>
          <t>EEJAG23D1G, (35)Beige, (185)185</t>
        </is>
      </c>
      <c r="P336" s="16" t="n">
        <v>1299</v>
      </c>
      <c r="Q336" s="16" t="n">
        <v>1299</v>
      </c>
      <c r="R336" s="16" t="n"/>
      <c r="S336" s="16" t="n"/>
      <c r="T336" s="16" t="n">
        <v>1</v>
      </c>
    </row>
    <row r="337" s="103">
      <c r="A337" s="16" t="inlineStr">
        <is>
          <t>B331</t>
        </is>
      </c>
      <c r="B337" s="16" t="inlineStr">
        <is>
          <t>上海区域</t>
        </is>
      </c>
      <c r="C337" s="16" t="inlineStr">
        <is>
          <t>CN0Q</t>
        </is>
      </c>
      <c r="D337" s="16" t="inlineStr">
        <is>
          <t>EE 苏州比斯特购物村</t>
        </is>
      </c>
      <c r="E337" s="16" t="n">
        <v>4</v>
      </c>
      <c r="F337" s="16" t="inlineStr">
        <is>
          <t>奥特莱斯</t>
        </is>
      </c>
      <c r="G337" s="16" t="inlineStr">
        <is>
          <t>EEJAG23E01</t>
        </is>
      </c>
      <c r="H337" s="16" t="n">
        <v>1299</v>
      </c>
      <c r="I337" s="16" t="n">
        <v>1299</v>
      </c>
      <c r="J337" s="17" t="inlineStr">
        <is>
          <t>########</t>
        </is>
      </c>
      <c r="K337" s="16" t="inlineStr">
        <is>
          <t>(31)L/Yellow</t>
        </is>
      </c>
      <c r="L337" s="16" t="inlineStr">
        <is>
          <t>营业中</t>
        </is>
      </c>
      <c r="M337" s="16" t="inlineStr">
        <is>
          <t>EEJAG23E0131160</t>
        </is>
      </c>
      <c r="N337" s="16">
        <f>LEFT(M337,12)</f>
        <v/>
      </c>
      <c r="O337" s="16" t="inlineStr">
        <is>
          <t>EEJAG23E01, (31)L/Yellow, (160)160</t>
        </is>
      </c>
      <c r="P337" s="16" t="n">
        <v>1299</v>
      </c>
      <c r="Q337" s="16" t="n">
        <v>1299</v>
      </c>
      <c r="R337" s="16" t="n"/>
      <c r="S337" s="16" t="n"/>
      <c r="T337" s="16" t="n">
        <v>2</v>
      </c>
    </row>
    <row r="338" s="103">
      <c r="A338" s="16" t="inlineStr">
        <is>
          <t>B331</t>
        </is>
      </c>
      <c r="B338" s="16" t="inlineStr">
        <is>
          <t>上海区域</t>
        </is>
      </c>
      <c r="C338" s="16" t="inlineStr">
        <is>
          <t>CN0Q</t>
        </is>
      </c>
      <c r="D338" s="16" t="inlineStr">
        <is>
          <t>EE 苏州比斯特购物村</t>
        </is>
      </c>
      <c r="E338" s="16" t="n">
        <v>4</v>
      </c>
      <c r="F338" s="16" t="inlineStr">
        <is>
          <t>奥特莱斯</t>
        </is>
      </c>
      <c r="G338" s="16" t="inlineStr">
        <is>
          <t>EEJAG23E01</t>
        </is>
      </c>
      <c r="H338" s="16" t="n">
        <v>1299</v>
      </c>
      <c r="I338" s="16" t="n">
        <v>1299</v>
      </c>
      <c r="J338" s="17" t="inlineStr">
        <is>
          <t>########</t>
        </is>
      </c>
      <c r="K338" s="16" t="inlineStr">
        <is>
          <t>(31)L/Yellow</t>
        </is>
      </c>
      <c r="L338" s="16" t="inlineStr">
        <is>
          <t>营业中</t>
        </is>
      </c>
      <c r="M338" s="16" t="inlineStr">
        <is>
          <t>EEJAG23E0131165</t>
        </is>
      </c>
      <c r="N338" s="16">
        <f>LEFT(M338,12)</f>
        <v/>
      </c>
      <c r="O338" s="16" t="inlineStr">
        <is>
          <t>EEJAG23E01, (31)L/Yellow, (165)165</t>
        </is>
      </c>
      <c r="P338" s="16" t="n">
        <v>1299</v>
      </c>
      <c r="Q338" s="16" t="n">
        <v>1299</v>
      </c>
      <c r="R338" s="16" t="n">
        <v>4</v>
      </c>
      <c r="S338" s="18" t="n">
        <v>2492</v>
      </c>
      <c r="T338" s="16" t="n">
        <v>1</v>
      </c>
    </row>
    <row r="339" s="103">
      <c r="A339" s="16" t="inlineStr">
        <is>
          <t>B331</t>
        </is>
      </c>
      <c r="B339" s="16" t="inlineStr">
        <is>
          <t>上海区域</t>
        </is>
      </c>
      <c r="C339" s="16" t="inlineStr">
        <is>
          <t>CN0Q</t>
        </is>
      </c>
      <c r="D339" s="16" t="inlineStr">
        <is>
          <t>EE 苏州比斯特购物村</t>
        </is>
      </c>
      <c r="E339" s="16" t="n">
        <v>4</v>
      </c>
      <c r="F339" s="16" t="inlineStr">
        <is>
          <t>奥特莱斯</t>
        </is>
      </c>
      <c r="G339" s="16" t="inlineStr">
        <is>
          <t>EEJAG23E01</t>
        </is>
      </c>
      <c r="H339" s="16" t="n">
        <v>1299</v>
      </c>
      <c r="I339" s="16" t="n">
        <v>1299</v>
      </c>
      <c r="J339" s="17" t="inlineStr">
        <is>
          <t>########</t>
        </is>
      </c>
      <c r="K339" s="16" t="inlineStr">
        <is>
          <t>(31)L/Yellow</t>
        </is>
      </c>
      <c r="L339" s="16" t="inlineStr">
        <is>
          <t>营业中</t>
        </is>
      </c>
      <c r="M339" s="16" t="inlineStr">
        <is>
          <t>EEJAG23E0131170</t>
        </is>
      </c>
      <c r="N339" s="16">
        <f>LEFT(M339,12)</f>
        <v/>
      </c>
      <c r="O339" s="16" t="inlineStr">
        <is>
          <t>EEJAG23E01, (31)L/Yellow, (170)170</t>
        </is>
      </c>
      <c r="P339" s="16" t="n">
        <v>1299</v>
      </c>
      <c r="Q339" s="16" t="n">
        <v>1299</v>
      </c>
      <c r="R339" s="16" t="n">
        <v>2</v>
      </c>
      <c r="S339" s="16" t="n">
        <v>823</v>
      </c>
      <c r="T339" s="16" t="n">
        <v>1</v>
      </c>
    </row>
    <row r="340" s="103">
      <c r="A340" s="16" t="inlineStr">
        <is>
          <t>B331</t>
        </is>
      </c>
      <c r="B340" s="16" t="inlineStr">
        <is>
          <t>上海区域</t>
        </is>
      </c>
      <c r="C340" s="16" t="inlineStr">
        <is>
          <t>CN0Q</t>
        </is>
      </c>
      <c r="D340" s="16" t="inlineStr">
        <is>
          <t>EE 苏州比斯特购物村</t>
        </is>
      </c>
      <c r="E340" s="16" t="n">
        <v>4</v>
      </c>
      <c r="F340" s="16" t="inlineStr">
        <is>
          <t>奥特莱斯</t>
        </is>
      </c>
      <c r="G340" s="16" t="inlineStr">
        <is>
          <t>EEJAG23E01</t>
        </is>
      </c>
      <c r="H340" s="16" t="n">
        <v>1299</v>
      </c>
      <c r="I340" s="16" t="n">
        <v>1299</v>
      </c>
      <c r="J340" s="17" t="inlineStr">
        <is>
          <t>########</t>
        </is>
      </c>
      <c r="K340" s="16" t="inlineStr">
        <is>
          <t>(39)Ivory</t>
        </is>
      </c>
      <c r="L340" s="16" t="inlineStr">
        <is>
          <t>营业中</t>
        </is>
      </c>
      <c r="M340" s="16" t="inlineStr">
        <is>
          <t>EEJAG23E0139160</t>
        </is>
      </c>
      <c r="N340" s="16">
        <f>LEFT(M340,12)</f>
        <v/>
      </c>
      <c r="O340" s="16" t="inlineStr">
        <is>
          <t>EEJAG23E01, (39)Ivory, (160)160</t>
        </is>
      </c>
      <c r="P340" s="16" t="n">
        <v>1299</v>
      </c>
      <c r="Q340" s="16" t="n">
        <v>1299</v>
      </c>
      <c r="R340" s="16" t="n">
        <v>3</v>
      </c>
      <c r="S340" s="16" t="n">
        <v>847</v>
      </c>
      <c r="T340" s="16" t="n">
        <v>1</v>
      </c>
    </row>
    <row r="341" s="103">
      <c r="A341" s="16" t="inlineStr">
        <is>
          <t>B331</t>
        </is>
      </c>
      <c r="B341" s="16" t="inlineStr">
        <is>
          <t>上海区域</t>
        </is>
      </c>
      <c r="C341" s="16" t="inlineStr">
        <is>
          <t>CN0Q</t>
        </is>
      </c>
      <c r="D341" s="16" t="inlineStr">
        <is>
          <t>EE 苏州比斯特购物村</t>
        </is>
      </c>
      <c r="E341" s="16" t="n">
        <v>4</v>
      </c>
      <c r="F341" s="16" t="inlineStr">
        <is>
          <t>奥特莱斯</t>
        </is>
      </c>
      <c r="G341" s="16" t="inlineStr">
        <is>
          <t>EEJAG23E01</t>
        </is>
      </c>
      <c r="H341" s="16" t="n">
        <v>1299</v>
      </c>
      <c r="I341" s="16" t="n">
        <v>1299</v>
      </c>
      <c r="J341" s="17" t="inlineStr">
        <is>
          <t>########</t>
        </is>
      </c>
      <c r="K341" s="16" t="inlineStr">
        <is>
          <t>(39)Ivory</t>
        </is>
      </c>
      <c r="L341" s="16" t="inlineStr">
        <is>
          <t>营业中</t>
        </is>
      </c>
      <c r="M341" s="16" t="inlineStr">
        <is>
          <t>EEJAG23E0139165</t>
        </is>
      </c>
      <c r="N341" s="16">
        <f>LEFT(M341,12)</f>
        <v/>
      </c>
      <c r="O341" s="16" t="inlineStr">
        <is>
          <t>EEJAG23E01, (39)Ivory, (165)165</t>
        </is>
      </c>
      <c r="P341" s="16" t="n">
        <v>1299</v>
      </c>
      <c r="Q341" s="16" t="n">
        <v>1299</v>
      </c>
      <c r="R341" s="16" t="n">
        <v>3</v>
      </c>
      <c r="S341" s="16" t="n">
        <v>847</v>
      </c>
      <c r="T341" s="16" t="n">
        <v>0</v>
      </c>
    </row>
    <row r="342" s="103">
      <c r="A342" s="16" t="inlineStr">
        <is>
          <t>B331</t>
        </is>
      </c>
      <c r="B342" s="16" t="inlineStr">
        <is>
          <t>上海区域</t>
        </is>
      </c>
      <c r="C342" s="16" t="inlineStr">
        <is>
          <t>CN0Q</t>
        </is>
      </c>
      <c r="D342" s="16" t="inlineStr">
        <is>
          <t>EE 苏州比斯特购物村</t>
        </is>
      </c>
      <c r="E342" s="16" t="n">
        <v>4</v>
      </c>
      <c r="F342" s="16" t="inlineStr">
        <is>
          <t>奥特莱斯</t>
        </is>
      </c>
      <c r="G342" s="16" t="inlineStr">
        <is>
          <t>EEJAG23E01</t>
        </is>
      </c>
      <c r="H342" s="16" t="n">
        <v>1299</v>
      </c>
      <c r="I342" s="16" t="n">
        <v>1299</v>
      </c>
      <c r="J342" s="17" t="inlineStr">
        <is>
          <t>########</t>
        </is>
      </c>
      <c r="K342" s="16" t="inlineStr">
        <is>
          <t>(39)Ivory</t>
        </is>
      </c>
      <c r="L342" s="16" t="inlineStr">
        <is>
          <t>营业中</t>
        </is>
      </c>
      <c r="M342" s="16" t="inlineStr">
        <is>
          <t>EEJAG23E0139170</t>
        </is>
      </c>
      <c r="N342" s="16">
        <f>LEFT(M342,12)</f>
        <v/>
      </c>
      <c r="O342" s="16" t="inlineStr">
        <is>
          <t>EEJAG23E01, (39)Ivory, (170)170</t>
        </is>
      </c>
      <c r="P342" s="16" t="n">
        <v>1299</v>
      </c>
      <c r="Q342" s="16" t="n">
        <v>1299</v>
      </c>
      <c r="R342" s="16" t="n">
        <v>2</v>
      </c>
      <c r="S342" s="16" t="n"/>
      <c r="T342" s="16" t="n">
        <v>1</v>
      </c>
    </row>
    <row r="343" s="103">
      <c r="A343" s="16" t="inlineStr">
        <is>
          <t>B331</t>
        </is>
      </c>
      <c r="B343" s="16" t="inlineStr">
        <is>
          <t>上海区域</t>
        </is>
      </c>
      <c r="C343" s="16" t="inlineStr">
        <is>
          <t>CN0Q</t>
        </is>
      </c>
      <c r="D343" s="16" t="inlineStr">
        <is>
          <t>EE 苏州比斯特购物村</t>
        </is>
      </c>
      <c r="E343" s="16" t="n">
        <v>4</v>
      </c>
      <c r="F343" s="16" t="inlineStr">
        <is>
          <t>奥特莱斯</t>
        </is>
      </c>
      <c r="G343" s="16" t="inlineStr">
        <is>
          <t>EEJAG23E02</t>
        </is>
      </c>
      <c r="H343" s="16" t="n">
        <v>1299</v>
      </c>
      <c r="I343" s="16" t="n">
        <v>1599</v>
      </c>
      <c r="J343" s="17" t="inlineStr">
        <is>
          <t>########</t>
        </is>
      </c>
      <c r="K343" s="16" t="inlineStr">
        <is>
          <t>(11)Camel</t>
        </is>
      </c>
      <c r="L343" s="16" t="inlineStr">
        <is>
          <t>营业中</t>
        </is>
      </c>
      <c r="M343" s="16" t="inlineStr">
        <is>
          <t>EEJAG23E0211160</t>
        </is>
      </c>
      <c r="N343" s="16">
        <f>LEFT(M343,12)</f>
        <v/>
      </c>
      <c r="O343" s="16" t="inlineStr">
        <is>
          <t>EEJAG23E02, (11)Camel, (160)160</t>
        </is>
      </c>
      <c r="P343" s="16" t="n">
        <v>1299</v>
      </c>
      <c r="Q343" s="16" t="n">
        <v>1599</v>
      </c>
      <c r="R343" s="16" t="n"/>
      <c r="S343" s="16" t="n"/>
      <c r="T343" s="16" t="n">
        <v>2</v>
      </c>
    </row>
    <row r="344" s="103">
      <c r="A344" s="16" t="inlineStr">
        <is>
          <t>B331</t>
        </is>
      </c>
      <c r="B344" s="16" t="inlineStr">
        <is>
          <t>上海区域</t>
        </is>
      </c>
      <c r="C344" s="16" t="inlineStr">
        <is>
          <t>CN0Q</t>
        </is>
      </c>
      <c r="D344" s="16" t="inlineStr">
        <is>
          <t>EE 苏州比斯特购物村</t>
        </is>
      </c>
      <c r="E344" s="16" t="n">
        <v>4</v>
      </c>
      <c r="F344" s="16" t="inlineStr">
        <is>
          <t>奥特莱斯</t>
        </is>
      </c>
      <c r="G344" s="16" t="inlineStr">
        <is>
          <t>EEJAG23E02</t>
        </is>
      </c>
      <c r="H344" s="16" t="n">
        <v>1299</v>
      </c>
      <c r="I344" s="16" t="n">
        <v>1599</v>
      </c>
      <c r="J344" s="17" t="inlineStr">
        <is>
          <t>########</t>
        </is>
      </c>
      <c r="K344" s="16" t="inlineStr">
        <is>
          <t>(11)Camel</t>
        </is>
      </c>
      <c r="L344" s="16" t="inlineStr">
        <is>
          <t>营业中</t>
        </is>
      </c>
      <c r="M344" s="16" t="inlineStr">
        <is>
          <t>EEJAG23E0211165</t>
        </is>
      </c>
      <c r="N344" s="16">
        <f>LEFT(M344,12)</f>
        <v/>
      </c>
      <c r="O344" s="16" t="inlineStr">
        <is>
          <t>EEJAG23E02, (11)Camel, (165)165</t>
        </is>
      </c>
      <c r="P344" s="16" t="n">
        <v>1299</v>
      </c>
      <c r="Q344" s="16" t="n">
        <v>1599</v>
      </c>
      <c r="R344" s="16" t="n"/>
      <c r="S344" s="16" t="n"/>
      <c r="T344" s="16" t="n">
        <v>2</v>
      </c>
    </row>
    <row r="345" s="103">
      <c r="A345" s="16" t="inlineStr">
        <is>
          <t>B331</t>
        </is>
      </c>
      <c r="B345" s="16" t="inlineStr">
        <is>
          <t>上海区域</t>
        </is>
      </c>
      <c r="C345" s="16" t="inlineStr">
        <is>
          <t>CN0Q</t>
        </is>
      </c>
      <c r="D345" s="16" t="inlineStr">
        <is>
          <t>EE 苏州比斯特购物村</t>
        </is>
      </c>
      <c r="E345" s="16" t="n">
        <v>4</v>
      </c>
      <c r="F345" s="16" t="inlineStr">
        <is>
          <t>奥特莱斯</t>
        </is>
      </c>
      <c r="G345" s="16" t="inlineStr">
        <is>
          <t>EEJAG23E02</t>
        </is>
      </c>
      <c r="H345" s="16" t="n">
        <v>1299</v>
      </c>
      <c r="I345" s="16" t="n">
        <v>1599</v>
      </c>
      <c r="J345" s="17" t="inlineStr">
        <is>
          <t>########</t>
        </is>
      </c>
      <c r="K345" s="16" t="inlineStr">
        <is>
          <t>(11)Camel</t>
        </is>
      </c>
      <c r="L345" s="16" t="inlineStr">
        <is>
          <t>营业中</t>
        </is>
      </c>
      <c r="M345" s="16" t="inlineStr">
        <is>
          <t>EEJAG23E0211170</t>
        </is>
      </c>
      <c r="N345" s="16">
        <f>LEFT(M345,12)</f>
        <v/>
      </c>
      <c r="O345" s="16" t="inlineStr">
        <is>
          <t>EEJAG23E02, (11)Camel, (170)170</t>
        </is>
      </c>
      <c r="P345" s="16" t="n">
        <v>1299</v>
      </c>
      <c r="Q345" s="16" t="n">
        <v>1599</v>
      </c>
      <c r="R345" s="16" t="n"/>
      <c r="S345" s="16" t="n"/>
      <c r="T345" s="16" t="n">
        <v>2</v>
      </c>
    </row>
    <row r="346" s="103">
      <c r="A346" s="16" t="inlineStr">
        <is>
          <t>B331</t>
        </is>
      </c>
      <c r="B346" s="16" t="inlineStr">
        <is>
          <t>上海区域</t>
        </is>
      </c>
      <c r="C346" s="16" t="inlineStr">
        <is>
          <t>CN0Q</t>
        </is>
      </c>
      <c r="D346" s="16" t="inlineStr">
        <is>
          <t>EE 苏州比斯特购物村</t>
        </is>
      </c>
      <c r="E346" s="16" t="n">
        <v>4</v>
      </c>
      <c r="F346" s="16" t="inlineStr">
        <is>
          <t>奥特莱斯</t>
        </is>
      </c>
      <c r="G346" s="16" t="inlineStr">
        <is>
          <t>EEJAG23E02</t>
        </is>
      </c>
      <c r="H346" s="16" t="n">
        <v>1299</v>
      </c>
      <c r="I346" s="16" t="n">
        <v>1599</v>
      </c>
      <c r="J346" s="17" t="inlineStr">
        <is>
          <t>########</t>
        </is>
      </c>
      <c r="K346" s="16" t="inlineStr">
        <is>
          <t>(59)Navy</t>
        </is>
      </c>
      <c r="L346" s="16" t="inlineStr">
        <is>
          <t>营业中</t>
        </is>
      </c>
      <c r="M346" s="16" t="inlineStr">
        <is>
          <t>EEJAG23E0259160</t>
        </is>
      </c>
      <c r="N346" s="16">
        <f>LEFT(M346,12)</f>
        <v/>
      </c>
      <c r="O346" s="16" t="inlineStr">
        <is>
          <t>EEJAG23E02, (59)Navy, (160)160</t>
        </is>
      </c>
      <c r="P346" s="16" t="n">
        <v>1299</v>
      </c>
      <c r="Q346" s="16" t="n">
        <v>1599</v>
      </c>
      <c r="R346" s="16" t="n"/>
      <c r="S346" s="16" t="n"/>
      <c r="T346" s="16" t="n">
        <v>2</v>
      </c>
    </row>
    <row r="347" s="103">
      <c r="A347" s="16" t="inlineStr">
        <is>
          <t>B331</t>
        </is>
      </c>
      <c r="B347" s="16" t="inlineStr">
        <is>
          <t>上海区域</t>
        </is>
      </c>
      <c r="C347" s="16" t="inlineStr">
        <is>
          <t>CN0Q</t>
        </is>
      </c>
      <c r="D347" s="16" t="inlineStr">
        <is>
          <t>EE 苏州比斯特购物村</t>
        </is>
      </c>
      <c r="E347" s="16" t="n">
        <v>4</v>
      </c>
      <c r="F347" s="16" t="inlineStr">
        <is>
          <t>奥特莱斯</t>
        </is>
      </c>
      <c r="G347" s="16" t="inlineStr">
        <is>
          <t>EEJAG23E02</t>
        </is>
      </c>
      <c r="H347" s="16" t="n">
        <v>1299</v>
      </c>
      <c r="I347" s="16" t="n">
        <v>1599</v>
      </c>
      <c r="J347" s="17" t="inlineStr">
        <is>
          <t>########</t>
        </is>
      </c>
      <c r="K347" s="16" t="inlineStr">
        <is>
          <t>(59)Navy</t>
        </is>
      </c>
      <c r="L347" s="16" t="inlineStr">
        <is>
          <t>营业中</t>
        </is>
      </c>
      <c r="M347" s="16" t="inlineStr">
        <is>
          <t>EEJAG23E0259165</t>
        </is>
      </c>
      <c r="N347" s="16">
        <f>LEFT(M347,12)</f>
        <v/>
      </c>
      <c r="O347" s="16" t="inlineStr">
        <is>
          <t>EEJAG23E02, (59)Navy, (165)165</t>
        </is>
      </c>
      <c r="P347" s="16" t="n">
        <v>1299</v>
      </c>
      <c r="Q347" s="16" t="n">
        <v>1599</v>
      </c>
      <c r="R347" s="16" t="n"/>
      <c r="S347" s="16" t="n"/>
      <c r="T347" s="16" t="n">
        <v>2</v>
      </c>
    </row>
    <row r="348" s="103">
      <c r="A348" s="16" t="inlineStr">
        <is>
          <t>B331</t>
        </is>
      </c>
      <c r="B348" s="16" t="inlineStr">
        <is>
          <t>上海区域</t>
        </is>
      </c>
      <c r="C348" s="16" t="inlineStr">
        <is>
          <t>CN0Q</t>
        </is>
      </c>
      <c r="D348" s="16" t="inlineStr">
        <is>
          <t>EE 苏州比斯特购物村</t>
        </is>
      </c>
      <c r="E348" s="16" t="n">
        <v>4</v>
      </c>
      <c r="F348" s="16" t="inlineStr">
        <is>
          <t>奥特莱斯</t>
        </is>
      </c>
      <c r="G348" s="16" t="inlineStr">
        <is>
          <t>EEJAG23E02</t>
        </is>
      </c>
      <c r="H348" s="16" t="n">
        <v>1299</v>
      </c>
      <c r="I348" s="16" t="n">
        <v>1599</v>
      </c>
      <c r="J348" s="17" t="inlineStr">
        <is>
          <t>########</t>
        </is>
      </c>
      <c r="K348" s="16" t="inlineStr">
        <is>
          <t>(59)Navy</t>
        </is>
      </c>
      <c r="L348" s="16" t="inlineStr">
        <is>
          <t>营业中</t>
        </is>
      </c>
      <c r="M348" s="16" t="inlineStr">
        <is>
          <t>EEJAG23E0259170</t>
        </is>
      </c>
      <c r="N348" s="16">
        <f>LEFT(M348,12)</f>
        <v/>
      </c>
      <c r="O348" s="16" t="inlineStr">
        <is>
          <t>EEJAG23E02, (59)Navy, (170)170</t>
        </is>
      </c>
      <c r="P348" s="16" t="n">
        <v>1299</v>
      </c>
      <c r="Q348" s="16" t="n">
        <v>1599</v>
      </c>
      <c r="R348" s="16" t="n"/>
      <c r="S348" s="16" t="n"/>
      <c r="T348" s="16" t="n">
        <v>2</v>
      </c>
    </row>
    <row r="349" s="103">
      <c r="A349" s="16" t="inlineStr">
        <is>
          <t>B331</t>
        </is>
      </c>
      <c r="B349" s="16" t="inlineStr">
        <is>
          <t>上海区域</t>
        </is>
      </c>
      <c r="C349" s="16" t="inlineStr">
        <is>
          <t>CN0Q</t>
        </is>
      </c>
      <c r="D349" s="16" t="inlineStr">
        <is>
          <t>EE 苏州比斯特购物村</t>
        </is>
      </c>
      <c r="E349" s="16" t="n">
        <v>4</v>
      </c>
      <c r="F349" s="16" t="inlineStr">
        <is>
          <t>奥特莱斯</t>
        </is>
      </c>
      <c r="G349" s="16" t="inlineStr">
        <is>
          <t>EEJAG23R01</t>
        </is>
      </c>
      <c r="H349" s="16" t="n">
        <v>1999</v>
      </c>
      <c r="I349" s="16" t="n">
        <v>1999</v>
      </c>
      <c r="J349" s="17" t="n">
        <v>46120</v>
      </c>
      <c r="K349" s="16" t="inlineStr">
        <is>
          <t>(59)Navy</t>
        </is>
      </c>
      <c r="L349" s="16" t="inlineStr">
        <is>
          <t>营业中</t>
        </is>
      </c>
      <c r="M349" s="16" t="inlineStr">
        <is>
          <t>EEJAG23R0159160</t>
        </is>
      </c>
      <c r="N349" s="16">
        <f>LEFT(M349,12)</f>
        <v/>
      </c>
      <c r="O349" s="16" t="inlineStr">
        <is>
          <t>EEJAG23R01, (59)Navy, (160)160</t>
        </is>
      </c>
      <c r="P349" s="16" t="n">
        <v>1999</v>
      </c>
      <c r="Q349" s="16" t="n">
        <v>1999</v>
      </c>
      <c r="R349" s="16" t="n"/>
      <c r="S349" s="16" t="n"/>
      <c r="T349" s="16" t="n">
        <v>1</v>
      </c>
    </row>
    <row r="350" s="103">
      <c r="A350" s="16" t="inlineStr">
        <is>
          <t>B331</t>
        </is>
      </c>
      <c r="B350" s="16" t="inlineStr">
        <is>
          <t>上海区域</t>
        </is>
      </c>
      <c r="C350" s="16" t="inlineStr">
        <is>
          <t>CN0Q</t>
        </is>
      </c>
      <c r="D350" s="16" t="inlineStr">
        <is>
          <t>EE 苏州比斯特购物村</t>
        </is>
      </c>
      <c r="E350" s="16" t="n">
        <v>4</v>
      </c>
      <c r="F350" s="16" t="inlineStr">
        <is>
          <t>奥特莱斯</t>
        </is>
      </c>
      <c r="G350" s="16" t="inlineStr">
        <is>
          <t>EEJAG23R01</t>
        </is>
      </c>
      <c r="H350" s="16" t="n">
        <v>1999</v>
      </c>
      <c r="I350" s="16" t="n">
        <v>1999</v>
      </c>
      <c r="J350" s="17" t="n">
        <v>46120</v>
      </c>
      <c r="K350" s="16" t="inlineStr">
        <is>
          <t>(59)Navy</t>
        </is>
      </c>
      <c r="L350" s="16" t="inlineStr">
        <is>
          <t>营业中</t>
        </is>
      </c>
      <c r="M350" s="16" t="inlineStr">
        <is>
          <t>EEJAG23R0159165</t>
        </is>
      </c>
      <c r="N350" s="16">
        <f>LEFT(M350,12)</f>
        <v/>
      </c>
      <c r="O350" s="16" t="inlineStr">
        <is>
          <t>EEJAG23R01, (59)Navy, (165)165</t>
        </is>
      </c>
      <c r="P350" s="16" t="n">
        <v>1999</v>
      </c>
      <c r="Q350" s="16" t="n">
        <v>1999</v>
      </c>
      <c r="R350" s="16" t="n"/>
      <c r="S350" s="16" t="n"/>
      <c r="T350" s="16" t="n">
        <v>1</v>
      </c>
    </row>
    <row r="351" s="103">
      <c r="A351" s="16" t="inlineStr">
        <is>
          <t>B331</t>
        </is>
      </c>
      <c r="B351" s="16" t="inlineStr">
        <is>
          <t>上海区域</t>
        </is>
      </c>
      <c r="C351" s="16" t="inlineStr">
        <is>
          <t>CN0Q</t>
        </is>
      </c>
      <c r="D351" s="16" t="inlineStr">
        <is>
          <t>EE 苏州比斯特购物村</t>
        </is>
      </c>
      <c r="E351" s="16" t="n">
        <v>4</v>
      </c>
      <c r="F351" s="16" t="inlineStr">
        <is>
          <t>奥特莱斯</t>
        </is>
      </c>
      <c r="G351" s="16" t="inlineStr">
        <is>
          <t>EEJAG23R01</t>
        </is>
      </c>
      <c r="H351" s="16" t="n">
        <v>1999</v>
      </c>
      <c r="I351" s="16" t="n">
        <v>1999</v>
      </c>
      <c r="J351" s="17" t="n">
        <v>46120</v>
      </c>
      <c r="K351" s="16" t="inlineStr">
        <is>
          <t>(59)Navy</t>
        </is>
      </c>
      <c r="L351" s="16" t="inlineStr">
        <is>
          <t>营业中</t>
        </is>
      </c>
      <c r="M351" s="16" t="inlineStr">
        <is>
          <t>EEJAG23R0159170</t>
        </is>
      </c>
      <c r="N351" s="16">
        <f>LEFT(M351,12)</f>
        <v/>
      </c>
      <c r="O351" s="16" t="inlineStr">
        <is>
          <t>EEJAG23R01, (59)Navy, (170)170</t>
        </is>
      </c>
      <c r="P351" s="16" t="n">
        <v>1999</v>
      </c>
      <c r="Q351" s="16" t="n">
        <v>1999</v>
      </c>
      <c r="R351" s="16" t="n"/>
      <c r="S351" s="16" t="n"/>
      <c r="T351" s="16" t="n">
        <v>1</v>
      </c>
    </row>
    <row r="352" s="103">
      <c r="A352" s="16" t="inlineStr">
        <is>
          <t>B331</t>
        </is>
      </c>
      <c r="B352" s="16" t="inlineStr">
        <is>
          <t>上海区域</t>
        </is>
      </c>
      <c r="C352" s="16" t="inlineStr">
        <is>
          <t>CN0Q</t>
        </is>
      </c>
      <c r="D352" s="16" t="inlineStr">
        <is>
          <t>EE 苏州比斯特购物村</t>
        </is>
      </c>
      <c r="E352" s="16" t="n">
        <v>4</v>
      </c>
      <c r="F352" s="16" t="inlineStr">
        <is>
          <t>奥特莱斯</t>
        </is>
      </c>
      <c r="G352" s="16" t="inlineStr">
        <is>
          <t>EEJAG24B01</t>
        </is>
      </c>
      <c r="H352" s="16" t="n">
        <v>1599</v>
      </c>
      <c r="I352" s="16" t="n">
        <v>1599</v>
      </c>
      <c r="J352" s="17" t="inlineStr">
        <is>
          <t>########</t>
        </is>
      </c>
      <c r="K352" s="16" t="inlineStr">
        <is>
          <t>(36)L/Beige</t>
        </is>
      </c>
      <c r="L352" s="16" t="inlineStr">
        <is>
          <t>营业中</t>
        </is>
      </c>
      <c r="M352" s="16" t="inlineStr">
        <is>
          <t>EEJAG24B0136160</t>
        </is>
      </c>
      <c r="N352" s="16">
        <f>LEFT(M352,12)</f>
        <v/>
      </c>
      <c r="O352" s="16" t="inlineStr">
        <is>
          <t>EEJAG24B01, (36)L/Beige, (160)160</t>
        </is>
      </c>
      <c r="P352" s="16" t="n">
        <v>1599</v>
      </c>
      <c r="Q352" s="16" t="n">
        <v>1599</v>
      </c>
      <c r="R352" s="16" t="n"/>
      <c r="S352" s="16" t="n"/>
      <c r="T352" s="16" t="n">
        <v>4</v>
      </c>
    </row>
    <row r="353" s="103">
      <c r="A353" s="16" t="inlineStr">
        <is>
          <t>B331</t>
        </is>
      </c>
      <c r="B353" s="16" t="inlineStr">
        <is>
          <t>上海区域</t>
        </is>
      </c>
      <c r="C353" s="16" t="inlineStr">
        <is>
          <t>CN0Q</t>
        </is>
      </c>
      <c r="D353" s="16" t="inlineStr">
        <is>
          <t>EE 苏州比斯特购物村</t>
        </is>
      </c>
      <c r="E353" s="16" t="n">
        <v>4</v>
      </c>
      <c r="F353" s="16" t="inlineStr">
        <is>
          <t>奥特莱斯</t>
        </is>
      </c>
      <c r="G353" s="16" t="inlineStr">
        <is>
          <t>EEJAG24B01</t>
        </is>
      </c>
      <c r="H353" s="16" t="n">
        <v>1599</v>
      </c>
      <c r="I353" s="16" t="n">
        <v>1599</v>
      </c>
      <c r="J353" s="17" t="inlineStr">
        <is>
          <t>########</t>
        </is>
      </c>
      <c r="K353" s="16" t="inlineStr">
        <is>
          <t>(36)L/Beige</t>
        </is>
      </c>
      <c r="L353" s="16" t="inlineStr">
        <is>
          <t>营业中</t>
        </is>
      </c>
      <c r="M353" s="16" t="inlineStr">
        <is>
          <t>EEJAG24B0136165</t>
        </is>
      </c>
      <c r="N353" s="16">
        <f>LEFT(M353,12)</f>
        <v/>
      </c>
      <c r="O353" s="16" t="inlineStr">
        <is>
          <t>EEJAG24B01, (36)L/Beige, (165)165</t>
        </is>
      </c>
      <c r="P353" s="16" t="n">
        <v>1599</v>
      </c>
      <c r="Q353" s="16" t="n">
        <v>1599</v>
      </c>
      <c r="R353" s="16" t="n">
        <v>1</v>
      </c>
      <c r="S353" s="18" t="n">
        <v>1030</v>
      </c>
      <c r="T353" s="16" t="n">
        <v>1</v>
      </c>
    </row>
    <row r="354" s="103">
      <c r="A354" s="16" t="inlineStr">
        <is>
          <t>B331</t>
        </is>
      </c>
      <c r="B354" s="16" t="inlineStr">
        <is>
          <t>上海区域</t>
        </is>
      </c>
      <c r="C354" s="16" t="inlineStr">
        <is>
          <t>CN0Q</t>
        </is>
      </c>
      <c r="D354" s="16" t="inlineStr">
        <is>
          <t>EE 苏州比斯特购物村</t>
        </is>
      </c>
      <c r="E354" s="16" t="n">
        <v>4</v>
      </c>
      <c r="F354" s="16" t="inlineStr">
        <is>
          <t>奥特莱斯</t>
        </is>
      </c>
      <c r="G354" s="16" t="inlineStr">
        <is>
          <t>EEJAG24B01</t>
        </is>
      </c>
      <c r="H354" s="16" t="n">
        <v>1599</v>
      </c>
      <c r="I354" s="16" t="n">
        <v>1599</v>
      </c>
      <c r="J354" s="17" t="inlineStr">
        <is>
          <t>########</t>
        </is>
      </c>
      <c r="K354" s="16" t="inlineStr">
        <is>
          <t>(36)L/Beige</t>
        </is>
      </c>
      <c r="L354" s="16" t="inlineStr">
        <is>
          <t>营业中</t>
        </is>
      </c>
      <c r="M354" s="16" t="inlineStr">
        <is>
          <t>EEJAG24B0136170</t>
        </is>
      </c>
      <c r="N354" s="16">
        <f>LEFT(M354,12)</f>
        <v/>
      </c>
      <c r="O354" s="16" t="inlineStr">
        <is>
          <t>EEJAG24B01, (36)L/Beige, (170)170</t>
        </is>
      </c>
      <c r="P354" s="16" t="n">
        <v>1599</v>
      </c>
      <c r="Q354" s="16" t="n">
        <v>1599</v>
      </c>
      <c r="R354" s="16" t="n"/>
      <c r="S354" s="16" t="n"/>
      <c r="T354" s="16" t="n">
        <v>2</v>
      </c>
    </row>
    <row r="355" s="103">
      <c r="A355" s="16" t="inlineStr">
        <is>
          <t>B331</t>
        </is>
      </c>
      <c r="B355" s="16" t="inlineStr">
        <is>
          <t>上海区域</t>
        </is>
      </c>
      <c r="C355" s="16" t="inlineStr">
        <is>
          <t>CN0Q</t>
        </is>
      </c>
      <c r="D355" s="16" t="inlineStr">
        <is>
          <t>EE 苏州比斯特购物村</t>
        </is>
      </c>
      <c r="E355" s="16" t="n">
        <v>4</v>
      </c>
      <c r="F355" s="16" t="inlineStr">
        <is>
          <t>奥特莱斯</t>
        </is>
      </c>
      <c r="G355" s="16" t="inlineStr">
        <is>
          <t>EEJAG24B01</t>
        </is>
      </c>
      <c r="H355" s="16" t="n">
        <v>1599</v>
      </c>
      <c r="I355" s="16" t="n">
        <v>1599</v>
      </c>
      <c r="J355" s="17" t="inlineStr">
        <is>
          <t>########</t>
        </is>
      </c>
      <c r="K355" s="16" t="inlineStr">
        <is>
          <t>(88)Lavender</t>
        </is>
      </c>
      <c r="L355" s="16" t="inlineStr">
        <is>
          <t>营业中</t>
        </is>
      </c>
      <c r="M355" s="16" t="inlineStr">
        <is>
          <t>EEJAG24B0188160</t>
        </is>
      </c>
      <c r="N355" s="16">
        <f>LEFT(M355,12)</f>
        <v/>
      </c>
      <c r="O355" s="16" t="inlineStr">
        <is>
          <t>EEJAG24B01, (88)Lavender, (160)160</t>
        </is>
      </c>
      <c r="P355" s="16" t="n">
        <v>1599</v>
      </c>
      <c r="Q355" s="16" t="n">
        <v>1599</v>
      </c>
      <c r="R355" s="16" t="n"/>
      <c r="S355" s="16" t="n"/>
      <c r="T355" s="16" t="n">
        <v>2</v>
      </c>
    </row>
    <row r="356" s="103">
      <c r="A356" s="16" t="inlineStr">
        <is>
          <t>B331</t>
        </is>
      </c>
      <c r="B356" s="16" t="inlineStr">
        <is>
          <t>上海区域</t>
        </is>
      </c>
      <c r="C356" s="16" t="inlineStr">
        <is>
          <t>CN0Q</t>
        </is>
      </c>
      <c r="D356" s="16" t="inlineStr">
        <is>
          <t>EE 苏州比斯特购物村</t>
        </is>
      </c>
      <c r="E356" s="16" t="n">
        <v>4</v>
      </c>
      <c r="F356" s="16" t="inlineStr">
        <is>
          <t>奥特莱斯</t>
        </is>
      </c>
      <c r="G356" s="16" t="inlineStr">
        <is>
          <t>EEJAG24B01</t>
        </is>
      </c>
      <c r="H356" s="16" t="n">
        <v>1599</v>
      </c>
      <c r="I356" s="16" t="n">
        <v>1599</v>
      </c>
      <c r="J356" s="17" t="inlineStr">
        <is>
          <t>########</t>
        </is>
      </c>
      <c r="K356" s="16" t="inlineStr">
        <is>
          <t>(88)Lavender</t>
        </is>
      </c>
      <c r="L356" s="16" t="inlineStr">
        <is>
          <t>营业中</t>
        </is>
      </c>
      <c r="M356" s="16" t="inlineStr">
        <is>
          <t>EEJAG24B0188165</t>
        </is>
      </c>
      <c r="N356" s="16">
        <f>LEFT(M356,12)</f>
        <v/>
      </c>
      <c r="O356" s="16" t="inlineStr">
        <is>
          <t>EEJAG24B01, (88)Lavender, (165)165</t>
        </is>
      </c>
      <c r="P356" s="16" t="n">
        <v>1599</v>
      </c>
      <c r="Q356" s="16" t="n">
        <v>1599</v>
      </c>
      <c r="R356" s="16" t="n"/>
      <c r="S356" s="16" t="n"/>
      <c r="T356" s="16" t="n">
        <v>2</v>
      </c>
    </row>
    <row r="357" s="103">
      <c r="A357" s="16" t="inlineStr">
        <is>
          <t>B331</t>
        </is>
      </c>
      <c r="B357" s="16" t="inlineStr">
        <is>
          <t>上海区域</t>
        </is>
      </c>
      <c r="C357" s="16" t="inlineStr">
        <is>
          <t>CN0Q</t>
        </is>
      </c>
      <c r="D357" s="16" t="inlineStr">
        <is>
          <t>EE 苏州比斯特购物村</t>
        </is>
      </c>
      <c r="E357" s="16" t="n">
        <v>4</v>
      </c>
      <c r="F357" s="16" t="inlineStr">
        <is>
          <t>奥特莱斯</t>
        </is>
      </c>
      <c r="G357" s="16" t="inlineStr">
        <is>
          <t>EEJAG24B01</t>
        </is>
      </c>
      <c r="H357" s="16" t="n">
        <v>1599</v>
      </c>
      <c r="I357" s="16" t="n">
        <v>1599</v>
      </c>
      <c r="J357" s="17" t="inlineStr">
        <is>
          <t>########</t>
        </is>
      </c>
      <c r="K357" s="16" t="inlineStr">
        <is>
          <t>(88)Lavender</t>
        </is>
      </c>
      <c r="L357" s="16" t="inlineStr">
        <is>
          <t>营业中</t>
        </is>
      </c>
      <c r="M357" s="16" t="inlineStr">
        <is>
          <t>EEJAG24B0188170</t>
        </is>
      </c>
      <c r="N357" s="16">
        <f>LEFT(M357,12)</f>
        <v/>
      </c>
      <c r="O357" s="16" t="inlineStr">
        <is>
          <t>EEJAG24B01, (88)Lavender, (170)170</t>
        </is>
      </c>
      <c r="P357" s="16" t="n">
        <v>1599</v>
      </c>
      <c r="Q357" s="16" t="n">
        <v>1599</v>
      </c>
      <c r="R357" s="16" t="n"/>
      <c r="S357" s="16" t="n"/>
      <c r="T357" s="16" t="n">
        <v>2</v>
      </c>
    </row>
    <row r="358" s="103">
      <c r="A358" s="16" t="inlineStr">
        <is>
          <t>B331</t>
        </is>
      </c>
      <c r="B358" s="16" t="inlineStr">
        <is>
          <t>上海区域</t>
        </is>
      </c>
      <c r="C358" s="16" t="inlineStr">
        <is>
          <t>CN0Q</t>
        </is>
      </c>
      <c r="D358" s="16" t="inlineStr">
        <is>
          <t>EE 苏州比斯特购物村</t>
        </is>
      </c>
      <c r="E358" s="16" t="n">
        <v>4</v>
      </c>
      <c r="F358" s="16" t="inlineStr">
        <is>
          <t>奥特莱斯</t>
        </is>
      </c>
      <c r="G358" s="16" t="inlineStr">
        <is>
          <t>EEJAG24B02</t>
        </is>
      </c>
      <c r="H358" s="16" t="n">
        <v>1599</v>
      </c>
      <c r="I358" s="16" t="n">
        <v>1599</v>
      </c>
      <c r="J358" s="17" t="inlineStr">
        <is>
          <t>########</t>
        </is>
      </c>
      <c r="K358" s="16" t="inlineStr">
        <is>
          <t>(39)Ivory</t>
        </is>
      </c>
      <c r="L358" s="16" t="inlineStr">
        <is>
          <t>营业中</t>
        </is>
      </c>
      <c r="M358" s="16" t="inlineStr">
        <is>
          <t>EEJAG24B0239160</t>
        </is>
      </c>
      <c r="N358" s="16">
        <f>LEFT(M358,12)</f>
        <v/>
      </c>
      <c r="O358" s="16" t="inlineStr">
        <is>
          <t>EEJAG24B02, (39)Ivory, (160)160</t>
        </is>
      </c>
      <c r="P358" s="16" t="n">
        <v>1599</v>
      </c>
      <c r="Q358" s="16" t="n">
        <v>1599</v>
      </c>
      <c r="R358" s="16" t="n">
        <v>3</v>
      </c>
      <c r="S358" s="18" t="n">
        <v>2033</v>
      </c>
      <c r="T358" s="16" t="n">
        <v>3</v>
      </c>
    </row>
    <row r="359" s="103">
      <c r="A359" s="16" t="inlineStr">
        <is>
          <t>B331</t>
        </is>
      </c>
      <c r="B359" s="16" t="inlineStr">
        <is>
          <t>上海区域</t>
        </is>
      </c>
      <c r="C359" s="16" t="inlineStr">
        <is>
          <t>CN0Q</t>
        </is>
      </c>
      <c r="D359" s="16" t="inlineStr">
        <is>
          <t>EE 苏州比斯特购物村</t>
        </is>
      </c>
      <c r="E359" s="16" t="n">
        <v>4</v>
      </c>
      <c r="F359" s="16" t="inlineStr">
        <is>
          <t>奥特莱斯</t>
        </is>
      </c>
      <c r="G359" s="16" t="inlineStr">
        <is>
          <t>EEJAG24B02</t>
        </is>
      </c>
      <c r="H359" s="16" t="n">
        <v>1599</v>
      </c>
      <c r="I359" s="16" t="n">
        <v>1599</v>
      </c>
      <c r="J359" s="17" t="inlineStr">
        <is>
          <t>########</t>
        </is>
      </c>
      <c r="K359" s="16" t="inlineStr">
        <is>
          <t>(39)Ivory</t>
        </is>
      </c>
      <c r="L359" s="16" t="inlineStr">
        <is>
          <t>营业中</t>
        </is>
      </c>
      <c r="M359" s="16" t="inlineStr">
        <is>
          <t>EEJAG24B0239165</t>
        </is>
      </c>
      <c r="N359" s="16">
        <f>LEFT(M359,12)</f>
        <v/>
      </c>
      <c r="O359" s="16" t="inlineStr">
        <is>
          <t>EEJAG24B02, (39)Ivory, (165)165</t>
        </is>
      </c>
      <c r="P359" s="16" t="n">
        <v>1599</v>
      </c>
      <c r="Q359" s="16" t="n">
        <v>1599</v>
      </c>
      <c r="R359" s="16" t="n">
        <v>1</v>
      </c>
      <c r="S359" s="18" t="n">
        <v>1019</v>
      </c>
      <c r="T359" s="16" t="n">
        <v>1</v>
      </c>
    </row>
    <row r="360" s="103">
      <c r="A360" s="16" t="inlineStr">
        <is>
          <t>B331</t>
        </is>
      </c>
      <c r="B360" s="16" t="inlineStr">
        <is>
          <t>上海区域</t>
        </is>
      </c>
      <c r="C360" s="16" t="inlineStr">
        <is>
          <t>CN0Q</t>
        </is>
      </c>
      <c r="D360" s="16" t="inlineStr">
        <is>
          <t>EE 苏州比斯特购物村</t>
        </is>
      </c>
      <c r="E360" s="16" t="n">
        <v>4</v>
      </c>
      <c r="F360" s="16" t="inlineStr">
        <is>
          <t>奥特莱斯</t>
        </is>
      </c>
      <c r="G360" s="16" t="inlineStr">
        <is>
          <t>EEJAG24B02</t>
        </is>
      </c>
      <c r="H360" s="16" t="n">
        <v>1599</v>
      </c>
      <c r="I360" s="16" t="n">
        <v>1599</v>
      </c>
      <c r="J360" s="17" t="inlineStr">
        <is>
          <t>########</t>
        </is>
      </c>
      <c r="K360" s="16" t="inlineStr">
        <is>
          <t>(39)Ivory</t>
        </is>
      </c>
      <c r="L360" s="16" t="inlineStr">
        <is>
          <t>营业中</t>
        </is>
      </c>
      <c r="M360" s="16" t="inlineStr">
        <is>
          <t>EEJAG24B0239170</t>
        </is>
      </c>
      <c r="N360" s="16">
        <f>LEFT(M360,12)</f>
        <v/>
      </c>
      <c r="O360" s="16" t="inlineStr">
        <is>
          <t>EEJAG24B02, (39)Ivory, (170)170</t>
        </is>
      </c>
      <c r="P360" s="16" t="n">
        <v>1599</v>
      </c>
      <c r="Q360" s="16" t="n">
        <v>1599</v>
      </c>
      <c r="R360" s="16" t="n"/>
      <c r="S360" s="16" t="n"/>
      <c r="T360" s="16" t="n">
        <v>2</v>
      </c>
    </row>
    <row r="361" s="103">
      <c r="A361" s="16" t="inlineStr">
        <is>
          <t>B331</t>
        </is>
      </c>
      <c r="B361" s="16" t="inlineStr">
        <is>
          <t>上海区域</t>
        </is>
      </c>
      <c r="C361" s="16" t="inlineStr">
        <is>
          <t>CN0Q</t>
        </is>
      </c>
      <c r="D361" s="16" t="inlineStr">
        <is>
          <t>EE 苏州比斯特购物村</t>
        </is>
      </c>
      <c r="E361" s="16" t="n">
        <v>4</v>
      </c>
      <c r="F361" s="16" t="inlineStr">
        <is>
          <t>奥特莱斯</t>
        </is>
      </c>
      <c r="G361" s="16" t="inlineStr">
        <is>
          <t>EEJAG24B03</t>
        </is>
      </c>
      <c r="H361" s="16" t="n">
        <v>1299</v>
      </c>
      <c r="I361" s="16" t="n">
        <v>1299</v>
      </c>
      <c r="J361" s="17" t="inlineStr">
        <is>
          <t>########</t>
        </is>
      </c>
      <c r="K361" s="16" t="inlineStr">
        <is>
          <t>(39)Ivory</t>
        </is>
      </c>
      <c r="L361" s="16" t="inlineStr">
        <is>
          <t>营业中</t>
        </is>
      </c>
      <c r="M361" s="16" t="inlineStr">
        <is>
          <t>EEJAG24B0339160</t>
        </is>
      </c>
      <c r="N361" s="16">
        <f>LEFT(M361,12)</f>
        <v/>
      </c>
      <c r="O361" s="16" t="inlineStr">
        <is>
          <t>EEJAG24B03, (39)Ivory, (160)160</t>
        </is>
      </c>
      <c r="P361" s="16" t="n">
        <v>1299</v>
      </c>
      <c r="Q361" s="16" t="n">
        <v>1299</v>
      </c>
      <c r="R361" s="16" t="n"/>
      <c r="S361" s="16" t="n"/>
      <c r="T361" s="16" t="n">
        <v>2</v>
      </c>
    </row>
    <row r="362" s="103">
      <c r="A362" s="16" t="inlineStr">
        <is>
          <t>B331</t>
        </is>
      </c>
      <c r="B362" s="16" t="inlineStr">
        <is>
          <t>上海区域</t>
        </is>
      </c>
      <c r="C362" s="16" t="inlineStr">
        <is>
          <t>CN0Q</t>
        </is>
      </c>
      <c r="D362" s="16" t="inlineStr">
        <is>
          <t>EE 苏州比斯特购物村</t>
        </is>
      </c>
      <c r="E362" s="16" t="n">
        <v>4</v>
      </c>
      <c r="F362" s="16" t="inlineStr">
        <is>
          <t>奥特莱斯</t>
        </is>
      </c>
      <c r="G362" s="16" t="inlineStr">
        <is>
          <t>EEJAG24B03</t>
        </is>
      </c>
      <c r="H362" s="16" t="n">
        <v>1299</v>
      </c>
      <c r="I362" s="16" t="n">
        <v>1299</v>
      </c>
      <c r="J362" s="17" t="inlineStr">
        <is>
          <t>########</t>
        </is>
      </c>
      <c r="K362" s="16" t="inlineStr">
        <is>
          <t>(39)Ivory</t>
        </is>
      </c>
      <c r="L362" s="16" t="inlineStr">
        <is>
          <t>营业中</t>
        </is>
      </c>
      <c r="M362" s="16" t="inlineStr">
        <is>
          <t>EEJAG24B0339165</t>
        </is>
      </c>
      <c r="N362" s="16">
        <f>LEFT(M362,12)</f>
        <v/>
      </c>
      <c r="O362" s="16" t="inlineStr">
        <is>
          <t>EEJAG24B03, (39)Ivory, (165)165</t>
        </is>
      </c>
      <c r="P362" s="16" t="n">
        <v>1299</v>
      </c>
      <c r="Q362" s="16" t="n">
        <v>1299</v>
      </c>
      <c r="R362" s="16" t="n"/>
      <c r="S362" s="16" t="n"/>
      <c r="T362" s="16" t="n">
        <v>2</v>
      </c>
    </row>
    <row r="363" s="103">
      <c r="A363" s="16" t="inlineStr">
        <is>
          <t>B331</t>
        </is>
      </c>
      <c r="B363" s="16" t="inlineStr">
        <is>
          <t>上海区域</t>
        </is>
      </c>
      <c r="C363" s="16" t="inlineStr">
        <is>
          <t>CN0Q</t>
        </is>
      </c>
      <c r="D363" s="16" t="inlineStr">
        <is>
          <t>EE 苏州比斯特购物村</t>
        </is>
      </c>
      <c r="E363" s="16" t="n">
        <v>4</v>
      </c>
      <c r="F363" s="16" t="inlineStr">
        <is>
          <t>奥特莱斯</t>
        </is>
      </c>
      <c r="G363" s="16" t="inlineStr">
        <is>
          <t>EEJAG24B03</t>
        </is>
      </c>
      <c r="H363" s="16" t="n">
        <v>1299</v>
      </c>
      <c r="I363" s="16" t="n">
        <v>1299</v>
      </c>
      <c r="J363" s="17" t="inlineStr">
        <is>
          <t>########</t>
        </is>
      </c>
      <c r="K363" s="16" t="inlineStr">
        <is>
          <t>(39)Ivory</t>
        </is>
      </c>
      <c r="L363" s="16" t="inlineStr">
        <is>
          <t>营业中</t>
        </is>
      </c>
      <c r="M363" s="16" t="inlineStr">
        <is>
          <t>EEJAG24B0339170</t>
        </is>
      </c>
      <c r="N363" s="16">
        <f>LEFT(M363,12)</f>
        <v/>
      </c>
      <c r="O363" s="16" t="inlineStr">
        <is>
          <t>EEJAG24B03, (39)Ivory, (170)170</t>
        </is>
      </c>
      <c r="P363" s="16" t="n">
        <v>1299</v>
      </c>
      <c r="Q363" s="16" t="n">
        <v>1299</v>
      </c>
      <c r="R363" s="16" t="n"/>
      <c r="S363" s="16" t="n"/>
      <c r="T363" s="16" t="n">
        <v>1</v>
      </c>
    </row>
    <row r="364" s="103">
      <c r="A364" s="16" t="inlineStr">
        <is>
          <t>B331</t>
        </is>
      </c>
      <c r="B364" s="16" t="inlineStr">
        <is>
          <t>上海区域</t>
        </is>
      </c>
      <c r="C364" s="16" t="inlineStr">
        <is>
          <t>CN0Q</t>
        </is>
      </c>
      <c r="D364" s="16" t="inlineStr">
        <is>
          <t>EE 苏州比斯特购物村</t>
        </is>
      </c>
      <c r="E364" s="16" t="n">
        <v>4</v>
      </c>
      <c r="F364" s="16" t="inlineStr">
        <is>
          <t>奥特莱斯</t>
        </is>
      </c>
      <c r="G364" s="16" t="inlineStr">
        <is>
          <t>EEJAG24B03</t>
        </is>
      </c>
      <c r="H364" s="16" t="n">
        <v>1299</v>
      </c>
      <c r="I364" s="16" t="n">
        <v>1299</v>
      </c>
      <c r="J364" s="17" t="inlineStr">
        <is>
          <t>########</t>
        </is>
      </c>
      <c r="K364" s="16" t="inlineStr">
        <is>
          <t>(49)Khaki</t>
        </is>
      </c>
      <c r="L364" s="16" t="inlineStr">
        <is>
          <t>营业中</t>
        </is>
      </c>
      <c r="M364" s="16" t="inlineStr">
        <is>
          <t>EEJAG24B0349160</t>
        </is>
      </c>
      <c r="N364" s="16">
        <f>LEFT(M364,12)</f>
        <v/>
      </c>
      <c r="O364" s="16" t="inlineStr">
        <is>
          <t>EEJAG24B03, (49)Khaki, (160)160</t>
        </is>
      </c>
      <c r="P364" s="16" t="n">
        <v>1299</v>
      </c>
      <c r="Q364" s="16" t="n">
        <v>1299</v>
      </c>
      <c r="R364" s="16" t="n"/>
      <c r="S364" s="16" t="n"/>
      <c r="T364" s="16" t="n">
        <v>2</v>
      </c>
    </row>
    <row r="365" s="103">
      <c r="A365" s="16" t="inlineStr">
        <is>
          <t>B331</t>
        </is>
      </c>
      <c r="B365" s="16" t="inlineStr">
        <is>
          <t>上海区域</t>
        </is>
      </c>
      <c r="C365" s="16" t="inlineStr">
        <is>
          <t>CN0Q</t>
        </is>
      </c>
      <c r="D365" s="16" t="inlineStr">
        <is>
          <t>EE 苏州比斯特购物村</t>
        </is>
      </c>
      <c r="E365" s="16" t="n">
        <v>4</v>
      </c>
      <c r="F365" s="16" t="inlineStr">
        <is>
          <t>奥特莱斯</t>
        </is>
      </c>
      <c r="G365" s="16" t="inlineStr">
        <is>
          <t>EEJAG24B03</t>
        </is>
      </c>
      <c r="H365" s="16" t="n">
        <v>1299</v>
      </c>
      <c r="I365" s="16" t="n">
        <v>1299</v>
      </c>
      <c r="J365" s="17" t="inlineStr">
        <is>
          <t>########</t>
        </is>
      </c>
      <c r="K365" s="16" t="inlineStr">
        <is>
          <t>(49)Khaki</t>
        </is>
      </c>
      <c r="L365" s="16" t="inlineStr">
        <is>
          <t>营业中</t>
        </is>
      </c>
      <c r="M365" s="16" t="inlineStr">
        <is>
          <t>EEJAG24B0349165</t>
        </is>
      </c>
      <c r="N365" s="16">
        <f>LEFT(M365,12)</f>
        <v/>
      </c>
      <c r="O365" s="16" t="inlineStr">
        <is>
          <t>EEJAG24B03, (49)Khaki, (165)165</t>
        </is>
      </c>
      <c r="P365" s="16" t="n">
        <v>1299</v>
      </c>
      <c r="Q365" s="16" t="n">
        <v>1299</v>
      </c>
      <c r="R365" s="16" t="n">
        <v>1</v>
      </c>
      <c r="S365" s="16" t="n">
        <v>909</v>
      </c>
      <c r="T365" s="16" t="n">
        <v>1</v>
      </c>
    </row>
    <row r="366" s="103">
      <c r="A366" s="16" t="inlineStr">
        <is>
          <t>B331</t>
        </is>
      </c>
      <c r="B366" s="16" t="inlineStr">
        <is>
          <t>上海区域</t>
        </is>
      </c>
      <c r="C366" s="16" t="inlineStr">
        <is>
          <t>CN0Q</t>
        </is>
      </c>
      <c r="D366" s="16" t="inlineStr">
        <is>
          <t>EE 苏州比斯特购物村</t>
        </is>
      </c>
      <c r="E366" s="16" t="n">
        <v>4</v>
      </c>
      <c r="F366" s="16" t="inlineStr">
        <is>
          <t>奥特莱斯</t>
        </is>
      </c>
      <c r="G366" s="16" t="inlineStr">
        <is>
          <t>EEJAG24B03</t>
        </is>
      </c>
      <c r="H366" s="16" t="n">
        <v>1299</v>
      </c>
      <c r="I366" s="16" t="n">
        <v>1299</v>
      </c>
      <c r="J366" s="17" t="inlineStr">
        <is>
          <t>########</t>
        </is>
      </c>
      <c r="K366" s="16" t="inlineStr">
        <is>
          <t>(49)Khaki</t>
        </is>
      </c>
      <c r="L366" s="16" t="inlineStr">
        <is>
          <t>营业中</t>
        </is>
      </c>
      <c r="M366" s="16" t="inlineStr">
        <is>
          <t>EEJAG24B0349170</t>
        </is>
      </c>
      <c r="N366" s="16">
        <f>LEFT(M366,12)</f>
        <v/>
      </c>
      <c r="O366" s="16" t="inlineStr">
        <is>
          <t>EEJAG24B03, (49)Khaki, (170)170</t>
        </is>
      </c>
      <c r="P366" s="16" t="n">
        <v>1299</v>
      </c>
      <c r="Q366" s="16" t="n">
        <v>1299</v>
      </c>
      <c r="R366" s="16" t="n"/>
      <c r="S366" s="16" t="n"/>
      <c r="T366" s="16" t="n">
        <v>2</v>
      </c>
    </row>
    <row r="367" s="103">
      <c r="A367" s="16" t="inlineStr">
        <is>
          <t>B331</t>
        </is>
      </c>
      <c r="B367" s="16" t="inlineStr">
        <is>
          <t>上海区域</t>
        </is>
      </c>
      <c r="C367" s="16" t="inlineStr">
        <is>
          <t>CN0Q</t>
        </is>
      </c>
      <c r="D367" s="16" t="inlineStr">
        <is>
          <t>EE 苏州比斯特购物村</t>
        </is>
      </c>
      <c r="E367" s="16" t="n">
        <v>4</v>
      </c>
      <c r="F367" s="16" t="inlineStr">
        <is>
          <t>奥特莱斯</t>
        </is>
      </c>
      <c r="G367" s="16" t="inlineStr">
        <is>
          <t>EEJAG24B04</t>
        </is>
      </c>
      <c r="H367" s="16" t="n">
        <v>1999</v>
      </c>
      <c r="I367" s="16" t="n">
        <v>1599</v>
      </c>
      <c r="J367" s="17" t="inlineStr">
        <is>
          <t>########</t>
        </is>
      </c>
      <c r="K367" s="16" t="inlineStr">
        <is>
          <t>(49)Khaki</t>
        </is>
      </c>
      <c r="L367" s="16" t="inlineStr">
        <is>
          <t>营业中</t>
        </is>
      </c>
      <c r="M367" s="16" t="inlineStr">
        <is>
          <t>EEJAG24B0449160</t>
        </is>
      </c>
      <c r="N367" s="16">
        <f>LEFT(M367,12)</f>
        <v/>
      </c>
      <c r="O367" s="16" t="inlineStr">
        <is>
          <t>EEJAG24B04, (49)Khaki, (160)160</t>
        </is>
      </c>
      <c r="P367" s="16" t="n">
        <v>1999</v>
      </c>
      <c r="Q367" s="16" t="n">
        <v>1599</v>
      </c>
      <c r="R367" s="16" t="n">
        <v>12</v>
      </c>
      <c r="S367" s="18" t="n">
        <v>8664</v>
      </c>
      <c r="T367" s="16" t="n">
        <v>5</v>
      </c>
    </row>
    <row r="368" s="103">
      <c r="A368" s="16" t="inlineStr">
        <is>
          <t>B331</t>
        </is>
      </c>
      <c r="B368" s="16" t="inlineStr">
        <is>
          <t>上海区域</t>
        </is>
      </c>
      <c r="C368" s="16" t="inlineStr">
        <is>
          <t>CN0Q</t>
        </is>
      </c>
      <c r="D368" s="16" t="inlineStr">
        <is>
          <t>EE 苏州比斯特购物村</t>
        </is>
      </c>
      <c r="E368" s="16" t="n">
        <v>4</v>
      </c>
      <c r="F368" s="16" t="inlineStr">
        <is>
          <t>奥特莱斯</t>
        </is>
      </c>
      <c r="G368" s="16" t="inlineStr">
        <is>
          <t>EEJAG24B04</t>
        </is>
      </c>
      <c r="H368" s="16" t="n">
        <v>1999</v>
      </c>
      <c r="I368" s="16" t="n">
        <v>1599</v>
      </c>
      <c r="J368" s="17" t="inlineStr">
        <is>
          <t>########</t>
        </is>
      </c>
      <c r="K368" s="16" t="inlineStr">
        <is>
          <t>(49)Khaki</t>
        </is>
      </c>
      <c r="L368" s="16" t="inlineStr">
        <is>
          <t>营业中</t>
        </is>
      </c>
      <c r="M368" s="16" t="inlineStr">
        <is>
          <t>EEJAG24B0449165</t>
        </is>
      </c>
      <c r="N368" s="16">
        <f>LEFT(M368,12)</f>
        <v/>
      </c>
      <c r="O368" s="16" t="inlineStr">
        <is>
          <t>EEJAG24B04, (49)Khaki, (165)165</t>
        </is>
      </c>
      <c r="P368" s="16" t="n">
        <v>1999</v>
      </c>
      <c r="Q368" s="16" t="n">
        <v>1599</v>
      </c>
      <c r="R368" s="16" t="n">
        <v>10</v>
      </c>
      <c r="S368" s="18" t="n">
        <v>8311</v>
      </c>
      <c r="T368" s="16" t="n">
        <v>4</v>
      </c>
    </row>
    <row r="369" s="103">
      <c r="A369" s="16" t="inlineStr">
        <is>
          <t>B331</t>
        </is>
      </c>
      <c r="B369" s="16" t="inlineStr">
        <is>
          <t>上海区域</t>
        </is>
      </c>
      <c r="C369" s="16" t="inlineStr">
        <is>
          <t>CN0Q</t>
        </is>
      </c>
      <c r="D369" s="16" t="inlineStr">
        <is>
          <t>EE 苏州比斯特购物村</t>
        </is>
      </c>
      <c r="E369" s="16" t="n">
        <v>4</v>
      </c>
      <c r="F369" s="16" t="inlineStr">
        <is>
          <t>奥特莱斯</t>
        </is>
      </c>
      <c r="G369" s="16" t="inlineStr">
        <is>
          <t>EEJAG24B04</t>
        </is>
      </c>
      <c r="H369" s="16" t="n">
        <v>1999</v>
      </c>
      <c r="I369" s="16" t="n">
        <v>1599</v>
      </c>
      <c r="J369" s="17" t="inlineStr">
        <is>
          <t>########</t>
        </is>
      </c>
      <c r="K369" s="16" t="inlineStr">
        <is>
          <t>(49)Khaki</t>
        </is>
      </c>
      <c r="L369" s="16" t="inlineStr">
        <is>
          <t>营业中</t>
        </is>
      </c>
      <c r="M369" s="16" t="inlineStr">
        <is>
          <t>EEJAG24B0449170</t>
        </is>
      </c>
      <c r="N369" s="16">
        <f>LEFT(M369,12)</f>
        <v/>
      </c>
      <c r="O369" s="16" t="inlineStr">
        <is>
          <t>EEJAG24B04, (49)Khaki, (170)170</t>
        </is>
      </c>
      <c r="P369" s="16" t="n">
        <v>1999</v>
      </c>
      <c r="Q369" s="16" t="n">
        <v>1599</v>
      </c>
      <c r="R369" s="16" t="n">
        <v>5</v>
      </c>
      <c r="S369" s="18" t="n">
        <v>3571</v>
      </c>
      <c r="T369" s="16" t="n">
        <v>3</v>
      </c>
    </row>
    <row r="370" s="103">
      <c r="A370" s="16" t="inlineStr">
        <is>
          <t>B331</t>
        </is>
      </c>
      <c r="B370" s="16" t="inlineStr">
        <is>
          <t>上海区域</t>
        </is>
      </c>
      <c r="C370" s="16" t="inlineStr">
        <is>
          <t>CN0Q</t>
        </is>
      </c>
      <c r="D370" s="16" t="inlineStr">
        <is>
          <t>EE 苏州比斯特购物村</t>
        </is>
      </c>
      <c r="E370" s="16" t="n">
        <v>4</v>
      </c>
      <c r="F370" s="16" t="inlineStr">
        <is>
          <t>奥特莱斯</t>
        </is>
      </c>
      <c r="G370" s="16" t="inlineStr">
        <is>
          <t>EEJJG23B01</t>
        </is>
      </c>
      <c r="H370" s="16" t="n">
        <v>899</v>
      </c>
      <c r="I370" s="16" t="n">
        <v>899</v>
      </c>
      <c r="J370" s="17" t="inlineStr">
        <is>
          <t>########</t>
        </is>
      </c>
      <c r="K370" s="16" t="inlineStr">
        <is>
          <t>(39)Ivory</t>
        </is>
      </c>
      <c r="L370" s="16" t="inlineStr">
        <is>
          <t>营业中</t>
        </is>
      </c>
      <c r="M370" s="16" t="inlineStr">
        <is>
          <t>EEJJG23B0139160</t>
        </is>
      </c>
      <c r="N370" s="16">
        <f>LEFT(M370,12)</f>
        <v/>
      </c>
      <c r="O370" s="16" t="inlineStr">
        <is>
          <t>EEJJG23B01, (39)Ivory, (160)160</t>
        </is>
      </c>
      <c r="P370" s="16" t="n">
        <v>899</v>
      </c>
      <c r="Q370" s="16" t="n">
        <v>899</v>
      </c>
      <c r="R370" s="16" t="n"/>
      <c r="S370" s="16" t="n"/>
      <c r="T370" s="16" t="n">
        <v>2</v>
      </c>
    </row>
    <row r="371" s="103">
      <c r="A371" s="16" t="inlineStr">
        <is>
          <t>B331</t>
        </is>
      </c>
      <c r="B371" s="16" t="inlineStr">
        <is>
          <t>上海区域</t>
        </is>
      </c>
      <c r="C371" s="16" t="inlineStr">
        <is>
          <t>CN0Q</t>
        </is>
      </c>
      <c r="D371" s="16" t="inlineStr">
        <is>
          <t>EE 苏州比斯特购物村</t>
        </is>
      </c>
      <c r="E371" s="16" t="n">
        <v>4</v>
      </c>
      <c r="F371" s="16" t="inlineStr">
        <is>
          <t>奥特莱斯</t>
        </is>
      </c>
      <c r="G371" s="16" t="inlineStr">
        <is>
          <t>EEJJG23B01</t>
        </is>
      </c>
      <c r="H371" s="16" t="n">
        <v>899</v>
      </c>
      <c r="I371" s="16" t="n">
        <v>899</v>
      </c>
      <c r="J371" s="17" t="inlineStr">
        <is>
          <t>########</t>
        </is>
      </c>
      <c r="K371" s="16" t="inlineStr">
        <is>
          <t>(39)Ivory</t>
        </is>
      </c>
      <c r="L371" s="16" t="inlineStr">
        <is>
          <t>营业中</t>
        </is>
      </c>
      <c r="M371" s="16" t="inlineStr">
        <is>
          <t>EEJJG23B0139165</t>
        </is>
      </c>
      <c r="N371" s="16">
        <f>LEFT(M371,12)</f>
        <v/>
      </c>
      <c r="O371" s="16" t="inlineStr">
        <is>
          <t>EEJJG23B01, (39)Ivory, (165)165</t>
        </is>
      </c>
      <c r="P371" s="16" t="n">
        <v>899</v>
      </c>
      <c r="Q371" s="16" t="n">
        <v>899</v>
      </c>
      <c r="R371" s="16" t="n"/>
      <c r="S371" s="16" t="n"/>
      <c r="T371" s="16" t="n">
        <v>2</v>
      </c>
    </row>
    <row r="372" s="103">
      <c r="A372" s="16" t="inlineStr">
        <is>
          <t>B331</t>
        </is>
      </c>
      <c r="B372" s="16" t="inlineStr">
        <is>
          <t>上海区域</t>
        </is>
      </c>
      <c r="C372" s="16" t="inlineStr">
        <is>
          <t>CN0Q</t>
        </is>
      </c>
      <c r="D372" s="16" t="inlineStr">
        <is>
          <t>EE 苏州比斯特购物村</t>
        </is>
      </c>
      <c r="E372" s="16" t="n">
        <v>4</v>
      </c>
      <c r="F372" s="16" t="inlineStr">
        <is>
          <t>奥特莱斯</t>
        </is>
      </c>
      <c r="G372" s="16" t="inlineStr">
        <is>
          <t>EEJJG23B01</t>
        </is>
      </c>
      <c r="H372" s="16" t="n">
        <v>899</v>
      </c>
      <c r="I372" s="16" t="n">
        <v>899</v>
      </c>
      <c r="J372" s="17" t="inlineStr">
        <is>
          <t>########</t>
        </is>
      </c>
      <c r="K372" s="16" t="inlineStr">
        <is>
          <t>(39)Ivory</t>
        </is>
      </c>
      <c r="L372" s="16" t="inlineStr">
        <is>
          <t>营业中</t>
        </is>
      </c>
      <c r="M372" s="16" t="inlineStr">
        <is>
          <t>EEJJG23B0139170</t>
        </is>
      </c>
      <c r="N372" s="16">
        <f>LEFT(M372,12)</f>
        <v/>
      </c>
      <c r="O372" s="16" t="inlineStr">
        <is>
          <t>EEJJG23B01, (39)Ivory, (170)170</t>
        </is>
      </c>
      <c r="P372" s="16" t="n">
        <v>899</v>
      </c>
      <c r="Q372" s="16" t="n">
        <v>899</v>
      </c>
      <c r="R372" s="16" t="n"/>
      <c r="S372" s="16" t="n"/>
      <c r="T372" s="16" t="n">
        <v>2</v>
      </c>
    </row>
    <row r="373" s="103">
      <c r="A373" s="16" t="inlineStr">
        <is>
          <t>B331</t>
        </is>
      </c>
      <c r="B373" s="16" t="inlineStr">
        <is>
          <t>上海区域</t>
        </is>
      </c>
      <c r="C373" s="16" t="inlineStr">
        <is>
          <t>CN0Q</t>
        </is>
      </c>
      <c r="D373" s="16" t="inlineStr">
        <is>
          <t>EE 苏州比斯特购物村</t>
        </is>
      </c>
      <c r="E373" s="16" t="n">
        <v>4</v>
      </c>
      <c r="F373" s="16" t="inlineStr">
        <is>
          <t>奥特莱斯</t>
        </is>
      </c>
      <c r="G373" s="16" t="inlineStr">
        <is>
          <t>EEJJG23B01</t>
        </is>
      </c>
      <c r="H373" s="16" t="n">
        <v>899</v>
      </c>
      <c r="I373" s="16" t="n">
        <v>899</v>
      </c>
      <c r="J373" s="17" t="inlineStr">
        <is>
          <t>########</t>
        </is>
      </c>
      <c r="K373" s="16" t="inlineStr">
        <is>
          <t>(55)Indigo</t>
        </is>
      </c>
      <c r="L373" s="16" t="inlineStr">
        <is>
          <t>营业中</t>
        </is>
      </c>
      <c r="M373" s="16" t="inlineStr">
        <is>
          <t>EEJJG23B0155160</t>
        </is>
      </c>
      <c r="N373" s="16">
        <f>LEFT(M373,12)</f>
        <v/>
      </c>
      <c r="O373" s="16" t="inlineStr">
        <is>
          <t>EEJJG23B01, (55)Indigo, (160)160</t>
        </is>
      </c>
      <c r="P373" s="16" t="n">
        <v>899</v>
      </c>
      <c r="Q373" s="16" t="n">
        <v>899</v>
      </c>
      <c r="R373" s="16" t="n">
        <v>1</v>
      </c>
      <c r="S373" s="16" t="n"/>
      <c r="T373" s="16" t="n">
        <v>1</v>
      </c>
    </row>
    <row r="374" s="103">
      <c r="A374" s="16" t="inlineStr">
        <is>
          <t>B331</t>
        </is>
      </c>
      <c r="B374" s="16" t="inlineStr">
        <is>
          <t>上海区域</t>
        </is>
      </c>
      <c r="C374" s="16" t="inlineStr">
        <is>
          <t>CN0Q</t>
        </is>
      </c>
      <c r="D374" s="16" t="inlineStr">
        <is>
          <t>EE 苏州比斯特购物村</t>
        </is>
      </c>
      <c r="E374" s="16" t="n">
        <v>4</v>
      </c>
      <c r="F374" s="16" t="inlineStr">
        <is>
          <t>奥特莱斯</t>
        </is>
      </c>
      <c r="G374" s="16" t="inlineStr">
        <is>
          <t>EEJJG23B01</t>
        </is>
      </c>
      <c r="H374" s="16" t="n">
        <v>899</v>
      </c>
      <c r="I374" s="16" t="n">
        <v>899</v>
      </c>
      <c r="J374" s="17" t="inlineStr">
        <is>
          <t>########</t>
        </is>
      </c>
      <c r="K374" s="16" t="inlineStr">
        <is>
          <t>(55)Indigo</t>
        </is>
      </c>
      <c r="L374" s="16" t="inlineStr">
        <is>
          <t>营业中</t>
        </is>
      </c>
      <c r="M374" s="16" t="inlineStr">
        <is>
          <t>EEJJG23B0155165</t>
        </is>
      </c>
      <c r="N374" s="16">
        <f>LEFT(M374,12)</f>
        <v/>
      </c>
      <c r="O374" s="16" t="inlineStr">
        <is>
          <t>EEJJG23B01, (55)Indigo, (165)165</t>
        </is>
      </c>
      <c r="P374" s="16" t="n">
        <v>899</v>
      </c>
      <c r="Q374" s="16" t="n">
        <v>899</v>
      </c>
      <c r="R374" s="16" t="n"/>
      <c r="S374" s="16" t="n"/>
      <c r="T374" s="16" t="n">
        <v>2</v>
      </c>
    </row>
    <row r="375" s="103">
      <c r="A375" s="16" t="inlineStr">
        <is>
          <t>B331</t>
        </is>
      </c>
      <c r="B375" s="16" t="inlineStr">
        <is>
          <t>上海区域</t>
        </is>
      </c>
      <c r="C375" s="16" t="inlineStr">
        <is>
          <t>CN0Q</t>
        </is>
      </c>
      <c r="D375" s="16" t="inlineStr">
        <is>
          <t>EE 苏州比斯特购物村</t>
        </is>
      </c>
      <c r="E375" s="16" t="n">
        <v>4</v>
      </c>
      <c r="F375" s="16" t="inlineStr">
        <is>
          <t>奥特莱斯</t>
        </is>
      </c>
      <c r="G375" s="16" t="inlineStr">
        <is>
          <t>EEJJG23B01</t>
        </is>
      </c>
      <c r="H375" s="16" t="n">
        <v>899</v>
      </c>
      <c r="I375" s="16" t="n">
        <v>899</v>
      </c>
      <c r="J375" s="17" t="inlineStr">
        <is>
          <t>########</t>
        </is>
      </c>
      <c r="K375" s="16" t="inlineStr">
        <is>
          <t>(55)Indigo</t>
        </is>
      </c>
      <c r="L375" s="16" t="inlineStr">
        <is>
          <t>营业中</t>
        </is>
      </c>
      <c r="M375" s="16" t="inlineStr">
        <is>
          <t>EEJJG23B0155170</t>
        </is>
      </c>
      <c r="N375" s="16">
        <f>LEFT(M375,12)</f>
        <v/>
      </c>
      <c r="O375" s="16" t="inlineStr">
        <is>
          <t>EEJJG23B01, (55)Indigo, (170)170</t>
        </is>
      </c>
      <c r="P375" s="16" t="n">
        <v>899</v>
      </c>
      <c r="Q375" s="16" t="n">
        <v>899</v>
      </c>
      <c r="R375" s="16" t="n"/>
      <c r="S375" s="16" t="n"/>
      <c r="T375" s="16" t="n">
        <v>2</v>
      </c>
    </row>
    <row r="376" s="103">
      <c r="A376" s="16" t="inlineStr">
        <is>
          <t>B331</t>
        </is>
      </c>
      <c r="B376" s="16" t="inlineStr">
        <is>
          <t>上海区域</t>
        </is>
      </c>
      <c r="C376" s="16" t="inlineStr">
        <is>
          <t>CN0Q</t>
        </is>
      </c>
      <c r="D376" s="16" t="inlineStr">
        <is>
          <t>EE 苏州比斯特购物村</t>
        </is>
      </c>
      <c r="E376" s="16" t="n">
        <v>4</v>
      </c>
      <c r="F376" s="16" t="inlineStr">
        <is>
          <t>奥特莱斯</t>
        </is>
      </c>
      <c r="G376" s="16" t="inlineStr">
        <is>
          <t>EEJJG23D03</t>
        </is>
      </c>
      <c r="H376" s="16" t="n">
        <v>1599</v>
      </c>
      <c r="I376" s="16" t="n">
        <v>1599</v>
      </c>
      <c r="J376" s="17" t="inlineStr">
        <is>
          <t>########</t>
        </is>
      </c>
      <c r="K376" s="16" t="inlineStr">
        <is>
          <t>(56)L/Indigo</t>
        </is>
      </c>
      <c r="L376" s="16" t="inlineStr">
        <is>
          <t>营业中</t>
        </is>
      </c>
      <c r="M376" s="16" t="inlineStr">
        <is>
          <t>EEJJG23D0356160</t>
        </is>
      </c>
      <c r="N376" s="16">
        <f>LEFT(M376,12)</f>
        <v/>
      </c>
      <c r="O376" s="16" t="inlineStr">
        <is>
          <t>EEJJG23D03, (56)L/Indigo, (160)160</t>
        </is>
      </c>
      <c r="P376" s="16" t="n">
        <v>1599</v>
      </c>
      <c r="Q376" s="16" t="n">
        <v>1599</v>
      </c>
      <c r="R376" s="16" t="n"/>
      <c r="S376" s="16" t="n"/>
      <c r="T376" s="16" t="n">
        <v>2</v>
      </c>
    </row>
    <row r="377" s="103">
      <c r="A377" s="16" t="inlineStr">
        <is>
          <t>B331</t>
        </is>
      </c>
      <c r="B377" s="16" t="inlineStr">
        <is>
          <t>上海区域</t>
        </is>
      </c>
      <c r="C377" s="16" t="inlineStr">
        <is>
          <t>CN0Q</t>
        </is>
      </c>
      <c r="D377" s="16" t="inlineStr">
        <is>
          <t>EE 苏州比斯特购物村</t>
        </is>
      </c>
      <c r="E377" s="16" t="n">
        <v>4</v>
      </c>
      <c r="F377" s="16" t="inlineStr">
        <is>
          <t>奥特莱斯</t>
        </is>
      </c>
      <c r="G377" s="16" t="inlineStr">
        <is>
          <t>EEJJG23D03</t>
        </is>
      </c>
      <c r="H377" s="16" t="n">
        <v>1599</v>
      </c>
      <c r="I377" s="16" t="n">
        <v>1599</v>
      </c>
      <c r="J377" s="17" t="inlineStr">
        <is>
          <t>########</t>
        </is>
      </c>
      <c r="K377" s="16" t="inlineStr">
        <is>
          <t>(56)L/Indigo</t>
        </is>
      </c>
      <c r="L377" s="16" t="inlineStr">
        <is>
          <t>营业中</t>
        </is>
      </c>
      <c r="M377" s="16" t="inlineStr">
        <is>
          <t>EEJJG23D0356165</t>
        </is>
      </c>
      <c r="N377" s="16">
        <f>LEFT(M377,12)</f>
        <v/>
      </c>
      <c r="O377" s="16" t="inlineStr">
        <is>
          <t>EEJJG23D03, (56)L/Indigo, (165)165</t>
        </is>
      </c>
      <c r="P377" s="16" t="n">
        <v>1599</v>
      </c>
      <c r="Q377" s="16" t="n">
        <v>1599</v>
      </c>
      <c r="R377" s="16" t="n"/>
      <c r="S377" s="16" t="n"/>
      <c r="T377" s="16" t="n">
        <v>2</v>
      </c>
    </row>
    <row r="378" s="103">
      <c r="A378" s="16" t="inlineStr">
        <is>
          <t>B331</t>
        </is>
      </c>
      <c r="B378" s="16" t="inlineStr">
        <is>
          <t>上海区域</t>
        </is>
      </c>
      <c r="C378" s="16" t="inlineStr">
        <is>
          <t>CN0Q</t>
        </is>
      </c>
      <c r="D378" s="16" t="inlineStr">
        <is>
          <t>EE 苏州比斯特购物村</t>
        </is>
      </c>
      <c r="E378" s="16" t="n">
        <v>4</v>
      </c>
      <c r="F378" s="16" t="inlineStr">
        <is>
          <t>奥特莱斯</t>
        </is>
      </c>
      <c r="G378" s="16" t="inlineStr">
        <is>
          <t>EEJJG23D03</t>
        </is>
      </c>
      <c r="H378" s="16" t="n">
        <v>1599</v>
      </c>
      <c r="I378" s="16" t="n">
        <v>1599</v>
      </c>
      <c r="J378" s="17" t="inlineStr">
        <is>
          <t>########</t>
        </is>
      </c>
      <c r="K378" s="16" t="inlineStr">
        <is>
          <t>(56)L/Indigo</t>
        </is>
      </c>
      <c r="L378" s="16" t="inlineStr">
        <is>
          <t>营业中</t>
        </is>
      </c>
      <c r="M378" s="16" t="inlineStr">
        <is>
          <t>EEJJG23D0356170</t>
        </is>
      </c>
      <c r="N378" s="16">
        <f>LEFT(M378,12)</f>
        <v/>
      </c>
      <c r="O378" s="16" t="inlineStr">
        <is>
          <t>EEJJG23D03, (56)L/Indigo, (170)170</t>
        </is>
      </c>
      <c r="P378" s="16" t="n">
        <v>1599</v>
      </c>
      <c r="Q378" s="16" t="n">
        <v>1599</v>
      </c>
      <c r="R378" s="16" t="n"/>
      <c r="S378" s="16" t="n"/>
      <c r="T378" s="16" t="n">
        <v>1</v>
      </c>
    </row>
    <row r="379" s="103">
      <c r="A379" s="16" t="inlineStr">
        <is>
          <t>B331</t>
        </is>
      </c>
      <c r="B379" s="16" t="inlineStr">
        <is>
          <t>上海区域</t>
        </is>
      </c>
      <c r="C379" s="16" t="inlineStr">
        <is>
          <t>CN0Q</t>
        </is>
      </c>
      <c r="D379" s="16" t="inlineStr">
        <is>
          <t>EE 苏州比斯特购物村</t>
        </is>
      </c>
      <c r="E379" s="16" t="n">
        <v>4</v>
      </c>
      <c r="F379" s="16" t="inlineStr">
        <is>
          <t>奥特莱斯</t>
        </is>
      </c>
      <c r="G379" s="16" t="inlineStr">
        <is>
          <t>EEJJG23D1G</t>
        </is>
      </c>
      <c r="H379" s="16" t="n">
        <v>1299</v>
      </c>
      <c r="I379" s="16" t="n">
        <v>1299</v>
      </c>
      <c r="J379" s="17" t="inlineStr">
        <is>
          <t>########</t>
        </is>
      </c>
      <c r="K379" s="16" t="inlineStr">
        <is>
          <t>(39)Ivory</t>
        </is>
      </c>
      <c r="L379" s="16" t="inlineStr">
        <is>
          <t>营业中</t>
        </is>
      </c>
      <c r="M379" s="16" t="inlineStr">
        <is>
          <t>EEJJG23D1G39170</t>
        </is>
      </c>
      <c r="N379" s="16">
        <f>LEFT(M379,12)</f>
        <v/>
      </c>
      <c r="O379" s="16" t="inlineStr">
        <is>
          <t>EEJJG23D1G, (39)Ivory, (170)170</t>
        </is>
      </c>
      <c r="P379" s="16" t="n">
        <v>1299</v>
      </c>
      <c r="Q379" s="16" t="n">
        <v>1299</v>
      </c>
      <c r="R379" s="16" t="n">
        <v>1</v>
      </c>
      <c r="S379" s="16" t="n"/>
      <c r="T379" s="16" t="n">
        <v>2</v>
      </c>
    </row>
    <row r="380" s="103">
      <c r="A380" s="16" t="inlineStr">
        <is>
          <t>B331</t>
        </is>
      </c>
      <c r="B380" s="16" t="inlineStr">
        <is>
          <t>上海区域</t>
        </is>
      </c>
      <c r="C380" s="16" t="inlineStr">
        <is>
          <t>CN0Q</t>
        </is>
      </c>
      <c r="D380" s="16" t="inlineStr">
        <is>
          <t>EE 苏州比斯特购物村</t>
        </is>
      </c>
      <c r="E380" s="16" t="n">
        <v>4</v>
      </c>
      <c r="F380" s="16" t="inlineStr">
        <is>
          <t>奥特莱斯</t>
        </is>
      </c>
      <c r="G380" s="16" t="inlineStr">
        <is>
          <t>EEJJG23D1G</t>
        </is>
      </c>
      <c r="H380" s="16" t="n">
        <v>1299</v>
      </c>
      <c r="I380" s="16" t="n">
        <v>1299</v>
      </c>
      <c r="J380" s="17" t="inlineStr">
        <is>
          <t>########</t>
        </is>
      </c>
      <c r="K380" s="16" t="inlineStr">
        <is>
          <t>(39)Ivory</t>
        </is>
      </c>
      <c r="L380" s="16" t="inlineStr">
        <is>
          <t>营业中</t>
        </is>
      </c>
      <c r="M380" s="16" t="inlineStr">
        <is>
          <t>EEJJG23D1G39175</t>
        </is>
      </c>
      <c r="N380" s="16">
        <f>LEFT(M380,12)</f>
        <v/>
      </c>
      <c r="O380" s="16" t="inlineStr">
        <is>
          <t>EEJJG23D1G, (39)Ivory, (175)175</t>
        </is>
      </c>
      <c r="P380" s="16" t="n">
        <v>1299</v>
      </c>
      <c r="Q380" s="16" t="n">
        <v>1299</v>
      </c>
      <c r="R380" s="16" t="n">
        <v>1</v>
      </c>
      <c r="S380" s="16" t="n"/>
      <c r="T380" s="16" t="n">
        <v>2</v>
      </c>
    </row>
    <row r="381" s="103">
      <c r="A381" s="16" t="inlineStr">
        <is>
          <t>B331</t>
        </is>
      </c>
      <c r="B381" s="16" t="inlineStr">
        <is>
          <t>上海区域</t>
        </is>
      </c>
      <c r="C381" s="16" t="inlineStr">
        <is>
          <t>CN0Q</t>
        </is>
      </c>
      <c r="D381" s="16" t="inlineStr">
        <is>
          <t>EE 苏州比斯特购物村</t>
        </is>
      </c>
      <c r="E381" s="16" t="n">
        <v>4</v>
      </c>
      <c r="F381" s="16" t="inlineStr">
        <is>
          <t>奥特莱斯</t>
        </is>
      </c>
      <c r="G381" s="16" t="inlineStr">
        <is>
          <t>EEJJG23D1G</t>
        </is>
      </c>
      <c r="H381" s="16" t="n">
        <v>1299</v>
      </c>
      <c r="I381" s="16" t="n">
        <v>1299</v>
      </c>
      <c r="J381" s="17" t="inlineStr">
        <is>
          <t>########</t>
        </is>
      </c>
      <c r="K381" s="16" t="inlineStr">
        <is>
          <t>(39)Ivory</t>
        </is>
      </c>
      <c r="L381" s="16" t="inlineStr">
        <is>
          <t>营业中</t>
        </is>
      </c>
      <c r="M381" s="16" t="inlineStr">
        <is>
          <t>EEJJG23D1G39180</t>
        </is>
      </c>
      <c r="N381" s="16">
        <f>LEFT(M381,12)</f>
        <v/>
      </c>
      <c r="O381" s="16" t="inlineStr">
        <is>
          <t>EEJJG23D1G, (39)Ivory, (180)180</t>
        </is>
      </c>
      <c r="P381" s="16" t="n">
        <v>1299</v>
      </c>
      <c r="Q381" s="16" t="n">
        <v>1299</v>
      </c>
      <c r="R381" s="16" t="n">
        <v>1</v>
      </c>
      <c r="S381" s="16" t="n">
        <v>830</v>
      </c>
      <c r="T381" s="16" t="n">
        <v>1</v>
      </c>
    </row>
    <row r="382" s="103">
      <c r="A382" s="16" t="inlineStr">
        <is>
          <t>B331</t>
        </is>
      </c>
      <c r="B382" s="16" t="inlineStr">
        <is>
          <t>上海区域</t>
        </is>
      </c>
      <c r="C382" s="16" t="inlineStr">
        <is>
          <t>CN0Q</t>
        </is>
      </c>
      <c r="D382" s="16" t="inlineStr">
        <is>
          <t>EE 苏州比斯特购物村</t>
        </is>
      </c>
      <c r="E382" s="16" t="n">
        <v>4</v>
      </c>
      <c r="F382" s="16" t="inlineStr">
        <is>
          <t>奥特莱斯</t>
        </is>
      </c>
      <c r="G382" s="16" t="inlineStr">
        <is>
          <t>EEJJG23D1G</t>
        </is>
      </c>
      <c r="H382" s="16" t="n">
        <v>1299</v>
      </c>
      <c r="I382" s="16" t="n">
        <v>1299</v>
      </c>
      <c r="J382" s="17" t="inlineStr">
        <is>
          <t>########</t>
        </is>
      </c>
      <c r="K382" s="16" t="inlineStr">
        <is>
          <t>(39)Ivory</t>
        </is>
      </c>
      <c r="L382" s="16" t="inlineStr">
        <is>
          <t>营业中</t>
        </is>
      </c>
      <c r="M382" s="16" t="inlineStr">
        <is>
          <t>EEJJG23D1G39185</t>
        </is>
      </c>
      <c r="N382" s="16">
        <f>LEFT(M382,12)</f>
        <v/>
      </c>
      <c r="O382" s="16" t="inlineStr">
        <is>
          <t>EEJJG23D1G, (39)Ivory, (185)185</t>
        </is>
      </c>
      <c r="P382" s="16" t="n">
        <v>1299</v>
      </c>
      <c r="Q382" s="16" t="n">
        <v>1299</v>
      </c>
      <c r="R382" s="16" t="n"/>
      <c r="S382" s="16" t="n"/>
      <c r="T382" s="16" t="n">
        <v>1</v>
      </c>
    </row>
    <row r="383" s="103">
      <c r="A383" s="16" t="inlineStr">
        <is>
          <t>B331</t>
        </is>
      </c>
      <c r="B383" s="16" t="inlineStr">
        <is>
          <t>上海区域</t>
        </is>
      </c>
      <c r="C383" s="16" t="inlineStr">
        <is>
          <t>CN0Q</t>
        </is>
      </c>
      <c r="D383" s="16" t="inlineStr">
        <is>
          <t>EE 苏州比斯特购物村</t>
        </is>
      </c>
      <c r="E383" s="16" t="n">
        <v>4</v>
      </c>
      <c r="F383" s="16" t="inlineStr">
        <is>
          <t>奥特莱斯</t>
        </is>
      </c>
      <c r="G383" s="16" t="inlineStr">
        <is>
          <t>EEJJG23D2G</t>
        </is>
      </c>
      <c r="H383" s="16" t="n">
        <v>1299</v>
      </c>
      <c r="I383" s="16" t="n">
        <v>1299</v>
      </c>
      <c r="J383" s="17" t="n">
        <v>46027</v>
      </c>
      <c r="K383" s="16" t="inlineStr">
        <is>
          <t>(55)Indigo</t>
        </is>
      </c>
      <c r="L383" s="16" t="inlineStr">
        <is>
          <t>营业中</t>
        </is>
      </c>
      <c r="M383" s="16" t="inlineStr">
        <is>
          <t>EEJJG23D2G55170</t>
        </is>
      </c>
      <c r="N383" s="16">
        <f>LEFT(M383,12)</f>
        <v/>
      </c>
      <c r="O383" s="16" t="inlineStr">
        <is>
          <t>EEJJG23D2G, (55)Indigo, (170)170</t>
        </is>
      </c>
      <c r="P383" s="16" t="n">
        <v>1299</v>
      </c>
      <c r="Q383" s="16" t="n">
        <v>1299</v>
      </c>
      <c r="R383" s="16" t="n">
        <v>2</v>
      </c>
      <c r="S383" s="16" t="n"/>
      <c r="T383" s="16" t="n">
        <v>0</v>
      </c>
    </row>
    <row r="384" s="103">
      <c r="A384" s="16" t="inlineStr">
        <is>
          <t>B331</t>
        </is>
      </c>
      <c r="B384" s="16" t="inlineStr">
        <is>
          <t>上海区域</t>
        </is>
      </c>
      <c r="C384" s="16" t="inlineStr">
        <is>
          <t>CN0Q</t>
        </is>
      </c>
      <c r="D384" s="16" t="inlineStr">
        <is>
          <t>EE 苏州比斯特购物村</t>
        </is>
      </c>
      <c r="E384" s="16" t="n">
        <v>4</v>
      </c>
      <c r="F384" s="16" t="inlineStr">
        <is>
          <t>奥特莱斯</t>
        </is>
      </c>
      <c r="G384" s="16" t="inlineStr">
        <is>
          <t>EEJJG23D2G</t>
        </is>
      </c>
      <c r="H384" s="16" t="n">
        <v>1299</v>
      </c>
      <c r="I384" s="16" t="n">
        <v>1299</v>
      </c>
      <c r="J384" s="17" t="n">
        <v>46027</v>
      </c>
      <c r="K384" s="16" t="inlineStr">
        <is>
          <t>(55)Indigo</t>
        </is>
      </c>
      <c r="L384" s="16" t="inlineStr">
        <is>
          <t>营业中</t>
        </is>
      </c>
      <c r="M384" s="16" t="inlineStr">
        <is>
          <t>EEJJG23D2G55175</t>
        </is>
      </c>
      <c r="N384" s="16">
        <f>LEFT(M384,12)</f>
        <v/>
      </c>
      <c r="O384" s="16" t="inlineStr">
        <is>
          <t>EEJJG23D2G, (55)Indigo, (175)175</t>
        </is>
      </c>
      <c r="P384" s="16" t="n">
        <v>1299</v>
      </c>
      <c r="Q384" s="16" t="n">
        <v>1299</v>
      </c>
      <c r="R384" s="16" t="n"/>
      <c r="S384" s="16" t="n"/>
      <c r="T384" s="16" t="n">
        <v>2</v>
      </c>
    </row>
    <row r="385" s="103">
      <c r="A385" s="16" t="inlineStr">
        <is>
          <t>B331</t>
        </is>
      </c>
      <c r="B385" s="16" t="inlineStr">
        <is>
          <t>上海区域</t>
        </is>
      </c>
      <c r="C385" s="16" t="inlineStr">
        <is>
          <t>CN0Q</t>
        </is>
      </c>
      <c r="D385" s="16" t="inlineStr">
        <is>
          <t>EE 苏州比斯特购物村</t>
        </is>
      </c>
      <c r="E385" s="16" t="n">
        <v>4</v>
      </c>
      <c r="F385" s="16" t="inlineStr">
        <is>
          <t>奥特莱斯</t>
        </is>
      </c>
      <c r="G385" s="16" t="inlineStr">
        <is>
          <t>EEJJG23D2G</t>
        </is>
      </c>
      <c r="H385" s="16" t="n">
        <v>1299</v>
      </c>
      <c r="I385" s="16" t="n">
        <v>1299</v>
      </c>
      <c r="J385" s="17" t="n">
        <v>46027</v>
      </c>
      <c r="K385" s="16" t="inlineStr">
        <is>
          <t>(55)Indigo</t>
        </is>
      </c>
      <c r="L385" s="16" t="inlineStr">
        <is>
          <t>营业中</t>
        </is>
      </c>
      <c r="M385" s="16" t="inlineStr">
        <is>
          <t>EEJJG23D2G55180</t>
        </is>
      </c>
      <c r="N385" s="16">
        <f>LEFT(M385,12)</f>
        <v/>
      </c>
      <c r="O385" s="16" t="inlineStr">
        <is>
          <t>EEJJG23D2G, (55)Indigo, (180)180</t>
        </is>
      </c>
      <c r="P385" s="16" t="n">
        <v>1299</v>
      </c>
      <c r="Q385" s="16" t="n">
        <v>1299</v>
      </c>
      <c r="R385" s="16" t="n">
        <v>1</v>
      </c>
      <c r="S385" s="16" t="n">
        <v>909</v>
      </c>
      <c r="T385" s="16" t="n">
        <v>2</v>
      </c>
    </row>
    <row r="386" s="103">
      <c r="A386" s="16" t="inlineStr">
        <is>
          <t>B331</t>
        </is>
      </c>
      <c r="B386" s="16" t="inlineStr">
        <is>
          <t>上海区域</t>
        </is>
      </c>
      <c r="C386" s="16" t="inlineStr">
        <is>
          <t>CN0Q</t>
        </is>
      </c>
      <c r="D386" s="16" t="inlineStr">
        <is>
          <t>EE 苏州比斯特购物村</t>
        </is>
      </c>
      <c r="E386" s="16" t="n">
        <v>4</v>
      </c>
      <c r="F386" s="16" t="inlineStr">
        <is>
          <t>奥特莱斯</t>
        </is>
      </c>
      <c r="G386" s="16" t="inlineStr">
        <is>
          <t>EEJKF24M02</t>
        </is>
      </c>
      <c r="H386" s="16" t="n">
        <v>1399</v>
      </c>
      <c r="I386" s="16" t="n">
        <v>1299</v>
      </c>
      <c r="J386" s="17" t="inlineStr">
        <is>
          <t>########</t>
        </is>
      </c>
      <c r="K386" s="16" t="inlineStr">
        <is>
          <t>(35)Beige</t>
        </is>
      </c>
      <c r="L386" s="16" t="inlineStr">
        <is>
          <t>营业中</t>
        </is>
      </c>
      <c r="M386" s="16" t="inlineStr">
        <is>
          <t>EEJKF24M0235160</t>
        </is>
      </c>
      <c r="N386" s="16">
        <f>LEFT(M386,12)</f>
        <v/>
      </c>
      <c r="O386" s="16" t="inlineStr">
        <is>
          <t>EEJKF24M02, (35)Beige, (160)160</t>
        </is>
      </c>
      <c r="P386" s="16" t="n">
        <v>1399</v>
      </c>
      <c r="Q386" s="16" t="n">
        <v>1299</v>
      </c>
      <c r="R386" s="16" t="n"/>
      <c r="S386" s="16" t="n"/>
      <c r="T386" s="16" t="n">
        <v>2</v>
      </c>
    </row>
    <row r="387" s="103">
      <c r="A387" s="16" t="inlineStr">
        <is>
          <t>B331</t>
        </is>
      </c>
      <c r="B387" s="16" t="inlineStr">
        <is>
          <t>上海区域</t>
        </is>
      </c>
      <c r="C387" s="16" t="inlineStr">
        <is>
          <t>CN0Q</t>
        </is>
      </c>
      <c r="D387" s="16" t="inlineStr">
        <is>
          <t>EE 苏州比斯特购物村</t>
        </is>
      </c>
      <c r="E387" s="16" t="n">
        <v>4</v>
      </c>
      <c r="F387" s="16" t="inlineStr">
        <is>
          <t>奥特莱斯</t>
        </is>
      </c>
      <c r="G387" s="16" t="inlineStr">
        <is>
          <t>EEJKF24M02</t>
        </is>
      </c>
      <c r="H387" s="16" t="n">
        <v>1399</v>
      </c>
      <c r="I387" s="16" t="n">
        <v>1299</v>
      </c>
      <c r="J387" s="17" t="inlineStr">
        <is>
          <t>########</t>
        </is>
      </c>
      <c r="K387" s="16" t="inlineStr">
        <is>
          <t>(35)Beige</t>
        </is>
      </c>
      <c r="L387" s="16" t="inlineStr">
        <is>
          <t>营业中</t>
        </is>
      </c>
      <c r="M387" s="16" t="inlineStr">
        <is>
          <t>EEJKF24M0235165</t>
        </is>
      </c>
      <c r="N387" s="16">
        <f>LEFT(M387,12)</f>
        <v/>
      </c>
      <c r="O387" s="16" t="inlineStr">
        <is>
          <t>EEJKF24M02, (35)Beige, (165)165</t>
        </is>
      </c>
      <c r="P387" s="16" t="n">
        <v>1399</v>
      </c>
      <c r="Q387" s="16" t="n">
        <v>1299</v>
      </c>
      <c r="R387" s="16" t="n"/>
      <c r="S387" s="16" t="n"/>
      <c r="T387" s="16" t="n">
        <v>2</v>
      </c>
    </row>
    <row r="388" s="103">
      <c r="A388" s="16" t="inlineStr">
        <is>
          <t>B331</t>
        </is>
      </c>
      <c r="B388" s="16" t="inlineStr">
        <is>
          <t>上海区域</t>
        </is>
      </c>
      <c r="C388" s="16" t="inlineStr">
        <is>
          <t>CN0Q</t>
        </is>
      </c>
      <c r="D388" s="16" t="inlineStr">
        <is>
          <t>EE 苏州比斯特购物村</t>
        </is>
      </c>
      <c r="E388" s="16" t="n">
        <v>4</v>
      </c>
      <c r="F388" s="16" t="inlineStr">
        <is>
          <t>奥特莱斯</t>
        </is>
      </c>
      <c r="G388" s="16" t="inlineStr">
        <is>
          <t>EEJKF24M02</t>
        </is>
      </c>
      <c r="H388" s="16" t="n">
        <v>1399</v>
      </c>
      <c r="I388" s="16" t="n">
        <v>1299</v>
      </c>
      <c r="J388" s="17" t="inlineStr">
        <is>
          <t>########</t>
        </is>
      </c>
      <c r="K388" s="16" t="inlineStr">
        <is>
          <t>(35)Beige</t>
        </is>
      </c>
      <c r="L388" s="16" t="inlineStr">
        <is>
          <t>营业中</t>
        </is>
      </c>
      <c r="M388" s="16" t="inlineStr">
        <is>
          <t>EEJKF24M0235170</t>
        </is>
      </c>
      <c r="N388" s="16">
        <f>LEFT(M388,12)</f>
        <v/>
      </c>
      <c r="O388" s="16" t="inlineStr">
        <is>
          <t>EEJKF24M02, (35)Beige, (170)170</t>
        </is>
      </c>
      <c r="P388" s="16" t="n">
        <v>1399</v>
      </c>
      <c r="Q388" s="16" t="n">
        <v>1299</v>
      </c>
      <c r="R388" s="16" t="n"/>
      <c r="S388" s="16" t="n"/>
      <c r="T388" s="16" t="n">
        <v>1</v>
      </c>
    </row>
    <row r="389" s="103">
      <c r="A389" s="16" t="inlineStr">
        <is>
          <t>B331</t>
        </is>
      </c>
      <c r="B389" s="16" t="inlineStr">
        <is>
          <t>上海区域</t>
        </is>
      </c>
      <c r="C389" s="16" t="inlineStr">
        <is>
          <t>CN0Q</t>
        </is>
      </c>
      <c r="D389" s="16" t="inlineStr">
        <is>
          <t>EE 苏州比斯特购物村</t>
        </is>
      </c>
      <c r="E389" s="16" t="n">
        <v>4</v>
      </c>
      <c r="F389" s="16" t="inlineStr">
        <is>
          <t>奥特莱斯</t>
        </is>
      </c>
      <c r="G389" s="16" t="inlineStr">
        <is>
          <t>EEJKF24M02</t>
        </is>
      </c>
      <c r="H389" s="16" t="n">
        <v>1399</v>
      </c>
      <c r="I389" s="16" t="n">
        <v>1299</v>
      </c>
      <c r="J389" s="17" t="inlineStr">
        <is>
          <t>########</t>
        </is>
      </c>
      <c r="K389" s="16" t="inlineStr">
        <is>
          <t>(39)Ivory</t>
        </is>
      </c>
      <c r="L389" s="16" t="inlineStr">
        <is>
          <t>营业中</t>
        </is>
      </c>
      <c r="M389" s="16" t="inlineStr">
        <is>
          <t>EEJKF24M0239160</t>
        </is>
      </c>
      <c r="N389" s="16">
        <f>LEFT(M389,12)</f>
        <v/>
      </c>
      <c r="O389" s="16" t="inlineStr">
        <is>
          <t>EEJKF24M02, (39)Ivory, (160)160</t>
        </is>
      </c>
      <c r="P389" s="16" t="n">
        <v>1399</v>
      </c>
      <c r="Q389" s="16" t="n">
        <v>1299</v>
      </c>
      <c r="R389" s="16" t="n"/>
      <c r="S389" s="16" t="n"/>
      <c r="T389" s="16" t="n">
        <v>2</v>
      </c>
    </row>
    <row r="390" s="103">
      <c r="A390" s="16" t="inlineStr">
        <is>
          <t>B331</t>
        </is>
      </c>
      <c r="B390" s="16" t="inlineStr">
        <is>
          <t>上海区域</t>
        </is>
      </c>
      <c r="C390" s="16" t="inlineStr">
        <is>
          <t>CN0Q</t>
        </is>
      </c>
      <c r="D390" s="16" t="inlineStr">
        <is>
          <t>EE 苏州比斯特购物村</t>
        </is>
      </c>
      <c r="E390" s="16" t="n">
        <v>4</v>
      </c>
      <c r="F390" s="16" t="inlineStr">
        <is>
          <t>奥特莱斯</t>
        </is>
      </c>
      <c r="G390" s="16" t="inlineStr">
        <is>
          <t>EEJKF24M02</t>
        </is>
      </c>
      <c r="H390" s="16" t="n">
        <v>1399</v>
      </c>
      <c r="I390" s="16" t="n">
        <v>1299</v>
      </c>
      <c r="J390" s="17" t="inlineStr">
        <is>
          <t>########</t>
        </is>
      </c>
      <c r="K390" s="16" t="inlineStr">
        <is>
          <t>(39)Ivory</t>
        </is>
      </c>
      <c r="L390" s="16" t="inlineStr">
        <is>
          <t>营业中</t>
        </is>
      </c>
      <c r="M390" s="16" t="inlineStr">
        <is>
          <t>EEJKF24M0239165</t>
        </is>
      </c>
      <c r="N390" s="16">
        <f>LEFT(M390,12)</f>
        <v/>
      </c>
      <c r="O390" s="16" t="inlineStr">
        <is>
          <t>EEJKF24M02, (39)Ivory, (165)165</t>
        </is>
      </c>
      <c r="P390" s="16" t="n">
        <v>1399</v>
      </c>
      <c r="Q390" s="16" t="n">
        <v>1299</v>
      </c>
      <c r="R390" s="16" t="n"/>
      <c r="S390" s="16" t="n"/>
      <c r="T390" s="16" t="n">
        <v>3</v>
      </c>
    </row>
    <row r="391" s="103">
      <c r="A391" s="16" t="inlineStr">
        <is>
          <t>B331</t>
        </is>
      </c>
      <c r="B391" s="16" t="inlineStr">
        <is>
          <t>上海区域</t>
        </is>
      </c>
      <c r="C391" s="16" t="inlineStr">
        <is>
          <t>CN0Q</t>
        </is>
      </c>
      <c r="D391" s="16" t="inlineStr">
        <is>
          <t>EE 苏州比斯特购物村</t>
        </is>
      </c>
      <c r="E391" s="16" t="n">
        <v>4</v>
      </c>
      <c r="F391" s="16" t="inlineStr">
        <is>
          <t>奥特莱斯</t>
        </is>
      </c>
      <c r="G391" s="16" t="inlineStr">
        <is>
          <t>EEJKF24M02</t>
        </is>
      </c>
      <c r="H391" s="16" t="n">
        <v>1399</v>
      </c>
      <c r="I391" s="16" t="n">
        <v>1299</v>
      </c>
      <c r="J391" s="17" t="inlineStr">
        <is>
          <t>########</t>
        </is>
      </c>
      <c r="K391" s="16" t="inlineStr">
        <is>
          <t>(39)Ivory</t>
        </is>
      </c>
      <c r="L391" s="16" t="inlineStr">
        <is>
          <t>营业中</t>
        </is>
      </c>
      <c r="M391" s="16" t="inlineStr">
        <is>
          <t>EEJKF24M0239170</t>
        </is>
      </c>
      <c r="N391" s="16">
        <f>LEFT(M391,12)</f>
        <v/>
      </c>
      <c r="O391" s="16" t="inlineStr">
        <is>
          <t>EEJKF24M02, (39)Ivory, (170)170</t>
        </is>
      </c>
      <c r="P391" s="16" t="n">
        <v>1399</v>
      </c>
      <c r="Q391" s="16" t="n">
        <v>1299</v>
      </c>
      <c r="R391" s="16" t="n"/>
      <c r="S391" s="16" t="n"/>
      <c r="T391" s="16" t="n">
        <v>1</v>
      </c>
    </row>
    <row r="392" s="103">
      <c r="A392" s="16" t="inlineStr">
        <is>
          <t>B331</t>
        </is>
      </c>
      <c r="B392" s="16" t="inlineStr">
        <is>
          <t>上海区域</t>
        </is>
      </c>
      <c r="C392" s="16" t="inlineStr">
        <is>
          <t>CN0Q</t>
        </is>
      </c>
      <c r="D392" s="16" t="inlineStr">
        <is>
          <t>EE 苏州比斯特购物村</t>
        </is>
      </c>
      <c r="E392" s="16" t="n">
        <v>4</v>
      </c>
      <c r="F392" s="16" t="inlineStr">
        <is>
          <t>奥特莱斯</t>
        </is>
      </c>
      <c r="G392" s="16" t="inlineStr">
        <is>
          <t>EEJKF24M02</t>
        </is>
      </c>
      <c r="H392" s="16" t="n">
        <v>1399</v>
      </c>
      <c r="I392" s="16" t="n">
        <v>1299</v>
      </c>
      <c r="J392" s="17" t="inlineStr">
        <is>
          <t>########</t>
        </is>
      </c>
      <c r="K392" s="16" t="inlineStr">
        <is>
          <t>(59)Navy</t>
        </is>
      </c>
      <c r="L392" s="16" t="inlineStr">
        <is>
          <t>营业中</t>
        </is>
      </c>
      <c r="M392" s="16" t="inlineStr">
        <is>
          <t>EEJKF24M0259160</t>
        </is>
      </c>
      <c r="N392" s="16">
        <f>LEFT(M392,12)</f>
        <v/>
      </c>
      <c r="O392" s="16" t="inlineStr">
        <is>
          <t>EEJKF24M02, (59)Navy, (160)160</t>
        </is>
      </c>
      <c r="P392" s="16" t="n">
        <v>1399</v>
      </c>
      <c r="Q392" s="16" t="n">
        <v>1299</v>
      </c>
      <c r="R392" s="16" t="n"/>
      <c r="S392" s="16" t="n"/>
      <c r="T392" s="16" t="n">
        <v>2</v>
      </c>
    </row>
    <row r="393" s="103">
      <c r="A393" s="16" t="inlineStr">
        <is>
          <t>B331</t>
        </is>
      </c>
      <c r="B393" s="16" t="inlineStr">
        <is>
          <t>上海区域</t>
        </is>
      </c>
      <c r="C393" s="16" t="inlineStr">
        <is>
          <t>CN0Q</t>
        </is>
      </c>
      <c r="D393" s="16" t="inlineStr">
        <is>
          <t>EE 苏州比斯特购物村</t>
        </is>
      </c>
      <c r="E393" s="16" t="n">
        <v>4</v>
      </c>
      <c r="F393" s="16" t="inlineStr">
        <is>
          <t>奥特莱斯</t>
        </is>
      </c>
      <c r="G393" s="16" t="inlineStr">
        <is>
          <t>EEJKF24M02</t>
        </is>
      </c>
      <c r="H393" s="16" t="n">
        <v>1399</v>
      </c>
      <c r="I393" s="16" t="n">
        <v>1299</v>
      </c>
      <c r="J393" s="17" t="inlineStr">
        <is>
          <t>########</t>
        </is>
      </c>
      <c r="K393" s="16" t="inlineStr">
        <is>
          <t>(59)Navy</t>
        </is>
      </c>
      <c r="L393" s="16" t="inlineStr">
        <is>
          <t>营业中</t>
        </is>
      </c>
      <c r="M393" s="16" t="inlineStr">
        <is>
          <t>EEJKF24M0259165</t>
        </is>
      </c>
      <c r="N393" s="16">
        <f>LEFT(M393,12)</f>
        <v/>
      </c>
      <c r="O393" s="16" t="inlineStr">
        <is>
          <t>EEJKF24M02, (59)Navy, (165)165</t>
        </is>
      </c>
      <c r="P393" s="16" t="n">
        <v>1399</v>
      </c>
      <c r="Q393" s="16" t="n">
        <v>1299</v>
      </c>
      <c r="R393" s="16" t="n"/>
      <c r="S393" s="16" t="n"/>
      <c r="T393" s="16" t="n">
        <v>3</v>
      </c>
    </row>
    <row r="394" s="103">
      <c r="A394" s="16" t="inlineStr">
        <is>
          <t>B331</t>
        </is>
      </c>
      <c r="B394" s="16" t="inlineStr">
        <is>
          <t>上海区域</t>
        </is>
      </c>
      <c r="C394" s="16" t="inlineStr">
        <is>
          <t>CN0Q</t>
        </is>
      </c>
      <c r="D394" s="16" t="inlineStr">
        <is>
          <t>EE 苏州比斯特购物村</t>
        </is>
      </c>
      <c r="E394" s="16" t="n">
        <v>4</v>
      </c>
      <c r="F394" s="16" t="inlineStr">
        <is>
          <t>奥特莱斯</t>
        </is>
      </c>
      <c r="G394" s="16" t="inlineStr">
        <is>
          <t>EEJKF24M02</t>
        </is>
      </c>
      <c r="H394" s="16" t="n">
        <v>1399</v>
      </c>
      <c r="I394" s="16" t="n">
        <v>1299</v>
      </c>
      <c r="J394" s="17" t="inlineStr">
        <is>
          <t>########</t>
        </is>
      </c>
      <c r="K394" s="16" t="inlineStr">
        <is>
          <t>(59)Navy</t>
        </is>
      </c>
      <c r="L394" s="16" t="inlineStr">
        <is>
          <t>营业中</t>
        </is>
      </c>
      <c r="M394" s="16" t="inlineStr">
        <is>
          <t>EEJKF24M0259170</t>
        </is>
      </c>
      <c r="N394" s="16">
        <f>LEFT(M394,12)</f>
        <v/>
      </c>
      <c r="O394" s="16" t="inlineStr">
        <is>
          <t>EEJKF24M02, (59)Navy, (170)170</t>
        </is>
      </c>
      <c r="P394" s="16" t="n">
        <v>1399</v>
      </c>
      <c r="Q394" s="16" t="n">
        <v>1299</v>
      </c>
      <c r="R394" s="16" t="n"/>
      <c r="S394" s="16" t="n"/>
      <c r="T394" s="16" t="n">
        <v>1</v>
      </c>
    </row>
    <row r="395" s="103">
      <c r="A395" s="16" t="inlineStr">
        <is>
          <t>B331</t>
        </is>
      </c>
      <c r="B395" s="16" t="inlineStr">
        <is>
          <t>上海区域</t>
        </is>
      </c>
      <c r="C395" s="16" t="inlineStr">
        <is>
          <t>CN0Q</t>
        </is>
      </c>
      <c r="D395" s="16" t="inlineStr">
        <is>
          <t>EE 苏州比斯特购物村</t>
        </is>
      </c>
      <c r="E395" s="16" t="n">
        <v>4</v>
      </c>
      <c r="F395" s="16" t="inlineStr">
        <is>
          <t>奥特莱斯</t>
        </is>
      </c>
      <c r="G395" s="16" t="inlineStr">
        <is>
          <t>EEJKG23B1G</t>
        </is>
      </c>
      <c r="H395" s="16" t="n">
        <v>1599</v>
      </c>
      <c r="I395" s="16" t="n">
        <v>1599</v>
      </c>
      <c r="J395" s="17" t="inlineStr">
        <is>
          <t>########</t>
        </is>
      </c>
      <c r="K395" s="16" t="inlineStr">
        <is>
          <t>(59)Navy</t>
        </is>
      </c>
      <c r="L395" s="16" t="inlineStr">
        <is>
          <t>营业中</t>
        </is>
      </c>
      <c r="M395" s="16" t="inlineStr">
        <is>
          <t>EEJKG23B1G59170</t>
        </is>
      </c>
      <c r="N395" s="16">
        <f>LEFT(M395,12)</f>
        <v/>
      </c>
      <c r="O395" s="16" t="inlineStr">
        <is>
          <t>EEJKG23B1G, (59)Navy, (170)170</t>
        </is>
      </c>
      <c r="P395" s="16" t="n">
        <v>1599</v>
      </c>
      <c r="Q395" s="16" t="n">
        <v>1599</v>
      </c>
      <c r="R395" s="16" t="n">
        <v>1</v>
      </c>
      <c r="S395" s="18" t="n">
        <v>1050</v>
      </c>
      <c r="T395" s="16" t="n">
        <v>1</v>
      </c>
    </row>
    <row r="396" s="103">
      <c r="A396" s="16" t="inlineStr">
        <is>
          <t>B331</t>
        </is>
      </c>
      <c r="B396" s="16" t="inlineStr">
        <is>
          <t>上海区域</t>
        </is>
      </c>
      <c r="C396" s="16" t="inlineStr">
        <is>
          <t>CN0Q</t>
        </is>
      </c>
      <c r="D396" s="16" t="inlineStr">
        <is>
          <t>EE 苏州比斯特购物村</t>
        </is>
      </c>
      <c r="E396" s="16" t="n">
        <v>4</v>
      </c>
      <c r="F396" s="16" t="inlineStr">
        <is>
          <t>奥特莱斯</t>
        </is>
      </c>
      <c r="G396" s="16" t="inlineStr">
        <is>
          <t>EEJKG23B1G</t>
        </is>
      </c>
      <c r="H396" s="16" t="n">
        <v>1599</v>
      </c>
      <c r="I396" s="16" t="n">
        <v>1599</v>
      </c>
      <c r="J396" s="17" t="inlineStr">
        <is>
          <t>########</t>
        </is>
      </c>
      <c r="K396" s="16" t="inlineStr">
        <is>
          <t>(59)Navy</t>
        </is>
      </c>
      <c r="L396" s="16" t="inlineStr">
        <is>
          <t>营业中</t>
        </is>
      </c>
      <c r="M396" s="16" t="inlineStr">
        <is>
          <t>EEJKG23B1G59175</t>
        </is>
      </c>
      <c r="N396" s="16">
        <f>LEFT(M396,12)</f>
        <v/>
      </c>
      <c r="O396" s="16" t="inlineStr">
        <is>
          <t>EEJKG23B1G, (59)Navy, (175)175</t>
        </is>
      </c>
      <c r="P396" s="16" t="n">
        <v>1599</v>
      </c>
      <c r="Q396" s="16" t="n">
        <v>1599</v>
      </c>
      <c r="R396" s="16" t="n"/>
      <c r="S396" s="16" t="n"/>
      <c r="T396" s="16" t="n">
        <v>2</v>
      </c>
    </row>
    <row r="397" s="103">
      <c r="A397" s="16" t="inlineStr">
        <is>
          <t>B331</t>
        </is>
      </c>
      <c r="B397" s="16" t="inlineStr">
        <is>
          <t>上海区域</t>
        </is>
      </c>
      <c r="C397" s="16" t="inlineStr">
        <is>
          <t>CN0Q</t>
        </is>
      </c>
      <c r="D397" s="16" t="inlineStr">
        <is>
          <t>EE 苏州比斯特购物村</t>
        </is>
      </c>
      <c r="E397" s="16" t="n">
        <v>4</v>
      </c>
      <c r="F397" s="16" t="inlineStr">
        <is>
          <t>奥特莱斯</t>
        </is>
      </c>
      <c r="G397" s="16" t="inlineStr">
        <is>
          <t>EEJKG23B1G</t>
        </is>
      </c>
      <c r="H397" s="16" t="n">
        <v>1599</v>
      </c>
      <c r="I397" s="16" t="n">
        <v>1599</v>
      </c>
      <c r="J397" s="17" t="inlineStr">
        <is>
          <t>########</t>
        </is>
      </c>
      <c r="K397" s="16" t="inlineStr">
        <is>
          <t>(59)Navy</t>
        </is>
      </c>
      <c r="L397" s="16" t="inlineStr">
        <is>
          <t>营业中</t>
        </is>
      </c>
      <c r="M397" s="16" t="inlineStr">
        <is>
          <t>EEJKG23B1G59180</t>
        </is>
      </c>
      <c r="N397" s="16">
        <f>LEFT(M397,12)</f>
        <v/>
      </c>
      <c r="O397" s="16" t="inlineStr">
        <is>
          <t>EEJKG23B1G, (59)Navy, (180)180</t>
        </is>
      </c>
      <c r="P397" s="16" t="n">
        <v>1599</v>
      </c>
      <c r="Q397" s="16" t="n">
        <v>1599</v>
      </c>
      <c r="R397" s="16" t="n"/>
      <c r="S397" s="16" t="n"/>
      <c r="T397" s="16" t="n">
        <v>2</v>
      </c>
    </row>
    <row r="398" s="103">
      <c r="A398" s="16" t="inlineStr">
        <is>
          <t>B331</t>
        </is>
      </c>
      <c r="B398" s="16" t="inlineStr">
        <is>
          <t>上海区域</t>
        </is>
      </c>
      <c r="C398" s="16" t="inlineStr">
        <is>
          <t>CN0Q</t>
        </is>
      </c>
      <c r="D398" s="16" t="inlineStr">
        <is>
          <t>EE 苏州比斯特购物村</t>
        </is>
      </c>
      <c r="E398" s="16" t="n">
        <v>4</v>
      </c>
      <c r="F398" s="16" t="inlineStr">
        <is>
          <t>奥特莱斯</t>
        </is>
      </c>
      <c r="G398" s="16" t="inlineStr">
        <is>
          <t>EEJKG24B01</t>
        </is>
      </c>
      <c r="H398" s="16" t="n">
        <v>1599</v>
      </c>
      <c r="I398" s="16" t="n">
        <v>1599</v>
      </c>
      <c r="J398" s="17" t="inlineStr">
        <is>
          <t>########</t>
        </is>
      </c>
      <c r="K398" s="16" t="inlineStr">
        <is>
          <t>(36)L/Beige</t>
        </is>
      </c>
      <c r="L398" s="16" t="inlineStr">
        <is>
          <t>营业中</t>
        </is>
      </c>
      <c r="M398" s="16" t="inlineStr">
        <is>
          <t>EEJKG24B0136160</t>
        </is>
      </c>
      <c r="N398" s="16">
        <f>LEFT(M398,12)</f>
        <v/>
      </c>
      <c r="O398" s="16" t="inlineStr">
        <is>
          <t>EEJKG24B01, (36)L/Beige, (160)160</t>
        </is>
      </c>
      <c r="P398" s="16" t="n">
        <v>1599</v>
      </c>
      <c r="Q398" s="16" t="n">
        <v>1599</v>
      </c>
      <c r="R398" s="16" t="n"/>
      <c r="S398" s="16" t="n"/>
      <c r="T398" s="16" t="n">
        <v>2</v>
      </c>
    </row>
    <row r="399" s="103">
      <c r="A399" s="16" t="inlineStr">
        <is>
          <t>B331</t>
        </is>
      </c>
      <c r="B399" s="16" t="inlineStr">
        <is>
          <t>上海区域</t>
        </is>
      </c>
      <c r="C399" s="16" t="inlineStr">
        <is>
          <t>CN0Q</t>
        </is>
      </c>
      <c r="D399" s="16" t="inlineStr">
        <is>
          <t>EE 苏州比斯特购物村</t>
        </is>
      </c>
      <c r="E399" s="16" t="n">
        <v>4</v>
      </c>
      <c r="F399" s="16" t="inlineStr">
        <is>
          <t>奥特莱斯</t>
        </is>
      </c>
      <c r="G399" s="16" t="inlineStr">
        <is>
          <t>EEJKG24B01</t>
        </is>
      </c>
      <c r="H399" s="16" t="n">
        <v>1599</v>
      </c>
      <c r="I399" s="16" t="n">
        <v>1599</v>
      </c>
      <c r="J399" s="17" t="inlineStr">
        <is>
          <t>########</t>
        </is>
      </c>
      <c r="K399" s="16" t="inlineStr">
        <is>
          <t>(36)L/Beige</t>
        </is>
      </c>
      <c r="L399" s="16" t="inlineStr">
        <is>
          <t>营业中</t>
        </is>
      </c>
      <c r="M399" s="16" t="inlineStr">
        <is>
          <t>EEJKG24B0136165</t>
        </is>
      </c>
      <c r="N399" s="16">
        <f>LEFT(M399,12)</f>
        <v/>
      </c>
      <c r="O399" s="16" t="inlineStr">
        <is>
          <t>EEJKG24B01, (36)L/Beige, (165)165</t>
        </is>
      </c>
      <c r="P399" s="16" t="n">
        <v>1599</v>
      </c>
      <c r="Q399" s="16" t="n">
        <v>1599</v>
      </c>
      <c r="R399" s="16" t="n">
        <v>1</v>
      </c>
      <c r="S399" s="18" t="n">
        <v>1019</v>
      </c>
      <c r="T399" s="16" t="n">
        <v>2</v>
      </c>
    </row>
    <row r="400" s="103">
      <c r="A400" s="16" t="inlineStr">
        <is>
          <t>B331</t>
        </is>
      </c>
      <c r="B400" s="16" t="inlineStr">
        <is>
          <t>上海区域</t>
        </is>
      </c>
      <c r="C400" s="16" t="inlineStr">
        <is>
          <t>CN0Q</t>
        </is>
      </c>
      <c r="D400" s="16" t="inlineStr">
        <is>
          <t>EE 苏州比斯特购物村</t>
        </is>
      </c>
      <c r="E400" s="16" t="n">
        <v>4</v>
      </c>
      <c r="F400" s="16" t="inlineStr">
        <is>
          <t>奥特莱斯</t>
        </is>
      </c>
      <c r="G400" s="16" t="inlineStr">
        <is>
          <t>EEJKG24B01</t>
        </is>
      </c>
      <c r="H400" s="16" t="n">
        <v>1599</v>
      </c>
      <c r="I400" s="16" t="n">
        <v>1599</v>
      </c>
      <c r="J400" s="17" t="inlineStr">
        <is>
          <t>########</t>
        </is>
      </c>
      <c r="K400" s="16" t="inlineStr">
        <is>
          <t>(36)L/Beige</t>
        </is>
      </c>
      <c r="L400" s="16" t="inlineStr">
        <is>
          <t>营业中</t>
        </is>
      </c>
      <c r="M400" s="16" t="inlineStr">
        <is>
          <t>EEJKG24B0136170</t>
        </is>
      </c>
      <c r="N400" s="16">
        <f>LEFT(M400,12)</f>
        <v/>
      </c>
      <c r="O400" s="16" t="inlineStr">
        <is>
          <t>EEJKG24B01, (36)L/Beige, (170)170</t>
        </is>
      </c>
      <c r="P400" s="16" t="n">
        <v>1599</v>
      </c>
      <c r="Q400" s="16" t="n">
        <v>1599</v>
      </c>
      <c r="R400" s="16" t="n">
        <v>1</v>
      </c>
      <c r="S400" s="18" t="n">
        <v>1010</v>
      </c>
      <c r="T400" s="16" t="n">
        <v>1</v>
      </c>
    </row>
    <row r="401" s="103">
      <c r="A401" s="16" t="inlineStr">
        <is>
          <t>B331</t>
        </is>
      </c>
      <c r="B401" s="16" t="inlineStr">
        <is>
          <t>上海区域</t>
        </is>
      </c>
      <c r="C401" s="16" t="inlineStr">
        <is>
          <t>CN0Q</t>
        </is>
      </c>
      <c r="D401" s="16" t="inlineStr">
        <is>
          <t>EE 苏州比斯特购物村</t>
        </is>
      </c>
      <c r="E401" s="16" t="n">
        <v>4</v>
      </c>
      <c r="F401" s="16" t="inlineStr">
        <is>
          <t>奥特莱斯</t>
        </is>
      </c>
      <c r="G401" s="16" t="inlineStr">
        <is>
          <t>EEJKG24B01</t>
        </is>
      </c>
      <c r="H401" s="16" t="n">
        <v>1599</v>
      </c>
      <c r="I401" s="16" t="n">
        <v>1599</v>
      </c>
      <c r="J401" s="17" t="inlineStr">
        <is>
          <t>########</t>
        </is>
      </c>
      <c r="K401" s="16" t="inlineStr">
        <is>
          <t>(59)Navy</t>
        </is>
      </c>
      <c r="L401" s="16" t="inlineStr">
        <is>
          <t>营业中</t>
        </is>
      </c>
      <c r="M401" s="16" t="inlineStr">
        <is>
          <t>EEJKG24B0159160</t>
        </is>
      </c>
      <c r="N401" s="16">
        <f>LEFT(M401,12)</f>
        <v/>
      </c>
      <c r="O401" s="16" t="inlineStr">
        <is>
          <t>EEJKG24B01, (59)Navy, (160)160</t>
        </is>
      </c>
      <c r="P401" s="16" t="n">
        <v>1599</v>
      </c>
      <c r="Q401" s="16" t="n">
        <v>1599</v>
      </c>
      <c r="R401" s="16" t="n"/>
      <c r="S401" s="16" t="n"/>
      <c r="T401" s="16" t="n">
        <v>3</v>
      </c>
    </row>
    <row r="402" s="103">
      <c r="A402" s="16" t="inlineStr">
        <is>
          <t>B331</t>
        </is>
      </c>
      <c r="B402" s="16" t="inlineStr">
        <is>
          <t>上海区域</t>
        </is>
      </c>
      <c r="C402" s="16" t="inlineStr">
        <is>
          <t>CN0Q</t>
        </is>
      </c>
      <c r="D402" s="16" t="inlineStr">
        <is>
          <t>EE 苏州比斯特购物村</t>
        </is>
      </c>
      <c r="E402" s="16" t="n">
        <v>4</v>
      </c>
      <c r="F402" s="16" t="inlineStr">
        <is>
          <t>奥特莱斯</t>
        </is>
      </c>
      <c r="G402" s="16" t="inlineStr">
        <is>
          <t>EEJKG24B01</t>
        </is>
      </c>
      <c r="H402" s="16" t="n">
        <v>1599</v>
      </c>
      <c r="I402" s="16" t="n">
        <v>1599</v>
      </c>
      <c r="J402" s="17" t="inlineStr">
        <is>
          <t>########</t>
        </is>
      </c>
      <c r="K402" s="16" t="inlineStr">
        <is>
          <t>(59)Navy</t>
        </is>
      </c>
      <c r="L402" s="16" t="inlineStr">
        <is>
          <t>营业中</t>
        </is>
      </c>
      <c r="M402" s="16" t="inlineStr">
        <is>
          <t>EEJKG24B0159165</t>
        </is>
      </c>
      <c r="N402" s="16">
        <f>LEFT(M402,12)</f>
        <v/>
      </c>
      <c r="O402" s="16" t="inlineStr">
        <is>
          <t>EEJKG24B01, (59)Navy, (165)165</t>
        </is>
      </c>
      <c r="P402" s="16" t="n">
        <v>1599</v>
      </c>
      <c r="Q402" s="16" t="n">
        <v>1599</v>
      </c>
      <c r="R402" s="16" t="n"/>
      <c r="S402" s="16" t="n"/>
      <c r="T402" s="16" t="n">
        <v>3</v>
      </c>
    </row>
    <row r="403" s="103">
      <c r="A403" s="16" t="inlineStr">
        <is>
          <t>B331</t>
        </is>
      </c>
      <c r="B403" s="16" t="inlineStr">
        <is>
          <t>上海区域</t>
        </is>
      </c>
      <c r="C403" s="16" t="inlineStr">
        <is>
          <t>CN0Q</t>
        </is>
      </c>
      <c r="D403" s="16" t="inlineStr">
        <is>
          <t>EE 苏州比斯特购物村</t>
        </is>
      </c>
      <c r="E403" s="16" t="n">
        <v>4</v>
      </c>
      <c r="F403" s="16" t="inlineStr">
        <is>
          <t>奥特莱斯</t>
        </is>
      </c>
      <c r="G403" s="16" t="inlineStr">
        <is>
          <t>EEJKG24B01</t>
        </is>
      </c>
      <c r="H403" s="16" t="n">
        <v>1599</v>
      </c>
      <c r="I403" s="16" t="n">
        <v>1599</v>
      </c>
      <c r="J403" s="17" t="inlineStr">
        <is>
          <t>########</t>
        </is>
      </c>
      <c r="K403" s="16" t="inlineStr">
        <is>
          <t>(59)Navy</t>
        </is>
      </c>
      <c r="L403" s="16" t="inlineStr">
        <is>
          <t>营业中</t>
        </is>
      </c>
      <c r="M403" s="16" t="inlineStr">
        <is>
          <t>EEJKG24B0159170</t>
        </is>
      </c>
      <c r="N403" s="16">
        <f>LEFT(M403,12)</f>
        <v/>
      </c>
      <c r="O403" s="16" t="inlineStr">
        <is>
          <t>EEJKG24B01, (59)Navy, (170)170</t>
        </is>
      </c>
      <c r="P403" s="16" t="n">
        <v>1599</v>
      </c>
      <c r="Q403" s="16" t="n">
        <v>1599</v>
      </c>
      <c r="R403" s="16" t="n"/>
      <c r="S403" s="16" t="n"/>
      <c r="T403" s="16" t="n">
        <v>2</v>
      </c>
    </row>
    <row r="404" s="103">
      <c r="A404" s="16" t="inlineStr">
        <is>
          <t>B331</t>
        </is>
      </c>
      <c r="B404" s="16" t="inlineStr">
        <is>
          <t>上海区域</t>
        </is>
      </c>
      <c r="C404" s="16" t="inlineStr">
        <is>
          <t>CN0Q</t>
        </is>
      </c>
      <c r="D404" s="16" t="inlineStr">
        <is>
          <t>EE 苏州比斯特购物村</t>
        </is>
      </c>
      <c r="E404" s="16" t="n">
        <v>4</v>
      </c>
      <c r="F404" s="16" t="inlineStr">
        <is>
          <t>奥特莱斯</t>
        </is>
      </c>
      <c r="G404" s="16" t="inlineStr">
        <is>
          <t>EEJLG11D01</t>
        </is>
      </c>
      <c r="H404" s="16" t="n">
        <v>1599</v>
      </c>
      <c r="I404" s="16" t="n">
        <v>1599</v>
      </c>
      <c r="J404" s="17" t="inlineStr">
        <is>
          <t>########</t>
        </is>
      </c>
      <c r="K404" s="16" t="inlineStr">
        <is>
          <t>(85)Brown</t>
        </is>
      </c>
      <c r="L404" s="16" t="inlineStr">
        <is>
          <t>营业中</t>
        </is>
      </c>
      <c r="M404" s="16" t="inlineStr">
        <is>
          <t>EEJLG11D0185160</t>
        </is>
      </c>
      <c r="N404" s="16">
        <f>LEFT(M404,12)</f>
        <v/>
      </c>
      <c r="O404" s="16" t="inlineStr">
        <is>
          <t>EEJLG11D01, (85)Brown, (160)160</t>
        </is>
      </c>
      <c r="P404" s="16" t="n">
        <v>1599</v>
      </c>
      <c r="Q404" s="16" t="n">
        <v>1599</v>
      </c>
      <c r="R404" s="16" t="n"/>
      <c r="S404" s="16" t="n"/>
      <c r="T404" s="16" t="n">
        <v>3</v>
      </c>
    </row>
    <row r="405" s="103">
      <c r="A405" s="16" t="inlineStr">
        <is>
          <t>B331</t>
        </is>
      </c>
      <c r="B405" s="16" t="inlineStr">
        <is>
          <t>上海区域</t>
        </is>
      </c>
      <c r="C405" s="16" t="inlineStr">
        <is>
          <t>CN0Q</t>
        </is>
      </c>
      <c r="D405" s="16" t="inlineStr">
        <is>
          <t>EE 苏州比斯特购物村</t>
        </is>
      </c>
      <c r="E405" s="16" t="n">
        <v>4</v>
      </c>
      <c r="F405" s="16" t="inlineStr">
        <is>
          <t>奥特莱斯</t>
        </is>
      </c>
      <c r="G405" s="16" t="inlineStr">
        <is>
          <t>EEJLG11D01</t>
        </is>
      </c>
      <c r="H405" s="16" t="n">
        <v>1599</v>
      </c>
      <c r="I405" s="16" t="n">
        <v>1599</v>
      </c>
      <c r="J405" s="17" t="inlineStr">
        <is>
          <t>########</t>
        </is>
      </c>
      <c r="K405" s="16" t="inlineStr">
        <is>
          <t>(85)Brown</t>
        </is>
      </c>
      <c r="L405" s="16" t="inlineStr">
        <is>
          <t>营业中</t>
        </is>
      </c>
      <c r="M405" s="16" t="inlineStr">
        <is>
          <t>EEJLG11D0185165</t>
        </is>
      </c>
      <c r="N405" s="16">
        <f>LEFT(M405,12)</f>
        <v/>
      </c>
      <c r="O405" s="16" t="inlineStr">
        <is>
          <t>EEJLG11D01, (85)Brown, (165)165</t>
        </is>
      </c>
      <c r="P405" s="16" t="n">
        <v>1599</v>
      </c>
      <c r="Q405" s="16" t="n">
        <v>1599</v>
      </c>
      <c r="R405" s="16" t="n"/>
      <c r="S405" s="16" t="n"/>
      <c r="T405" s="16" t="n">
        <v>2</v>
      </c>
    </row>
    <row r="406" s="103">
      <c r="A406" s="16" t="inlineStr">
        <is>
          <t>B331</t>
        </is>
      </c>
      <c r="B406" s="16" t="inlineStr">
        <is>
          <t>上海区域</t>
        </is>
      </c>
      <c r="C406" s="16" t="inlineStr">
        <is>
          <t>CN0Q</t>
        </is>
      </c>
      <c r="D406" s="16" t="inlineStr">
        <is>
          <t>EE 苏州比斯特购物村</t>
        </is>
      </c>
      <c r="E406" s="16" t="n">
        <v>4</v>
      </c>
      <c r="F406" s="16" t="inlineStr">
        <is>
          <t>奥特莱斯</t>
        </is>
      </c>
      <c r="G406" s="16" t="inlineStr">
        <is>
          <t>EEJLG11D51</t>
        </is>
      </c>
      <c r="H406" s="16" t="n">
        <v>1599</v>
      </c>
      <c r="I406" s="16" t="n">
        <v>1999</v>
      </c>
      <c r="J406" s="17" t="inlineStr">
        <is>
          <t>########</t>
        </is>
      </c>
      <c r="K406" s="16" t="inlineStr">
        <is>
          <t>(85)Brown</t>
        </is>
      </c>
      <c r="L406" s="16" t="inlineStr">
        <is>
          <t>营业中</t>
        </is>
      </c>
      <c r="M406" s="16" t="inlineStr">
        <is>
          <t>EEJLG11D5185160</t>
        </is>
      </c>
      <c r="N406" s="16">
        <f>LEFT(M406,12)</f>
        <v/>
      </c>
      <c r="O406" s="16" t="inlineStr">
        <is>
          <t>EEJLG11D51, (85)Brown, (160)160</t>
        </is>
      </c>
      <c r="P406" s="16" t="n">
        <v>1599</v>
      </c>
      <c r="Q406" s="16" t="n">
        <v>1999</v>
      </c>
      <c r="R406" s="16" t="n"/>
      <c r="S406" s="16" t="n"/>
      <c r="T406" s="16" t="n">
        <v>3</v>
      </c>
    </row>
    <row r="407" s="103">
      <c r="A407" s="16" t="inlineStr">
        <is>
          <t>B331</t>
        </is>
      </c>
      <c r="B407" s="16" t="inlineStr">
        <is>
          <t>上海区域</t>
        </is>
      </c>
      <c r="C407" s="16" t="inlineStr">
        <is>
          <t>CN0Q</t>
        </is>
      </c>
      <c r="D407" s="16" t="inlineStr">
        <is>
          <t>EE 苏州比斯特购物村</t>
        </is>
      </c>
      <c r="E407" s="16" t="n">
        <v>4</v>
      </c>
      <c r="F407" s="16" t="inlineStr">
        <is>
          <t>奥特莱斯</t>
        </is>
      </c>
      <c r="G407" s="16" t="inlineStr">
        <is>
          <t>EEJLG11D51</t>
        </is>
      </c>
      <c r="H407" s="16" t="n">
        <v>1599</v>
      </c>
      <c r="I407" s="16" t="n">
        <v>1999</v>
      </c>
      <c r="J407" s="17" t="inlineStr">
        <is>
          <t>########</t>
        </is>
      </c>
      <c r="K407" s="16" t="inlineStr">
        <is>
          <t>(85)Brown</t>
        </is>
      </c>
      <c r="L407" s="16" t="inlineStr">
        <is>
          <t>营业中</t>
        </is>
      </c>
      <c r="M407" s="16" t="inlineStr">
        <is>
          <t>EEJLG11D5185165</t>
        </is>
      </c>
      <c r="N407" s="16">
        <f>LEFT(M407,12)</f>
        <v/>
      </c>
      <c r="O407" s="16" t="inlineStr">
        <is>
          <t>EEJLG11D51, (85)Brown, (165)165</t>
        </is>
      </c>
      <c r="P407" s="16" t="n">
        <v>1599</v>
      </c>
      <c r="Q407" s="16" t="n">
        <v>1999</v>
      </c>
      <c r="R407" s="16" t="n"/>
      <c r="S407" s="16" t="n"/>
      <c r="T407" s="16" t="n">
        <v>4</v>
      </c>
    </row>
    <row r="408" s="103">
      <c r="A408" s="16" t="inlineStr">
        <is>
          <t>B331</t>
        </is>
      </c>
      <c r="B408" s="16" t="inlineStr">
        <is>
          <t>上海区域</t>
        </is>
      </c>
      <c r="C408" s="16" t="inlineStr">
        <is>
          <t>CN0Q</t>
        </is>
      </c>
      <c r="D408" s="16" t="inlineStr">
        <is>
          <t>EE 苏州比斯特购物村</t>
        </is>
      </c>
      <c r="E408" s="16" t="n">
        <v>4</v>
      </c>
      <c r="F408" s="16" t="inlineStr">
        <is>
          <t>奥特莱斯</t>
        </is>
      </c>
      <c r="G408" s="16" t="inlineStr">
        <is>
          <t>EEJLG11D51</t>
        </is>
      </c>
      <c r="H408" s="16" t="n">
        <v>1599</v>
      </c>
      <c r="I408" s="16" t="n">
        <v>1999</v>
      </c>
      <c r="J408" s="17" t="inlineStr">
        <is>
          <t>########</t>
        </is>
      </c>
      <c r="K408" s="16" t="inlineStr">
        <is>
          <t>(85)Brown</t>
        </is>
      </c>
      <c r="L408" s="16" t="inlineStr">
        <is>
          <t>营业中</t>
        </is>
      </c>
      <c r="M408" s="16" t="inlineStr">
        <is>
          <t>EEJLG11D5185170</t>
        </is>
      </c>
      <c r="N408" s="16">
        <f>LEFT(M408,12)</f>
        <v/>
      </c>
      <c r="O408" s="16" t="inlineStr">
        <is>
          <t>EEJLG11D51, (85)Brown, (170)170</t>
        </is>
      </c>
      <c r="P408" s="16" t="n">
        <v>1599</v>
      </c>
      <c r="Q408" s="16" t="n">
        <v>1999</v>
      </c>
      <c r="R408" s="16" t="n"/>
      <c r="S408" s="16" t="n"/>
      <c r="T408" s="16" t="n">
        <v>1</v>
      </c>
    </row>
    <row r="409" s="103">
      <c r="A409" s="16" t="inlineStr">
        <is>
          <t>B331</t>
        </is>
      </c>
      <c r="B409" s="16" t="inlineStr">
        <is>
          <t>上海区域</t>
        </is>
      </c>
      <c r="C409" s="16" t="inlineStr">
        <is>
          <t>CN0Q</t>
        </is>
      </c>
      <c r="D409" s="16" t="inlineStr">
        <is>
          <t>EE 苏州比斯特购物村</t>
        </is>
      </c>
      <c r="E409" s="16" t="n">
        <v>4</v>
      </c>
      <c r="F409" s="16" t="inlineStr">
        <is>
          <t>奥特莱斯</t>
        </is>
      </c>
      <c r="G409" s="16" t="inlineStr">
        <is>
          <t>EEJTF23M01</t>
        </is>
      </c>
      <c r="H409" s="16" t="n">
        <v>1799</v>
      </c>
      <c r="I409" s="16" t="n">
        <v>1799</v>
      </c>
      <c r="J409" s="17" t="n">
        <v>45659</v>
      </c>
      <c r="K409" s="16" t="inlineStr">
        <is>
          <t>(85)Brown</t>
        </is>
      </c>
      <c r="L409" s="16" t="inlineStr">
        <is>
          <t>营业中</t>
        </is>
      </c>
      <c r="M409" s="16" t="inlineStr">
        <is>
          <t>EEJTF23M0185160</t>
        </is>
      </c>
      <c r="N409" s="16">
        <f>LEFT(M409,12)</f>
        <v/>
      </c>
      <c r="O409" s="16" t="inlineStr">
        <is>
          <t>EEJTF23M01, (85)Brown, (160)160</t>
        </is>
      </c>
      <c r="P409" s="16" t="n">
        <v>1799</v>
      </c>
      <c r="Q409" s="16" t="n">
        <v>1799</v>
      </c>
      <c r="R409" s="16" t="n"/>
      <c r="S409" s="16" t="n"/>
      <c r="T409" s="16" t="n">
        <v>1</v>
      </c>
    </row>
    <row r="410" s="103">
      <c r="A410" s="16" t="inlineStr">
        <is>
          <t>B331</t>
        </is>
      </c>
      <c r="B410" s="16" t="inlineStr">
        <is>
          <t>上海区域</t>
        </is>
      </c>
      <c r="C410" s="16" t="inlineStr">
        <is>
          <t>CN0Q</t>
        </is>
      </c>
      <c r="D410" s="16" t="inlineStr">
        <is>
          <t>EE 苏州比斯特购物村</t>
        </is>
      </c>
      <c r="E410" s="16" t="n">
        <v>4</v>
      </c>
      <c r="F410" s="16" t="inlineStr">
        <is>
          <t>奥特莱斯</t>
        </is>
      </c>
      <c r="G410" s="16" t="inlineStr">
        <is>
          <t>EEJTF23M01</t>
        </is>
      </c>
      <c r="H410" s="16" t="n">
        <v>1799</v>
      </c>
      <c r="I410" s="16" t="n">
        <v>1799</v>
      </c>
      <c r="J410" s="17" t="n">
        <v>45659</v>
      </c>
      <c r="K410" s="16" t="inlineStr">
        <is>
          <t>(85)Brown</t>
        </is>
      </c>
      <c r="L410" s="16" t="inlineStr">
        <is>
          <t>营业中</t>
        </is>
      </c>
      <c r="M410" s="16" t="inlineStr">
        <is>
          <t>EEJTF23M0185165</t>
        </is>
      </c>
      <c r="N410" s="16">
        <f>LEFT(M410,12)</f>
        <v/>
      </c>
      <c r="O410" s="16" t="inlineStr">
        <is>
          <t>EEJTF23M01, (85)Brown, (165)165</t>
        </is>
      </c>
      <c r="P410" s="16" t="n">
        <v>1799</v>
      </c>
      <c r="Q410" s="16" t="n">
        <v>1799</v>
      </c>
      <c r="R410" s="16" t="n"/>
      <c r="S410" s="16" t="n"/>
      <c r="T410" s="16" t="n">
        <v>3</v>
      </c>
    </row>
    <row r="411" s="103">
      <c r="A411" s="16" t="inlineStr">
        <is>
          <t>B331</t>
        </is>
      </c>
      <c r="B411" s="16" t="inlineStr">
        <is>
          <t>上海区域</t>
        </is>
      </c>
      <c r="C411" s="16" t="inlineStr">
        <is>
          <t>CN0Q</t>
        </is>
      </c>
      <c r="D411" s="16" t="inlineStr">
        <is>
          <t>EE 苏州比斯特购物村</t>
        </is>
      </c>
      <c r="E411" s="16" t="n">
        <v>4</v>
      </c>
      <c r="F411" s="16" t="inlineStr">
        <is>
          <t>奥特莱斯</t>
        </is>
      </c>
      <c r="G411" s="16" t="inlineStr">
        <is>
          <t>EEJTF23M01</t>
        </is>
      </c>
      <c r="H411" s="16" t="n">
        <v>1799</v>
      </c>
      <c r="I411" s="16" t="n">
        <v>1799</v>
      </c>
      <c r="J411" s="17" t="n">
        <v>45659</v>
      </c>
      <c r="K411" s="16" t="inlineStr">
        <is>
          <t>(85)Brown</t>
        </is>
      </c>
      <c r="L411" s="16" t="inlineStr">
        <is>
          <t>营业中</t>
        </is>
      </c>
      <c r="M411" s="16" t="inlineStr">
        <is>
          <t>EEJTF23M0185170</t>
        </is>
      </c>
      <c r="N411" s="16">
        <f>LEFT(M411,12)</f>
        <v/>
      </c>
      <c r="O411" s="16" t="inlineStr">
        <is>
          <t>EEJTF23M01, (85)Brown, (170)170</t>
        </is>
      </c>
      <c r="P411" s="16" t="n">
        <v>1799</v>
      </c>
      <c r="Q411" s="16" t="n">
        <v>1799</v>
      </c>
      <c r="R411" s="16" t="n"/>
      <c r="S411" s="16" t="n"/>
      <c r="T411" s="16" t="n">
        <v>2</v>
      </c>
    </row>
    <row r="412" s="103">
      <c r="A412" s="16" t="inlineStr">
        <is>
          <t>B331</t>
        </is>
      </c>
      <c r="B412" s="16" t="inlineStr">
        <is>
          <t>上海区域</t>
        </is>
      </c>
      <c r="C412" s="16" t="inlineStr">
        <is>
          <t>CN0Q</t>
        </is>
      </c>
      <c r="D412" s="16" t="inlineStr">
        <is>
          <t>EE 苏州比斯特购物村</t>
        </is>
      </c>
      <c r="E412" s="16" t="n">
        <v>4</v>
      </c>
      <c r="F412" s="16" t="inlineStr">
        <is>
          <t>奥特莱斯</t>
        </is>
      </c>
      <c r="G412" s="16" t="inlineStr">
        <is>
          <t>EEJTG12E01</t>
        </is>
      </c>
      <c r="H412" s="16" t="n">
        <v>1999</v>
      </c>
      <c r="I412" s="16" t="n">
        <v>1999</v>
      </c>
      <c r="J412" s="17" t="n">
        <v>46027</v>
      </c>
      <c r="K412" s="16" t="inlineStr">
        <is>
          <t>(36)L/Beige</t>
        </is>
      </c>
      <c r="L412" s="16" t="inlineStr">
        <is>
          <t>营业中</t>
        </is>
      </c>
      <c r="M412" s="16" t="inlineStr">
        <is>
          <t>EEJTG12E0136160</t>
        </is>
      </c>
      <c r="N412" s="16">
        <f>LEFT(M412,12)</f>
        <v/>
      </c>
      <c r="O412" s="16" t="inlineStr">
        <is>
          <t>EEJTG12E01, (36)L/Beige, (160)160</t>
        </is>
      </c>
      <c r="P412" s="16" t="n">
        <v>1999</v>
      </c>
      <c r="Q412" s="16" t="n">
        <v>1999</v>
      </c>
      <c r="R412" s="16" t="n">
        <v>1</v>
      </c>
      <c r="S412" s="16" t="n">
        <v>600</v>
      </c>
      <c r="T412" s="16" t="n">
        <v>0</v>
      </c>
    </row>
    <row r="413" s="103">
      <c r="A413" s="16" t="inlineStr">
        <is>
          <t>B331</t>
        </is>
      </c>
      <c r="B413" s="16" t="inlineStr">
        <is>
          <t>上海区域</t>
        </is>
      </c>
      <c r="C413" s="16" t="inlineStr">
        <is>
          <t>CN0Q</t>
        </is>
      </c>
      <c r="D413" s="16" t="inlineStr">
        <is>
          <t>EE 苏州比斯特购物村</t>
        </is>
      </c>
      <c r="E413" s="16" t="n">
        <v>4</v>
      </c>
      <c r="F413" s="16" t="inlineStr">
        <is>
          <t>奥特莱斯</t>
        </is>
      </c>
      <c r="G413" s="16" t="inlineStr">
        <is>
          <t>EEJTG12E02</t>
        </is>
      </c>
      <c r="H413" s="16" t="n">
        <v>1999</v>
      </c>
      <c r="I413" s="16" t="n">
        <v>1999</v>
      </c>
      <c r="J413" s="17" t="n">
        <v>46027</v>
      </c>
      <c r="K413" s="16" t="inlineStr">
        <is>
          <t>(39)Ivory</t>
        </is>
      </c>
      <c r="L413" s="16" t="inlineStr">
        <is>
          <t>营业中</t>
        </is>
      </c>
      <c r="M413" s="16" t="inlineStr">
        <is>
          <t>EEJTG12E0239155</t>
        </is>
      </c>
      <c r="N413" s="16">
        <f>LEFT(M413,12)</f>
        <v/>
      </c>
      <c r="O413" s="16" t="inlineStr">
        <is>
          <t>EEJTG12E02, (39)Ivory, (155)155</t>
        </is>
      </c>
      <c r="P413" s="16" t="n">
        <v>1999</v>
      </c>
      <c r="Q413" s="16" t="n">
        <v>1999</v>
      </c>
      <c r="R413" s="16" t="n"/>
      <c r="S413" s="16" t="n"/>
      <c r="T413" s="16" t="n">
        <v>2</v>
      </c>
    </row>
    <row r="414" s="103">
      <c r="A414" s="16" t="inlineStr">
        <is>
          <t>B331</t>
        </is>
      </c>
      <c r="B414" s="16" t="inlineStr">
        <is>
          <t>上海区域</t>
        </is>
      </c>
      <c r="C414" s="16" t="inlineStr">
        <is>
          <t>CN0Q</t>
        </is>
      </c>
      <c r="D414" s="16" t="inlineStr">
        <is>
          <t>EE 苏州比斯特购物村</t>
        </is>
      </c>
      <c r="E414" s="16" t="n">
        <v>4</v>
      </c>
      <c r="F414" s="16" t="inlineStr">
        <is>
          <t>奥特莱斯</t>
        </is>
      </c>
      <c r="G414" s="16" t="inlineStr">
        <is>
          <t>EEJTG12E02</t>
        </is>
      </c>
      <c r="H414" s="16" t="n">
        <v>1999</v>
      </c>
      <c r="I414" s="16" t="n">
        <v>1999</v>
      </c>
      <c r="J414" s="17" t="n">
        <v>46027</v>
      </c>
      <c r="K414" s="16" t="inlineStr">
        <is>
          <t>(39)Ivory</t>
        </is>
      </c>
      <c r="L414" s="16" t="inlineStr">
        <is>
          <t>营业中</t>
        </is>
      </c>
      <c r="M414" s="16" t="inlineStr">
        <is>
          <t>EEJTG12E0239160</t>
        </is>
      </c>
      <c r="N414" s="16">
        <f>LEFT(M414,12)</f>
        <v/>
      </c>
      <c r="O414" s="16" t="inlineStr">
        <is>
          <t>EEJTG12E02, (39)Ivory, (160)160</t>
        </is>
      </c>
      <c r="P414" s="16" t="n">
        <v>1999</v>
      </c>
      <c r="Q414" s="16" t="n">
        <v>1999</v>
      </c>
      <c r="R414" s="16" t="n"/>
      <c r="S414" s="16" t="n"/>
      <c r="T414" s="16" t="n">
        <v>2</v>
      </c>
    </row>
    <row r="415" s="103">
      <c r="A415" s="16" t="inlineStr">
        <is>
          <t>B331</t>
        </is>
      </c>
      <c r="B415" s="16" t="inlineStr">
        <is>
          <t>上海区域</t>
        </is>
      </c>
      <c r="C415" s="16" t="inlineStr">
        <is>
          <t>CN0Q</t>
        </is>
      </c>
      <c r="D415" s="16" t="inlineStr">
        <is>
          <t>EE 苏州比斯特购物村</t>
        </is>
      </c>
      <c r="E415" s="16" t="n">
        <v>4</v>
      </c>
      <c r="F415" s="16" t="inlineStr">
        <is>
          <t>奥特莱斯</t>
        </is>
      </c>
      <c r="G415" s="16" t="inlineStr">
        <is>
          <t>EEJTG12E02</t>
        </is>
      </c>
      <c r="H415" s="16" t="n">
        <v>1999</v>
      </c>
      <c r="I415" s="16" t="n">
        <v>1999</v>
      </c>
      <c r="J415" s="17" t="n">
        <v>46027</v>
      </c>
      <c r="K415" s="16" t="inlineStr">
        <is>
          <t>(39)Ivory</t>
        </is>
      </c>
      <c r="L415" s="16" t="inlineStr">
        <is>
          <t>营业中</t>
        </is>
      </c>
      <c r="M415" s="16" t="inlineStr">
        <is>
          <t>EEJTG12E0239165</t>
        </is>
      </c>
      <c r="N415" s="16">
        <f>LEFT(M415,12)</f>
        <v/>
      </c>
      <c r="O415" s="16" t="inlineStr">
        <is>
          <t>EEJTG12E02, (39)Ivory, (165)165</t>
        </is>
      </c>
      <c r="P415" s="16" t="n">
        <v>1999</v>
      </c>
      <c r="Q415" s="16" t="n">
        <v>1999</v>
      </c>
      <c r="R415" s="16" t="n"/>
      <c r="S415" s="16" t="n"/>
      <c r="T415" s="16" t="n">
        <v>2</v>
      </c>
    </row>
    <row r="416" s="103">
      <c r="A416" s="16" t="inlineStr">
        <is>
          <t>B331</t>
        </is>
      </c>
      <c r="B416" s="16" t="inlineStr">
        <is>
          <t>上海区域</t>
        </is>
      </c>
      <c r="C416" s="16" t="inlineStr">
        <is>
          <t>CN0Q</t>
        </is>
      </c>
      <c r="D416" s="16" t="inlineStr">
        <is>
          <t>EE 苏州比斯特购物村</t>
        </is>
      </c>
      <c r="E416" s="16" t="n">
        <v>4</v>
      </c>
      <c r="F416" s="16" t="inlineStr">
        <is>
          <t>奥特莱斯</t>
        </is>
      </c>
      <c r="G416" s="16" t="inlineStr">
        <is>
          <t>EEKWF24E02</t>
        </is>
      </c>
      <c r="H416" s="16" t="n">
        <v>599</v>
      </c>
      <c r="I416" s="16" t="n">
        <v>599</v>
      </c>
      <c r="J416" s="17" t="inlineStr">
        <is>
          <t>########</t>
        </is>
      </c>
      <c r="K416" s="16" t="inlineStr">
        <is>
          <t>(15)Grey</t>
        </is>
      </c>
      <c r="L416" s="16" t="inlineStr">
        <is>
          <t>营业中</t>
        </is>
      </c>
      <c r="M416" s="16" t="inlineStr">
        <is>
          <t>EEKWF24E0215160</t>
        </is>
      </c>
      <c r="N416" s="16">
        <f>LEFT(M416,12)</f>
        <v/>
      </c>
      <c r="O416" s="16" t="inlineStr">
        <is>
          <t>EEKWF24E02, (15)Grey, (160)160</t>
        </is>
      </c>
      <c r="P416" s="16" t="n">
        <v>599</v>
      </c>
      <c r="Q416" s="16" t="n">
        <v>599</v>
      </c>
      <c r="R416" s="16" t="n">
        <v>1</v>
      </c>
      <c r="S416" s="16" t="n">
        <v>300</v>
      </c>
      <c r="T416" s="16" t="n">
        <v>0</v>
      </c>
    </row>
    <row r="417" s="103">
      <c r="A417" s="16" t="inlineStr">
        <is>
          <t>B331</t>
        </is>
      </c>
      <c r="B417" s="16" t="inlineStr">
        <is>
          <t>上海区域</t>
        </is>
      </c>
      <c r="C417" s="16" t="inlineStr">
        <is>
          <t>CN0Q</t>
        </is>
      </c>
      <c r="D417" s="16" t="inlineStr">
        <is>
          <t>EE 苏州比斯特购物村</t>
        </is>
      </c>
      <c r="E417" s="16" t="n">
        <v>4</v>
      </c>
      <c r="F417" s="16" t="inlineStr">
        <is>
          <t>奥特莱斯</t>
        </is>
      </c>
      <c r="G417" s="16" t="inlineStr">
        <is>
          <t>EEKWF24E02</t>
        </is>
      </c>
      <c r="H417" s="16" t="n">
        <v>599</v>
      </c>
      <c r="I417" s="16" t="n">
        <v>599</v>
      </c>
      <c r="J417" s="17" t="inlineStr">
        <is>
          <t>########</t>
        </is>
      </c>
      <c r="K417" s="16" t="inlineStr">
        <is>
          <t>(39)Ivory</t>
        </is>
      </c>
      <c r="L417" s="16" t="inlineStr">
        <is>
          <t>营业中</t>
        </is>
      </c>
      <c r="M417" s="16" t="inlineStr">
        <is>
          <t>EEKWF24E0239165</t>
        </is>
      </c>
      <c r="N417" s="16">
        <f>LEFT(M417,12)</f>
        <v/>
      </c>
      <c r="O417" s="16" t="inlineStr">
        <is>
          <t>EEKWF24E02, (39)Ivory, (165)165</t>
        </is>
      </c>
      <c r="P417" s="16" t="n">
        <v>599</v>
      </c>
      <c r="Q417" s="16" t="n">
        <v>599</v>
      </c>
      <c r="R417" s="16" t="n">
        <v>3</v>
      </c>
      <c r="S417" s="16" t="n">
        <v>874</v>
      </c>
      <c r="T417" s="16" t="n">
        <v>0</v>
      </c>
    </row>
    <row r="418" s="103">
      <c r="A418" s="16" t="inlineStr">
        <is>
          <t>B331</t>
        </is>
      </c>
      <c r="B418" s="16" t="inlineStr">
        <is>
          <t>上海区域</t>
        </is>
      </c>
      <c r="C418" s="16" t="inlineStr">
        <is>
          <t>CN0Q</t>
        </is>
      </c>
      <c r="D418" s="16" t="inlineStr">
        <is>
          <t>EE 苏州比斯特购物村</t>
        </is>
      </c>
      <c r="E418" s="16" t="n">
        <v>4</v>
      </c>
      <c r="F418" s="16" t="inlineStr">
        <is>
          <t>奥特莱斯</t>
        </is>
      </c>
      <c r="G418" s="16" t="inlineStr">
        <is>
          <t>EEKWF24E02</t>
        </is>
      </c>
      <c r="H418" s="16" t="n">
        <v>599</v>
      </c>
      <c r="I418" s="16" t="n">
        <v>599</v>
      </c>
      <c r="J418" s="17" t="inlineStr">
        <is>
          <t>########</t>
        </is>
      </c>
      <c r="K418" s="16" t="inlineStr">
        <is>
          <t>(39)Ivory</t>
        </is>
      </c>
      <c r="L418" s="16" t="inlineStr">
        <is>
          <t>营业中</t>
        </is>
      </c>
      <c r="M418" s="16" t="inlineStr">
        <is>
          <t>EEKWF24E0239170</t>
        </is>
      </c>
      <c r="N418" s="16">
        <f>LEFT(M418,12)</f>
        <v/>
      </c>
      <c r="O418" s="16" t="inlineStr">
        <is>
          <t>EEKWF24E02, (39)Ivory, (170)170</t>
        </is>
      </c>
      <c r="P418" s="16" t="n">
        <v>599</v>
      </c>
      <c r="Q418" s="16" t="n">
        <v>599</v>
      </c>
      <c r="R418" s="16" t="n">
        <v>1</v>
      </c>
      <c r="S418" s="16" t="n">
        <v>300</v>
      </c>
      <c r="T418" s="16" t="n">
        <v>0</v>
      </c>
    </row>
    <row r="419" s="103">
      <c r="A419" s="16" t="inlineStr">
        <is>
          <t>B331</t>
        </is>
      </c>
      <c r="B419" s="16" t="inlineStr">
        <is>
          <t>上海区域</t>
        </is>
      </c>
      <c r="C419" s="16" t="inlineStr">
        <is>
          <t>CN0Q</t>
        </is>
      </c>
      <c r="D419" s="16" t="inlineStr">
        <is>
          <t>EE 苏州比斯特购物村</t>
        </is>
      </c>
      <c r="E419" s="16" t="n">
        <v>4</v>
      </c>
      <c r="F419" s="16" t="inlineStr">
        <is>
          <t>奥特莱斯</t>
        </is>
      </c>
      <c r="G419" s="16" t="inlineStr">
        <is>
          <t>EEKWF24E05</t>
        </is>
      </c>
      <c r="H419" s="16" t="n">
        <v>599</v>
      </c>
      <c r="I419" s="16" t="n">
        <v>599</v>
      </c>
      <c r="J419" s="17" t="inlineStr">
        <is>
          <t>########</t>
        </is>
      </c>
      <c r="K419" s="16" t="inlineStr">
        <is>
          <t>(26)L/Pink</t>
        </is>
      </c>
      <c r="L419" s="16" t="inlineStr">
        <is>
          <t>营业中</t>
        </is>
      </c>
      <c r="M419" s="16" t="inlineStr">
        <is>
          <t>EEKWF24E0526165</t>
        </is>
      </c>
      <c r="N419" s="16">
        <f>LEFT(M419,12)</f>
        <v/>
      </c>
      <c r="O419" s="16" t="inlineStr">
        <is>
          <t>EEKWF24E05, (26)L/Pink, (165)165</t>
        </is>
      </c>
      <c r="P419" s="16" t="n">
        <v>599</v>
      </c>
      <c r="Q419" s="16" t="n">
        <v>599</v>
      </c>
      <c r="R419" s="16" t="n">
        <v>1</v>
      </c>
      <c r="S419" s="16" t="n"/>
      <c r="T419" s="16" t="n">
        <v>0</v>
      </c>
    </row>
    <row r="420" s="103">
      <c r="A420" s="16" t="inlineStr">
        <is>
          <t>B331</t>
        </is>
      </c>
      <c r="B420" s="16" t="inlineStr">
        <is>
          <t>上海区域</t>
        </is>
      </c>
      <c r="C420" s="16" t="inlineStr">
        <is>
          <t>CN0Q</t>
        </is>
      </c>
      <c r="D420" s="16" t="inlineStr">
        <is>
          <t>EE 苏州比斯特购物村</t>
        </is>
      </c>
      <c r="E420" s="16" t="n">
        <v>4</v>
      </c>
      <c r="F420" s="16" t="inlineStr">
        <is>
          <t>奥特莱斯</t>
        </is>
      </c>
      <c r="G420" s="16" t="inlineStr">
        <is>
          <t>EEKWF25E01</t>
        </is>
      </c>
      <c r="H420" s="16" t="n">
        <v>699</v>
      </c>
      <c r="I420" s="16" t="n">
        <v>599</v>
      </c>
      <c r="J420" s="17" t="inlineStr">
        <is>
          <t>########</t>
        </is>
      </c>
      <c r="K420" s="16" t="inlineStr">
        <is>
          <t>(39)Ivory</t>
        </is>
      </c>
      <c r="L420" s="16" t="inlineStr">
        <is>
          <t>营业中</t>
        </is>
      </c>
      <c r="M420" s="16" t="inlineStr">
        <is>
          <t>EEKWF25E0139165</t>
        </is>
      </c>
      <c r="N420" s="16">
        <f>LEFT(M420,12)</f>
        <v/>
      </c>
      <c r="O420" s="16" t="inlineStr">
        <is>
          <t>EEKWF25E01, (39)Ivory, (165)165</t>
        </is>
      </c>
      <c r="P420" s="16" t="n">
        <v>699</v>
      </c>
      <c r="Q420" s="16" t="n">
        <v>599</v>
      </c>
      <c r="R420" s="16" t="n">
        <v>1</v>
      </c>
      <c r="S420" s="16" t="n"/>
      <c r="T420" s="16" t="n">
        <v>0</v>
      </c>
    </row>
    <row r="421" s="103">
      <c r="A421" s="16" t="inlineStr">
        <is>
          <t>B331</t>
        </is>
      </c>
      <c r="B421" s="16" t="inlineStr">
        <is>
          <t>上海区域</t>
        </is>
      </c>
      <c r="C421" s="16" t="inlineStr">
        <is>
          <t>CN0Q</t>
        </is>
      </c>
      <c r="D421" s="16" t="inlineStr">
        <is>
          <t>EE 苏州比斯特购物村</t>
        </is>
      </c>
      <c r="E421" s="16" t="n">
        <v>4</v>
      </c>
      <c r="F421" s="16" t="inlineStr">
        <is>
          <t>奥特莱斯</t>
        </is>
      </c>
      <c r="G421" s="16" t="inlineStr">
        <is>
          <t>EEKWF38E01</t>
        </is>
      </c>
      <c r="H421" s="16" t="n">
        <v>699</v>
      </c>
      <c r="I421" s="16" t="n">
        <v>599</v>
      </c>
      <c r="J421" s="17" t="inlineStr">
        <is>
          <t>########</t>
        </is>
      </c>
      <c r="K421" s="16" t="inlineStr">
        <is>
          <t>(15)Grey</t>
        </is>
      </c>
      <c r="L421" s="16" t="inlineStr">
        <is>
          <t>营业中</t>
        </is>
      </c>
      <c r="M421" s="16" t="inlineStr">
        <is>
          <t>EEKWF38E0115165</t>
        </is>
      </c>
      <c r="N421" s="16">
        <f>LEFT(M421,12)</f>
        <v/>
      </c>
      <c r="O421" s="16" t="inlineStr">
        <is>
          <t>EEKWF38E01, (15)Grey, (165)165</t>
        </is>
      </c>
      <c r="P421" s="16" t="n">
        <v>699</v>
      </c>
      <c r="Q421" s="16" t="n">
        <v>599</v>
      </c>
      <c r="R421" s="16" t="n">
        <v>2</v>
      </c>
      <c r="S421" s="16" t="n">
        <v>570</v>
      </c>
      <c r="T421" s="16" t="n">
        <v>0</v>
      </c>
    </row>
    <row r="422" s="103">
      <c r="A422" s="16" t="inlineStr">
        <is>
          <t>B331</t>
        </is>
      </c>
      <c r="B422" s="16" t="inlineStr">
        <is>
          <t>上海区域</t>
        </is>
      </c>
      <c r="C422" s="16" t="inlineStr">
        <is>
          <t>CN0Q</t>
        </is>
      </c>
      <c r="D422" s="16" t="inlineStr">
        <is>
          <t>EE 苏州比斯特购物村</t>
        </is>
      </c>
      <c r="E422" s="16" t="n">
        <v>4</v>
      </c>
      <c r="F422" s="16" t="inlineStr">
        <is>
          <t>奥特莱斯</t>
        </is>
      </c>
      <c r="G422" s="16" t="inlineStr">
        <is>
          <t>EEKWF38E01</t>
        </is>
      </c>
      <c r="H422" s="16" t="n">
        <v>699</v>
      </c>
      <c r="I422" s="16" t="n">
        <v>599</v>
      </c>
      <c r="J422" s="17" t="inlineStr">
        <is>
          <t>########</t>
        </is>
      </c>
      <c r="K422" s="16" t="inlineStr">
        <is>
          <t>(15)Grey</t>
        </is>
      </c>
      <c r="L422" s="16" t="inlineStr">
        <is>
          <t>营业中</t>
        </is>
      </c>
      <c r="M422" s="16" t="inlineStr">
        <is>
          <t>EEKWF38E0115170</t>
        </is>
      </c>
      <c r="N422" s="16">
        <f>LEFT(M422,12)</f>
        <v/>
      </c>
      <c r="O422" s="16" t="inlineStr">
        <is>
          <t>EEKWF38E01, (15)Grey, (170)170</t>
        </is>
      </c>
      <c r="P422" s="16" t="n">
        <v>699</v>
      </c>
      <c r="Q422" s="16" t="n">
        <v>599</v>
      </c>
      <c r="R422" s="16" t="n">
        <v>1</v>
      </c>
      <c r="S422" s="16" t="n">
        <v>271</v>
      </c>
      <c r="T422" s="16" t="n">
        <v>0</v>
      </c>
    </row>
    <row r="423" s="103">
      <c r="A423" s="16" t="inlineStr">
        <is>
          <t>B331</t>
        </is>
      </c>
      <c r="B423" s="16" t="inlineStr">
        <is>
          <t>上海区域</t>
        </is>
      </c>
      <c r="C423" s="16" t="inlineStr">
        <is>
          <t>CN0Q</t>
        </is>
      </c>
      <c r="D423" s="16" t="inlineStr">
        <is>
          <t>EE 苏州比斯特购物村</t>
        </is>
      </c>
      <c r="E423" s="16" t="n">
        <v>4</v>
      </c>
      <c r="F423" s="16" t="inlineStr">
        <is>
          <t>奥特莱斯</t>
        </is>
      </c>
      <c r="G423" s="16" t="inlineStr">
        <is>
          <t>EEKWG12B05</t>
        </is>
      </c>
      <c r="H423" s="16" t="n">
        <v>999</v>
      </c>
      <c r="I423" s="16" t="n">
        <v>999</v>
      </c>
      <c r="J423" s="17" t="n">
        <v>46024</v>
      </c>
      <c r="K423" s="16" t="inlineStr">
        <is>
          <t>(39)Ivory</t>
        </is>
      </c>
      <c r="L423" s="16" t="inlineStr">
        <is>
          <t>营业中</t>
        </is>
      </c>
      <c r="M423" s="16" t="inlineStr">
        <is>
          <t>EEKWG12B0539160</t>
        </is>
      </c>
      <c r="N423" s="16">
        <f>LEFT(M423,12)</f>
        <v/>
      </c>
      <c r="O423" s="16" t="inlineStr">
        <is>
          <t>EEKWG12B05, (39)Ivory, (160)160</t>
        </is>
      </c>
      <c r="P423" s="16" t="n">
        <v>999</v>
      </c>
      <c r="Q423" s="16" t="n">
        <v>999</v>
      </c>
      <c r="R423" s="16" t="n"/>
      <c r="S423" s="16" t="n"/>
      <c r="T423" s="16" t="n">
        <v>3</v>
      </c>
    </row>
    <row r="424" s="103">
      <c r="A424" s="16" t="inlineStr">
        <is>
          <t>B331</t>
        </is>
      </c>
      <c r="B424" s="16" t="inlineStr">
        <is>
          <t>上海区域</t>
        </is>
      </c>
      <c r="C424" s="16" t="inlineStr">
        <is>
          <t>CN0Q</t>
        </is>
      </c>
      <c r="D424" s="16" t="inlineStr">
        <is>
          <t>EE 苏州比斯特购物村</t>
        </is>
      </c>
      <c r="E424" s="16" t="n">
        <v>4</v>
      </c>
      <c r="F424" s="16" t="inlineStr">
        <is>
          <t>奥特莱斯</t>
        </is>
      </c>
      <c r="G424" s="16" t="inlineStr">
        <is>
          <t>EEKWG12B05</t>
        </is>
      </c>
      <c r="H424" s="16" t="n">
        <v>999</v>
      </c>
      <c r="I424" s="16" t="n">
        <v>999</v>
      </c>
      <c r="J424" s="17" t="n">
        <v>46024</v>
      </c>
      <c r="K424" s="16" t="inlineStr">
        <is>
          <t>(39)Ivory</t>
        </is>
      </c>
      <c r="L424" s="16" t="inlineStr">
        <is>
          <t>营业中</t>
        </is>
      </c>
      <c r="M424" s="16" t="inlineStr">
        <is>
          <t>EEKWG12B0539165</t>
        </is>
      </c>
      <c r="N424" s="16">
        <f>LEFT(M424,12)</f>
        <v/>
      </c>
      <c r="O424" s="16" t="inlineStr">
        <is>
          <t>EEKWG12B05, (39)Ivory, (165)165</t>
        </is>
      </c>
      <c r="P424" s="16" t="n">
        <v>999</v>
      </c>
      <c r="Q424" s="16" t="n">
        <v>999</v>
      </c>
      <c r="R424" s="16" t="n"/>
      <c r="S424" s="16" t="n"/>
      <c r="T424" s="16" t="n">
        <v>3</v>
      </c>
    </row>
    <row r="425" s="103">
      <c r="A425" s="16" t="inlineStr">
        <is>
          <t>B331</t>
        </is>
      </c>
      <c r="B425" s="16" t="inlineStr">
        <is>
          <t>上海区域</t>
        </is>
      </c>
      <c r="C425" s="16" t="inlineStr">
        <is>
          <t>CN0Q</t>
        </is>
      </c>
      <c r="D425" s="16" t="inlineStr">
        <is>
          <t>EE 苏州比斯特购物村</t>
        </is>
      </c>
      <c r="E425" s="16" t="n">
        <v>4</v>
      </c>
      <c r="F425" s="16" t="inlineStr">
        <is>
          <t>奥特莱斯</t>
        </is>
      </c>
      <c r="G425" s="16" t="inlineStr">
        <is>
          <t>EEKWG12B05</t>
        </is>
      </c>
      <c r="H425" s="16" t="n">
        <v>999</v>
      </c>
      <c r="I425" s="16" t="n">
        <v>999</v>
      </c>
      <c r="J425" s="17" t="n">
        <v>46024</v>
      </c>
      <c r="K425" s="16" t="inlineStr">
        <is>
          <t>(39)Ivory</t>
        </is>
      </c>
      <c r="L425" s="16" t="inlineStr">
        <is>
          <t>营业中</t>
        </is>
      </c>
      <c r="M425" s="16" t="inlineStr">
        <is>
          <t>EEKWG12B0539170</t>
        </is>
      </c>
      <c r="N425" s="16">
        <f>LEFT(M425,12)</f>
        <v/>
      </c>
      <c r="O425" s="16" t="inlineStr">
        <is>
          <t>EEKWG12B05, (39)Ivory, (170)170</t>
        </is>
      </c>
      <c r="P425" s="16" t="n">
        <v>999</v>
      </c>
      <c r="Q425" s="16" t="n">
        <v>999</v>
      </c>
      <c r="R425" s="16" t="n"/>
      <c r="S425" s="16" t="n"/>
      <c r="T425" s="16" t="n">
        <v>3</v>
      </c>
    </row>
    <row r="426" s="103">
      <c r="A426" s="16" t="inlineStr">
        <is>
          <t>B331</t>
        </is>
      </c>
      <c r="B426" s="16" t="inlineStr">
        <is>
          <t>上海区域</t>
        </is>
      </c>
      <c r="C426" s="16" t="inlineStr">
        <is>
          <t>CN0Q</t>
        </is>
      </c>
      <c r="D426" s="16" t="inlineStr">
        <is>
          <t>EE 苏州比斯特购物村</t>
        </is>
      </c>
      <c r="E426" s="16" t="n">
        <v>4</v>
      </c>
      <c r="F426" s="16" t="inlineStr">
        <is>
          <t>奥特莱斯</t>
        </is>
      </c>
      <c r="G426" s="16" t="inlineStr">
        <is>
          <t>EEKWG12B1G</t>
        </is>
      </c>
      <c r="H426" s="16" t="n">
        <v>799</v>
      </c>
      <c r="I426" s="16" t="n">
        <v>799</v>
      </c>
      <c r="J426" s="17" t="n">
        <v>46024</v>
      </c>
      <c r="K426" s="16" t="inlineStr">
        <is>
          <t>(59)Navy</t>
        </is>
      </c>
      <c r="L426" s="16" t="inlineStr">
        <is>
          <t>营业中</t>
        </is>
      </c>
      <c r="M426" s="16" t="inlineStr">
        <is>
          <t>EEKWG12B1G59170</t>
        </is>
      </c>
      <c r="N426" s="16">
        <f>LEFT(M426,12)</f>
        <v/>
      </c>
      <c r="O426" s="16" t="inlineStr">
        <is>
          <t>EEKWG12B1G, (59)Navy, (170)170</t>
        </is>
      </c>
      <c r="P426" s="16" t="n">
        <v>799</v>
      </c>
      <c r="Q426" s="16" t="n">
        <v>799</v>
      </c>
      <c r="R426" s="16" t="n"/>
      <c r="S426" s="16" t="n"/>
      <c r="T426" s="16" t="n">
        <v>3</v>
      </c>
    </row>
    <row r="427" s="103">
      <c r="A427" s="16" t="inlineStr">
        <is>
          <t>B331</t>
        </is>
      </c>
      <c r="B427" s="16" t="inlineStr">
        <is>
          <t>上海区域</t>
        </is>
      </c>
      <c r="C427" s="16" t="inlineStr">
        <is>
          <t>CN0Q</t>
        </is>
      </c>
      <c r="D427" s="16" t="inlineStr">
        <is>
          <t>EE 苏州比斯特购物村</t>
        </is>
      </c>
      <c r="E427" s="16" t="n">
        <v>4</v>
      </c>
      <c r="F427" s="16" t="inlineStr">
        <is>
          <t>奥特莱斯</t>
        </is>
      </c>
      <c r="G427" s="16" t="inlineStr">
        <is>
          <t>EEKWG12B1G</t>
        </is>
      </c>
      <c r="H427" s="16" t="n">
        <v>799</v>
      </c>
      <c r="I427" s="16" t="n">
        <v>799</v>
      </c>
      <c r="J427" s="17" t="n">
        <v>46024</v>
      </c>
      <c r="K427" s="16" t="inlineStr">
        <is>
          <t>(59)Navy</t>
        </is>
      </c>
      <c r="L427" s="16" t="inlineStr">
        <is>
          <t>营业中</t>
        </is>
      </c>
      <c r="M427" s="16" t="inlineStr">
        <is>
          <t>EEKWG12B1G59175</t>
        </is>
      </c>
      <c r="N427" s="16">
        <f>LEFT(M427,12)</f>
        <v/>
      </c>
      <c r="O427" s="16" t="inlineStr">
        <is>
          <t>EEKWG12B1G, (59)Navy, (175)175</t>
        </is>
      </c>
      <c r="P427" s="16" t="n">
        <v>799</v>
      </c>
      <c r="Q427" s="16" t="n">
        <v>799</v>
      </c>
      <c r="R427" s="16" t="n"/>
      <c r="S427" s="16" t="n"/>
      <c r="T427" s="16" t="n">
        <v>3</v>
      </c>
    </row>
    <row r="428" s="103">
      <c r="A428" s="16" t="inlineStr">
        <is>
          <t>B331</t>
        </is>
      </c>
      <c r="B428" s="16" t="inlineStr">
        <is>
          <t>上海区域</t>
        </is>
      </c>
      <c r="C428" s="16" t="inlineStr">
        <is>
          <t>CN0Q</t>
        </is>
      </c>
      <c r="D428" s="16" t="inlineStr">
        <is>
          <t>EE 苏州比斯特购物村</t>
        </is>
      </c>
      <c r="E428" s="16" t="n">
        <v>4</v>
      </c>
      <c r="F428" s="16" t="inlineStr">
        <is>
          <t>奥特莱斯</t>
        </is>
      </c>
      <c r="G428" s="16" t="inlineStr">
        <is>
          <t>EEKWG12B1G</t>
        </is>
      </c>
      <c r="H428" s="16" t="n">
        <v>799</v>
      </c>
      <c r="I428" s="16" t="n">
        <v>799</v>
      </c>
      <c r="J428" s="17" t="n">
        <v>46024</v>
      </c>
      <c r="K428" s="16" t="inlineStr">
        <is>
          <t>(59)Navy</t>
        </is>
      </c>
      <c r="L428" s="16" t="inlineStr">
        <is>
          <t>营业中</t>
        </is>
      </c>
      <c r="M428" s="16" t="inlineStr">
        <is>
          <t>EEKWG12B1G59180</t>
        </is>
      </c>
      <c r="N428" s="16">
        <f>LEFT(M428,12)</f>
        <v/>
      </c>
      <c r="O428" s="16" t="inlineStr">
        <is>
          <t>EEKWG12B1G, (59)Navy, (180)180</t>
        </is>
      </c>
      <c r="P428" s="16" t="n">
        <v>799</v>
      </c>
      <c r="Q428" s="16" t="n">
        <v>799</v>
      </c>
      <c r="R428" s="16" t="n"/>
      <c r="S428" s="16" t="n"/>
      <c r="T428" s="16" t="n">
        <v>3</v>
      </c>
    </row>
    <row r="429" s="103">
      <c r="A429" s="16" t="inlineStr">
        <is>
          <t>B331</t>
        </is>
      </c>
      <c r="B429" s="16" t="inlineStr">
        <is>
          <t>上海区域</t>
        </is>
      </c>
      <c r="C429" s="16" t="inlineStr">
        <is>
          <t>CN0Q</t>
        </is>
      </c>
      <c r="D429" s="16" t="inlineStr">
        <is>
          <t>EE 苏州比斯特购物村</t>
        </is>
      </c>
      <c r="E429" s="16" t="n">
        <v>4</v>
      </c>
      <c r="F429" s="16" t="inlineStr">
        <is>
          <t>奥特莱斯</t>
        </is>
      </c>
      <c r="G429" s="16" t="inlineStr">
        <is>
          <t>EEKWG12E1G</t>
        </is>
      </c>
      <c r="H429" s="16" t="n">
        <v>899</v>
      </c>
      <c r="I429" s="16" t="n">
        <v>899</v>
      </c>
      <c r="J429" s="17" t="n">
        <v>46024</v>
      </c>
      <c r="K429" s="16" t="inlineStr">
        <is>
          <t>(25)Pink</t>
        </is>
      </c>
      <c r="L429" s="16" t="inlineStr">
        <is>
          <t>营业中</t>
        </is>
      </c>
      <c r="M429" s="16" t="inlineStr">
        <is>
          <t>EEKWG12E1G25170</t>
        </is>
      </c>
      <c r="N429" s="16">
        <f>LEFT(M429,12)</f>
        <v/>
      </c>
      <c r="O429" s="16" t="inlineStr">
        <is>
          <t>EEKWG12E1G, (25)Pink, (170)170</t>
        </is>
      </c>
      <c r="P429" s="16" t="n">
        <v>899</v>
      </c>
      <c r="Q429" s="16" t="n">
        <v>899</v>
      </c>
      <c r="R429" s="16" t="n"/>
      <c r="S429" s="16" t="n"/>
      <c r="T429" s="16" t="n">
        <v>2</v>
      </c>
    </row>
    <row r="430" s="103">
      <c r="A430" s="16" t="inlineStr">
        <is>
          <t>B331</t>
        </is>
      </c>
      <c r="B430" s="16" t="inlineStr">
        <is>
          <t>上海区域</t>
        </is>
      </c>
      <c r="C430" s="16" t="inlineStr">
        <is>
          <t>CN0Q</t>
        </is>
      </c>
      <c r="D430" s="16" t="inlineStr">
        <is>
          <t>EE 苏州比斯特购物村</t>
        </is>
      </c>
      <c r="E430" s="16" t="n">
        <v>4</v>
      </c>
      <c r="F430" s="16" t="inlineStr">
        <is>
          <t>奥特莱斯</t>
        </is>
      </c>
      <c r="G430" s="16" t="inlineStr">
        <is>
          <t>EEKWG12E1G</t>
        </is>
      </c>
      <c r="H430" s="16" t="n">
        <v>899</v>
      </c>
      <c r="I430" s="16" t="n">
        <v>899</v>
      </c>
      <c r="J430" s="17" t="n">
        <v>46024</v>
      </c>
      <c r="K430" s="16" t="inlineStr">
        <is>
          <t>(25)Pink</t>
        </is>
      </c>
      <c r="L430" s="16" t="inlineStr">
        <is>
          <t>营业中</t>
        </is>
      </c>
      <c r="M430" s="16" t="inlineStr">
        <is>
          <t>EEKWG12E1G25175</t>
        </is>
      </c>
      <c r="N430" s="16">
        <f>LEFT(M430,12)</f>
        <v/>
      </c>
      <c r="O430" s="16" t="inlineStr">
        <is>
          <t>EEKWG12E1G, (25)Pink, (175)175</t>
        </is>
      </c>
      <c r="P430" s="16" t="n">
        <v>899</v>
      </c>
      <c r="Q430" s="16" t="n">
        <v>899</v>
      </c>
      <c r="R430" s="16" t="n"/>
      <c r="S430" s="16" t="n"/>
      <c r="T430" s="16" t="n">
        <v>2</v>
      </c>
    </row>
    <row r="431" s="103">
      <c r="A431" s="16" t="inlineStr">
        <is>
          <t>B331</t>
        </is>
      </c>
      <c r="B431" s="16" t="inlineStr">
        <is>
          <t>上海区域</t>
        </is>
      </c>
      <c r="C431" s="16" t="inlineStr">
        <is>
          <t>CN0Q</t>
        </is>
      </c>
      <c r="D431" s="16" t="inlineStr">
        <is>
          <t>EE 苏州比斯特购物村</t>
        </is>
      </c>
      <c r="E431" s="16" t="n">
        <v>4</v>
      </c>
      <c r="F431" s="16" t="inlineStr">
        <is>
          <t>奥特莱斯</t>
        </is>
      </c>
      <c r="G431" s="16" t="inlineStr">
        <is>
          <t>EEKWG12E1G</t>
        </is>
      </c>
      <c r="H431" s="16" t="n">
        <v>899</v>
      </c>
      <c r="I431" s="16" t="n">
        <v>899</v>
      </c>
      <c r="J431" s="17" t="n">
        <v>46024</v>
      </c>
      <c r="K431" s="16" t="inlineStr">
        <is>
          <t>(25)Pink</t>
        </is>
      </c>
      <c r="L431" s="16" t="inlineStr">
        <is>
          <t>营业中</t>
        </is>
      </c>
      <c r="M431" s="16" t="inlineStr">
        <is>
          <t>EEKWG12E1G25180</t>
        </is>
      </c>
      <c r="N431" s="16">
        <f>LEFT(M431,12)</f>
        <v/>
      </c>
      <c r="O431" s="16" t="inlineStr">
        <is>
          <t>EEKWG12E1G, (25)Pink, (180)180</t>
        </is>
      </c>
      <c r="P431" s="16" t="n">
        <v>899</v>
      </c>
      <c r="Q431" s="16" t="n">
        <v>899</v>
      </c>
      <c r="R431" s="16" t="n"/>
      <c r="S431" s="16" t="n"/>
      <c r="T431" s="16" t="n">
        <v>2</v>
      </c>
    </row>
    <row r="432" s="103">
      <c r="A432" s="16" t="inlineStr">
        <is>
          <t>B331</t>
        </is>
      </c>
      <c r="B432" s="16" t="inlineStr">
        <is>
          <t>上海区域</t>
        </is>
      </c>
      <c r="C432" s="16" t="inlineStr">
        <is>
          <t>CN0Q</t>
        </is>
      </c>
      <c r="D432" s="16" t="inlineStr">
        <is>
          <t>EE 苏州比斯特购物村</t>
        </is>
      </c>
      <c r="E432" s="16" t="n">
        <v>4</v>
      </c>
      <c r="F432" s="16" t="inlineStr">
        <is>
          <t>奥特莱斯</t>
        </is>
      </c>
      <c r="G432" s="16" t="inlineStr">
        <is>
          <t>EEKWG12E1G</t>
        </is>
      </c>
      <c r="H432" s="16" t="n">
        <v>899</v>
      </c>
      <c r="I432" s="16" t="n">
        <v>899</v>
      </c>
      <c r="J432" s="17" t="n">
        <v>46024</v>
      </c>
      <c r="K432" s="16" t="inlineStr">
        <is>
          <t>(35)Beige</t>
        </is>
      </c>
      <c r="L432" s="16" t="inlineStr">
        <is>
          <t>营业中</t>
        </is>
      </c>
      <c r="M432" s="16" t="inlineStr">
        <is>
          <t>EEKWG12E1G35170</t>
        </is>
      </c>
      <c r="N432" s="16">
        <f>LEFT(M432,12)</f>
        <v/>
      </c>
      <c r="O432" s="16" t="inlineStr">
        <is>
          <t>EEKWG12E1G, (35)Beige, (170)170</t>
        </is>
      </c>
      <c r="P432" s="16" t="n">
        <v>899</v>
      </c>
      <c r="Q432" s="16" t="n">
        <v>899</v>
      </c>
      <c r="R432" s="16" t="n">
        <v>1</v>
      </c>
      <c r="S432" s="16" t="n">
        <v>418</v>
      </c>
      <c r="T432" s="16" t="n">
        <v>1</v>
      </c>
    </row>
    <row r="433" s="103">
      <c r="A433" s="16" t="inlineStr">
        <is>
          <t>B331</t>
        </is>
      </c>
      <c r="B433" s="16" t="inlineStr">
        <is>
          <t>上海区域</t>
        </is>
      </c>
      <c r="C433" s="16" t="inlineStr">
        <is>
          <t>CN0Q</t>
        </is>
      </c>
      <c r="D433" s="16" t="inlineStr">
        <is>
          <t>EE 苏州比斯特购物村</t>
        </is>
      </c>
      <c r="E433" s="16" t="n">
        <v>4</v>
      </c>
      <c r="F433" s="16" t="inlineStr">
        <is>
          <t>奥特莱斯</t>
        </is>
      </c>
      <c r="G433" s="16" t="inlineStr">
        <is>
          <t>EEKWG12E1G</t>
        </is>
      </c>
      <c r="H433" s="16" t="n">
        <v>899</v>
      </c>
      <c r="I433" s="16" t="n">
        <v>899</v>
      </c>
      <c r="J433" s="17" t="n">
        <v>46024</v>
      </c>
      <c r="K433" s="16" t="inlineStr">
        <is>
          <t>(35)Beige</t>
        </is>
      </c>
      <c r="L433" s="16" t="inlineStr">
        <is>
          <t>营业中</t>
        </is>
      </c>
      <c r="M433" s="16" t="inlineStr">
        <is>
          <t>EEKWG12E1G35175</t>
        </is>
      </c>
      <c r="N433" s="16">
        <f>LEFT(M433,12)</f>
        <v/>
      </c>
      <c r="O433" s="16" t="inlineStr">
        <is>
          <t>EEKWG12E1G, (35)Beige, (175)175</t>
        </is>
      </c>
      <c r="P433" s="16" t="n">
        <v>899</v>
      </c>
      <c r="Q433" s="16" t="n">
        <v>899</v>
      </c>
      <c r="R433" s="16" t="n"/>
      <c r="S433" s="16" t="n"/>
      <c r="T433" s="16" t="n">
        <v>2</v>
      </c>
    </row>
    <row r="434" s="103">
      <c r="A434" s="16" t="inlineStr">
        <is>
          <t>B331</t>
        </is>
      </c>
      <c r="B434" s="16" t="inlineStr">
        <is>
          <t>上海区域</t>
        </is>
      </c>
      <c r="C434" s="16" t="inlineStr">
        <is>
          <t>CN0Q</t>
        </is>
      </c>
      <c r="D434" s="16" t="inlineStr">
        <is>
          <t>EE 苏州比斯特购物村</t>
        </is>
      </c>
      <c r="E434" s="16" t="n">
        <v>4</v>
      </c>
      <c r="F434" s="16" t="inlineStr">
        <is>
          <t>奥特莱斯</t>
        </is>
      </c>
      <c r="G434" s="16" t="inlineStr">
        <is>
          <t>EEKWG12E1G</t>
        </is>
      </c>
      <c r="H434" s="16" t="n">
        <v>899</v>
      </c>
      <c r="I434" s="16" t="n">
        <v>899</v>
      </c>
      <c r="J434" s="17" t="n">
        <v>46024</v>
      </c>
      <c r="K434" s="16" t="inlineStr">
        <is>
          <t>(35)Beige</t>
        </is>
      </c>
      <c r="L434" s="16" t="inlineStr">
        <is>
          <t>营业中</t>
        </is>
      </c>
      <c r="M434" s="16" t="inlineStr">
        <is>
          <t>EEKWG12E1G35180</t>
        </is>
      </c>
      <c r="N434" s="16">
        <f>LEFT(M434,12)</f>
        <v/>
      </c>
      <c r="O434" s="16" t="inlineStr">
        <is>
          <t>EEKWG12E1G, (35)Beige, (180)180</t>
        </is>
      </c>
      <c r="P434" s="16" t="n">
        <v>899</v>
      </c>
      <c r="Q434" s="16" t="n">
        <v>899</v>
      </c>
      <c r="R434" s="16" t="n"/>
      <c r="S434" s="16" t="n"/>
      <c r="T434" s="16" t="n">
        <v>2</v>
      </c>
    </row>
    <row r="435" s="103">
      <c r="A435" s="16" t="inlineStr">
        <is>
          <t>B331</t>
        </is>
      </c>
      <c r="B435" s="16" t="inlineStr">
        <is>
          <t>上海区域</t>
        </is>
      </c>
      <c r="C435" s="16" t="inlineStr">
        <is>
          <t>CN0Q</t>
        </is>
      </c>
      <c r="D435" s="16" t="inlineStr">
        <is>
          <t>EE 苏州比斯特购物村</t>
        </is>
      </c>
      <c r="E435" s="16" t="n">
        <v>4</v>
      </c>
      <c r="F435" s="16" t="inlineStr">
        <is>
          <t>奥特莱斯</t>
        </is>
      </c>
      <c r="G435" s="16" t="inlineStr">
        <is>
          <t>EEKWG12E1G</t>
        </is>
      </c>
      <c r="H435" s="16" t="n">
        <v>899</v>
      </c>
      <c r="I435" s="16" t="n">
        <v>899</v>
      </c>
      <c r="J435" s="17" t="n">
        <v>46024</v>
      </c>
      <c r="K435" s="16" t="inlineStr">
        <is>
          <t>(35)Beige</t>
        </is>
      </c>
      <c r="L435" s="16" t="inlineStr">
        <is>
          <t>营业中</t>
        </is>
      </c>
      <c r="M435" s="16" t="inlineStr">
        <is>
          <t>EEKWG12E1G35185</t>
        </is>
      </c>
      <c r="N435" s="16">
        <f>LEFT(M435,12)</f>
        <v/>
      </c>
      <c r="O435" s="16" t="inlineStr">
        <is>
          <t>EEKWG12E1G, (35)Beige, (185)185</t>
        </is>
      </c>
      <c r="P435" s="16" t="n">
        <v>899</v>
      </c>
      <c r="Q435" s="16" t="n">
        <v>899</v>
      </c>
      <c r="R435" s="16" t="n"/>
      <c r="S435" s="16" t="n"/>
      <c r="T435" s="16" t="n">
        <v>1</v>
      </c>
    </row>
    <row r="436" s="103">
      <c r="A436" s="16" t="inlineStr">
        <is>
          <t>B331</t>
        </is>
      </c>
      <c r="B436" s="16" t="inlineStr">
        <is>
          <t>上海区域</t>
        </is>
      </c>
      <c r="C436" s="16" t="inlineStr">
        <is>
          <t>CN0Q</t>
        </is>
      </c>
      <c r="D436" s="16" t="inlineStr">
        <is>
          <t>EE 苏州比斯特购物村</t>
        </is>
      </c>
      <c r="E436" s="16" t="n">
        <v>4</v>
      </c>
      <c r="F436" s="16" t="inlineStr">
        <is>
          <t>奥特莱斯</t>
        </is>
      </c>
      <c r="G436" s="16" t="inlineStr">
        <is>
          <t>EEKWG12E1G</t>
        </is>
      </c>
      <c r="H436" s="16" t="n">
        <v>899</v>
      </c>
      <c r="I436" s="16" t="n">
        <v>899</v>
      </c>
      <c r="J436" s="17" t="n">
        <v>46024</v>
      </c>
      <c r="K436" s="16" t="inlineStr">
        <is>
          <t>(59)Navy</t>
        </is>
      </c>
      <c r="L436" s="16" t="inlineStr">
        <is>
          <t>营业中</t>
        </is>
      </c>
      <c r="M436" s="16" t="inlineStr">
        <is>
          <t>EEKWG12E1G59170</t>
        </is>
      </c>
      <c r="N436" s="16">
        <f>LEFT(M436,12)</f>
        <v/>
      </c>
      <c r="O436" s="16" t="inlineStr">
        <is>
          <t>EEKWG12E1G, (59)Navy, (170)170</t>
        </is>
      </c>
      <c r="P436" s="16" t="n">
        <v>899</v>
      </c>
      <c r="Q436" s="16" t="n">
        <v>899</v>
      </c>
      <c r="R436" s="16" t="n"/>
      <c r="S436" s="16" t="n"/>
      <c r="T436" s="16" t="n">
        <v>3</v>
      </c>
    </row>
    <row r="437" s="103">
      <c r="A437" s="16" t="inlineStr">
        <is>
          <t>B331</t>
        </is>
      </c>
      <c r="B437" s="16" t="inlineStr">
        <is>
          <t>上海区域</t>
        </is>
      </c>
      <c r="C437" s="16" t="inlineStr">
        <is>
          <t>CN0Q</t>
        </is>
      </c>
      <c r="D437" s="16" t="inlineStr">
        <is>
          <t>EE 苏州比斯特购物村</t>
        </is>
      </c>
      <c r="E437" s="16" t="n">
        <v>4</v>
      </c>
      <c r="F437" s="16" t="inlineStr">
        <is>
          <t>奥特莱斯</t>
        </is>
      </c>
      <c r="G437" s="16" t="inlineStr">
        <is>
          <t>EEKWG12E1G</t>
        </is>
      </c>
      <c r="H437" s="16" t="n">
        <v>899</v>
      </c>
      <c r="I437" s="16" t="n">
        <v>899</v>
      </c>
      <c r="J437" s="17" t="n">
        <v>46024</v>
      </c>
      <c r="K437" s="16" t="inlineStr">
        <is>
          <t>(59)Navy</t>
        </is>
      </c>
      <c r="L437" s="16" t="inlineStr">
        <is>
          <t>营业中</t>
        </is>
      </c>
      <c r="M437" s="16" t="inlineStr">
        <is>
          <t>EEKWG12E1G59175</t>
        </is>
      </c>
      <c r="N437" s="16">
        <f>LEFT(M437,12)</f>
        <v/>
      </c>
      <c r="O437" s="16" t="inlineStr">
        <is>
          <t>EEKWG12E1G, (59)Navy, (175)175</t>
        </is>
      </c>
      <c r="P437" s="16" t="n">
        <v>899</v>
      </c>
      <c r="Q437" s="16" t="n">
        <v>899</v>
      </c>
      <c r="R437" s="16" t="n"/>
      <c r="S437" s="16" t="n"/>
      <c r="T437" s="16" t="n">
        <v>3</v>
      </c>
    </row>
    <row r="438" s="103">
      <c r="A438" s="16" t="inlineStr">
        <is>
          <t>B331</t>
        </is>
      </c>
      <c r="B438" s="16" t="inlineStr">
        <is>
          <t>上海区域</t>
        </is>
      </c>
      <c r="C438" s="16" t="inlineStr">
        <is>
          <t>CN0Q</t>
        </is>
      </c>
      <c r="D438" s="16" t="inlineStr">
        <is>
          <t>EE 苏州比斯特购物村</t>
        </is>
      </c>
      <c r="E438" s="16" t="n">
        <v>4</v>
      </c>
      <c r="F438" s="16" t="inlineStr">
        <is>
          <t>奥特莱斯</t>
        </is>
      </c>
      <c r="G438" s="16" t="inlineStr">
        <is>
          <t>EEKWG12E1G</t>
        </is>
      </c>
      <c r="H438" s="16" t="n">
        <v>899</v>
      </c>
      <c r="I438" s="16" t="n">
        <v>899</v>
      </c>
      <c r="J438" s="17" t="n">
        <v>46024</v>
      </c>
      <c r="K438" s="16" t="inlineStr">
        <is>
          <t>(59)Navy</t>
        </is>
      </c>
      <c r="L438" s="16" t="inlineStr">
        <is>
          <t>营业中</t>
        </is>
      </c>
      <c r="M438" s="16" t="inlineStr">
        <is>
          <t>EEKWG12E1G59180</t>
        </is>
      </c>
      <c r="N438" s="16">
        <f>LEFT(M438,12)</f>
        <v/>
      </c>
      <c r="O438" s="16" t="inlineStr">
        <is>
          <t>EEKWG12E1G, (59)Navy, (180)180</t>
        </is>
      </c>
      <c r="P438" s="16" t="n">
        <v>899</v>
      </c>
      <c r="Q438" s="16" t="n">
        <v>899</v>
      </c>
      <c r="R438" s="16" t="n"/>
      <c r="S438" s="16" t="n"/>
      <c r="T438" s="16" t="n">
        <v>3</v>
      </c>
    </row>
    <row r="439" s="103">
      <c r="A439" s="16" t="inlineStr">
        <is>
          <t>B331</t>
        </is>
      </c>
      <c r="B439" s="16" t="inlineStr">
        <is>
          <t>上海区域</t>
        </is>
      </c>
      <c r="C439" s="16" t="inlineStr">
        <is>
          <t>CN0Q</t>
        </is>
      </c>
      <c r="D439" s="16" t="inlineStr">
        <is>
          <t>EE 苏州比斯特购物村</t>
        </is>
      </c>
      <c r="E439" s="16" t="n">
        <v>4</v>
      </c>
      <c r="F439" s="16" t="inlineStr">
        <is>
          <t>奥特莱斯</t>
        </is>
      </c>
      <c r="G439" s="16" t="inlineStr">
        <is>
          <t>EEKWG12E1G</t>
        </is>
      </c>
      <c r="H439" s="16" t="n">
        <v>899</v>
      </c>
      <c r="I439" s="16" t="n">
        <v>899</v>
      </c>
      <c r="J439" s="17" t="n">
        <v>46024</v>
      </c>
      <c r="K439" s="16" t="inlineStr">
        <is>
          <t>(59)Navy</t>
        </is>
      </c>
      <c r="L439" s="16" t="inlineStr">
        <is>
          <t>营业中</t>
        </is>
      </c>
      <c r="M439" s="16" t="inlineStr">
        <is>
          <t>EEKWG12E1G59185</t>
        </is>
      </c>
      <c r="N439" s="16">
        <f>LEFT(M439,12)</f>
        <v/>
      </c>
      <c r="O439" s="16" t="inlineStr">
        <is>
          <t>EEKWG12E1G, (59)Navy, (185)185</t>
        </is>
      </c>
      <c r="P439" s="16" t="n">
        <v>899</v>
      </c>
      <c r="Q439" s="16" t="n">
        <v>899</v>
      </c>
      <c r="R439" s="16" t="n"/>
      <c r="S439" s="16" t="n"/>
      <c r="T439" s="16" t="n">
        <v>1</v>
      </c>
    </row>
    <row r="440" s="103">
      <c r="A440" s="16" t="inlineStr">
        <is>
          <t>B331</t>
        </is>
      </c>
      <c r="B440" s="16" t="inlineStr">
        <is>
          <t>上海区域</t>
        </is>
      </c>
      <c r="C440" s="16" t="inlineStr">
        <is>
          <t>CN0Q</t>
        </is>
      </c>
      <c r="D440" s="16" t="inlineStr">
        <is>
          <t>EE 苏州比斯特购物村</t>
        </is>
      </c>
      <c r="E440" s="16" t="n">
        <v>4</v>
      </c>
      <c r="F440" s="16" t="inlineStr">
        <is>
          <t>奥特莱斯</t>
        </is>
      </c>
      <c r="G440" s="16" t="inlineStr">
        <is>
          <t>EEKWG23D02</t>
        </is>
      </c>
      <c r="H440" s="16" t="n">
        <v>699</v>
      </c>
      <c r="I440" s="16" t="n">
        <v>699</v>
      </c>
      <c r="J440" s="17" t="inlineStr">
        <is>
          <t>########</t>
        </is>
      </c>
      <c r="K440" s="16" t="inlineStr">
        <is>
          <t>(50)Blue</t>
        </is>
      </c>
      <c r="L440" s="16" t="inlineStr">
        <is>
          <t>营业中</t>
        </is>
      </c>
      <c r="M440" s="16" t="inlineStr">
        <is>
          <t>EEKWG23D0250160</t>
        </is>
      </c>
      <c r="N440" s="16">
        <f>LEFT(M440,12)</f>
        <v/>
      </c>
      <c r="O440" s="16" t="inlineStr">
        <is>
          <t>EEKWG23D02, (50)Blue, (160)160</t>
        </is>
      </c>
      <c r="P440" s="16" t="n">
        <v>699</v>
      </c>
      <c r="Q440" s="16" t="n">
        <v>699</v>
      </c>
      <c r="R440" s="16" t="n">
        <v>2</v>
      </c>
      <c r="S440" s="16" t="n">
        <v>945</v>
      </c>
      <c r="T440" s="16" t="n">
        <v>1</v>
      </c>
    </row>
    <row r="441" s="103">
      <c r="A441" s="16" t="inlineStr">
        <is>
          <t>B331</t>
        </is>
      </c>
      <c r="B441" s="16" t="inlineStr">
        <is>
          <t>上海区域</t>
        </is>
      </c>
      <c r="C441" s="16" t="inlineStr">
        <is>
          <t>CN0Q</t>
        </is>
      </c>
      <c r="D441" s="16" t="inlineStr">
        <is>
          <t>EE 苏州比斯特购物村</t>
        </is>
      </c>
      <c r="E441" s="16" t="n">
        <v>4</v>
      </c>
      <c r="F441" s="16" t="inlineStr">
        <is>
          <t>奥特莱斯</t>
        </is>
      </c>
      <c r="G441" s="16" t="inlineStr">
        <is>
          <t>EEKWG23D02</t>
        </is>
      </c>
      <c r="H441" s="16" t="n">
        <v>699</v>
      </c>
      <c r="I441" s="16" t="n">
        <v>699</v>
      </c>
      <c r="J441" s="17" t="inlineStr">
        <is>
          <t>########</t>
        </is>
      </c>
      <c r="K441" s="16" t="inlineStr">
        <is>
          <t>(50)Blue</t>
        </is>
      </c>
      <c r="L441" s="16" t="inlineStr">
        <is>
          <t>营业中</t>
        </is>
      </c>
      <c r="M441" s="16" t="inlineStr">
        <is>
          <t>EEKWG23D0250165</t>
        </is>
      </c>
      <c r="N441" s="16">
        <f>LEFT(M441,12)</f>
        <v/>
      </c>
      <c r="O441" s="16" t="inlineStr">
        <is>
          <t>EEKWG23D02, (50)Blue, (165)165</t>
        </is>
      </c>
      <c r="P441" s="16" t="n">
        <v>699</v>
      </c>
      <c r="Q441" s="16" t="n">
        <v>699</v>
      </c>
      <c r="R441" s="16" t="n">
        <v>3</v>
      </c>
      <c r="S441" s="16" t="n">
        <v>895</v>
      </c>
      <c r="T441" s="16" t="n">
        <v>0</v>
      </c>
    </row>
    <row r="442" s="103">
      <c r="A442" s="16" t="inlineStr">
        <is>
          <t>B331</t>
        </is>
      </c>
      <c r="B442" s="16" t="inlineStr">
        <is>
          <t>上海区域</t>
        </is>
      </c>
      <c r="C442" s="16" t="inlineStr">
        <is>
          <t>CN0Q</t>
        </is>
      </c>
      <c r="D442" s="16" t="inlineStr">
        <is>
          <t>EE 苏州比斯特购物村</t>
        </is>
      </c>
      <c r="E442" s="16" t="n">
        <v>4</v>
      </c>
      <c r="F442" s="16" t="inlineStr">
        <is>
          <t>奥特莱斯</t>
        </is>
      </c>
      <c r="G442" s="16" t="inlineStr">
        <is>
          <t>EEKWG23D02</t>
        </is>
      </c>
      <c r="H442" s="16" t="n">
        <v>699</v>
      </c>
      <c r="I442" s="16" t="n">
        <v>699</v>
      </c>
      <c r="J442" s="17" t="inlineStr">
        <is>
          <t>########</t>
        </is>
      </c>
      <c r="K442" s="16" t="inlineStr">
        <is>
          <t>(50)Blue</t>
        </is>
      </c>
      <c r="L442" s="16" t="inlineStr">
        <is>
          <t>营业中</t>
        </is>
      </c>
      <c r="M442" s="16" t="inlineStr">
        <is>
          <t>EEKWG23D0250170</t>
        </is>
      </c>
      <c r="N442" s="16">
        <f>LEFT(M442,12)</f>
        <v/>
      </c>
      <c r="O442" s="16" t="inlineStr">
        <is>
          <t>EEKWG23D02, (50)Blue, (170)170</t>
        </is>
      </c>
      <c r="P442" s="16" t="n">
        <v>699</v>
      </c>
      <c r="Q442" s="16" t="n">
        <v>699</v>
      </c>
      <c r="R442" s="16" t="n">
        <v>1</v>
      </c>
      <c r="S442" s="16" t="n">
        <v>443</v>
      </c>
      <c r="T442" s="16" t="n">
        <v>1</v>
      </c>
    </row>
    <row r="443" s="103">
      <c r="A443" s="16" t="inlineStr">
        <is>
          <t>B331</t>
        </is>
      </c>
      <c r="B443" s="16" t="inlineStr">
        <is>
          <t>上海区域</t>
        </is>
      </c>
      <c r="C443" s="16" t="inlineStr">
        <is>
          <t>CN0Q</t>
        </is>
      </c>
      <c r="D443" s="16" t="inlineStr">
        <is>
          <t>EE 苏州比斯特购物村</t>
        </is>
      </c>
      <c r="E443" s="16" t="n">
        <v>4</v>
      </c>
      <c r="F443" s="16" t="inlineStr">
        <is>
          <t>奥特莱斯</t>
        </is>
      </c>
      <c r="G443" s="16" t="inlineStr">
        <is>
          <t>EEKWG23E01</t>
        </is>
      </c>
      <c r="H443" s="16" t="n">
        <v>499</v>
      </c>
      <c r="I443" s="16" t="n">
        <v>499</v>
      </c>
      <c r="J443" s="17" t="inlineStr">
        <is>
          <t>########</t>
        </is>
      </c>
      <c r="K443" s="16" t="inlineStr">
        <is>
          <t>(15)Grey</t>
        </is>
      </c>
      <c r="L443" s="16" t="inlineStr">
        <is>
          <t>营业中</t>
        </is>
      </c>
      <c r="M443" s="16" t="inlineStr">
        <is>
          <t>EEKWG23E0115160</t>
        </is>
      </c>
      <c r="N443" s="16">
        <f>LEFT(M443,12)</f>
        <v/>
      </c>
      <c r="O443" s="16" t="inlineStr">
        <is>
          <t>EEKWG23E01, (15)Grey, (160)160</t>
        </is>
      </c>
      <c r="P443" s="16" t="n">
        <v>499</v>
      </c>
      <c r="Q443" s="16" t="n">
        <v>499</v>
      </c>
      <c r="R443" s="16" t="n"/>
      <c r="S443" s="16" t="n"/>
      <c r="T443" s="16" t="n">
        <v>2</v>
      </c>
    </row>
    <row r="444" s="103">
      <c r="A444" s="16" t="inlineStr">
        <is>
          <t>B331</t>
        </is>
      </c>
      <c r="B444" s="16" t="inlineStr">
        <is>
          <t>上海区域</t>
        </is>
      </c>
      <c r="C444" s="16" t="inlineStr">
        <is>
          <t>CN0Q</t>
        </is>
      </c>
      <c r="D444" s="16" t="inlineStr">
        <is>
          <t>EE 苏州比斯特购物村</t>
        </is>
      </c>
      <c r="E444" s="16" t="n">
        <v>4</v>
      </c>
      <c r="F444" s="16" t="inlineStr">
        <is>
          <t>奥特莱斯</t>
        </is>
      </c>
      <c r="G444" s="16" t="inlineStr">
        <is>
          <t>EEKWG23E01</t>
        </is>
      </c>
      <c r="H444" s="16" t="n">
        <v>499</v>
      </c>
      <c r="I444" s="16" t="n">
        <v>499</v>
      </c>
      <c r="J444" s="17" t="inlineStr">
        <is>
          <t>########</t>
        </is>
      </c>
      <c r="K444" s="16" t="inlineStr">
        <is>
          <t>(15)Grey</t>
        </is>
      </c>
      <c r="L444" s="16" t="inlineStr">
        <is>
          <t>营业中</t>
        </is>
      </c>
      <c r="M444" s="16" t="inlineStr">
        <is>
          <t>EEKWG23E0115165</t>
        </is>
      </c>
      <c r="N444" s="16">
        <f>LEFT(M444,12)</f>
        <v/>
      </c>
      <c r="O444" s="16" t="inlineStr">
        <is>
          <t>EEKWG23E01, (15)Grey, (165)165</t>
        </is>
      </c>
      <c r="P444" s="16" t="n">
        <v>499</v>
      </c>
      <c r="Q444" s="16" t="n">
        <v>499</v>
      </c>
      <c r="R444" s="16" t="n"/>
      <c r="S444" s="16" t="n"/>
      <c r="T444" s="16" t="n">
        <v>4</v>
      </c>
    </row>
    <row r="445" s="103">
      <c r="A445" s="16" t="inlineStr">
        <is>
          <t>B331</t>
        </is>
      </c>
      <c r="B445" s="16" t="inlineStr">
        <is>
          <t>上海区域</t>
        </is>
      </c>
      <c r="C445" s="16" t="inlineStr">
        <is>
          <t>CN0Q</t>
        </is>
      </c>
      <c r="D445" s="16" t="inlineStr">
        <is>
          <t>EE 苏州比斯特购物村</t>
        </is>
      </c>
      <c r="E445" s="16" t="n">
        <v>4</v>
      </c>
      <c r="F445" s="16" t="inlineStr">
        <is>
          <t>奥特莱斯</t>
        </is>
      </c>
      <c r="G445" s="16" t="inlineStr">
        <is>
          <t>EEKWG23E01</t>
        </is>
      </c>
      <c r="H445" s="16" t="n">
        <v>499</v>
      </c>
      <c r="I445" s="16" t="n">
        <v>499</v>
      </c>
      <c r="J445" s="17" t="inlineStr">
        <is>
          <t>########</t>
        </is>
      </c>
      <c r="K445" s="16" t="inlineStr">
        <is>
          <t>(15)Grey</t>
        </is>
      </c>
      <c r="L445" s="16" t="inlineStr">
        <is>
          <t>营业中</t>
        </is>
      </c>
      <c r="M445" s="16" t="inlineStr">
        <is>
          <t>EEKWG23E0115170</t>
        </is>
      </c>
      <c r="N445" s="16">
        <f>LEFT(M445,12)</f>
        <v/>
      </c>
      <c r="O445" s="16" t="inlineStr">
        <is>
          <t>EEKWG23E01, (15)Grey, (170)170</t>
        </is>
      </c>
      <c r="P445" s="16" t="n">
        <v>499</v>
      </c>
      <c r="Q445" s="16" t="n">
        <v>499</v>
      </c>
      <c r="R445" s="16" t="n"/>
      <c r="S445" s="16" t="n"/>
      <c r="T445" s="16" t="n">
        <v>3</v>
      </c>
    </row>
    <row r="446" s="103">
      <c r="A446" s="16" t="inlineStr">
        <is>
          <t>B331</t>
        </is>
      </c>
      <c r="B446" s="16" t="inlineStr">
        <is>
          <t>上海区域</t>
        </is>
      </c>
      <c r="C446" s="16" t="inlineStr">
        <is>
          <t>CN0Q</t>
        </is>
      </c>
      <c r="D446" s="16" t="inlineStr">
        <is>
          <t>EE 苏州比斯特购物村</t>
        </is>
      </c>
      <c r="E446" s="16" t="n">
        <v>4</v>
      </c>
      <c r="F446" s="16" t="inlineStr">
        <is>
          <t>奥特莱斯</t>
        </is>
      </c>
      <c r="G446" s="16" t="inlineStr">
        <is>
          <t>EEKWG23E01</t>
        </is>
      </c>
      <c r="H446" s="16" t="n">
        <v>499</v>
      </c>
      <c r="I446" s="16" t="n">
        <v>499</v>
      </c>
      <c r="J446" s="17" t="inlineStr">
        <is>
          <t>########</t>
        </is>
      </c>
      <c r="K446" s="16" t="inlineStr">
        <is>
          <t>(15)Grey</t>
        </is>
      </c>
      <c r="L446" s="16" t="inlineStr">
        <is>
          <t>营业中</t>
        </is>
      </c>
      <c r="M446" s="16" t="inlineStr">
        <is>
          <t>EEKWG23E0115175</t>
        </is>
      </c>
      <c r="N446" s="16">
        <f>LEFT(M446,12)</f>
        <v/>
      </c>
      <c r="O446" s="16" t="inlineStr">
        <is>
          <t>EEKWG23E01, (15)Grey, (175)175</t>
        </is>
      </c>
      <c r="P446" s="16" t="n">
        <v>499</v>
      </c>
      <c r="Q446" s="16" t="n">
        <v>499</v>
      </c>
      <c r="R446" s="16" t="n"/>
      <c r="S446" s="16" t="n"/>
      <c r="T446" s="16" t="n">
        <v>2</v>
      </c>
    </row>
    <row r="447" s="103">
      <c r="A447" s="16" t="inlineStr">
        <is>
          <t>B331</t>
        </is>
      </c>
      <c r="B447" s="16" t="inlineStr">
        <is>
          <t>上海区域</t>
        </is>
      </c>
      <c r="C447" s="16" t="inlineStr">
        <is>
          <t>CN0Q</t>
        </is>
      </c>
      <c r="D447" s="16" t="inlineStr">
        <is>
          <t>EE 苏州比斯特购物村</t>
        </is>
      </c>
      <c r="E447" s="16" t="n">
        <v>4</v>
      </c>
      <c r="F447" s="16" t="inlineStr">
        <is>
          <t>奥特莱斯</t>
        </is>
      </c>
      <c r="G447" s="16" t="inlineStr">
        <is>
          <t>EEKWG23E01</t>
        </is>
      </c>
      <c r="H447" s="16" t="n">
        <v>499</v>
      </c>
      <c r="I447" s="16" t="n">
        <v>499</v>
      </c>
      <c r="J447" s="17" t="inlineStr">
        <is>
          <t>########</t>
        </is>
      </c>
      <c r="K447" s="16" t="inlineStr">
        <is>
          <t>(50)Blue</t>
        </is>
      </c>
      <c r="L447" s="16" t="inlineStr">
        <is>
          <t>营业中</t>
        </is>
      </c>
      <c r="M447" s="16" t="inlineStr">
        <is>
          <t>EEKWG23E0150160</t>
        </is>
      </c>
      <c r="N447" s="16">
        <f>LEFT(M447,12)</f>
        <v/>
      </c>
      <c r="O447" s="16" t="inlineStr">
        <is>
          <t>EEKWG23E01, (50)Blue, (160)160</t>
        </is>
      </c>
      <c r="P447" s="16" t="n">
        <v>499</v>
      </c>
      <c r="Q447" s="16" t="n">
        <v>499</v>
      </c>
      <c r="R447" s="16" t="n"/>
      <c r="S447" s="16" t="n"/>
      <c r="T447" s="16" t="n">
        <v>2</v>
      </c>
    </row>
    <row r="448" s="103">
      <c r="A448" s="16" t="inlineStr">
        <is>
          <t>B331</t>
        </is>
      </c>
      <c r="B448" s="16" t="inlineStr">
        <is>
          <t>上海区域</t>
        </is>
      </c>
      <c r="C448" s="16" t="inlineStr">
        <is>
          <t>CN0Q</t>
        </is>
      </c>
      <c r="D448" s="16" t="inlineStr">
        <is>
          <t>EE 苏州比斯特购物村</t>
        </is>
      </c>
      <c r="E448" s="16" t="n">
        <v>4</v>
      </c>
      <c r="F448" s="16" t="inlineStr">
        <is>
          <t>奥特莱斯</t>
        </is>
      </c>
      <c r="G448" s="16" t="inlineStr">
        <is>
          <t>EEKWG23E01</t>
        </is>
      </c>
      <c r="H448" s="16" t="n">
        <v>499</v>
      </c>
      <c r="I448" s="16" t="n">
        <v>499</v>
      </c>
      <c r="J448" s="17" t="inlineStr">
        <is>
          <t>########</t>
        </is>
      </c>
      <c r="K448" s="16" t="inlineStr">
        <is>
          <t>(50)Blue</t>
        </is>
      </c>
      <c r="L448" s="16" t="inlineStr">
        <is>
          <t>营业中</t>
        </is>
      </c>
      <c r="M448" s="16" t="inlineStr">
        <is>
          <t>EEKWG23E0150165</t>
        </is>
      </c>
      <c r="N448" s="16">
        <f>LEFT(M448,12)</f>
        <v/>
      </c>
      <c r="O448" s="16" t="inlineStr">
        <is>
          <t>EEKWG23E01, (50)Blue, (165)165</t>
        </is>
      </c>
      <c r="P448" s="16" t="n">
        <v>499</v>
      </c>
      <c r="Q448" s="16" t="n">
        <v>499</v>
      </c>
      <c r="R448" s="16" t="n"/>
      <c r="S448" s="16" t="n"/>
      <c r="T448" s="16" t="n">
        <v>3</v>
      </c>
    </row>
    <row r="449" s="103">
      <c r="A449" s="16" t="inlineStr">
        <is>
          <t>B331</t>
        </is>
      </c>
      <c r="B449" s="16" t="inlineStr">
        <is>
          <t>上海区域</t>
        </is>
      </c>
      <c r="C449" s="16" t="inlineStr">
        <is>
          <t>CN0Q</t>
        </is>
      </c>
      <c r="D449" s="16" t="inlineStr">
        <is>
          <t>EE 苏州比斯特购物村</t>
        </is>
      </c>
      <c r="E449" s="16" t="n">
        <v>4</v>
      </c>
      <c r="F449" s="16" t="inlineStr">
        <is>
          <t>奥特莱斯</t>
        </is>
      </c>
      <c r="G449" s="16" t="inlineStr">
        <is>
          <t>EEKWG23E01</t>
        </is>
      </c>
      <c r="H449" s="16" t="n">
        <v>499</v>
      </c>
      <c r="I449" s="16" t="n">
        <v>499</v>
      </c>
      <c r="J449" s="17" t="inlineStr">
        <is>
          <t>########</t>
        </is>
      </c>
      <c r="K449" s="16" t="inlineStr">
        <is>
          <t>(50)Blue</t>
        </is>
      </c>
      <c r="L449" s="16" t="inlineStr">
        <is>
          <t>营业中</t>
        </is>
      </c>
      <c r="M449" s="16" t="inlineStr">
        <is>
          <t>EEKWG23E0150170</t>
        </is>
      </c>
      <c r="N449" s="16">
        <f>LEFT(M449,12)</f>
        <v/>
      </c>
      <c r="O449" s="16" t="inlineStr">
        <is>
          <t>EEKWG23E01, (50)Blue, (170)170</t>
        </is>
      </c>
      <c r="P449" s="16" t="n">
        <v>499</v>
      </c>
      <c r="Q449" s="16" t="n">
        <v>499</v>
      </c>
      <c r="R449" s="16" t="n"/>
      <c r="S449" s="16" t="n"/>
      <c r="T449" s="16" t="n">
        <v>2</v>
      </c>
    </row>
    <row r="450" s="103">
      <c r="A450" s="16" t="inlineStr">
        <is>
          <t>B331</t>
        </is>
      </c>
      <c r="B450" s="16" t="inlineStr">
        <is>
          <t>上海区域</t>
        </is>
      </c>
      <c r="C450" s="16" t="inlineStr">
        <is>
          <t>CN0Q</t>
        </is>
      </c>
      <c r="D450" s="16" t="inlineStr">
        <is>
          <t>EE 苏州比斯特购物村</t>
        </is>
      </c>
      <c r="E450" s="16" t="n">
        <v>4</v>
      </c>
      <c r="F450" s="16" t="inlineStr">
        <is>
          <t>奥特莱斯</t>
        </is>
      </c>
      <c r="G450" s="16" t="inlineStr">
        <is>
          <t>EEKWG23E01</t>
        </is>
      </c>
      <c r="H450" s="16" t="n">
        <v>499</v>
      </c>
      <c r="I450" s="16" t="n">
        <v>499</v>
      </c>
      <c r="J450" s="17" t="inlineStr">
        <is>
          <t>########</t>
        </is>
      </c>
      <c r="K450" s="16" t="inlineStr">
        <is>
          <t>(50)Blue</t>
        </is>
      </c>
      <c r="L450" s="16" t="inlineStr">
        <is>
          <t>营业中</t>
        </is>
      </c>
      <c r="M450" s="16" t="inlineStr">
        <is>
          <t>EEKWG23E0150175</t>
        </is>
      </c>
      <c r="N450" s="16">
        <f>LEFT(M450,12)</f>
        <v/>
      </c>
      <c r="O450" s="16" t="inlineStr">
        <is>
          <t>EEKWG23E01, (50)Blue, (175)175</t>
        </is>
      </c>
      <c r="P450" s="16" t="n">
        <v>499</v>
      </c>
      <c r="Q450" s="16" t="n">
        <v>499</v>
      </c>
      <c r="R450" s="16" t="n"/>
      <c r="S450" s="16" t="n"/>
      <c r="T450" s="16" t="n">
        <v>2</v>
      </c>
    </row>
    <row r="451" s="103">
      <c r="A451" s="16" t="inlineStr">
        <is>
          <t>B331</t>
        </is>
      </c>
      <c r="B451" s="16" t="inlineStr">
        <is>
          <t>上海区域</t>
        </is>
      </c>
      <c r="C451" s="16" t="inlineStr">
        <is>
          <t>CN0Q</t>
        </is>
      </c>
      <c r="D451" s="16" t="inlineStr">
        <is>
          <t>EE 苏州比斯特购物村</t>
        </is>
      </c>
      <c r="E451" s="16" t="n">
        <v>4</v>
      </c>
      <c r="F451" s="16" t="inlineStr">
        <is>
          <t>奥特莱斯</t>
        </is>
      </c>
      <c r="G451" s="16" t="inlineStr">
        <is>
          <t>EEKWG23E01</t>
        </is>
      </c>
      <c r="H451" s="16" t="n">
        <v>499</v>
      </c>
      <c r="I451" s="16" t="n">
        <v>499</v>
      </c>
      <c r="J451" s="17" t="inlineStr">
        <is>
          <t>########</t>
        </is>
      </c>
      <c r="K451" s="16" t="inlineStr">
        <is>
          <t>(51)L/Blue</t>
        </is>
      </c>
      <c r="L451" s="16" t="inlineStr">
        <is>
          <t>营业中</t>
        </is>
      </c>
      <c r="M451" s="16" t="inlineStr">
        <is>
          <t>EEKWG23E0151160</t>
        </is>
      </c>
      <c r="N451" s="16">
        <f>LEFT(M451,12)</f>
        <v/>
      </c>
      <c r="O451" s="16" t="inlineStr">
        <is>
          <t>EEKWG23E01, (51)L/Blue, (160)160</t>
        </is>
      </c>
      <c r="P451" s="16" t="n">
        <v>499</v>
      </c>
      <c r="Q451" s="16" t="n">
        <v>499</v>
      </c>
      <c r="R451" s="16" t="n">
        <v>3</v>
      </c>
      <c r="S451" s="16" t="n">
        <v>646</v>
      </c>
      <c r="T451" s="16" t="n">
        <v>3</v>
      </c>
    </row>
    <row r="452" s="103">
      <c r="A452" s="16" t="inlineStr">
        <is>
          <t>B331</t>
        </is>
      </c>
      <c r="B452" s="16" t="inlineStr">
        <is>
          <t>上海区域</t>
        </is>
      </c>
      <c r="C452" s="16" t="inlineStr">
        <is>
          <t>CN0Q</t>
        </is>
      </c>
      <c r="D452" s="16" t="inlineStr">
        <is>
          <t>EE 苏州比斯特购物村</t>
        </is>
      </c>
      <c r="E452" s="16" t="n">
        <v>4</v>
      </c>
      <c r="F452" s="16" t="inlineStr">
        <is>
          <t>奥特莱斯</t>
        </is>
      </c>
      <c r="G452" s="16" t="inlineStr">
        <is>
          <t>EEKWG23E01</t>
        </is>
      </c>
      <c r="H452" s="16" t="n">
        <v>499</v>
      </c>
      <c r="I452" s="16" t="n">
        <v>499</v>
      </c>
      <c r="J452" s="17" t="inlineStr">
        <is>
          <t>########</t>
        </is>
      </c>
      <c r="K452" s="16" t="inlineStr">
        <is>
          <t>(51)L/Blue</t>
        </is>
      </c>
      <c r="L452" s="16" t="inlineStr">
        <is>
          <t>营业中</t>
        </is>
      </c>
      <c r="M452" s="16" t="inlineStr">
        <is>
          <t>EEKWG23E0151165</t>
        </is>
      </c>
      <c r="N452" s="16">
        <f>LEFT(M452,12)</f>
        <v/>
      </c>
      <c r="O452" s="16" t="inlineStr">
        <is>
          <t>EEKWG23E01, (51)L/Blue, (165)165</t>
        </is>
      </c>
      <c r="P452" s="16" t="n">
        <v>499</v>
      </c>
      <c r="Q452" s="16" t="n">
        <v>499</v>
      </c>
      <c r="R452" s="16" t="n">
        <v>9</v>
      </c>
      <c r="S452" s="18" t="n">
        <v>2042</v>
      </c>
      <c r="T452" s="16" t="n">
        <v>4</v>
      </c>
    </row>
    <row r="453" s="103">
      <c r="A453" s="16" t="inlineStr">
        <is>
          <t>B331</t>
        </is>
      </c>
      <c r="B453" s="16" t="inlineStr">
        <is>
          <t>上海区域</t>
        </is>
      </c>
      <c r="C453" s="16" t="inlineStr">
        <is>
          <t>CN0Q</t>
        </is>
      </c>
      <c r="D453" s="16" t="inlineStr">
        <is>
          <t>EE 苏州比斯特购物村</t>
        </is>
      </c>
      <c r="E453" s="16" t="n">
        <v>4</v>
      </c>
      <c r="F453" s="16" t="inlineStr">
        <is>
          <t>奥特莱斯</t>
        </is>
      </c>
      <c r="G453" s="16" t="inlineStr">
        <is>
          <t>EEKWG23E01</t>
        </is>
      </c>
      <c r="H453" s="16" t="n">
        <v>499</v>
      </c>
      <c r="I453" s="16" t="n">
        <v>499</v>
      </c>
      <c r="J453" s="17" t="inlineStr">
        <is>
          <t>########</t>
        </is>
      </c>
      <c r="K453" s="16" t="inlineStr">
        <is>
          <t>(51)L/Blue</t>
        </is>
      </c>
      <c r="L453" s="16" t="inlineStr">
        <is>
          <t>营业中</t>
        </is>
      </c>
      <c r="M453" s="16" t="inlineStr">
        <is>
          <t>EEKWG23E0151170</t>
        </is>
      </c>
      <c r="N453" s="16">
        <f>LEFT(M453,12)</f>
        <v/>
      </c>
      <c r="O453" s="16" t="inlineStr">
        <is>
          <t>EEKWG23E01, (51)L/Blue, (170)170</t>
        </is>
      </c>
      <c r="P453" s="16" t="n">
        <v>499</v>
      </c>
      <c r="Q453" s="16" t="n">
        <v>499</v>
      </c>
      <c r="R453" s="16" t="n">
        <v>2</v>
      </c>
      <c r="S453" s="16" t="n">
        <v>679</v>
      </c>
      <c r="T453" s="16" t="n">
        <v>2</v>
      </c>
    </row>
    <row r="454" s="103">
      <c r="A454" s="16" t="inlineStr">
        <is>
          <t>B331</t>
        </is>
      </c>
      <c r="B454" s="16" t="inlineStr">
        <is>
          <t>上海区域</t>
        </is>
      </c>
      <c r="C454" s="16" t="inlineStr">
        <is>
          <t>CN0Q</t>
        </is>
      </c>
      <c r="D454" s="16" t="inlineStr">
        <is>
          <t>EE 苏州比斯特购物村</t>
        </is>
      </c>
      <c r="E454" s="16" t="n">
        <v>4</v>
      </c>
      <c r="F454" s="16" t="inlineStr">
        <is>
          <t>奥特莱斯</t>
        </is>
      </c>
      <c r="G454" s="16" t="inlineStr">
        <is>
          <t>EEKWG23E01</t>
        </is>
      </c>
      <c r="H454" s="16" t="n">
        <v>499</v>
      </c>
      <c r="I454" s="16" t="n">
        <v>499</v>
      </c>
      <c r="J454" s="17" t="inlineStr">
        <is>
          <t>########</t>
        </is>
      </c>
      <c r="K454" s="16" t="inlineStr">
        <is>
          <t>(51)L/Blue</t>
        </is>
      </c>
      <c r="L454" s="16" t="inlineStr">
        <is>
          <t>营业中</t>
        </is>
      </c>
      <c r="M454" s="16" t="inlineStr">
        <is>
          <t>EEKWG23E0151175</t>
        </is>
      </c>
      <c r="N454" s="16">
        <f>LEFT(M454,12)</f>
        <v/>
      </c>
      <c r="O454" s="16" t="inlineStr">
        <is>
          <t>EEKWG23E01, (51)L/Blue, (175)175</t>
        </is>
      </c>
      <c r="P454" s="16" t="n">
        <v>499</v>
      </c>
      <c r="Q454" s="16" t="n">
        <v>499</v>
      </c>
      <c r="R454" s="16" t="n"/>
      <c r="S454" s="16" t="n"/>
      <c r="T454" s="16" t="n">
        <v>1</v>
      </c>
    </row>
    <row r="455" s="103">
      <c r="A455" s="16" t="inlineStr">
        <is>
          <t>B331</t>
        </is>
      </c>
      <c r="B455" s="16" t="inlineStr">
        <is>
          <t>上海区域</t>
        </is>
      </c>
      <c r="C455" s="16" t="inlineStr">
        <is>
          <t>CN0Q</t>
        </is>
      </c>
      <c r="D455" s="16" t="inlineStr">
        <is>
          <t>EE 苏州比斯特购物村</t>
        </is>
      </c>
      <c r="E455" s="16" t="n">
        <v>4</v>
      </c>
      <c r="F455" s="16" t="inlineStr">
        <is>
          <t>奥特莱斯</t>
        </is>
      </c>
      <c r="G455" s="16" t="inlineStr">
        <is>
          <t>EEKWG23E01</t>
        </is>
      </c>
      <c r="H455" s="16" t="n">
        <v>499</v>
      </c>
      <c r="I455" s="16" t="n">
        <v>499</v>
      </c>
      <c r="J455" s="17" t="inlineStr">
        <is>
          <t>########</t>
        </is>
      </c>
      <c r="K455" s="16" t="inlineStr">
        <is>
          <t>(59)Navy</t>
        </is>
      </c>
      <c r="L455" s="16" t="inlineStr">
        <is>
          <t>营业中</t>
        </is>
      </c>
      <c r="M455" s="16" t="inlineStr">
        <is>
          <t>EEKWG23E0159160</t>
        </is>
      </c>
      <c r="N455" s="16">
        <f>LEFT(M455,12)</f>
        <v/>
      </c>
      <c r="O455" s="16" t="inlineStr">
        <is>
          <t>EEKWG23E01, (59)Navy, (160)160</t>
        </is>
      </c>
      <c r="P455" s="16" t="n">
        <v>499</v>
      </c>
      <c r="Q455" s="16" t="n">
        <v>499</v>
      </c>
      <c r="R455" s="16" t="n"/>
      <c r="S455" s="16" t="n"/>
      <c r="T455" s="16" t="n">
        <v>2</v>
      </c>
    </row>
    <row r="456" s="103">
      <c r="A456" s="16" t="inlineStr">
        <is>
          <t>B331</t>
        </is>
      </c>
      <c r="B456" s="16" t="inlineStr">
        <is>
          <t>上海区域</t>
        </is>
      </c>
      <c r="C456" s="16" t="inlineStr">
        <is>
          <t>CN0Q</t>
        </is>
      </c>
      <c r="D456" s="16" t="inlineStr">
        <is>
          <t>EE 苏州比斯特购物村</t>
        </is>
      </c>
      <c r="E456" s="16" t="n">
        <v>4</v>
      </c>
      <c r="F456" s="16" t="inlineStr">
        <is>
          <t>奥特莱斯</t>
        </is>
      </c>
      <c r="G456" s="16" t="inlineStr">
        <is>
          <t>EEKWG23E01</t>
        </is>
      </c>
      <c r="H456" s="16" t="n">
        <v>499</v>
      </c>
      <c r="I456" s="16" t="n">
        <v>499</v>
      </c>
      <c r="J456" s="17" t="inlineStr">
        <is>
          <t>########</t>
        </is>
      </c>
      <c r="K456" s="16" t="inlineStr">
        <is>
          <t>(59)Navy</t>
        </is>
      </c>
      <c r="L456" s="16" t="inlineStr">
        <is>
          <t>营业中</t>
        </is>
      </c>
      <c r="M456" s="16" t="inlineStr">
        <is>
          <t>EEKWG23E0159165</t>
        </is>
      </c>
      <c r="N456" s="16">
        <f>LEFT(M456,12)</f>
        <v/>
      </c>
      <c r="O456" s="16" t="inlineStr">
        <is>
          <t>EEKWG23E01, (59)Navy, (165)165</t>
        </is>
      </c>
      <c r="P456" s="16" t="n">
        <v>499</v>
      </c>
      <c r="Q456" s="16" t="n">
        <v>499</v>
      </c>
      <c r="R456" s="16" t="n"/>
      <c r="S456" s="16" t="n"/>
      <c r="T456" s="16" t="n">
        <v>3</v>
      </c>
    </row>
    <row r="457" s="103">
      <c r="A457" s="16" t="inlineStr">
        <is>
          <t>B331</t>
        </is>
      </c>
      <c r="B457" s="16" t="inlineStr">
        <is>
          <t>上海区域</t>
        </is>
      </c>
      <c r="C457" s="16" t="inlineStr">
        <is>
          <t>CN0Q</t>
        </is>
      </c>
      <c r="D457" s="16" t="inlineStr">
        <is>
          <t>EE 苏州比斯特购物村</t>
        </is>
      </c>
      <c r="E457" s="16" t="n">
        <v>4</v>
      </c>
      <c r="F457" s="16" t="inlineStr">
        <is>
          <t>奥特莱斯</t>
        </is>
      </c>
      <c r="G457" s="16" t="inlineStr">
        <is>
          <t>EEKWG23E01</t>
        </is>
      </c>
      <c r="H457" s="16" t="n">
        <v>499</v>
      </c>
      <c r="I457" s="16" t="n">
        <v>499</v>
      </c>
      <c r="J457" s="17" t="inlineStr">
        <is>
          <t>########</t>
        </is>
      </c>
      <c r="K457" s="16" t="inlineStr">
        <is>
          <t>(59)Navy</t>
        </is>
      </c>
      <c r="L457" s="16" t="inlineStr">
        <is>
          <t>营业中</t>
        </is>
      </c>
      <c r="M457" s="16" t="inlineStr">
        <is>
          <t>EEKWG23E0159170</t>
        </is>
      </c>
      <c r="N457" s="16">
        <f>LEFT(M457,12)</f>
        <v/>
      </c>
      <c r="O457" s="16" t="inlineStr">
        <is>
          <t>EEKWG23E01, (59)Navy, (170)170</t>
        </is>
      </c>
      <c r="P457" s="16" t="n">
        <v>499</v>
      </c>
      <c r="Q457" s="16" t="n">
        <v>499</v>
      </c>
      <c r="R457" s="16" t="n"/>
      <c r="S457" s="16" t="n"/>
      <c r="T457" s="16" t="n">
        <v>2</v>
      </c>
    </row>
    <row r="458" s="103">
      <c r="A458" s="16" t="inlineStr">
        <is>
          <t>B331</t>
        </is>
      </c>
      <c r="B458" s="16" t="inlineStr">
        <is>
          <t>上海区域</t>
        </is>
      </c>
      <c r="C458" s="16" t="inlineStr">
        <is>
          <t>CN0Q</t>
        </is>
      </c>
      <c r="D458" s="16" t="inlineStr">
        <is>
          <t>EE 苏州比斯特购物村</t>
        </is>
      </c>
      <c r="E458" s="16" t="n">
        <v>4</v>
      </c>
      <c r="F458" s="16" t="inlineStr">
        <is>
          <t>奥特莱斯</t>
        </is>
      </c>
      <c r="G458" s="16" t="inlineStr">
        <is>
          <t>EEKWG23E01</t>
        </is>
      </c>
      <c r="H458" s="16" t="n">
        <v>499</v>
      </c>
      <c r="I458" s="16" t="n">
        <v>499</v>
      </c>
      <c r="J458" s="17" t="inlineStr">
        <is>
          <t>########</t>
        </is>
      </c>
      <c r="K458" s="16" t="inlineStr">
        <is>
          <t>(59)Navy</t>
        </is>
      </c>
      <c r="L458" s="16" t="inlineStr">
        <is>
          <t>营业中</t>
        </is>
      </c>
      <c r="M458" s="16" t="inlineStr">
        <is>
          <t>EEKWG23E0159175</t>
        </is>
      </c>
      <c r="N458" s="16">
        <f>LEFT(M458,12)</f>
        <v/>
      </c>
      <c r="O458" s="16" t="inlineStr">
        <is>
          <t>EEKWG23E01, (59)Navy, (175)175</t>
        </is>
      </c>
      <c r="P458" s="16" t="n">
        <v>499</v>
      </c>
      <c r="Q458" s="16" t="n">
        <v>499</v>
      </c>
      <c r="R458" s="16" t="n"/>
      <c r="S458" s="16" t="n"/>
      <c r="T458" s="16" t="n">
        <v>2</v>
      </c>
    </row>
    <row r="459" s="103">
      <c r="A459" s="16" t="inlineStr">
        <is>
          <t>B331</t>
        </is>
      </c>
      <c r="B459" s="16" t="inlineStr">
        <is>
          <t>上海区域</t>
        </is>
      </c>
      <c r="C459" s="16" t="inlineStr">
        <is>
          <t>CN0Q</t>
        </is>
      </c>
      <c r="D459" s="16" t="inlineStr">
        <is>
          <t>EE 苏州比斯特购物村</t>
        </is>
      </c>
      <c r="E459" s="16" t="n">
        <v>4</v>
      </c>
      <c r="F459" s="16" t="inlineStr">
        <is>
          <t>奥特莱斯</t>
        </is>
      </c>
      <c r="G459" s="16" t="inlineStr">
        <is>
          <t>EEKWG23E1G</t>
        </is>
      </c>
      <c r="H459" s="16" t="n">
        <v>599</v>
      </c>
      <c r="I459" s="16" t="n">
        <v>599</v>
      </c>
      <c r="J459" s="17" t="inlineStr">
        <is>
          <t>########</t>
        </is>
      </c>
      <c r="K459" s="16" t="inlineStr">
        <is>
          <t>(15)Grey</t>
        </is>
      </c>
      <c r="L459" s="16" t="inlineStr">
        <is>
          <t>营业中</t>
        </is>
      </c>
      <c r="M459" s="16" t="inlineStr">
        <is>
          <t>EEKWG23E1G15170</t>
        </is>
      </c>
      <c r="N459" s="16">
        <f>LEFT(M459,12)</f>
        <v/>
      </c>
      <c r="O459" s="16" t="inlineStr">
        <is>
          <t>EEKWG23E1G, (15)Grey, (170)170</t>
        </is>
      </c>
      <c r="P459" s="16" t="n">
        <v>599</v>
      </c>
      <c r="Q459" s="16" t="n">
        <v>599</v>
      </c>
      <c r="R459" s="16" t="n"/>
      <c r="S459" s="16" t="n"/>
      <c r="T459" s="16" t="n">
        <v>2</v>
      </c>
    </row>
    <row r="460" s="103">
      <c r="A460" s="16" t="inlineStr">
        <is>
          <t>B331</t>
        </is>
      </c>
      <c r="B460" s="16" t="inlineStr">
        <is>
          <t>上海区域</t>
        </is>
      </c>
      <c r="C460" s="16" t="inlineStr">
        <is>
          <t>CN0Q</t>
        </is>
      </c>
      <c r="D460" s="16" t="inlineStr">
        <is>
          <t>EE 苏州比斯特购物村</t>
        </is>
      </c>
      <c r="E460" s="16" t="n">
        <v>4</v>
      </c>
      <c r="F460" s="16" t="inlineStr">
        <is>
          <t>奥特莱斯</t>
        </is>
      </c>
      <c r="G460" s="16" t="inlineStr">
        <is>
          <t>EEKWG23E1G</t>
        </is>
      </c>
      <c r="H460" s="16" t="n">
        <v>599</v>
      </c>
      <c r="I460" s="16" t="n">
        <v>599</v>
      </c>
      <c r="J460" s="17" t="inlineStr">
        <is>
          <t>########</t>
        </is>
      </c>
      <c r="K460" s="16" t="inlineStr">
        <is>
          <t>(15)Grey</t>
        </is>
      </c>
      <c r="L460" s="16" t="inlineStr">
        <is>
          <t>营业中</t>
        </is>
      </c>
      <c r="M460" s="16" t="inlineStr">
        <is>
          <t>EEKWG23E1G15175</t>
        </is>
      </c>
      <c r="N460" s="16">
        <f>LEFT(M460,12)</f>
        <v/>
      </c>
      <c r="O460" s="16" t="inlineStr">
        <is>
          <t>EEKWG23E1G, (15)Grey, (175)175</t>
        </is>
      </c>
      <c r="P460" s="16" t="n">
        <v>599</v>
      </c>
      <c r="Q460" s="16" t="n">
        <v>599</v>
      </c>
      <c r="R460" s="16" t="n"/>
      <c r="S460" s="16" t="n"/>
      <c r="T460" s="16" t="n">
        <v>2</v>
      </c>
    </row>
    <row r="461" s="103">
      <c r="A461" s="16" t="inlineStr">
        <is>
          <t>B331</t>
        </is>
      </c>
      <c r="B461" s="16" t="inlineStr">
        <is>
          <t>上海区域</t>
        </is>
      </c>
      <c r="C461" s="16" t="inlineStr">
        <is>
          <t>CN0Q</t>
        </is>
      </c>
      <c r="D461" s="16" t="inlineStr">
        <is>
          <t>EE 苏州比斯特购物村</t>
        </is>
      </c>
      <c r="E461" s="16" t="n">
        <v>4</v>
      </c>
      <c r="F461" s="16" t="inlineStr">
        <is>
          <t>奥特莱斯</t>
        </is>
      </c>
      <c r="G461" s="16" t="inlineStr">
        <is>
          <t>EEKWG23E1G</t>
        </is>
      </c>
      <c r="H461" s="16" t="n">
        <v>599</v>
      </c>
      <c r="I461" s="16" t="n">
        <v>599</v>
      </c>
      <c r="J461" s="17" t="inlineStr">
        <is>
          <t>########</t>
        </is>
      </c>
      <c r="K461" s="16" t="inlineStr">
        <is>
          <t>(15)Grey</t>
        </is>
      </c>
      <c r="L461" s="16" t="inlineStr">
        <is>
          <t>营业中</t>
        </is>
      </c>
      <c r="M461" s="16" t="inlineStr">
        <is>
          <t>EEKWG23E1G15180</t>
        </is>
      </c>
      <c r="N461" s="16">
        <f>LEFT(M461,12)</f>
        <v/>
      </c>
      <c r="O461" s="16" t="inlineStr">
        <is>
          <t>EEKWG23E1G, (15)Grey, (180)180</t>
        </is>
      </c>
      <c r="P461" s="16" t="n">
        <v>599</v>
      </c>
      <c r="Q461" s="16" t="n">
        <v>599</v>
      </c>
      <c r="R461" s="16" t="n"/>
      <c r="S461" s="16" t="n"/>
      <c r="T461" s="16" t="n">
        <v>2</v>
      </c>
    </row>
    <row r="462" s="103">
      <c r="A462" s="16" t="inlineStr">
        <is>
          <t>B331</t>
        </is>
      </c>
      <c r="B462" s="16" t="inlineStr">
        <is>
          <t>上海区域</t>
        </is>
      </c>
      <c r="C462" s="16" t="inlineStr">
        <is>
          <t>CN0Q</t>
        </is>
      </c>
      <c r="D462" s="16" t="inlineStr">
        <is>
          <t>EE 苏州比斯特购物村</t>
        </is>
      </c>
      <c r="E462" s="16" t="n">
        <v>4</v>
      </c>
      <c r="F462" s="16" t="inlineStr">
        <is>
          <t>奥特莱斯</t>
        </is>
      </c>
      <c r="G462" s="16" t="inlineStr">
        <is>
          <t>EEKWG23E1G</t>
        </is>
      </c>
      <c r="H462" s="16" t="n">
        <v>599</v>
      </c>
      <c r="I462" s="16" t="n">
        <v>599</v>
      </c>
      <c r="J462" s="17" t="inlineStr">
        <is>
          <t>########</t>
        </is>
      </c>
      <c r="K462" s="16" t="inlineStr">
        <is>
          <t>(15)Grey</t>
        </is>
      </c>
      <c r="L462" s="16" t="inlineStr">
        <is>
          <t>营业中</t>
        </is>
      </c>
      <c r="M462" s="16" t="inlineStr">
        <is>
          <t>EEKWG23E1G15185</t>
        </is>
      </c>
      <c r="N462" s="16">
        <f>LEFT(M462,12)</f>
        <v/>
      </c>
      <c r="O462" s="16" t="inlineStr">
        <is>
          <t>EEKWG23E1G, (15)Grey, (185)185</t>
        </is>
      </c>
      <c r="P462" s="16" t="n">
        <v>599</v>
      </c>
      <c r="Q462" s="16" t="n">
        <v>599</v>
      </c>
      <c r="R462" s="16" t="n"/>
      <c r="S462" s="16" t="n"/>
      <c r="T462" s="16" t="n">
        <v>1</v>
      </c>
    </row>
    <row r="463" s="103">
      <c r="A463" s="16" t="inlineStr">
        <is>
          <t>B331</t>
        </is>
      </c>
      <c r="B463" s="16" t="inlineStr">
        <is>
          <t>上海区域</t>
        </is>
      </c>
      <c r="C463" s="16" t="inlineStr">
        <is>
          <t>CN0Q</t>
        </is>
      </c>
      <c r="D463" s="16" t="inlineStr">
        <is>
          <t>EE 苏州比斯特购物村</t>
        </is>
      </c>
      <c r="E463" s="16" t="n">
        <v>4</v>
      </c>
      <c r="F463" s="16" t="inlineStr">
        <is>
          <t>奥特莱斯</t>
        </is>
      </c>
      <c r="G463" s="16" t="inlineStr">
        <is>
          <t>EEKWG23E1G</t>
        </is>
      </c>
      <c r="H463" s="16" t="n">
        <v>599</v>
      </c>
      <c r="I463" s="16" t="n">
        <v>599</v>
      </c>
      <c r="J463" s="17" t="inlineStr">
        <is>
          <t>########</t>
        </is>
      </c>
      <c r="K463" s="16" t="inlineStr">
        <is>
          <t>(55)Indigo</t>
        </is>
      </c>
      <c r="L463" s="16" t="inlineStr">
        <is>
          <t>营业中</t>
        </is>
      </c>
      <c r="M463" s="16" t="inlineStr">
        <is>
          <t>EEKWG23E1G55170</t>
        </is>
      </c>
      <c r="N463" s="16">
        <f>LEFT(M463,12)</f>
        <v/>
      </c>
      <c r="O463" s="16" t="inlineStr">
        <is>
          <t>EEKWG23E1G, (55)Indigo, (170)170</t>
        </is>
      </c>
      <c r="P463" s="16" t="n">
        <v>599</v>
      </c>
      <c r="Q463" s="16" t="n">
        <v>599</v>
      </c>
      <c r="R463" s="16" t="n"/>
      <c r="S463" s="16" t="n"/>
      <c r="T463" s="16" t="n">
        <v>2</v>
      </c>
    </row>
    <row r="464" s="103">
      <c r="A464" s="16" t="inlineStr">
        <is>
          <t>B331</t>
        </is>
      </c>
      <c r="B464" s="16" t="inlineStr">
        <is>
          <t>上海区域</t>
        </is>
      </c>
      <c r="C464" s="16" t="inlineStr">
        <is>
          <t>CN0Q</t>
        </is>
      </c>
      <c r="D464" s="16" t="inlineStr">
        <is>
          <t>EE 苏州比斯特购物村</t>
        </is>
      </c>
      <c r="E464" s="16" t="n">
        <v>4</v>
      </c>
      <c r="F464" s="16" t="inlineStr">
        <is>
          <t>奥特莱斯</t>
        </is>
      </c>
      <c r="G464" s="16" t="inlineStr">
        <is>
          <t>EEKWG23E1G</t>
        </is>
      </c>
      <c r="H464" s="16" t="n">
        <v>599</v>
      </c>
      <c r="I464" s="16" t="n">
        <v>599</v>
      </c>
      <c r="J464" s="17" t="inlineStr">
        <is>
          <t>########</t>
        </is>
      </c>
      <c r="K464" s="16" t="inlineStr">
        <is>
          <t>(55)Indigo</t>
        </is>
      </c>
      <c r="L464" s="16" t="inlineStr">
        <is>
          <t>营业中</t>
        </is>
      </c>
      <c r="M464" s="16" t="inlineStr">
        <is>
          <t>EEKWG23E1G55175</t>
        </is>
      </c>
      <c r="N464" s="16">
        <f>LEFT(M464,12)</f>
        <v/>
      </c>
      <c r="O464" s="16" t="inlineStr">
        <is>
          <t>EEKWG23E1G, (55)Indigo, (175)175</t>
        </is>
      </c>
      <c r="P464" s="16" t="n">
        <v>599</v>
      </c>
      <c r="Q464" s="16" t="n">
        <v>599</v>
      </c>
      <c r="R464" s="16" t="n"/>
      <c r="S464" s="16" t="n"/>
      <c r="T464" s="16" t="n">
        <v>2</v>
      </c>
    </row>
    <row r="465" s="103">
      <c r="A465" s="16" t="inlineStr">
        <is>
          <t>B331</t>
        </is>
      </c>
      <c r="B465" s="16" t="inlineStr">
        <is>
          <t>上海区域</t>
        </is>
      </c>
      <c r="C465" s="16" t="inlineStr">
        <is>
          <t>CN0Q</t>
        </is>
      </c>
      <c r="D465" s="16" t="inlineStr">
        <is>
          <t>EE 苏州比斯特购物村</t>
        </is>
      </c>
      <c r="E465" s="16" t="n">
        <v>4</v>
      </c>
      <c r="F465" s="16" t="inlineStr">
        <is>
          <t>奥特莱斯</t>
        </is>
      </c>
      <c r="G465" s="16" t="inlineStr">
        <is>
          <t>EEKWG23E1G</t>
        </is>
      </c>
      <c r="H465" s="16" t="n">
        <v>599</v>
      </c>
      <c r="I465" s="16" t="n">
        <v>599</v>
      </c>
      <c r="J465" s="17" t="inlineStr">
        <is>
          <t>########</t>
        </is>
      </c>
      <c r="K465" s="16" t="inlineStr">
        <is>
          <t>(55)Indigo</t>
        </is>
      </c>
      <c r="L465" s="16" t="inlineStr">
        <is>
          <t>营业中</t>
        </is>
      </c>
      <c r="M465" s="16" t="inlineStr">
        <is>
          <t>EEKWG23E1G55180</t>
        </is>
      </c>
      <c r="N465" s="16">
        <f>LEFT(M465,12)</f>
        <v/>
      </c>
      <c r="O465" s="16" t="inlineStr">
        <is>
          <t>EEKWG23E1G, (55)Indigo, (180)180</t>
        </is>
      </c>
      <c r="P465" s="16" t="n">
        <v>599</v>
      </c>
      <c r="Q465" s="16" t="n">
        <v>599</v>
      </c>
      <c r="R465" s="16" t="n"/>
      <c r="S465" s="16" t="n"/>
      <c r="T465" s="16" t="n">
        <v>2</v>
      </c>
    </row>
    <row r="466" s="103">
      <c r="A466" s="16" t="inlineStr">
        <is>
          <t>B331</t>
        </is>
      </c>
      <c r="B466" s="16" t="inlineStr">
        <is>
          <t>上海区域</t>
        </is>
      </c>
      <c r="C466" s="16" t="inlineStr">
        <is>
          <t>CN0Q</t>
        </is>
      </c>
      <c r="D466" s="16" t="inlineStr">
        <is>
          <t>EE 苏州比斯特购物村</t>
        </is>
      </c>
      <c r="E466" s="16" t="n">
        <v>4</v>
      </c>
      <c r="F466" s="16" t="inlineStr">
        <is>
          <t>奥特莱斯</t>
        </is>
      </c>
      <c r="G466" s="16" t="inlineStr">
        <is>
          <t>EEKWG23E1G</t>
        </is>
      </c>
      <c r="H466" s="16" t="n">
        <v>599</v>
      </c>
      <c r="I466" s="16" t="n">
        <v>599</v>
      </c>
      <c r="J466" s="17" t="inlineStr">
        <is>
          <t>########</t>
        </is>
      </c>
      <c r="K466" s="16" t="inlineStr">
        <is>
          <t>(55)Indigo</t>
        </is>
      </c>
      <c r="L466" s="16" t="inlineStr">
        <is>
          <t>营业中</t>
        </is>
      </c>
      <c r="M466" s="16" t="inlineStr">
        <is>
          <t>EEKWG23E1G55185</t>
        </is>
      </c>
      <c r="N466" s="16">
        <f>LEFT(M466,12)</f>
        <v/>
      </c>
      <c r="O466" s="16" t="inlineStr">
        <is>
          <t>EEKWG23E1G, (55)Indigo, (185)185</t>
        </is>
      </c>
      <c r="P466" s="16" t="n">
        <v>599</v>
      </c>
      <c r="Q466" s="16" t="n">
        <v>599</v>
      </c>
      <c r="R466" s="16" t="n"/>
      <c r="S466" s="16" t="n"/>
      <c r="T466" s="16" t="n">
        <v>1</v>
      </c>
    </row>
    <row r="467" s="103">
      <c r="A467" s="16" t="inlineStr">
        <is>
          <t>B331</t>
        </is>
      </c>
      <c r="B467" s="16" t="inlineStr">
        <is>
          <t>上海区域</t>
        </is>
      </c>
      <c r="C467" s="16" t="inlineStr">
        <is>
          <t>CN0Q</t>
        </is>
      </c>
      <c r="D467" s="16" t="inlineStr">
        <is>
          <t>EE 苏州比斯特购物村</t>
        </is>
      </c>
      <c r="E467" s="16" t="n">
        <v>4</v>
      </c>
      <c r="F467" s="16" t="inlineStr">
        <is>
          <t>奥特莱斯</t>
        </is>
      </c>
      <c r="G467" s="16" t="inlineStr">
        <is>
          <t>EEKWG23E2G</t>
        </is>
      </c>
      <c r="H467" s="16" t="n">
        <v>699</v>
      </c>
      <c r="I467" s="16" t="n">
        <v>699</v>
      </c>
      <c r="J467" s="17" t="inlineStr">
        <is>
          <t>########</t>
        </is>
      </c>
      <c r="K467" s="16" t="inlineStr">
        <is>
          <t>(03)D/NAVY</t>
        </is>
      </c>
      <c r="L467" s="16" t="inlineStr">
        <is>
          <t>营业中</t>
        </is>
      </c>
      <c r="M467" s="16" t="inlineStr">
        <is>
          <t>EEKWG23E2G03170</t>
        </is>
      </c>
      <c r="N467" s="16">
        <f>LEFT(M467,12)</f>
        <v/>
      </c>
      <c r="O467" s="16" t="inlineStr">
        <is>
          <t>EEKWG23E2G, (03)D/NAVY, (170)170</t>
        </is>
      </c>
      <c r="P467" s="16" t="n">
        <v>699</v>
      </c>
      <c r="Q467" s="16" t="n">
        <v>699</v>
      </c>
      <c r="R467" s="16" t="n">
        <v>4</v>
      </c>
      <c r="S467" s="18" t="n">
        <v>1141</v>
      </c>
      <c r="T467" s="16" t="n">
        <v>1</v>
      </c>
    </row>
    <row r="468" s="103">
      <c r="A468" s="16" t="inlineStr">
        <is>
          <t>B331</t>
        </is>
      </c>
      <c r="B468" s="16" t="inlineStr">
        <is>
          <t>上海区域</t>
        </is>
      </c>
      <c r="C468" s="16" t="inlineStr">
        <is>
          <t>CN0Q</t>
        </is>
      </c>
      <c r="D468" s="16" t="inlineStr">
        <is>
          <t>EE 苏州比斯特购物村</t>
        </is>
      </c>
      <c r="E468" s="16" t="n">
        <v>4</v>
      </c>
      <c r="F468" s="16" t="inlineStr">
        <is>
          <t>奥特莱斯</t>
        </is>
      </c>
      <c r="G468" s="16" t="inlineStr">
        <is>
          <t>EEKWG23E2G</t>
        </is>
      </c>
      <c r="H468" s="16" t="n">
        <v>699</v>
      </c>
      <c r="I468" s="16" t="n">
        <v>699</v>
      </c>
      <c r="J468" s="17" t="inlineStr">
        <is>
          <t>########</t>
        </is>
      </c>
      <c r="K468" s="16" t="inlineStr">
        <is>
          <t>(03)D/NAVY</t>
        </is>
      </c>
      <c r="L468" s="16" t="inlineStr">
        <is>
          <t>营业中</t>
        </is>
      </c>
      <c r="M468" s="16" t="inlineStr">
        <is>
          <t>EEKWG23E2G03175</t>
        </is>
      </c>
      <c r="N468" s="16">
        <f>LEFT(M468,12)</f>
        <v/>
      </c>
      <c r="O468" s="16" t="inlineStr">
        <is>
          <t>EEKWG23E2G, (03)D/NAVY, (175)175</t>
        </is>
      </c>
      <c r="P468" s="16" t="n">
        <v>699</v>
      </c>
      <c r="Q468" s="16" t="n">
        <v>699</v>
      </c>
      <c r="R468" s="16" t="n">
        <v>5</v>
      </c>
      <c r="S468" s="18" t="n">
        <v>1787</v>
      </c>
      <c r="T468" s="16" t="n">
        <v>4</v>
      </c>
    </row>
    <row r="469" s="103">
      <c r="A469" s="16" t="inlineStr">
        <is>
          <t>B331</t>
        </is>
      </c>
      <c r="B469" s="16" t="inlineStr">
        <is>
          <t>上海区域</t>
        </is>
      </c>
      <c r="C469" s="16" t="inlineStr">
        <is>
          <t>CN0Q</t>
        </is>
      </c>
      <c r="D469" s="16" t="inlineStr">
        <is>
          <t>EE 苏州比斯特购物村</t>
        </is>
      </c>
      <c r="E469" s="16" t="n">
        <v>4</v>
      </c>
      <c r="F469" s="16" t="inlineStr">
        <is>
          <t>奥特莱斯</t>
        </is>
      </c>
      <c r="G469" s="16" t="inlineStr">
        <is>
          <t>EEKWG23E2G</t>
        </is>
      </c>
      <c r="H469" s="16" t="n">
        <v>699</v>
      </c>
      <c r="I469" s="16" t="n">
        <v>699</v>
      </c>
      <c r="J469" s="17" t="inlineStr">
        <is>
          <t>########</t>
        </is>
      </c>
      <c r="K469" s="16" t="inlineStr">
        <is>
          <t>(03)D/NAVY</t>
        </is>
      </c>
      <c r="L469" s="16" t="inlineStr">
        <is>
          <t>营业中</t>
        </is>
      </c>
      <c r="M469" s="16" t="inlineStr">
        <is>
          <t>EEKWG23E2G03180</t>
        </is>
      </c>
      <c r="N469" s="16">
        <f>LEFT(M469,12)</f>
        <v/>
      </c>
      <c r="O469" s="16" t="inlineStr">
        <is>
          <t>EEKWG23E2G, (03)D/NAVY, (180)180</t>
        </is>
      </c>
      <c r="P469" s="16" t="n">
        <v>699</v>
      </c>
      <c r="Q469" s="16" t="n">
        <v>699</v>
      </c>
      <c r="R469" s="16" t="n">
        <v>2</v>
      </c>
      <c r="S469" s="16" t="n">
        <v>894</v>
      </c>
      <c r="T469" s="16" t="n">
        <v>4</v>
      </c>
    </row>
    <row r="470" s="103">
      <c r="A470" s="16" t="inlineStr">
        <is>
          <t>B331</t>
        </is>
      </c>
      <c r="B470" s="16" t="inlineStr">
        <is>
          <t>上海区域</t>
        </is>
      </c>
      <c r="C470" s="16" t="inlineStr">
        <is>
          <t>CN0Q</t>
        </is>
      </c>
      <c r="D470" s="16" t="inlineStr">
        <is>
          <t>EE 苏州比斯特购物村</t>
        </is>
      </c>
      <c r="E470" s="16" t="n">
        <v>4</v>
      </c>
      <c r="F470" s="16" t="inlineStr">
        <is>
          <t>奥特莱斯</t>
        </is>
      </c>
      <c r="G470" s="16" t="inlineStr">
        <is>
          <t>EEKWG23E2G</t>
        </is>
      </c>
      <c r="H470" s="16" t="n">
        <v>699</v>
      </c>
      <c r="I470" s="16" t="n">
        <v>699</v>
      </c>
      <c r="J470" s="17" t="inlineStr">
        <is>
          <t>########</t>
        </is>
      </c>
      <c r="K470" s="16" t="inlineStr">
        <is>
          <t>(03)D/NAVY</t>
        </is>
      </c>
      <c r="L470" s="16" t="inlineStr">
        <is>
          <t>营业中</t>
        </is>
      </c>
      <c r="M470" s="16" t="inlineStr">
        <is>
          <t>EEKWG23E2G03185</t>
        </is>
      </c>
      <c r="N470" s="16">
        <f>LEFT(M470,12)</f>
        <v/>
      </c>
      <c r="O470" s="16" t="inlineStr">
        <is>
          <t>EEKWG23E2G, (03)D/NAVY, (185)185</t>
        </is>
      </c>
      <c r="P470" s="16" t="n">
        <v>699</v>
      </c>
      <c r="Q470" s="16" t="n">
        <v>699</v>
      </c>
      <c r="R470" s="16" t="n">
        <v>1</v>
      </c>
      <c r="S470" s="16" t="n">
        <v>454</v>
      </c>
      <c r="T470" s="16" t="n">
        <v>2</v>
      </c>
    </row>
    <row r="471" s="103">
      <c r="A471" s="16" t="inlineStr">
        <is>
          <t>B331</t>
        </is>
      </c>
      <c r="B471" s="16" t="inlineStr">
        <is>
          <t>上海区域</t>
        </is>
      </c>
      <c r="C471" s="16" t="inlineStr">
        <is>
          <t>CN0Q</t>
        </is>
      </c>
      <c r="D471" s="16" t="inlineStr">
        <is>
          <t>EE 苏州比斯特购物村</t>
        </is>
      </c>
      <c r="E471" s="16" t="n">
        <v>4</v>
      </c>
      <c r="F471" s="16" t="inlineStr">
        <is>
          <t>奥特莱斯</t>
        </is>
      </c>
      <c r="G471" s="16" t="inlineStr">
        <is>
          <t>EEKWG23E2G</t>
        </is>
      </c>
      <c r="H471" s="16" t="n">
        <v>699</v>
      </c>
      <c r="I471" s="16" t="n">
        <v>699</v>
      </c>
      <c r="J471" s="17" t="inlineStr">
        <is>
          <t>########</t>
        </is>
      </c>
      <c r="K471" s="16" t="inlineStr">
        <is>
          <t>(10)White</t>
        </is>
      </c>
      <c r="L471" s="16" t="inlineStr">
        <is>
          <t>营业中</t>
        </is>
      </c>
      <c r="M471" s="16" t="inlineStr">
        <is>
          <t>EEKWG23E2G10170</t>
        </is>
      </c>
      <c r="N471" s="16">
        <f>LEFT(M471,12)</f>
        <v/>
      </c>
      <c r="O471" s="16" t="inlineStr">
        <is>
          <t>EEKWG23E2G, (10)White, (170)170</t>
        </is>
      </c>
      <c r="P471" s="16" t="n">
        <v>699</v>
      </c>
      <c r="Q471" s="16" t="n">
        <v>699</v>
      </c>
      <c r="R471" s="16" t="n">
        <v>2</v>
      </c>
      <c r="S471" s="16" t="n"/>
      <c r="T471" s="16" t="n">
        <v>4</v>
      </c>
    </row>
    <row r="472" s="103">
      <c r="A472" s="16" t="inlineStr">
        <is>
          <t>B331</t>
        </is>
      </c>
      <c r="B472" s="16" t="inlineStr">
        <is>
          <t>上海区域</t>
        </is>
      </c>
      <c r="C472" s="16" t="inlineStr">
        <is>
          <t>CN0Q</t>
        </is>
      </c>
      <c r="D472" s="16" t="inlineStr">
        <is>
          <t>EE 苏州比斯特购物村</t>
        </is>
      </c>
      <c r="E472" s="16" t="n">
        <v>4</v>
      </c>
      <c r="F472" s="16" t="inlineStr">
        <is>
          <t>奥特莱斯</t>
        </is>
      </c>
      <c r="G472" s="16" t="inlineStr">
        <is>
          <t>EEKWG23E2G</t>
        </is>
      </c>
      <c r="H472" s="16" t="n">
        <v>699</v>
      </c>
      <c r="I472" s="16" t="n">
        <v>699</v>
      </c>
      <c r="J472" s="17" t="inlineStr">
        <is>
          <t>########</t>
        </is>
      </c>
      <c r="K472" s="16" t="inlineStr">
        <is>
          <t>(10)White</t>
        </is>
      </c>
      <c r="L472" s="16" t="inlineStr">
        <is>
          <t>营业中</t>
        </is>
      </c>
      <c r="M472" s="16" t="inlineStr">
        <is>
          <t>EEKWG23E2G10175</t>
        </is>
      </c>
      <c r="N472" s="16">
        <f>LEFT(M472,12)</f>
        <v/>
      </c>
      <c r="O472" s="16" t="inlineStr">
        <is>
          <t>EEKWG23E2G, (10)White, (175)175</t>
        </is>
      </c>
      <c r="P472" s="16" t="n">
        <v>699</v>
      </c>
      <c r="Q472" s="16" t="n">
        <v>699</v>
      </c>
      <c r="R472" s="16" t="n">
        <v>1</v>
      </c>
      <c r="S472" s="16" t="n">
        <v>451</v>
      </c>
      <c r="T472" s="16" t="n">
        <v>4</v>
      </c>
    </row>
    <row r="473" s="103">
      <c r="A473" s="16" t="inlineStr">
        <is>
          <t>B331</t>
        </is>
      </c>
      <c r="B473" s="16" t="inlineStr">
        <is>
          <t>上海区域</t>
        </is>
      </c>
      <c r="C473" s="16" t="inlineStr">
        <is>
          <t>CN0Q</t>
        </is>
      </c>
      <c r="D473" s="16" t="inlineStr">
        <is>
          <t>EE 苏州比斯特购物村</t>
        </is>
      </c>
      <c r="E473" s="16" t="n">
        <v>4</v>
      </c>
      <c r="F473" s="16" t="inlineStr">
        <is>
          <t>奥特莱斯</t>
        </is>
      </c>
      <c r="G473" s="16" t="inlineStr">
        <is>
          <t>EEKWG23E2G</t>
        </is>
      </c>
      <c r="H473" s="16" t="n">
        <v>699</v>
      </c>
      <c r="I473" s="16" t="n">
        <v>699</v>
      </c>
      <c r="J473" s="17" t="inlineStr">
        <is>
          <t>########</t>
        </is>
      </c>
      <c r="K473" s="16" t="inlineStr">
        <is>
          <t>(10)White</t>
        </is>
      </c>
      <c r="L473" s="16" t="inlineStr">
        <is>
          <t>营业中</t>
        </is>
      </c>
      <c r="M473" s="16" t="inlineStr">
        <is>
          <t>EEKWG23E2G10180</t>
        </is>
      </c>
      <c r="N473" s="16">
        <f>LEFT(M473,12)</f>
        <v/>
      </c>
      <c r="O473" s="16" t="inlineStr">
        <is>
          <t>EEKWG23E2G, (10)White, (180)180</t>
        </is>
      </c>
      <c r="P473" s="16" t="n">
        <v>699</v>
      </c>
      <c r="Q473" s="16" t="n">
        <v>699</v>
      </c>
      <c r="R473" s="16" t="n">
        <v>2</v>
      </c>
      <c r="S473" s="16" t="n">
        <v>897</v>
      </c>
      <c r="T473" s="16" t="n">
        <v>4</v>
      </c>
    </row>
    <row r="474" s="103">
      <c r="A474" s="16" t="inlineStr">
        <is>
          <t>B331</t>
        </is>
      </c>
      <c r="B474" s="16" t="inlineStr">
        <is>
          <t>上海区域</t>
        </is>
      </c>
      <c r="C474" s="16" t="inlineStr">
        <is>
          <t>CN0Q</t>
        </is>
      </c>
      <c r="D474" s="16" t="inlineStr">
        <is>
          <t>EE 苏州比斯特购物村</t>
        </is>
      </c>
      <c r="E474" s="16" t="n">
        <v>4</v>
      </c>
      <c r="F474" s="16" t="inlineStr">
        <is>
          <t>奥特莱斯</t>
        </is>
      </c>
      <c r="G474" s="16" t="inlineStr">
        <is>
          <t>EEKWG23E2G</t>
        </is>
      </c>
      <c r="H474" s="16" t="n">
        <v>699</v>
      </c>
      <c r="I474" s="16" t="n">
        <v>699</v>
      </c>
      <c r="J474" s="17" t="inlineStr">
        <is>
          <t>########</t>
        </is>
      </c>
      <c r="K474" s="16" t="inlineStr">
        <is>
          <t>(10)White</t>
        </is>
      </c>
      <c r="L474" s="16" t="inlineStr">
        <is>
          <t>营业中</t>
        </is>
      </c>
      <c r="M474" s="16" t="inlineStr">
        <is>
          <t>EEKWG23E2G10185</t>
        </is>
      </c>
      <c r="N474" s="16">
        <f>LEFT(M474,12)</f>
        <v/>
      </c>
      <c r="O474" s="16" t="inlineStr">
        <is>
          <t>EEKWG23E2G, (10)White, (185)185</t>
        </is>
      </c>
      <c r="P474" s="16" t="n">
        <v>699</v>
      </c>
      <c r="Q474" s="16" t="n">
        <v>699</v>
      </c>
      <c r="R474" s="16" t="n"/>
      <c r="S474" s="16" t="n"/>
      <c r="T474" s="16" t="n">
        <v>2</v>
      </c>
    </row>
    <row r="475" s="103">
      <c r="A475" s="16" t="inlineStr">
        <is>
          <t>B331</t>
        </is>
      </c>
      <c r="B475" s="16" t="inlineStr">
        <is>
          <t>上海区域</t>
        </is>
      </c>
      <c r="C475" s="16" t="inlineStr">
        <is>
          <t>CN0Q</t>
        </is>
      </c>
      <c r="D475" s="16" t="inlineStr">
        <is>
          <t>EE 苏州比斯特购物村</t>
        </is>
      </c>
      <c r="E475" s="16" t="n">
        <v>4</v>
      </c>
      <c r="F475" s="16" t="inlineStr">
        <is>
          <t>奥特莱斯</t>
        </is>
      </c>
      <c r="G475" s="16" t="inlineStr">
        <is>
          <t>EEKWG23E2G</t>
        </is>
      </c>
      <c r="H475" s="16" t="n">
        <v>699</v>
      </c>
      <c r="I475" s="16" t="n">
        <v>699</v>
      </c>
      <c r="J475" s="17" t="inlineStr">
        <is>
          <t>########</t>
        </is>
      </c>
      <c r="K475" s="16" t="inlineStr">
        <is>
          <t>(49)Khaki</t>
        </is>
      </c>
      <c r="L475" s="16" t="inlineStr">
        <is>
          <t>营业中</t>
        </is>
      </c>
      <c r="M475" s="16" t="inlineStr">
        <is>
          <t>EEKWG23E2G49170</t>
        </is>
      </c>
      <c r="N475" s="16">
        <f>LEFT(M475,12)</f>
        <v/>
      </c>
      <c r="O475" s="16" t="inlineStr">
        <is>
          <t>EEKWG23E2G, (49)Khaki, (170)170</t>
        </is>
      </c>
      <c r="P475" s="16" t="n">
        <v>699</v>
      </c>
      <c r="Q475" s="16" t="n">
        <v>699</v>
      </c>
      <c r="R475" s="16" t="n">
        <v>5</v>
      </c>
      <c r="S475" s="18" t="n">
        <v>1351</v>
      </c>
      <c r="T475" s="16" t="n">
        <v>0</v>
      </c>
    </row>
    <row r="476" s="103">
      <c r="A476" s="16" t="inlineStr">
        <is>
          <t>B331</t>
        </is>
      </c>
      <c r="B476" s="16" t="inlineStr">
        <is>
          <t>上海区域</t>
        </is>
      </c>
      <c r="C476" s="16" t="inlineStr">
        <is>
          <t>CN0Q</t>
        </is>
      </c>
      <c r="D476" s="16" t="inlineStr">
        <is>
          <t>EE 苏州比斯特购物村</t>
        </is>
      </c>
      <c r="E476" s="16" t="n">
        <v>4</v>
      </c>
      <c r="F476" s="16" t="inlineStr">
        <is>
          <t>奥特莱斯</t>
        </is>
      </c>
      <c r="G476" s="16" t="inlineStr">
        <is>
          <t>EEKWG23E2G</t>
        </is>
      </c>
      <c r="H476" s="16" t="n">
        <v>699</v>
      </c>
      <c r="I476" s="16" t="n">
        <v>699</v>
      </c>
      <c r="J476" s="17" t="inlineStr">
        <is>
          <t>########</t>
        </is>
      </c>
      <c r="K476" s="16" t="inlineStr">
        <is>
          <t>(49)Khaki</t>
        </is>
      </c>
      <c r="L476" s="16" t="inlineStr">
        <is>
          <t>营业中</t>
        </is>
      </c>
      <c r="M476" s="16" t="inlineStr">
        <is>
          <t>EEKWG23E2G49175</t>
        </is>
      </c>
      <c r="N476" s="16">
        <f>LEFT(M476,12)</f>
        <v/>
      </c>
      <c r="O476" s="16" t="inlineStr">
        <is>
          <t>EEKWG23E2G, (49)Khaki, (175)175</t>
        </is>
      </c>
      <c r="P476" s="16" t="n">
        <v>699</v>
      </c>
      <c r="Q476" s="16" t="n">
        <v>699</v>
      </c>
      <c r="R476" s="16" t="n">
        <v>2</v>
      </c>
      <c r="S476" s="16" t="n">
        <v>935</v>
      </c>
      <c r="T476" s="16" t="n">
        <v>4</v>
      </c>
    </row>
    <row r="477" s="103">
      <c r="A477" s="16" t="inlineStr">
        <is>
          <t>B331</t>
        </is>
      </c>
      <c r="B477" s="16" t="inlineStr">
        <is>
          <t>上海区域</t>
        </is>
      </c>
      <c r="C477" s="16" t="inlineStr">
        <is>
          <t>CN0Q</t>
        </is>
      </c>
      <c r="D477" s="16" t="inlineStr">
        <is>
          <t>EE 苏州比斯特购物村</t>
        </is>
      </c>
      <c r="E477" s="16" t="n">
        <v>4</v>
      </c>
      <c r="F477" s="16" t="inlineStr">
        <is>
          <t>奥特莱斯</t>
        </is>
      </c>
      <c r="G477" s="16" t="inlineStr">
        <is>
          <t>EEKWG23E2G</t>
        </is>
      </c>
      <c r="H477" s="16" t="n">
        <v>699</v>
      </c>
      <c r="I477" s="16" t="n">
        <v>699</v>
      </c>
      <c r="J477" s="17" t="inlineStr">
        <is>
          <t>########</t>
        </is>
      </c>
      <c r="K477" s="16" t="inlineStr">
        <is>
          <t>(49)Khaki</t>
        </is>
      </c>
      <c r="L477" s="16" t="inlineStr">
        <is>
          <t>营业中</t>
        </is>
      </c>
      <c r="M477" s="16" t="inlineStr">
        <is>
          <t>EEKWG23E2G49180</t>
        </is>
      </c>
      <c r="N477" s="16">
        <f>LEFT(M477,12)</f>
        <v/>
      </c>
      <c r="O477" s="16" t="inlineStr">
        <is>
          <t>EEKWG23E2G, (49)Khaki, (180)180</t>
        </is>
      </c>
      <c r="P477" s="16" t="n">
        <v>699</v>
      </c>
      <c r="Q477" s="16" t="n">
        <v>699</v>
      </c>
      <c r="R477" s="16" t="n">
        <v>2</v>
      </c>
      <c r="S477" s="16" t="n">
        <v>441</v>
      </c>
      <c r="T477" s="16" t="n">
        <v>4</v>
      </c>
    </row>
    <row r="478" s="103">
      <c r="A478" s="16" t="inlineStr">
        <is>
          <t>B331</t>
        </is>
      </c>
      <c r="B478" s="16" t="inlineStr">
        <is>
          <t>上海区域</t>
        </is>
      </c>
      <c r="C478" s="16" t="inlineStr">
        <is>
          <t>CN0Q</t>
        </is>
      </c>
      <c r="D478" s="16" t="inlineStr">
        <is>
          <t>EE 苏州比斯特购物村</t>
        </is>
      </c>
      <c r="E478" s="16" t="n">
        <v>4</v>
      </c>
      <c r="F478" s="16" t="inlineStr">
        <is>
          <t>奥特莱斯</t>
        </is>
      </c>
      <c r="G478" s="16" t="inlineStr">
        <is>
          <t>EEKWG23E2G</t>
        </is>
      </c>
      <c r="H478" s="16" t="n">
        <v>699</v>
      </c>
      <c r="I478" s="16" t="n">
        <v>699</v>
      </c>
      <c r="J478" s="17" t="inlineStr">
        <is>
          <t>########</t>
        </is>
      </c>
      <c r="K478" s="16" t="inlineStr">
        <is>
          <t>(49)Khaki</t>
        </is>
      </c>
      <c r="L478" s="16" t="inlineStr">
        <is>
          <t>营业中</t>
        </is>
      </c>
      <c r="M478" s="16" t="inlineStr">
        <is>
          <t>EEKWG23E2G49185</t>
        </is>
      </c>
      <c r="N478" s="16">
        <f>LEFT(M478,12)</f>
        <v/>
      </c>
      <c r="O478" s="16" t="inlineStr">
        <is>
          <t>EEKWG23E2G, (49)Khaki, (185)185</t>
        </is>
      </c>
      <c r="P478" s="16" t="n">
        <v>699</v>
      </c>
      <c r="Q478" s="16" t="n">
        <v>699</v>
      </c>
      <c r="R478" s="16" t="n">
        <v>1</v>
      </c>
      <c r="S478" s="16" t="n">
        <v>443</v>
      </c>
      <c r="T478" s="16" t="n">
        <v>2</v>
      </c>
    </row>
    <row r="479" s="103">
      <c r="A479" s="16" t="inlineStr">
        <is>
          <t>B331</t>
        </is>
      </c>
      <c r="B479" s="16" t="inlineStr">
        <is>
          <t>上海区域</t>
        </is>
      </c>
      <c r="C479" s="16" t="inlineStr">
        <is>
          <t>CN0Q</t>
        </is>
      </c>
      <c r="D479" s="16" t="inlineStr">
        <is>
          <t>EE 苏州比斯特购物村</t>
        </is>
      </c>
      <c r="E479" s="16" t="n">
        <v>4</v>
      </c>
      <c r="F479" s="16" t="inlineStr">
        <is>
          <t>奥特莱斯</t>
        </is>
      </c>
      <c r="G479" s="16" t="inlineStr">
        <is>
          <t>EEKWG23E2G</t>
        </is>
      </c>
      <c r="H479" s="16" t="n">
        <v>699</v>
      </c>
      <c r="I479" s="16" t="n">
        <v>699</v>
      </c>
      <c r="J479" s="17" t="inlineStr">
        <is>
          <t>########</t>
        </is>
      </c>
      <c r="K479" s="16" t="inlineStr">
        <is>
          <t>(50)Blue</t>
        </is>
      </c>
      <c r="L479" s="16" t="inlineStr">
        <is>
          <t>营业中</t>
        </is>
      </c>
      <c r="M479" s="16" t="inlineStr">
        <is>
          <t>EEKWG23E2G50170</t>
        </is>
      </c>
      <c r="N479" s="16">
        <f>LEFT(M479,12)</f>
        <v/>
      </c>
      <c r="O479" s="16" t="inlineStr">
        <is>
          <t>EEKWG23E2G, (50)Blue, (170)170</t>
        </is>
      </c>
      <c r="P479" s="16" t="n">
        <v>699</v>
      </c>
      <c r="Q479" s="16" t="n">
        <v>699</v>
      </c>
      <c r="R479" s="16" t="n">
        <v>3</v>
      </c>
      <c r="S479" s="16" t="n">
        <v>441</v>
      </c>
      <c r="T479" s="16" t="n">
        <v>3</v>
      </c>
    </row>
    <row r="480" s="103">
      <c r="A480" s="16" t="inlineStr">
        <is>
          <t>B331</t>
        </is>
      </c>
      <c r="B480" s="16" t="inlineStr">
        <is>
          <t>上海区域</t>
        </is>
      </c>
      <c r="C480" s="16" t="inlineStr">
        <is>
          <t>CN0Q</t>
        </is>
      </c>
      <c r="D480" s="16" t="inlineStr">
        <is>
          <t>EE 苏州比斯特购物村</t>
        </is>
      </c>
      <c r="E480" s="16" t="n">
        <v>4</v>
      </c>
      <c r="F480" s="16" t="inlineStr">
        <is>
          <t>奥特莱斯</t>
        </is>
      </c>
      <c r="G480" s="16" t="inlineStr">
        <is>
          <t>EEKWG23E2G</t>
        </is>
      </c>
      <c r="H480" s="16" t="n">
        <v>699</v>
      </c>
      <c r="I480" s="16" t="n">
        <v>699</v>
      </c>
      <c r="J480" s="17" t="inlineStr">
        <is>
          <t>########</t>
        </is>
      </c>
      <c r="K480" s="16" t="inlineStr">
        <is>
          <t>(50)Blue</t>
        </is>
      </c>
      <c r="L480" s="16" t="inlineStr">
        <is>
          <t>营业中</t>
        </is>
      </c>
      <c r="M480" s="16" t="inlineStr">
        <is>
          <t>EEKWG23E2G50175</t>
        </is>
      </c>
      <c r="N480" s="16">
        <f>LEFT(M480,12)</f>
        <v/>
      </c>
      <c r="O480" s="16" t="inlineStr">
        <is>
          <t>EEKWG23E2G, (50)Blue, (175)175</t>
        </is>
      </c>
      <c r="P480" s="16" t="n">
        <v>699</v>
      </c>
      <c r="Q480" s="16" t="n">
        <v>699</v>
      </c>
      <c r="R480" s="16" t="n">
        <v>1</v>
      </c>
      <c r="S480" s="16" t="n">
        <v>455</v>
      </c>
      <c r="T480" s="16" t="n">
        <v>8</v>
      </c>
    </row>
    <row r="481" s="103">
      <c r="A481" s="16" t="inlineStr">
        <is>
          <t>B331</t>
        </is>
      </c>
      <c r="B481" s="16" t="inlineStr">
        <is>
          <t>上海区域</t>
        </is>
      </c>
      <c r="C481" s="16" t="inlineStr">
        <is>
          <t>CN0Q</t>
        </is>
      </c>
      <c r="D481" s="16" t="inlineStr">
        <is>
          <t>EE 苏州比斯特购物村</t>
        </is>
      </c>
      <c r="E481" s="16" t="n">
        <v>4</v>
      </c>
      <c r="F481" s="16" t="inlineStr">
        <is>
          <t>奥特莱斯</t>
        </is>
      </c>
      <c r="G481" s="16" t="inlineStr">
        <is>
          <t>EEKWG23E2G</t>
        </is>
      </c>
      <c r="H481" s="16" t="n">
        <v>699</v>
      </c>
      <c r="I481" s="16" t="n">
        <v>699</v>
      </c>
      <c r="J481" s="17" t="inlineStr">
        <is>
          <t>########</t>
        </is>
      </c>
      <c r="K481" s="16" t="inlineStr">
        <is>
          <t>(50)Blue</t>
        </is>
      </c>
      <c r="L481" s="16" t="inlineStr">
        <is>
          <t>营业中</t>
        </is>
      </c>
      <c r="M481" s="16" t="inlineStr">
        <is>
          <t>EEKWG23E2G50180</t>
        </is>
      </c>
      <c r="N481" s="16">
        <f>LEFT(M481,12)</f>
        <v/>
      </c>
      <c r="O481" s="16" t="inlineStr">
        <is>
          <t>EEKWG23E2G, (50)Blue, (180)180</t>
        </is>
      </c>
      <c r="P481" s="16" t="n">
        <v>699</v>
      </c>
      <c r="Q481" s="16" t="n">
        <v>699</v>
      </c>
      <c r="R481" s="16" t="n"/>
      <c r="S481" s="16" t="n"/>
      <c r="T481" s="16" t="n">
        <v>6</v>
      </c>
    </row>
    <row r="482" s="103">
      <c r="A482" s="16" t="inlineStr">
        <is>
          <t>B331</t>
        </is>
      </c>
      <c r="B482" s="16" t="inlineStr">
        <is>
          <t>上海区域</t>
        </is>
      </c>
      <c r="C482" s="16" t="inlineStr">
        <is>
          <t>CN0Q</t>
        </is>
      </c>
      <c r="D482" s="16" t="inlineStr">
        <is>
          <t>EE 苏州比斯特购物村</t>
        </is>
      </c>
      <c r="E482" s="16" t="n">
        <v>4</v>
      </c>
      <c r="F482" s="16" t="inlineStr">
        <is>
          <t>奥特莱斯</t>
        </is>
      </c>
      <c r="G482" s="16" t="inlineStr">
        <is>
          <t>EEKWG23Q1G</t>
        </is>
      </c>
      <c r="H482" s="16" t="n">
        <v>899</v>
      </c>
      <c r="I482" s="16" t="n">
        <v>899</v>
      </c>
      <c r="J482" s="17" t="n">
        <v>46056</v>
      </c>
      <c r="K482" s="16" t="inlineStr">
        <is>
          <t>(39)Ivory</t>
        </is>
      </c>
      <c r="L482" s="16" t="inlineStr">
        <is>
          <t>营业中</t>
        </is>
      </c>
      <c r="M482" s="16" t="inlineStr">
        <is>
          <t>EEKWG23Q1G39170</t>
        </is>
      </c>
      <c r="N482" s="16">
        <f>LEFT(M482,12)</f>
        <v/>
      </c>
      <c r="O482" s="16" t="inlineStr">
        <is>
          <t>EEKWG23Q1G, (39)Ivory, (170)170</t>
        </is>
      </c>
      <c r="P482" s="16" t="n">
        <v>899</v>
      </c>
      <c r="Q482" s="16" t="n">
        <v>899</v>
      </c>
      <c r="R482" s="16" t="n"/>
      <c r="S482" s="16" t="n"/>
      <c r="T482" s="16" t="n">
        <v>2</v>
      </c>
    </row>
    <row r="483" s="103">
      <c r="A483" s="16" t="inlineStr">
        <is>
          <t>B331</t>
        </is>
      </c>
      <c r="B483" s="16" t="inlineStr">
        <is>
          <t>上海区域</t>
        </is>
      </c>
      <c r="C483" s="16" t="inlineStr">
        <is>
          <t>CN0Q</t>
        </is>
      </c>
      <c r="D483" s="16" t="inlineStr">
        <is>
          <t>EE 苏州比斯特购物村</t>
        </is>
      </c>
      <c r="E483" s="16" t="n">
        <v>4</v>
      </c>
      <c r="F483" s="16" t="inlineStr">
        <is>
          <t>奥特莱斯</t>
        </is>
      </c>
      <c r="G483" s="16" t="inlineStr">
        <is>
          <t>EEKWG23Q1G</t>
        </is>
      </c>
      <c r="H483" s="16" t="n">
        <v>899</v>
      </c>
      <c r="I483" s="16" t="n">
        <v>899</v>
      </c>
      <c r="J483" s="17" t="n">
        <v>46056</v>
      </c>
      <c r="K483" s="16" t="inlineStr">
        <is>
          <t>(39)Ivory</t>
        </is>
      </c>
      <c r="L483" s="16" t="inlineStr">
        <is>
          <t>营业中</t>
        </is>
      </c>
      <c r="M483" s="16" t="inlineStr">
        <is>
          <t>EEKWG23Q1G39175</t>
        </is>
      </c>
      <c r="N483" s="16">
        <f>LEFT(M483,12)</f>
        <v/>
      </c>
      <c r="O483" s="16" t="inlineStr">
        <is>
          <t>EEKWG23Q1G, (39)Ivory, (175)175</t>
        </is>
      </c>
      <c r="P483" s="16" t="n">
        <v>899</v>
      </c>
      <c r="Q483" s="16" t="n">
        <v>899</v>
      </c>
      <c r="R483" s="16" t="n"/>
      <c r="S483" s="16" t="n"/>
      <c r="T483" s="16" t="n">
        <v>3</v>
      </c>
    </row>
    <row r="484" s="103">
      <c r="A484" s="16" t="inlineStr">
        <is>
          <t>B331</t>
        </is>
      </c>
      <c r="B484" s="16" t="inlineStr">
        <is>
          <t>上海区域</t>
        </is>
      </c>
      <c r="C484" s="16" t="inlineStr">
        <is>
          <t>CN0Q</t>
        </is>
      </c>
      <c r="D484" s="16" t="inlineStr">
        <is>
          <t>EE 苏州比斯特购物村</t>
        </is>
      </c>
      <c r="E484" s="16" t="n">
        <v>4</v>
      </c>
      <c r="F484" s="16" t="inlineStr">
        <is>
          <t>奥特莱斯</t>
        </is>
      </c>
      <c r="G484" s="16" t="inlineStr">
        <is>
          <t>EEKWG23Q1G</t>
        </is>
      </c>
      <c r="H484" s="16" t="n">
        <v>899</v>
      </c>
      <c r="I484" s="16" t="n">
        <v>899</v>
      </c>
      <c r="J484" s="17" t="n">
        <v>46056</v>
      </c>
      <c r="K484" s="16" t="inlineStr">
        <is>
          <t>(39)Ivory</t>
        </is>
      </c>
      <c r="L484" s="16" t="inlineStr">
        <is>
          <t>营业中</t>
        </is>
      </c>
      <c r="M484" s="16" t="inlineStr">
        <is>
          <t>EEKWG23Q1G39180</t>
        </is>
      </c>
      <c r="N484" s="16">
        <f>LEFT(M484,12)</f>
        <v/>
      </c>
      <c r="O484" s="16" t="inlineStr">
        <is>
          <t>EEKWG23Q1G, (39)Ivory, (180)180</t>
        </is>
      </c>
      <c r="P484" s="16" t="n">
        <v>899</v>
      </c>
      <c r="Q484" s="16" t="n">
        <v>899</v>
      </c>
      <c r="R484" s="16" t="n"/>
      <c r="S484" s="16" t="n"/>
      <c r="T484" s="16" t="n">
        <v>2</v>
      </c>
    </row>
    <row r="485" s="103">
      <c r="A485" s="16" t="inlineStr">
        <is>
          <t>B331</t>
        </is>
      </c>
      <c r="B485" s="16" t="inlineStr">
        <is>
          <t>上海区域</t>
        </is>
      </c>
      <c r="C485" s="16" t="inlineStr">
        <is>
          <t>CN0Q</t>
        </is>
      </c>
      <c r="D485" s="16" t="inlineStr">
        <is>
          <t>EE 苏州比斯特购物村</t>
        </is>
      </c>
      <c r="E485" s="16" t="n">
        <v>4</v>
      </c>
      <c r="F485" s="16" t="inlineStr">
        <is>
          <t>奥特莱斯</t>
        </is>
      </c>
      <c r="G485" s="16" t="inlineStr">
        <is>
          <t>EEKWG23Q1G</t>
        </is>
      </c>
      <c r="H485" s="16" t="n">
        <v>899</v>
      </c>
      <c r="I485" s="16" t="n">
        <v>899</v>
      </c>
      <c r="J485" s="17" t="n">
        <v>46056</v>
      </c>
      <c r="K485" s="16" t="inlineStr">
        <is>
          <t>(39)Ivory</t>
        </is>
      </c>
      <c r="L485" s="16" t="inlineStr">
        <is>
          <t>营业中</t>
        </is>
      </c>
      <c r="M485" s="16" t="inlineStr">
        <is>
          <t>EEKWG23Q1G39185</t>
        </is>
      </c>
      <c r="N485" s="16">
        <f>LEFT(M485,12)</f>
        <v/>
      </c>
      <c r="O485" s="16" t="inlineStr">
        <is>
          <t>EEKWG23Q1G, (39)Ivory, (185)185</t>
        </is>
      </c>
      <c r="P485" s="16" t="n">
        <v>899</v>
      </c>
      <c r="Q485" s="16" t="n">
        <v>899</v>
      </c>
      <c r="R485" s="16" t="n"/>
      <c r="S485" s="16" t="n"/>
      <c r="T485" s="16" t="n">
        <v>1</v>
      </c>
    </row>
    <row r="486" s="103">
      <c r="A486" s="16" t="inlineStr">
        <is>
          <t>B331</t>
        </is>
      </c>
      <c r="B486" s="16" t="inlineStr">
        <is>
          <t>上海区域</t>
        </is>
      </c>
      <c r="C486" s="16" t="inlineStr">
        <is>
          <t>CN0Q</t>
        </is>
      </c>
      <c r="D486" s="16" t="inlineStr">
        <is>
          <t>EE 苏州比斯特购物村</t>
        </is>
      </c>
      <c r="E486" s="16" t="n">
        <v>4</v>
      </c>
      <c r="F486" s="16" t="inlineStr">
        <is>
          <t>奥特莱斯</t>
        </is>
      </c>
      <c r="G486" s="16" t="inlineStr">
        <is>
          <t>EEKWG24B08</t>
        </is>
      </c>
      <c r="H486" s="16" t="n">
        <v>799</v>
      </c>
      <c r="I486" s="16" t="n">
        <v>799</v>
      </c>
      <c r="J486" s="17" t="inlineStr">
        <is>
          <t>########</t>
        </is>
      </c>
      <c r="K486" s="16" t="inlineStr">
        <is>
          <t>(51)L/Blue</t>
        </is>
      </c>
      <c r="L486" s="16" t="inlineStr">
        <is>
          <t>营业中</t>
        </is>
      </c>
      <c r="M486" s="16" t="inlineStr">
        <is>
          <t>EEKWG24B0851160</t>
        </is>
      </c>
      <c r="N486" s="16">
        <f>LEFT(M486,12)</f>
        <v/>
      </c>
      <c r="O486" s="16" t="inlineStr">
        <is>
          <t>EEKWG24B08, (51)L/Blue, (160)160</t>
        </is>
      </c>
      <c r="P486" s="16" t="n">
        <v>799</v>
      </c>
      <c r="Q486" s="16" t="n">
        <v>799</v>
      </c>
      <c r="R486" s="16" t="n"/>
      <c r="S486" s="16" t="n"/>
      <c r="T486" s="16" t="n">
        <v>2</v>
      </c>
    </row>
    <row r="487" s="103">
      <c r="A487" s="16" t="inlineStr">
        <is>
          <t>B331</t>
        </is>
      </c>
      <c r="B487" s="16" t="inlineStr">
        <is>
          <t>上海区域</t>
        </is>
      </c>
      <c r="C487" s="16" t="inlineStr">
        <is>
          <t>CN0Q</t>
        </is>
      </c>
      <c r="D487" s="16" t="inlineStr">
        <is>
          <t>EE 苏州比斯特购物村</t>
        </is>
      </c>
      <c r="E487" s="16" t="n">
        <v>4</v>
      </c>
      <c r="F487" s="16" t="inlineStr">
        <is>
          <t>奥特莱斯</t>
        </is>
      </c>
      <c r="G487" s="16" t="inlineStr">
        <is>
          <t>EEKWG24B08</t>
        </is>
      </c>
      <c r="H487" s="16" t="n">
        <v>799</v>
      </c>
      <c r="I487" s="16" t="n">
        <v>799</v>
      </c>
      <c r="J487" s="17" t="inlineStr">
        <is>
          <t>########</t>
        </is>
      </c>
      <c r="K487" s="16" t="inlineStr">
        <is>
          <t>(51)L/Blue</t>
        </is>
      </c>
      <c r="L487" s="16" t="inlineStr">
        <is>
          <t>营业中</t>
        </is>
      </c>
      <c r="M487" s="16" t="inlineStr">
        <is>
          <t>EEKWG24B0851165</t>
        </is>
      </c>
      <c r="N487" s="16">
        <f>LEFT(M487,12)</f>
        <v/>
      </c>
      <c r="O487" s="16" t="inlineStr">
        <is>
          <t>EEKWG24B08, (51)L/Blue, (165)165</t>
        </is>
      </c>
      <c r="P487" s="16" t="n">
        <v>799</v>
      </c>
      <c r="Q487" s="16" t="n">
        <v>799</v>
      </c>
      <c r="R487" s="16" t="n"/>
      <c r="S487" s="16" t="n"/>
      <c r="T487" s="16" t="n">
        <v>2</v>
      </c>
    </row>
    <row r="488" s="103">
      <c r="A488" s="16" t="inlineStr">
        <is>
          <t>B331</t>
        </is>
      </c>
      <c r="B488" s="16" t="inlineStr">
        <is>
          <t>上海区域</t>
        </is>
      </c>
      <c r="C488" s="16" t="inlineStr">
        <is>
          <t>CN0Q</t>
        </is>
      </c>
      <c r="D488" s="16" t="inlineStr">
        <is>
          <t>EE 苏州比斯特购物村</t>
        </is>
      </c>
      <c r="E488" s="16" t="n">
        <v>4</v>
      </c>
      <c r="F488" s="16" t="inlineStr">
        <is>
          <t>奥特莱斯</t>
        </is>
      </c>
      <c r="G488" s="16" t="inlineStr">
        <is>
          <t>EEKWG24B08</t>
        </is>
      </c>
      <c r="H488" s="16" t="n">
        <v>799</v>
      </c>
      <c r="I488" s="16" t="n">
        <v>799</v>
      </c>
      <c r="J488" s="17" t="inlineStr">
        <is>
          <t>########</t>
        </is>
      </c>
      <c r="K488" s="16" t="inlineStr">
        <is>
          <t>(51)L/Blue</t>
        </is>
      </c>
      <c r="L488" s="16" t="inlineStr">
        <is>
          <t>营业中</t>
        </is>
      </c>
      <c r="M488" s="16" t="inlineStr">
        <is>
          <t>EEKWG24B0851170</t>
        </is>
      </c>
      <c r="N488" s="16">
        <f>LEFT(M488,12)</f>
        <v/>
      </c>
      <c r="O488" s="16" t="inlineStr">
        <is>
          <t>EEKWG24B08, (51)L/Blue, (170)170</t>
        </is>
      </c>
      <c r="P488" s="16" t="n">
        <v>799</v>
      </c>
      <c r="Q488" s="16" t="n">
        <v>799</v>
      </c>
      <c r="R488" s="16" t="n"/>
      <c r="S488" s="16" t="n"/>
      <c r="T488" s="16" t="n">
        <v>2</v>
      </c>
    </row>
    <row r="489" s="103">
      <c r="A489" s="16" t="inlineStr">
        <is>
          <t>B331</t>
        </is>
      </c>
      <c r="B489" s="16" t="inlineStr">
        <is>
          <t>上海区域</t>
        </is>
      </c>
      <c r="C489" s="16" t="inlineStr">
        <is>
          <t>CN0Q</t>
        </is>
      </c>
      <c r="D489" s="16" t="inlineStr">
        <is>
          <t>EE 苏州比斯特购物村</t>
        </is>
      </c>
      <c r="E489" s="16" t="n">
        <v>4</v>
      </c>
      <c r="F489" s="16" t="inlineStr">
        <is>
          <t>奥特莱斯</t>
        </is>
      </c>
      <c r="G489" s="16" t="inlineStr">
        <is>
          <t>EEKWG24B08</t>
        </is>
      </c>
      <c r="H489" s="16" t="n">
        <v>799</v>
      </c>
      <c r="I489" s="16" t="n">
        <v>799</v>
      </c>
      <c r="J489" s="17" t="inlineStr">
        <is>
          <t>########</t>
        </is>
      </c>
      <c r="K489" s="16" t="inlineStr">
        <is>
          <t>(88)Lavender</t>
        </is>
      </c>
      <c r="L489" s="16" t="inlineStr">
        <is>
          <t>营业中</t>
        </is>
      </c>
      <c r="M489" s="16" t="inlineStr">
        <is>
          <t>EEKWG24B0888160</t>
        </is>
      </c>
      <c r="N489" s="16">
        <f>LEFT(M489,12)</f>
        <v/>
      </c>
      <c r="O489" s="16" t="inlineStr">
        <is>
          <t>EEKWG24B08, (88)Lavender, (160)160</t>
        </is>
      </c>
      <c r="P489" s="16" t="n">
        <v>799</v>
      </c>
      <c r="Q489" s="16" t="n">
        <v>799</v>
      </c>
      <c r="R489" s="16" t="n">
        <v>2</v>
      </c>
      <c r="S489" s="18" t="n">
        <v>1119</v>
      </c>
      <c r="T489" s="16" t="n">
        <v>0</v>
      </c>
    </row>
    <row r="490" s="103">
      <c r="A490" s="16" t="inlineStr">
        <is>
          <t>B331</t>
        </is>
      </c>
      <c r="B490" s="16" t="inlineStr">
        <is>
          <t>上海区域</t>
        </is>
      </c>
      <c r="C490" s="16" t="inlineStr">
        <is>
          <t>CN0Q</t>
        </is>
      </c>
      <c r="D490" s="16" t="inlineStr">
        <is>
          <t>EE 苏州比斯特购物村</t>
        </is>
      </c>
      <c r="E490" s="16" t="n">
        <v>4</v>
      </c>
      <c r="F490" s="16" t="inlineStr">
        <is>
          <t>奥特莱斯</t>
        </is>
      </c>
      <c r="G490" s="16" t="inlineStr">
        <is>
          <t>EEKWG24B08</t>
        </is>
      </c>
      <c r="H490" s="16" t="n">
        <v>799</v>
      </c>
      <c r="I490" s="16" t="n">
        <v>799</v>
      </c>
      <c r="J490" s="17" t="inlineStr">
        <is>
          <t>########</t>
        </is>
      </c>
      <c r="K490" s="16" t="inlineStr">
        <is>
          <t>(88)Lavender</t>
        </is>
      </c>
      <c r="L490" s="16" t="inlineStr">
        <is>
          <t>营业中</t>
        </is>
      </c>
      <c r="M490" s="16" t="inlineStr">
        <is>
          <t>EEKWG24B0888165</t>
        </is>
      </c>
      <c r="N490" s="16">
        <f>LEFT(M490,12)</f>
        <v/>
      </c>
      <c r="O490" s="16" t="inlineStr">
        <is>
          <t>EEKWG24B08, (88)Lavender, (165)165</t>
        </is>
      </c>
      <c r="P490" s="16" t="n">
        <v>799</v>
      </c>
      <c r="Q490" s="16" t="n">
        <v>799</v>
      </c>
      <c r="R490" s="16" t="n">
        <v>1</v>
      </c>
      <c r="S490" s="16" t="n">
        <v>515</v>
      </c>
      <c r="T490" s="16" t="n">
        <v>1</v>
      </c>
    </row>
    <row r="491" s="103">
      <c r="A491" s="16" t="inlineStr">
        <is>
          <t>B331</t>
        </is>
      </c>
      <c r="B491" s="16" t="inlineStr">
        <is>
          <t>上海区域</t>
        </is>
      </c>
      <c r="C491" s="16" t="inlineStr">
        <is>
          <t>CN0Q</t>
        </is>
      </c>
      <c r="D491" s="16" t="inlineStr">
        <is>
          <t>EE 苏州比斯特购物村</t>
        </is>
      </c>
      <c r="E491" s="16" t="n">
        <v>4</v>
      </c>
      <c r="F491" s="16" t="inlineStr">
        <is>
          <t>奥特莱斯</t>
        </is>
      </c>
      <c r="G491" s="16" t="inlineStr">
        <is>
          <t>EEKWG24B08</t>
        </is>
      </c>
      <c r="H491" s="16" t="n">
        <v>799</v>
      </c>
      <c r="I491" s="16" t="n">
        <v>799</v>
      </c>
      <c r="J491" s="17" t="inlineStr">
        <is>
          <t>########</t>
        </is>
      </c>
      <c r="K491" s="16" t="inlineStr">
        <is>
          <t>(88)Lavender</t>
        </is>
      </c>
      <c r="L491" s="16" t="inlineStr">
        <is>
          <t>营业中</t>
        </is>
      </c>
      <c r="M491" s="16" t="inlineStr">
        <is>
          <t>EEKWG24B0888170</t>
        </is>
      </c>
      <c r="N491" s="16">
        <f>LEFT(M491,12)</f>
        <v/>
      </c>
      <c r="O491" s="16" t="inlineStr">
        <is>
          <t>EEKWG24B08, (88)Lavender, (170)170</t>
        </is>
      </c>
      <c r="P491" s="16" t="n">
        <v>799</v>
      </c>
      <c r="Q491" s="16" t="n">
        <v>799</v>
      </c>
      <c r="R491" s="16" t="n"/>
      <c r="S491" s="16" t="n"/>
      <c r="T491" s="16" t="n">
        <v>2</v>
      </c>
    </row>
    <row r="492" s="103">
      <c r="A492" s="16" t="inlineStr">
        <is>
          <t>B331</t>
        </is>
      </c>
      <c r="B492" s="16" t="inlineStr">
        <is>
          <t>上海区域</t>
        </is>
      </c>
      <c r="C492" s="16" t="inlineStr">
        <is>
          <t>CN0Q</t>
        </is>
      </c>
      <c r="D492" s="16" t="inlineStr">
        <is>
          <t>EE 苏州比斯特购物村</t>
        </is>
      </c>
      <c r="E492" s="16" t="n">
        <v>4</v>
      </c>
      <c r="F492" s="16" t="inlineStr">
        <is>
          <t>奥特莱斯</t>
        </is>
      </c>
      <c r="G492" s="16" t="inlineStr">
        <is>
          <t>EEKWG24B09</t>
        </is>
      </c>
      <c r="H492" s="16" t="n">
        <v>799</v>
      </c>
      <c r="I492" s="16" t="n">
        <v>799</v>
      </c>
      <c r="J492" s="17" t="inlineStr">
        <is>
          <t>########</t>
        </is>
      </c>
      <c r="K492" s="16" t="inlineStr">
        <is>
          <t>(59)Navy</t>
        </is>
      </c>
      <c r="L492" s="16" t="inlineStr">
        <is>
          <t>营业中</t>
        </is>
      </c>
      <c r="M492" s="16" t="inlineStr">
        <is>
          <t>EEKWG24B0959160</t>
        </is>
      </c>
      <c r="N492" s="16">
        <f>LEFT(M492,12)</f>
        <v/>
      </c>
      <c r="O492" s="16" t="inlineStr">
        <is>
          <t>EEKWG24B09, (59)Navy, (160)160</t>
        </is>
      </c>
      <c r="P492" s="16" t="n">
        <v>799</v>
      </c>
      <c r="Q492" s="16" t="n">
        <v>799</v>
      </c>
      <c r="R492" s="16" t="n"/>
      <c r="S492" s="16" t="n"/>
      <c r="T492" s="16" t="n">
        <v>2</v>
      </c>
    </row>
    <row r="493" s="103">
      <c r="A493" s="16" t="inlineStr">
        <is>
          <t>B331</t>
        </is>
      </c>
      <c r="B493" s="16" t="inlineStr">
        <is>
          <t>上海区域</t>
        </is>
      </c>
      <c r="C493" s="16" t="inlineStr">
        <is>
          <t>CN0Q</t>
        </is>
      </c>
      <c r="D493" s="16" t="inlineStr">
        <is>
          <t>EE 苏州比斯特购物村</t>
        </is>
      </c>
      <c r="E493" s="16" t="n">
        <v>4</v>
      </c>
      <c r="F493" s="16" t="inlineStr">
        <is>
          <t>奥特莱斯</t>
        </is>
      </c>
      <c r="G493" s="16" t="inlineStr">
        <is>
          <t>EEKWG24B09</t>
        </is>
      </c>
      <c r="H493" s="16" t="n">
        <v>799</v>
      </c>
      <c r="I493" s="16" t="n">
        <v>799</v>
      </c>
      <c r="J493" s="17" t="inlineStr">
        <is>
          <t>########</t>
        </is>
      </c>
      <c r="K493" s="16" t="inlineStr">
        <is>
          <t>(59)Navy</t>
        </is>
      </c>
      <c r="L493" s="16" t="inlineStr">
        <is>
          <t>营业中</t>
        </is>
      </c>
      <c r="M493" s="16" t="inlineStr">
        <is>
          <t>EEKWG24B0959165</t>
        </is>
      </c>
      <c r="N493" s="16">
        <f>LEFT(M493,12)</f>
        <v/>
      </c>
      <c r="O493" s="16" t="inlineStr">
        <is>
          <t>EEKWG24B09, (59)Navy, (165)165</t>
        </is>
      </c>
      <c r="P493" s="16" t="n">
        <v>799</v>
      </c>
      <c r="Q493" s="16" t="n">
        <v>799</v>
      </c>
      <c r="R493" s="16" t="n">
        <v>2</v>
      </c>
      <c r="S493" s="18" t="n">
        <v>1036</v>
      </c>
      <c r="T493" s="16" t="n">
        <v>4</v>
      </c>
    </row>
    <row r="494" s="103">
      <c r="A494" s="16" t="inlineStr">
        <is>
          <t>B331</t>
        </is>
      </c>
      <c r="B494" s="16" t="inlineStr">
        <is>
          <t>上海区域</t>
        </is>
      </c>
      <c r="C494" s="16" t="inlineStr">
        <is>
          <t>CN0Q</t>
        </is>
      </c>
      <c r="D494" s="16" t="inlineStr">
        <is>
          <t>EE 苏州比斯特购物村</t>
        </is>
      </c>
      <c r="E494" s="16" t="n">
        <v>4</v>
      </c>
      <c r="F494" s="16" t="inlineStr">
        <is>
          <t>奥特莱斯</t>
        </is>
      </c>
      <c r="G494" s="16" t="inlineStr">
        <is>
          <t>EEKWG24B09</t>
        </is>
      </c>
      <c r="H494" s="16" t="n">
        <v>799</v>
      </c>
      <c r="I494" s="16" t="n">
        <v>799</v>
      </c>
      <c r="J494" s="17" t="inlineStr">
        <is>
          <t>########</t>
        </is>
      </c>
      <c r="K494" s="16" t="inlineStr">
        <is>
          <t>(59)Navy</t>
        </is>
      </c>
      <c r="L494" s="16" t="inlineStr">
        <is>
          <t>营业中</t>
        </is>
      </c>
      <c r="M494" s="16" t="inlineStr">
        <is>
          <t>EEKWG24B0959170</t>
        </is>
      </c>
      <c r="N494" s="16">
        <f>LEFT(M494,12)</f>
        <v/>
      </c>
      <c r="O494" s="16" t="inlineStr">
        <is>
          <t>EEKWG24B09, (59)Navy, (170)170</t>
        </is>
      </c>
      <c r="P494" s="16" t="n">
        <v>799</v>
      </c>
      <c r="Q494" s="16" t="n">
        <v>799</v>
      </c>
      <c r="R494" s="16" t="n">
        <v>1</v>
      </c>
      <c r="S494" s="16" t="n">
        <v>509</v>
      </c>
      <c r="T494" s="16" t="n">
        <v>1</v>
      </c>
    </row>
    <row r="495" s="103">
      <c r="A495" s="16" t="inlineStr">
        <is>
          <t>B331</t>
        </is>
      </c>
      <c r="B495" s="16" t="inlineStr">
        <is>
          <t>上海区域</t>
        </is>
      </c>
      <c r="C495" s="16" t="inlineStr">
        <is>
          <t>CN0Q</t>
        </is>
      </c>
      <c r="D495" s="16" t="inlineStr">
        <is>
          <t>EE 苏州比斯特购物村</t>
        </is>
      </c>
      <c r="E495" s="16" t="n">
        <v>4</v>
      </c>
      <c r="F495" s="16" t="inlineStr">
        <is>
          <t>奥特莱斯</t>
        </is>
      </c>
      <c r="G495" s="16" t="inlineStr">
        <is>
          <t>EEKWG24B09</t>
        </is>
      </c>
      <c r="H495" s="16" t="n">
        <v>799</v>
      </c>
      <c r="I495" s="16" t="n">
        <v>799</v>
      </c>
      <c r="J495" s="17" t="inlineStr">
        <is>
          <t>########</t>
        </is>
      </c>
      <c r="K495" s="16" t="inlineStr">
        <is>
          <t>(75)Purple</t>
        </is>
      </c>
      <c r="L495" s="16" t="inlineStr">
        <is>
          <t>营业中</t>
        </is>
      </c>
      <c r="M495" s="16" t="inlineStr">
        <is>
          <t>EEKWG24B0975160</t>
        </is>
      </c>
      <c r="N495" s="16">
        <f>LEFT(M495,12)</f>
        <v/>
      </c>
      <c r="O495" s="16" t="inlineStr">
        <is>
          <t>EEKWG24B09, (75)Purple, (160)160</t>
        </is>
      </c>
      <c r="P495" s="16" t="n">
        <v>799</v>
      </c>
      <c r="Q495" s="16" t="n">
        <v>799</v>
      </c>
      <c r="R495" s="16" t="n">
        <v>1</v>
      </c>
      <c r="S495" s="16" t="n"/>
      <c r="T495" s="16" t="n">
        <v>1</v>
      </c>
    </row>
    <row r="496" s="103">
      <c r="A496" s="16" t="inlineStr">
        <is>
          <t>B331</t>
        </is>
      </c>
      <c r="B496" s="16" t="inlineStr">
        <is>
          <t>上海区域</t>
        </is>
      </c>
      <c r="C496" s="16" t="inlineStr">
        <is>
          <t>CN0Q</t>
        </is>
      </c>
      <c r="D496" s="16" t="inlineStr">
        <is>
          <t>EE 苏州比斯特购物村</t>
        </is>
      </c>
      <c r="E496" s="16" t="n">
        <v>4</v>
      </c>
      <c r="F496" s="16" t="inlineStr">
        <is>
          <t>奥特莱斯</t>
        </is>
      </c>
      <c r="G496" s="16" t="inlineStr">
        <is>
          <t>EEKWG24B09</t>
        </is>
      </c>
      <c r="H496" s="16" t="n">
        <v>799</v>
      </c>
      <c r="I496" s="16" t="n">
        <v>799</v>
      </c>
      <c r="J496" s="17" t="inlineStr">
        <is>
          <t>########</t>
        </is>
      </c>
      <c r="K496" s="16" t="inlineStr">
        <is>
          <t>(75)Purple</t>
        </is>
      </c>
      <c r="L496" s="16" t="inlineStr">
        <is>
          <t>营业中</t>
        </is>
      </c>
      <c r="M496" s="16" t="inlineStr">
        <is>
          <t>EEKWG24B0975165</t>
        </is>
      </c>
      <c r="N496" s="16">
        <f>LEFT(M496,12)</f>
        <v/>
      </c>
      <c r="O496" s="16" t="inlineStr">
        <is>
          <t>EEKWG24B09, (75)Purple, (165)165</t>
        </is>
      </c>
      <c r="P496" s="16" t="n">
        <v>799</v>
      </c>
      <c r="Q496" s="16" t="n">
        <v>799</v>
      </c>
      <c r="R496" s="16" t="n"/>
      <c r="S496" s="16" t="n"/>
      <c r="T496" s="16" t="n">
        <v>2</v>
      </c>
    </row>
    <row r="497" s="103">
      <c r="A497" s="16" t="inlineStr">
        <is>
          <t>B331</t>
        </is>
      </c>
      <c r="B497" s="16" t="inlineStr">
        <is>
          <t>上海区域</t>
        </is>
      </c>
      <c r="C497" s="16" t="inlineStr">
        <is>
          <t>CN0Q</t>
        </is>
      </c>
      <c r="D497" s="16" t="inlineStr">
        <is>
          <t>EE 苏州比斯特购物村</t>
        </is>
      </c>
      <c r="E497" s="16" t="n">
        <v>4</v>
      </c>
      <c r="F497" s="16" t="inlineStr">
        <is>
          <t>奥特莱斯</t>
        </is>
      </c>
      <c r="G497" s="16" t="inlineStr">
        <is>
          <t>EEKWG24B09</t>
        </is>
      </c>
      <c r="H497" s="16" t="n">
        <v>799</v>
      </c>
      <c r="I497" s="16" t="n">
        <v>799</v>
      </c>
      <c r="J497" s="17" t="inlineStr">
        <is>
          <t>########</t>
        </is>
      </c>
      <c r="K497" s="16" t="inlineStr">
        <is>
          <t>(75)Purple</t>
        </is>
      </c>
      <c r="L497" s="16" t="inlineStr">
        <is>
          <t>营业中</t>
        </is>
      </c>
      <c r="M497" s="16" t="inlineStr">
        <is>
          <t>EEKWG24B0975170</t>
        </is>
      </c>
      <c r="N497" s="16">
        <f>LEFT(M497,12)</f>
        <v/>
      </c>
      <c r="O497" s="16" t="inlineStr">
        <is>
          <t>EEKWG24B09, (75)Purple, (170)170</t>
        </is>
      </c>
      <c r="P497" s="16" t="n">
        <v>799</v>
      </c>
      <c r="Q497" s="16" t="n">
        <v>799</v>
      </c>
      <c r="R497" s="16" t="n">
        <v>1</v>
      </c>
      <c r="S497" s="16" t="n"/>
      <c r="T497" s="16" t="n">
        <v>0</v>
      </c>
    </row>
    <row r="498" s="103">
      <c r="A498" s="16" t="inlineStr">
        <is>
          <t>B331</t>
        </is>
      </c>
      <c r="B498" s="16" t="inlineStr">
        <is>
          <t>上海区域</t>
        </is>
      </c>
      <c r="C498" s="16" t="inlineStr">
        <is>
          <t>CN0Q</t>
        </is>
      </c>
      <c r="D498" s="16" t="inlineStr">
        <is>
          <t>EE 苏州比斯特购物村</t>
        </is>
      </c>
      <c r="E498" s="16" t="n">
        <v>4</v>
      </c>
      <c r="F498" s="16" t="inlineStr">
        <is>
          <t>奥特莱斯</t>
        </is>
      </c>
      <c r="G498" s="16" t="inlineStr">
        <is>
          <t>EEKWG24B51</t>
        </is>
      </c>
      <c r="H498" s="16" t="n">
        <v>799</v>
      </c>
      <c r="I498" s="16" t="n">
        <v>799</v>
      </c>
      <c r="J498" s="17" t="n">
        <v>46174</v>
      </c>
      <c r="K498" s="16" t="inlineStr">
        <is>
          <t>(31)L/Yellow</t>
        </is>
      </c>
      <c r="L498" s="16" t="inlineStr">
        <is>
          <t>营业中</t>
        </is>
      </c>
      <c r="M498" s="16" t="inlineStr">
        <is>
          <t>EEKWG24B5131160</t>
        </is>
      </c>
      <c r="N498" s="16">
        <f>LEFT(M498,12)</f>
        <v/>
      </c>
      <c r="O498" s="16" t="inlineStr">
        <is>
          <t>EEKWG24B51, (31)L/Yellow, (160)160</t>
        </is>
      </c>
      <c r="P498" s="16" t="n">
        <v>799</v>
      </c>
      <c r="Q498" s="16" t="n">
        <v>799</v>
      </c>
      <c r="R498" s="16" t="n">
        <v>4</v>
      </c>
      <c r="S498" s="18" t="n">
        <v>2099</v>
      </c>
      <c r="T498" s="16" t="n">
        <v>1</v>
      </c>
    </row>
    <row r="499" s="103">
      <c r="A499" s="16" t="inlineStr">
        <is>
          <t>B331</t>
        </is>
      </c>
      <c r="B499" s="16" t="inlineStr">
        <is>
          <t>上海区域</t>
        </is>
      </c>
      <c r="C499" s="16" t="inlineStr">
        <is>
          <t>CN0Q</t>
        </is>
      </c>
      <c r="D499" s="16" t="inlineStr">
        <is>
          <t>EE 苏州比斯特购物村</t>
        </is>
      </c>
      <c r="E499" s="16" t="n">
        <v>4</v>
      </c>
      <c r="F499" s="16" t="inlineStr">
        <is>
          <t>奥特莱斯</t>
        </is>
      </c>
      <c r="G499" s="16" t="inlineStr">
        <is>
          <t>EEKWG24B51</t>
        </is>
      </c>
      <c r="H499" s="16" t="n">
        <v>799</v>
      </c>
      <c r="I499" s="16" t="n">
        <v>799</v>
      </c>
      <c r="J499" s="17" t="n">
        <v>46174</v>
      </c>
      <c r="K499" s="16" t="inlineStr">
        <is>
          <t>(31)L/Yellow</t>
        </is>
      </c>
      <c r="L499" s="16" t="inlineStr">
        <is>
          <t>营业中</t>
        </is>
      </c>
      <c r="M499" s="16" t="inlineStr">
        <is>
          <t>EEKWG24B5131165</t>
        </is>
      </c>
      <c r="N499" s="16">
        <f>LEFT(M499,12)</f>
        <v/>
      </c>
      <c r="O499" s="16" t="inlineStr">
        <is>
          <t>EEKWG24B51, (31)L/Yellow, (165)165</t>
        </is>
      </c>
      <c r="P499" s="16" t="n">
        <v>799</v>
      </c>
      <c r="Q499" s="16" t="n">
        <v>799</v>
      </c>
      <c r="R499" s="16" t="n">
        <v>5</v>
      </c>
      <c r="S499" s="18" t="n">
        <v>2090</v>
      </c>
      <c r="T499" s="16" t="n">
        <v>1</v>
      </c>
    </row>
    <row r="500" s="103">
      <c r="A500" s="16" t="inlineStr">
        <is>
          <t>B331</t>
        </is>
      </c>
      <c r="B500" s="16" t="inlineStr">
        <is>
          <t>上海区域</t>
        </is>
      </c>
      <c r="C500" s="16" t="inlineStr">
        <is>
          <t>CN0Q</t>
        </is>
      </c>
      <c r="D500" s="16" t="inlineStr">
        <is>
          <t>EE 苏州比斯特购物村</t>
        </is>
      </c>
      <c r="E500" s="16" t="n">
        <v>4</v>
      </c>
      <c r="F500" s="16" t="inlineStr">
        <is>
          <t>奥特莱斯</t>
        </is>
      </c>
      <c r="G500" s="16" t="inlineStr">
        <is>
          <t>EEKWG24B51</t>
        </is>
      </c>
      <c r="H500" s="16" t="n">
        <v>799</v>
      </c>
      <c r="I500" s="16" t="n">
        <v>799</v>
      </c>
      <c r="J500" s="17" t="n">
        <v>46174</v>
      </c>
      <c r="K500" s="16" t="inlineStr">
        <is>
          <t>(31)L/Yellow</t>
        </is>
      </c>
      <c r="L500" s="16" t="inlineStr">
        <is>
          <t>营业中</t>
        </is>
      </c>
      <c r="M500" s="16" t="inlineStr">
        <is>
          <t>EEKWG24B5131170</t>
        </is>
      </c>
      <c r="N500" s="16">
        <f>LEFT(M500,12)</f>
        <v/>
      </c>
      <c r="O500" s="16" t="inlineStr">
        <is>
          <t>EEKWG24B51, (31)L/Yellow, (170)170</t>
        </is>
      </c>
      <c r="P500" s="16" t="n">
        <v>799</v>
      </c>
      <c r="Q500" s="16" t="n">
        <v>799</v>
      </c>
      <c r="R500" s="16" t="n"/>
      <c r="S500" s="16" t="n"/>
      <c r="T500" s="16" t="n">
        <v>3</v>
      </c>
    </row>
    <row r="501" s="103">
      <c r="A501" s="16" t="inlineStr">
        <is>
          <t>B331</t>
        </is>
      </c>
      <c r="B501" s="16" t="inlineStr">
        <is>
          <t>上海区域</t>
        </is>
      </c>
      <c r="C501" s="16" t="inlineStr">
        <is>
          <t>CN0Q</t>
        </is>
      </c>
      <c r="D501" s="16" t="inlineStr">
        <is>
          <t>EE 苏州比斯特购物村</t>
        </is>
      </c>
      <c r="E501" s="16" t="n">
        <v>4</v>
      </c>
      <c r="F501" s="16" t="inlineStr">
        <is>
          <t>奥特莱斯</t>
        </is>
      </c>
      <c r="G501" s="16" t="inlineStr">
        <is>
          <t>EEKWG24B51</t>
        </is>
      </c>
      <c r="H501" s="16" t="n">
        <v>799</v>
      </c>
      <c r="I501" s="16" t="n">
        <v>799</v>
      </c>
      <c r="J501" s="17" t="n">
        <v>46174</v>
      </c>
      <c r="K501" s="16" t="inlineStr">
        <is>
          <t>(39)Ivory</t>
        </is>
      </c>
      <c r="L501" s="16" t="inlineStr">
        <is>
          <t>营业中</t>
        </is>
      </c>
      <c r="M501" s="16" t="inlineStr">
        <is>
          <t>EEKWG24B5139160</t>
        </is>
      </c>
      <c r="N501" s="16">
        <f>LEFT(M501,12)</f>
        <v/>
      </c>
      <c r="O501" s="16" t="inlineStr">
        <is>
          <t>EEKWG24B51, (39)Ivory, (160)160</t>
        </is>
      </c>
      <c r="P501" s="16" t="n">
        <v>799</v>
      </c>
      <c r="Q501" s="16" t="n">
        <v>799</v>
      </c>
      <c r="R501" s="16" t="n">
        <v>3</v>
      </c>
      <c r="S501" s="18" t="n">
        <v>1550</v>
      </c>
      <c r="T501" s="16" t="n">
        <v>3</v>
      </c>
    </row>
    <row r="502" s="103">
      <c r="A502" s="16" t="inlineStr">
        <is>
          <t>B331</t>
        </is>
      </c>
      <c r="B502" s="16" t="inlineStr">
        <is>
          <t>上海区域</t>
        </is>
      </c>
      <c r="C502" s="16" t="inlineStr">
        <is>
          <t>CN0Q</t>
        </is>
      </c>
      <c r="D502" s="16" t="inlineStr">
        <is>
          <t>EE 苏州比斯特购物村</t>
        </is>
      </c>
      <c r="E502" s="16" t="n">
        <v>4</v>
      </c>
      <c r="F502" s="16" t="inlineStr">
        <is>
          <t>奥特莱斯</t>
        </is>
      </c>
      <c r="G502" s="16" t="inlineStr">
        <is>
          <t>EEKWG24B51</t>
        </is>
      </c>
      <c r="H502" s="16" t="n">
        <v>799</v>
      </c>
      <c r="I502" s="16" t="n">
        <v>799</v>
      </c>
      <c r="J502" s="17" t="n">
        <v>46174</v>
      </c>
      <c r="K502" s="16" t="inlineStr">
        <is>
          <t>(39)Ivory</t>
        </is>
      </c>
      <c r="L502" s="16" t="inlineStr">
        <is>
          <t>营业中</t>
        </is>
      </c>
      <c r="M502" s="16" t="inlineStr">
        <is>
          <t>EEKWG24B5139165</t>
        </is>
      </c>
      <c r="N502" s="16">
        <f>LEFT(M502,12)</f>
        <v/>
      </c>
      <c r="O502" s="16" t="inlineStr">
        <is>
          <t>EEKWG24B51, (39)Ivory, (165)165</t>
        </is>
      </c>
      <c r="P502" s="16" t="n">
        <v>799</v>
      </c>
      <c r="Q502" s="16" t="n">
        <v>799</v>
      </c>
      <c r="R502" s="16" t="n">
        <v>3</v>
      </c>
      <c r="S502" s="18" t="n">
        <v>1576</v>
      </c>
      <c r="T502" s="16" t="n">
        <v>4</v>
      </c>
    </row>
    <row r="503" s="103">
      <c r="A503" s="16" t="inlineStr">
        <is>
          <t>B331</t>
        </is>
      </c>
      <c r="B503" s="16" t="inlineStr">
        <is>
          <t>上海区域</t>
        </is>
      </c>
      <c r="C503" s="16" t="inlineStr">
        <is>
          <t>CN0Q</t>
        </is>
      </c>
      <c r="D503" s="16" t="inlineStr">
        <is>
          <t>EE 苏州比斯特购物村</t>
        </is>
      </c>
      <c r="E503" s="16" t="n">
        <v>4</v>
      </c>
      <c r="F503" s="16" t="inlineStr">
        <is>
          <t>奥特莱斯</t>
        </is>
      </c>
      <c r="G503" s="16" t="inlineStr">
        <is>
          <t>EEKWG24B51</t>
        </is>
      </c>
      <c r="H503" s="16" t="n">
        <v>799</v>
      </c>
      <c r="I503" s="16" t="n">
        <v>799</v>
      </c>
      <c r="J503" s="17" t="n">
        <v>46174</v>
      </c>
      <c r="K503" s="16" t="inlineStr">
        <is>
          <t>(39)Ivory</t>
        </is>
      </c>
      <c r="L503" s="16" t="inlineStr">
        <is>
          <t>营业中</t>
        </is>
      </c>
      <c r="M503" s="16" t="inlineStr">
        <is>
          <t>EEKWG24B5139170</t>
        </is>
      </c>
      <c r="N503" s="16">
        <f>LEFT(M503,12)</f>
        <v/>
      </c>
      <c r="O503" s="16" t="inlineStr">
        <is>
          <t>EEKWG24B51, (39)Ivory, (170)170</t>
        </is>
      </c>
      <c r="P503" s="16" t="n">
        <v>799</v>
      </c>
      <c r="Q503" s="16" t="n">
        <v>799</v>
      </c>
      <c r="R503" s="16" t="n">
        <v>1</v>
      </c>
      <c r="S503" s="16" t="n">
        <v>512</v>
      </c>
      <c r="T503" s="16" t="n">
        <v>4</v>
      </c>
    </row>
    <row r="504" s="103">
      <c r="A504" s="16" t="inlineStr">
        <is>
          <t>B331</t>
        </is>
      </c>
      <c r="B504" s="16" t="inlineStr">
        <is>
          <t>上海区域</t>
        </is>
      </c>
      <c r="C504" s="16" t="inlineStr">
        <is>
          <t>CN0Q</t>
        </is>
      </c>
      <c r="D504" s="16" t="inlineStr">
        <is>
          <t>EE 苏州比斯特购物村</t>
        </is>
      </c>
      <c r="E504" s="16" t="n">
        <v>4</v>
      </c>
      <c r="F504" s="16" t="inlineStr">
        <is>
          <t>奥特莱斯</t>
        </is>
      </c>
      <c r="G504" s="16" t="inlineStr">
        <is>
          <t>EEKWG24B51</t>
        </is>
      </c>
      <c r="H504" s="16" t="n">
        <v>799</v>
      </c>
      <c r="I504" s="16" t="n">
        <v>799</v>
      </c>
      <c r="J504" s="17" t="n">
        <v>46174</v>
      </c>
      <c r="K504" s="16" t="inlineStr">
        <is>
          <t>(88)Lavender</t>
        </is>
      </c>
      <c r="L504" s="16" t="inlineStr">
        <is>
          <t>营业中</t>
        </is>
      </c>
      <c r="M504" s="16" t="inlineStr">
        <is>
          <t>EEKWG24B5188160</t>
        </is>
      </c>
      <c r="N504" s="16">
        <f>LEFT(M504,12)</f>
        <v/>
      </c>
      <c r="O504" s="16" t="inlineStr">
        <is>
          <t>EEKWG24B51, (88)Lavender, (160)160</t>
        </is>
      </c>
      <c r="P504" s="16" t="n">
        <v>799</v>
      </c>
      <c r="Q504" s="16" t="n">
        <v>799</v>
      </c>
      <c r="R504" s="16" t="n">
        <v>3</v>
      </c>
      <c r="S504" s="18" t="n">
        <v>1525</v>
      </c>
      <c r="T504" s="16" t="n">
        <v>0</v>
      </c>
    </row>
    <row r="505" s="103">
      <c r="A505" s="16" t="inlineStr">
        <is>
          <t>B331</t>
        </is>
      </c>
      <c r="B505" s="16" t="inlineStr">
        <is>
          <t>上海区域</t>
        </is>
      </c>
      <c r="C505" s="16" t="inlineStr">
        <is>
          <t>CN0Q</t>
        </is>
      </c>
      <c r="D505" s="16" t="inlineStr">
        <is>
          <t>EE 苏州比斯特购物村</t>
        </is>
      </c>
      <c r="E505" s="16" t="n">
        <v>4</v>
      </c>
      <c r="F505" s="16" t="inlineStr">
        <is>
          <t>奥特莱斯</t>
        </is>
      </c>
      <c r="G505" s="16" t="inlineStr">
        <is>
          <t>EEKWG24B51</t>
        </is>
      </c>
      <c r="H505" s="16" t="n">
        <v>799</v>
      </c>
      <c r="I505" s="16" t="n">
        <v>799</v>
      </c>
      <c r="J505" s="17" t="n">
        <v>46174</v>
      </c>
      <c r="K505" s="16" t="inlineStr">
        <is>
          <t>(88)Lavender</t>
        </is>
      </c>
      <c r="L505" s="16" t="inlineStr">
        <is>
          <t>营业中</t>
        </is>
      </c>
      <c r="M505" s="16" t="inlineStr">
        <is>
          <t>EEKWG24B5188165</t>
        </is>
      </c>
      <c r="N505" s="16">
        <f>LEFT(M505,12)</f>
        <v/>
      </c>
      <c r="O505" s="16" t="inlineStr">
        <is>
          <t>EEKWG24B51, (88)Lavender, (165)165</t>
        </is>
      </c>
      <c r="P505" s="16" t="n">
        <v>799</v>
      </c>
      <c r="Q505" s="16" t="n">
        <v>799</v>
      </c>
      <c r="R505" s="16" t="n">
        <v>4</v>
      </c>
      <c r="S505" s="18" t="n">
        <v>1525</v>
      </c>
      <c r="T505" s="16" t="n">
        <v>4</v>
      </c>
    </row>
    <row r="506" s="103">
      <c r="A506" s="16" t="inlineStr">
        <is>
          <t>B331</t>
        </is>
      </c>
      <c r="B506" s="16" t="inlineStr">
        <is>
          <t>上海区域</t>
        </is>
      </c>
      <c r="C506" s="16" t="inlineStr">
        <is>
          <t>CN0Q</t>
        </is>
      </c>
      <c r="D506" s="16" t="inlineStr">
        <is>
          <t>EE 苏州比斯特购物村</t>
        </is>
      </c>
      <c r="E506" s="16" t="n">
        <v>4</v>
      </c>
      <c r="F506" s="16" t="inlineStr">
        <is>
          <t>奥特莱斯</t>
        </is>
      </c>
      <c r="G506" s="16" t="inlineStr">
        <is>
          <t>EEKWG24B51</t>
        </is>
      </c>
      <c r="H506" s="16" t="n">
        <v>799</v>
      </c>
      <c r="I506" s="16" t="n">
        <v>799</v>
      </c>
      <c r="J506" s="17" t="n">
        <v>46174</v>
      </c>
      <c r="K506" s="16" t="inlineStr">
        <is>
          <t>(88)Lavender</t>
        </is>
      </c>
      <c r="L506" s="16" t="inlineStr">
        <is>
          <t>营业中</t>
        </is>
      </c>
      <c r="M506" s="16" t="inlineStr">
        <is>
          <t>EEKWG24B5188170</t>
        </is>
      </c>
      <c r="N506" s="16">
        <f>LEFT(M506,12)</f>
        <v/>
      </c>
      <c r="O506" s="16" t="inlineStr">
        <is>
          <t>EEKWG24B51, (88)Lavender, (170)170</t>
        </is>
      </c>
      <c r="P506" s="16" t="n">
        <v>799</v>
      </c>
      <c r="Q506" s="16" t="n">
        <v>799</v>
      </c>
      <c r="R506" s="16" t="n"/>
      <c r="S506" s="16" t="n"/>
      <c r="T506" s="16" t="n">
        <v>3</v>
      </c>
    </row>
    <row r="507" s="103">
      <c r="A507" s="16" t="inlineStr">
        <is>
          <t>B331</t>
        </is>
      </c>
      <c r="B507" s="16" t="inlineStr">
        <is>
          <t>上海区域</t>
        </is>
      </c>
      <c r="C507" s="16" t="inlineStr">
        <is>
          <t>CN0Q</t>
        </is>
      </c>
      <c r="D507" s="16" t="inlineStr">
        <is>
          <t>EE 苏州比斯特购物村</t>
        </is>
      </c>
      <c r="E507" s="16" t="n">
        <v>4</v>
      </c>
      <c r="F507" s="16" t="inlineStr">
        <is>
          <t>奥特莱斯</t>
        </is>
      </c>
      <c r="G507" s="16" t="inlineStr">
        <is>
          <t>EEKWG24B52</t>
        </is>
      </c>
      <c r="H507" s="16" t="n">
        <v>699</v>
      </c>
      <c r="I507" s="16" t="n">
        <v>599</v>
      </c>
      <c r="J507" s="17" t="inlineStr">
        <is>
          <t>########</t>
        </is>
      </c>
      <c r="K507" s="16" t="inlineStr">
        <is>
          <t>(16)L/Grey</t>
        </is>
      </c>
      <c r="L507" s="16" t="inlineStr">
        <is>
          <t>营业中</t>
        </is>
      </c>
      <c r="M507" s="16" t="inlineStr">
        <is>
          <t>EEKWG24B5216160</t>
        </is>
      </c>
      <c r="N507" s="16">
        <f>LEFT(M507,12)</f>
        <v/>
      </c>
      <c r="O507" s="16" t="inlineStr">
        <is>
          <t>EEKWG24B52, (16)L/Grey, (160)160</t>
        </is>
      </c>
      <c r="P507" s="16" t="n">
        <v>699</v>
      </c>
      <c r="Q507" s="16" t="n">
        <v>599</v>
      </c>
      <c r="R507" s="16" t="n">
        <v>4</v>
      </c>
      <c r="S507" s="18" t="n">
        <v>1600</v>
      </c>
      <c r="T507" s="16" t="n">
        <v>1</v>
      </c>
    </row>
    <row r="508" s="103">
      <c r="A508" s="16" t="inlineStr">
        <is>
          <t>B331</t>
        </is>
      </c>
      <c r="B508" s="16" t="inlineStr">
        <is>
          <t>上海区域</t>
        </is>
      </c>
      <c r="C508" s="16" t="inlineStr">
        <is>
          <t>CN0Q</t>
        </is>
      </c>
      <c r="D508" s="16" t="inlineStr">
        <is>
          <t>EE 苏州比斯特购物村</t>
        </is>
      </c>
      <c r="E508" s="16" t="n">
        <v>4</v>
      </c>
      <c r="F508" s="16" t="inlineStr">
        <is>
          <t>奥特莱斯</t>
        </is>
      </c>
      <c r="G508" s="16" t="inlineStr">
        <is>
          <t>EEKWG24B52</t>
        </is>
      </c>
      <c r="H508" s="16" t="n">
        <v>699</v>
      </c>
      <c r="I508" s="16" t="n">
        <v>599</v>
      </c>
      <c r="J508" s="17" t="inlineStr">
        <is>
          <t>########</t>
        </is>
      </c>
      <c r="K508" s="16" t="inlineStr">
        <is>
          <t>(16)L/Grey</t>
        </is>
      </c>
      <c r="L508" s="16" t="inlineStr">
        <is>
          <t>营业中</t>
        </is>
      </c>
      <c r="M508" s="16" t="inlineStr">
        <is>
          <t>EEKWG24B5216165</t>
        </is>
      </c>
      <c r="N508" s="16">
        <f>LEFT(M508,12)</f>
        <v/>
      </c>
      <c r="O508" s="16" t="inlineStr">
        <is>
          <t>EEKWG24B52, (16)L/Grey, (165)165</t>
        </is>
      </c>
      <c r="P508" s="16" t="n">
        <v>699</v>
      </c>
      <c r="Q508" s="16" t="n">
        <v>599</v>
      </c>
      <c r="R508" s="16" t="n">
        <v>5</v>
      </c>
      <c r="S508" s="18" t="n">
        <v>2039</v>
      </c>
      <c r="T508" s="16" t="n">
        <v>0</v>
      </c>
    </row>
    <row r="509" s="103">
      <c r="A509" s="16" t="inlineStr">
        <is>
          <t>B331</t>
        </is>
      </c>
      <c r="B509" s="16" t="inlineStr">
        <is>
          <t>上海区域</t>
        </is>
      </c>
      <c r="C509" s="16" t="inlineStr">
        <is>
          <t>CN0Q</t>
        </is>
      </c>
      <c r="D509" s="16" t="inlineStr">
        <is>
          <t>EE 苏州比斯特购物村</t>
        </is>
      </c>
      <c r="E509" s="16" t="n">
        <v>4</v>
      </c>
      <c r="F509" s="16" t="inlineStr">
        <is>
          <t>奥特莱斯</t>
        </is>
      </c>
      <c r="G509" s="16" t="inlineStr">
        <is>
          <t>EEKWG24B52</t>
        </is>
      </c>
      <c r="H509" s="16" t="n">
        <v>699</v>
      </c>
      <c r="I509" s="16" t="n">
        <v>599</v>
      </c>
      <c r="J509" s="17" t="inlineStr">
        <is>
          <t>########</t>
        </is>
      </c>
      <c r="K509" s="16" t="inlineStr">
        <is>
          <t>(16)L/Grey</t>
        </is>
      </c>
      <c r="L509" s="16" t="inlineStr">
        <is>
          <t>营业中</t>
        </is>
      </c>
      <c r="M509" s="16" t="inlineStr">
        <is>
          <t>EEKWG24B5216170</t>
        </is>
      </c>
      <c r="N509" s="16">
        <f>LEFT(M509,12)</f>
        <v/>
      </c>
      <c r="O509" s="16" t="inlineStr">
        <is>
          <t>EEKWG24B52, (16)L/Grey, (170)170</t>
        </is>
      </c>
      <c r="P509" s="16" t="n">
        <v>699</v>
      </c>
      <c r="Q509" s="16" t="n">
        <v>599</v>
      </c>
      <c r="R509" s="16" t="n">
        <v>4</v>
      </c>
      <c r="S509" s="18" t="n">
        <v>1677</v>
      </c>
      <c r="T509" s="16" t="n">
        <v>0</v>
      </c>
    </row>
    <row r="510" s="103">
      <c r="A510" s="16" t="inlineStr">
        <is>
          <t>B331</t>
        </is>
      </c>
      <c r="B510" s="16" t="inlineStr">
        <is>
          <t>上海区域</t>
        </is>
      </c>
      <c r="C510" s="16" t="inlineStr">
        <is>
          <t>CN0Q</t>
        </is>
      </c>
      <c r="D510" s="16" t="inlineStr">
        <is>
          <t>EE 苏州比斯特购物村</t>
        </is>
      </c>
      <c r="E510" s="16" t="n">
        <v>4</v>
      </c>
      <c r="F510" s="16" t="inlineStr">
        <is>
          <t>奥特莱斯</t>
        </is>
      </c>
      <c r="G510" s="16" t="inlineStr">
        <is>
          <t>EEKWG24B52</t>
        </is>
      </c>
      <c r="H510" s="16" t="n">
        <v>699</v>
      </c>
      <c r="I510" s="16" t="n">
        <v>599</v>
      </c>
      <c r="J510" s="17" t="inlineStr">
        <is>
          <t>########</t>
        </is>
      </c>
      <c r="K510" s="16" t="inlineStr">
        <is>
          <t>(39)Ivory</t>
        </is>
      </c>
      <c r="L510" s="16" t="inlineStr">
        <is>
          <t>营业中</t>
        </is>
      </c>
      <c r="M510" s="16" t="inlineStr">
        <is>
          <t>EEKWG24B5239160</t>
        </is>
      </c>
      <c r="N510" s="16">
        <f>LEFT(M510,12)</f>
        <v/>
      </c>
      <c r="O510" s="16" t="inlineStr">
        <is>
          <t>EEKWG24B52, (39)Ivory, (160)160</t>
        </is>
      </c>
      <c r="P510" s="16" t="n">
        <v>699</v>
      </c>
      <c r="Q510" s="16" t="n">
        <v>599</v>
      </c>
      <c r="R510" s="16" t="n"/>
      <c r="S510" s="16" t="n"/>
      <c r="T510" s="16" t="n">
        <v>4</v>
      </c>
    </row>
    <row r="511" s="103">
      <c r="A511" s="16" t="inlineStr">
        <is>
          <t>B331</t>
        </is>
      </c>
      <c r="B511" s="16" t="inlineStr">
        <is>
          <t>上海区域</t>
        </is>
      </c>
      <c r="C511" s="16" t="inlineStr">
        <is>
          <t>CN0Q</t>
        </is>
      </c>
      <c r="D511" s="16" t="inlineStr">
        <is>
          <t>EE 苏州比斯特购物村</t>
        </is>
      </c>
      <c r="E511" s="16" t="n">
        <v>4</v>
      </c>
      <c r="F511" s="16" t="inlineStr">
        <is>
          <t>奥特莱斯</t>
        </is>
      </c>
      <c r="G511" s="16" t="inlineStr">
        <is>
          <t>EEKWG24B52</t>
        </is>
      </c>
      <c r="H511" s="16" t="n">
        <v>699</v>
      </c>
      <c r="I511" s="16" t="n">
        <v>599</v>
      </c>
      <c r="J511" s="17" t="inlineStr">
        <is>
          <t>########</t>
        </is>
      </c>
      <c r="K511" s="16" t="inlineStr">
        <is>
          <t>(39)Ivory</t>
        </is>
      </c>
      <c r="L511" s="16" t="inlineStr">
        <is>
          <t>营业中</t>
        </is>
      </c>
      <c r="M511" s="16" t="inlineStr">
        <is>
          <t>EEKWG24B5239165</t>
        </is>
      </c>
      <c r="N511" s="16">
        <f>LEFT(M511,12)</f>
        <v/>
      </c>
      <c r="O511" s="16" t="inlineStr">
        <is>
          <t>EEKWG24B52, (39)Ivory, (165)165</t>
        </is>
      </c>
      <c r="P511" s="16" t="n">
        <v>699</v>
      </c>
      <c r="Q511" s="16" t="n">
        <v>599</v>
      </c>
      <c r="R511" s="16" t="n">
        <v>5</v>
      </c>
      <c r="S511" s="18" t="n">
        <v>1965</v>
      </c>
      <c r="T511" s="16" t="n">
        <v>1</v>
      </c>
    </row>
    <row r="512" s="103">
      <c r="A512" s="16" t="inlineStr">
        <is>
          <t>B331</t>
        </is>
      </c>
      <c r="B512" s="16" t="inlineStr">
        <is>
          <t>上海区域</t>
        </is>
      </c>
      <c r="C512" s="16" t="inlineStr">
        <is>
          <t>CN0Q</t>
        </is>
      </c>
      <c r="D512" s="16" t="inlineStr">
        <is>
          <t>EE 苏州比斯特购物村</t>
        </is>
      </c>
      <c r="E512" s="16" t="n">
        <v>4</v>
      </c>
      <c r="F512" s="16" t="inlineStr">
        <is>
          <t>奥特莱斯</t>
        </is>
      </c>
      <c r="G512" s="16" t="inlineStr">
        <is>
          <t>EEKWG24B52</t>
        </is>
      </c>
      <c r="H512" s="16" t="n">
        <v>699</v>
      </c>
      <c r="I512" s="16" t="n">
        <v>599</v>
      </c>
      <c r="J512" s="17" t="inlineStr">
        <is>
          <t>########</t>
        </is>
      </c>
      <c r="K512" s="16" t="inlineStr">
        <is>
          <t>(39)Ivory</t>
        </is>
      </c>
      <c r="L512" s="16" t="inlineStr">
        <is>
          <t>营业中</t>
        </is>
      </c>
      <c r="M512" s="16" t="inlineStr">
        <is>
          <t>EEKWG24B5239170</t>
        </is>
      </c>
      <c r="N512" s="16">
        <f>LEFT(M512,12)</f>
        <v/>
      </c>
      <c r="O512" s="16" t="inlineStr">
        <is>
          <t>EEKWG24B52, (39)Ivory, (170)170</t>
        </is>
      </c>
      <c r="P512" s="16" t="n">
        <v>699</v>
      </c>
      <c r="Q512" s="16" t="n">
        <v>599</v>
      </c>
      <c r="R512" s="16" t="n">
        <v>2</v>
      </c>
      <c r="S512" s="16" t="n">
        <v>769</v>
      </c>
      <c r="T512" s="16" t="n">
        <v>2</v>
      </c>
    </row>
    <row r="513" s="103">
      <c r="A513" s="16" t="inlineStr">
        <is>
          <t>B331</t>
        </is>
      </c>
      <c r="B513" s="16" t="inlineStr">
        <is>
          <t>上海区域</t>
        </is>
      </c>
      <c r="C513" s="16" t="inlineStr">
        <is>
          <t>CN0Q</t>
        </is>
      </c>
      <c r="D513" s="16" t="inlineStr">
        <is>
          <t>EE 苏州比斯特购物村</t>
        </is>
      </c>
      <c r="E513" s="16" t="n">
        <v>4</v>
      </c>
      <c r="F513" s="16" t="inlineStr">
        <is>
          <t>奥特莱斯</t>
        </is>
      </c>
      <c r="G513" s="16" t="inlineStr">
        <is>
          <t>EEKWG24E01</t>
        </is>
      </c>
      <c r="H513" s="16" t="n">
        <v>699</v>
      </c>
      <c r="I513" s="16" t="n">
        <v>699</v>
      </c>
      <c r="J513" s="17" t="inlineStr">
        <is>
          <t>########</t>
        </is>
      </c>
      <c r="K513" s="16" t="inlineStr">
        <is>
          <t>(18)M/Grey</t>
        </is>
      </c>
      <c r="L513" s="16" t="inlineStr">
        <is>
          <t>营业中</t>
        </is>
      </c>
      <c r="M513" s="16" t="inlineStr">
        <is>
          <t>EEKWG24E0118160</t>
        </is>
      </c>
      <c r="N513" s="16">
        <f>LEFT(M513,12)</f>
        <v/>
      </c>
      <c r="O513" s="16" t="inlineStr">
        <is>
          <t>EEKWG24E01, (18)M/Grey, (160)160</t>
        </is>
      </c>
      <c r="P513" s="16" t="n">
        <v>699</v>
      </c>
      <c r="Q513" s="16" t="n">
        <v>699</v>
      </c>
      <c r="R513" s="16" t="n">
        <v>5</v>
      </c>
      <c r="S513" s="18" t="n">
        <v>1820</v>
      </c>
      <c r="T513" s="16" t="n">
        <v>5</v>
      </c>
    </row>
    <row r="514" s="103">
      <c r="A514" s="16" t="inlineStr">
        <is>
          <t>B331</t>
        </is>
      </c>
      <c r="B514" s="16" t="inlineStr">
        <is>
          <t>上海区域</t>
        </is>
      </c>
      <c r="C514" s="16" t="inlineStr">
        <is>
          <t>CN0Q</t>
        </is>
      </c>
      <c r="D514" s="16" t="inlineStr">
        <is>
          <t>EE 苏州比斯特购物村</t>
        </is>
      </c>
      <c r="E514" s="16" t="n">
        <v>4</v>
      </c>
      <c r="F514" s="16" t="inlineStr">
        <is>
          <t>奥特莱斯</t>
        </is>
      </c>
      <c r="G514" s="16" t="inlineStr">
        <is>
          <t>EEKWG24E01</t>
        </is>
      </c>
      <c r="H514" s="16" t="n">
        <v>699</v>
      </c>
      <c r="I514" s="16" t="n">
        <v>699</v>
      </c>
      <c r="J514" s="17" t="inlineStr">
        <is>
          <t>########</t>
        </is>
      </c>
      <c r="K514" s="16" t="inlineStr">
        <is>
          <t>(18)M/Grey</t>
        </is>
      </c>
      <c r="L514" s="16" t="inlineStr">
        <is>
          <t>营业中</t>
        </is>
      </c>
      <c r="M514" s="16" t="inlineStr">
        <is>
          <t>EEKWG24E0118165</t>
        </is>
      </c>
      <c r="N514" s="16">
        <f>LEFT(M514,12)</f>
        <v/>
      </c>
      <c r="O514" s="16" t="inlineStr">
        <is>
          <t>EEKWG24E01, (18)M/Grey, (165)165</t>
        </is>
      </c>
      <c r="P514" s="16" t="n">
        <v>699</v>
      </c>
      <c r="Q514" s="16" t="n">
        <v>699</v>
      </c>
      <c r="R514" s="16" t="n">
        <v>9</v>
      </c>
      <c r="S514" s="18" t="n">
        <v>3219</v>
      </c>
      <c r="T514" s="16" t="n">
        <v>3</v>
      </c>
    </row>
    <row r="515" s="103">
      <c r="A515" s="16" t="inlineStr">
        <is>
          <t>B331</t>
        </is>
      </c>
      <c r="B515" s="16" t="inlineStr">
        <is>
          <t>上海区域</t>
        </is>
      </c>
      <c r="C515" s="16" t="inlineStr">
        <is>
          <t>CN0Q</t>
        </is>
      </c>
      <c r="D515" s="16" t="inlineStr">
        <is>
          <t>EE 苏州比斯特购物村</t>
        </is>
      </c>
      <c r="E515" s="16" t="n">
        <v>4</v>
      </c>
      <c r="F515" s="16" t="inlineStr">
        <is>
          <t>奥特莱斯</t>
        </is>
      </c>
      <c r="G515" s="16" t="inlineStr">
        <is>
          <t>EEKWG24E01</t>
        </is>
      </c>
      <c r="H515" s="16" t="n">
        <v>699</v>
      </c>
      <c r="I515" s="16" t="n">
        <v>699</v>
      </c>
      <c r="J515" s="17" t="inlineStr">
        <is>
          <t>########</t>
        </is>
      </c>
      <c r="K515" s="16" t="inlineStr">
        <is>
          <t>(18)M/Grey</t>
        </is>
      </c>
      <c r="L515" s="16" t="inlineStr">
        <is>
          <t>营业中</t>
        </is>
      </c>
      <c r="M515" s="16" t="inlineStr">
        <is>
          <t>EEKWG24E0118170</t>
        </is>
      </c>
      <c r="N515" s="16">
        <f>LEFT(M515,12)</f>
        <v/>
      </c>
      <c r="O515" s="16" t="inlineStr">
        <is>
          <t>EEKWG24E01, (18)M/Grey, (170)170</t>
        </is>
      </c>
      <c r="P515" s="16" t="n">
        <v>699</v>
      </c>
      <c r="Q515" s="16" t="n">
        <v>699</v>
      </c>
      <c r="R515" s="16" t="n">
        <v>1</v>
      </c>
      <c r="S515" s="16" t="n">
        <v>446</v>
      </c>
      <c r="T515" s="16" t="n">
        <v>3</v>
      </c>
    </row>
    <row r="516" s="103">
      <c r="A516" s="16" t="inlineStr">
        <is>
          <t>B331</t>
        </is>
      </c>
      <c r="B516" s="16" t="inlineStr">
        <is>
          <t>上海区域</t>
        </is>
      </c>
      <c r="C516" s="16" t="inlineStr">
        <is>
          <t>CN0Q</t>
        </is>
      </c>
      <c r="D516" s="16" t="inlineStr">
        <is>
          <t>EE 苏州比斯特购物村</t>
        </is>
      </c>
      <c r="E516" s="16" t="n">
        <v>4</v>
      </c>
      <c r="F516" s="16" t="inlineStr">
        <is>
          <t>奥特莱斯</t>
        </is>
      </c>
      <c r="G516" s="16" t="inlineStr">
        <is>
          <t>EEKWG24E01</t>
        </is>
      </c>
      <c r="H516" s="16" t="n">
        <v>699</v>
      </c>
      <c r="I516" s="16" t="n">
        <v>699</v>
      </c>
      <c r="J516" s="17" t="inlineStr">
        <is>
          <t>########</t>
        </is>
      </c>
      <c r="K516" s="16" t="inlineStr">
        <is>
          <t>(18)M/Grey</t>
        </is>
      </c>
      <c r="L516" s="16" t="inlineStr">
        <is>
          <t>营业中</t>
        </is>
      </c>
      <c r="M516" s="16" t="inlineStr">
        <is>
          <t>EEKWG24E0118175</t>
        </is>
      </c>
      <c r="N516" s="16">
        <f>LEFT(M516,12)</f>
        <v/>
      </c>
      <c r="O516" s="16" t="inlineStr">
        <is>
          <t>EEKWG24E01, (18)M/Grey, (175)175</t>
        </is>
      </c>
      <c r="P516" s="16" t="n">
        <v>699</v>
      </c>
      <c r="Q516" s="16" t="n">
        <v>699</v>
      </c>
      <c r="R516" s="16" t="n">
        <v>2</v>
      </c>
      <c r="S516" s="16" t="n">
        <v>896</v>
      </c>
      <c r="T516" s="16" t="n">
        <v>2</v>
      </c>
    </row>
    <row r="517" s="103">
      <c r="A517" s="16" t="inlineStr">
        <is>
          <t>B331</t>
        </is>
      </c>
      <c r="B517" s="16" t="inlineStr">
        <is>
          <t>上海区域</t>
        </is>
      </c>
      <c r="C517" s="16" t="inlineStr">
        <is>
          <t>CN0Q</t>
        </is>
      </c>
      <c r="D517" s="16" t="inlineStr">
        <is>
          <t>EE 苏州比斯特购物村</t>
        </is>
      </c>
      <c r="E517" s="16" t="n">
        <v>4</v>
      </c>
      <c r="F517" s="16" t="inlineStr">
        <is>
          <t>奥特莱斯</t>
        </is>
      </c>
      <c r="G517" s="16" t="inlineStr">
        <is>
          <t>EEKWG24E01</t>
        </is>
      </c>
      <c r="H517" s="16" t="n">
        <v>699</v>
      </c>
      <c r="I517" s="16" t="n">
        <v>699</v>
      </c>
      <c r="J517" s="17" t="inlineStr">
        <is>
          <t>########</t>
        </is>
      </c>
      <c r="K517" s="16" t="inlineStr">
        <is>
          <t>(30)Yellow</t>
        </is>
      </c>
      <c r="L517" s="16" t="inlineStr">
        <is>
          <t>营业中</t>
        </is>
      </c>
      <c r="M517" s="16" t="inlineStr">
        <is>
          <t>EEKWG24E0130160</t>
        </is>
      </c>
      <c r="N517" s="16">
        <f>LEFT(M517,12)</f>
        <v/>
      </c>
      <c r="O517" s="16" t="inlineStr">
        <is>
          <t>EEKWG24E01, (30)Yellow, (160)160</t>
        </is>
      </c>
      <c r="P517" s="16" t="n">
        <v>699</v>
      </c>
      <c r="Q517" s="16" t="n">
        <v>699</v>
      </c>
      <c r="R517" s="16" t="n">
        <v>3</v>
      </c>
      <c r="S517" s="16" t="n">
        <v>450</v>
      </c>
      <c r="T517" s="16" t="n">
        <v>3</v>
      </c>
    </row>
    <row r="518" s="103">
      <c r="A518" s="16" t="inlineStr">
        <is>
          <t>B331</t>
        </is>
      </c>
      <c r="B518" s="16" t="inlineStr">
        <is>
          <t>上海区域</t>
        </is>
      </c>
      <c r="C518" s="16" t="inlineStr">
        <is>
          <t>CN0Q</t>
        </is>
      </c>
      <c r="D518" s="16" t="inlineStr">
        <is>
          <t>EE 苏州比斯特购物村</t>
        </is>
      </c>
      <c r="E518" s="16" t="n">
        <v>4</v>
      </c>
      <c r="F518" s="16" t="inlineStr">
        <is>
          <t>奥特莱斯</t>
        </is>
      </c>
      <c r="G518" s="16" t="inlineStr">
        <is>
          <t>EEKWG24E01</t>
        </is>
      </c>
      <c r="H518" s="16" t="n">
        <v>699</v>
      </c>
      <c r="I518" s="16" t="n">
        <v>699</v>
      </c>
      <c r="J518" s="17" t="inlineStr">
        <is>
          <t>########</t>
        </is>
      </c>
      <c r="K518" s="16" t="inlineStr">
        <is>
          <t>(30)Yellow</t>
        </is>
      </c>
      <c r="L518" s="16" t="inlineStr">
        <is>
          <t>营业中</t>
        </is>
      </c>
      <c r="M518" s="16" t="inlineStr">
        <is>
          <t>EEKWG24E0130165</t>
        </is>
      </c>
      <c r="N518" s="16">
        <f>LEFT(M518,12)</f>
        <v/>
      </c>
      <c r="O518" s="16" t="inlineStr">
        <is>
          <t>EEKWG24E01, (30)Yellow, (165)165</t>
        </is>
      </c>
      <c r="P518" s="16" t="n">
        <v>699</v>
      </c>
      <c r="Q518" s="16" t="n">
        <v>699</v>
      </c>
      <c r="R518" s="16" t="n">
        <v>4</v>
      </c>
      <c r="S518" s="18" t="n">
        <v>1341</v>
      </c>
      <c r="T518" s="16" t="n">
        <v>2</v>
      </c>
    </row>
    <row r="519" s="103">
      <c r="A519" s="16" t="inlineStr">
        <is>
          <t>B331</t>
        </is>
      </c>
      <c r="B519" s="16" t="inlineStr">
        <is>
          <t>上海区域</t>
        </is>
      </c>
      <c r="C519" s="16" t="inlineStr">
        <is>
          <t>CN0Q</t>
        </is>
      </c>
      <c r="D519" s="16" t="inlineStr">
        <is>
          <t>EE 苏州比斯特购物村</t>
        </is>
      </c>
      <c r="E519" s="16" t="n">
        <v>4</v>
      </c>
      <c r="F519" s="16" t="inlineStr">
        <is>
          <t>奥特莱斯</t>
        </is>
      </c>
      <c r="G519" s="16" t="inlineStr">
        <is>
          <t>EEKWG24E01</t>
        </is>
      </c>
      <c r="H519" s="16" t="n">
        <v>699</v>
      </c>
      <c r="I519" s="16" t="n">
        <v>699</v>
      </c>
      <c r="J519" s="17" t="inlineStr">
        <is>
          <t>########</t>
        </is>
      </c>
      <c r="K519" s="16" t="inlineStr">
        <is>
          <t>(30)Yellow</t>
        </is>
      </c>
      <c r="L519" s="16" t="inlineStr">
        <is>
          <t>营业中</t>
        </is>
      </c>
      <c r="M519" s="16" t="inlineStr">
        <is>
          <t>EEKWG24E0130170</t>
        </is>
      </c>
      <c r="N519" s="16">
        <f>LEFT(M519,12)</f>
        <v/>
      </c>
      <c r="O519" s="16" t="inlineStr">
        <is>
          <t>EEKWG24E01, (30)Yellow, (170)170</t>
        </is>
      </c>
      <c r="P519" s="16" t="n">
        <v>699</v>
      </c>
      <c r="Q519" s="16" t="n">
        <v>699</v>
      </c>
      <c r="R519" s="16" t="n">
        <v>5</v>
      </c>
      <c r="S519" s="18" t="n">
        <v>1557</v>
      </c>
      <c r="T519" s="16" t="n">
        <v>1</v>
      </c>
    </row>
    <row r="520" s="103">
      <c r="A520" s="16" t="inlineStr">
        <is>
          <t>B331</t>
        </is>
      </c>
      <c r="B520" s="16" t="inlineStr">
        <is>
          <t>上海区域</t>
        </is>
      </c>
      <c r="C520" s="16" t="inlineStr">
        <is>
          <t>CN0Q</t>
        </is>
      </c>
      <c r="D520" s="16" t="inlineStr">
        <is>
          <t>EE 苏州比斯特购物村</t>
        </is>
      </c>
      <c r="E520" s="16" t="n">
        <v>4</v>
      </c>
      <c r="F520" s="16" t="inlineStr">
        <is>
          <t>奥特莱斯</t>
        </is>
      </c>
      <c r="G520" s="16" t="inlineStr">
        <is>
          <t>EEKWG24E01</t>
        </is>
      </c>
      <c r="H520" s="16" t="n">
        <v>699</v>
      </c>
      <c r="I520" s="16" t="n">
        <v>699</v>
      </c>
      <c r="J520" s="17" t="inlineStr">
        <is>
          <t>########</t>
        </is>
      </c>
      <c r="K520" s="16" t="inlineStr">
        <is>
          <t>(30)Yellow</t>
        </is>
      </c>
      <c r="L520" s="16" t="inlineStr">
        <is>
          <t>营业中</t>
        </is>
      </c>
      <c r="M520" s="16" t="inlineStr">
        <is>
          <t>EEKWG24E0130175</t>
        </is>
      </c>
      <c r="N520" s="16">
        <f>LEFT(M520,12)</f>
        <v/>
      </c>
      <c r="O520" s="16" t="inlineStr">
        <is>
          <t>EEKWG24E01, (30)Yellow, (175)175</t>
        </is>
      </c>
      <c r="P520" s="16" t="n">
        <v>699</v>
      </c>
      <c r="Q520" s="16" t="n">
        <v>699</v>
      </c>
      <c r="R520" s="16" t="n">
        <v>1</v>
      </c>
      <c r="S520" s="16" t="n">
        <v>489</v>
      </c>
      <c r="T520" s="16" t="n">
        <v>2</v>
      </c>
    </row>
    <row r="521" s="103">
      <c r="A521" s="16" t="inlineStr">
        <is>
          <t>B331</t>
        </is>
      </c>
      <c r="B521" s="16" t="inlineStr">
        <is>
          <t>上海区域</t>
        </is>
      </c>
      <c r="C521" s="16" t="inlineStr">
        <is>
          <t>CN0Q</t>
        </is>
      </c>
      <c r="D521" s="16" t="inlineStr">
        <is>
          <t>EE 苏州比斯特购物村</t>
        </is>
      </c>
      <c r="E521" s="16" t="n">
        <v>4</v>
      </c>
      <c r="F521" s="16" t="inlineStr">
        <is>
          <t>奥特莱斯</t>
        </is>
      </c>
      <c r="G521" s="16" t="inlineStr">
        <is>
          <t>EEKWG24E01</t>
        </is>
      </c>
      <c r="H521" s="16" t="n">
        <v>699</v>
      </c>
      <c r="I521" s="16" t="n">
        <v>699</v>
      </c>
      <c r="J521" s="17" t="inlineStr">
        <is>
          <t>########</t>
        </is>
      </c>
      <c r="K521" s="16" t="inlineStr">
        <is>
          <t>(39)Ivory</t>
        </is>
      </c>
      <c r="L521" s="16" t="inlineStr">
        <is>
          <t>营业中</t>
        </is>
      </c>
      <c r="M521" s="16" t="inlineStr">
        <is>
          <t>EEKWG24E0139160</t>
        </is>
      </c>
      <c r="N521" s="16">
        <f>LEFT(M521,12)</f>
        <v/>
      </c>
      <c r="O521" s="16" t="inlineStr">
        <is>
          <t>EEKWG24E01, (39)Ivory, (160)160</t>
        </is>
      </c>
      <c r="P521" s="16" t="n">
        <v>699</v>
      </c>
      <c r="Q521" s="16" t="n">
        <v>699</v>
      </c>
      <c r="R521" s="16" t="n">
        <v>5</v>
      </c>
      <c r="S521" s="18" t="n">
        <v>1108</v>
      </c>
      <c r="T521" s="16" t="n">
        <v>3</v>
      </c>
    </row>
    <row r="522" s="103">
      <c r="A522" s="16" t="inlineStr">
        <is>
          <t>B331</t>
        </is>
      </c>
      <c r="B522" s="16" t="inlineStr">
        <is>
          <t>上海区域</t>
        </is>
      </c>
      <c r="C522" s="16" t="inlineStr">
        <is>
          <t>CN0Q</t>
        </is>
      </c>
      <c r="D522" s="16" t="inlineStr">
        <is>
          <t>EE 苏州比斯特购物村</t>
        </is>
      </c>
      <c r="E522" s="16" t="n">
        <v>4</v>
      </c>
      <c r="F522" s="16" t="inlineStr">
        <is>
          <t>奥特莱斯</t>
        </is>
      </c>
      <c r="G522" s="16" t="inlineStr">
        <is>
          <t>EEKWG24E01</t>
        </is>
      </c>
      <c r="H522" s="16" t="n">
        <v>699</v>
      </c>
      <c r="I522" s="16" t="n">
        <v>699</v>
      </c>
      <c r="J522" s="17" t="inlineStr">
        <is>
          <t>########</t>
        </is>
      </c>
      <c r="K522" s="16" t="inlineStr">
        <is>
          <t>(39)Ivory</t>
        </is>
      </c>
      <c r="L522" s="16" t="inlineStr">
        <is>
          <t>营业中</t>
        </is>
      </c>
      <c r="M522" s="16" t="inlineStr">
        <is>
          <t>EEKWG24E0139165</t>
        </is>
      </c>
      <c r="N522" s="16">
        <f>LEFT(M522,12)</f>
        <v/>
      </c>
      <c r="O522" s="16" t="inlineStr">
        <is>
          <t>EEKWG24E01, (39)Ivory, (165)165</t>
        </is>
      </c>
      <c r="P522" s="16" t="n">
        <v>699</v>
      </c>
      <c r="Q522" s="16" t="n">
        <v>699</v>
      </c>
      <c r="R522" s="16" t="n">
        <v>5</v>
      </c>
      <c r="S522" s="18" t="n">
        <v>1827</v>
      </c>
      <c r="T522" s="16" t="n">
        <v>3</v>
      </c>
    </row>
    <row r="523" s="103">
      <c r="A523" s="16" t="inlineStr">
        <is>
          <t>B331</t>
        </is>
      </c>
      <c r="B523" s="16" t="inlineStr">
        <is>
          <t>上海区域</t>
        </is>
      </c>
      <c r="C523" s="16" t="inlineStr">
        <is>
          <t>CN0Q</t>
        </is>
      </c>
      <c r="D523" s="16" t="inlineStr">
        <is>
          <t>EE 苏州比斯特购物村</t>
        </is>
      </c>
      <c r="E523" s="16" t="n">
        <v>4</v>
      </c>
      <c r="F523" s="16" t="inlineStr">
        <is>
          <t>奥特莱斯</t>
        </is>
      </c>
      <c r="G523" s="16" t="inlineStr">
        <is>
          <t>EEKWG24E01</t>
        </is>
      </c>
      <c r="H523" s="16" t="n">
        <v>699</v>
      </c>
      <c r="I523" s="16" t="n">
        <v>699</v>
      </c>
      <c r="J523" s="17" t="inlineStr">
        <is>
          <t>########</t>
        </is>
      </c>
      <c r="K523" s="16" t="inlineStr">
        <is>
          <t>(39)Ivory</t>
        </is>
      </c>
      <c r="L523" s="16" t="inlineStr">
        <is>
          <t>营业中</t>
        </is>
      </c>
      <c r="M523" s="16" t="inlineStr">
        <is>
          <t>EEKWG24E0139170</t>
        </is>
      </c>
      <c r="N523" s="16">
        <f>LEFT(M523,12)</f>
        <v/>
      </c>
      <c r="O523" s="16" t="inlineStr">
        <is>
          <t>EEKWG24E01, (39)Ivory, (170)170</t>
        </is>
      </c>
      <c r="P523" s="16" t="n">
        <v>699</v>
      </c>
      <c r="Q523" s="16" t="n">
        <v>699</v>
      </c>
      <c r="R523" s="16" t="n">
        <v>2</v>
      </c>
      <c r="S523" s="16" t="n">
        <v>896</v>
      </c>
      <c r="T523" s="16" t="n">
        <v>0</v>
      </c>
    </row>
    <row r="524" s="103">
      <c r="A524" s="16" t="inlineStr">
        <is>
          <t>B331</t>
        </is>
      </c>
      <c r="B524" s="16" t="inlineStr">
        <is>
          <t>上海区域</t>
        </is>
      </c>
      <c r="C524" s="16" t="inlineStr">
        <is>
          <t>CN0Q</t>
        </is>
      </c>
      <c r="D524" s="16" t="inlineStr">
        <is>
          <t>EE 苏州比斯特购物村</t>
        </is>
      </c>
      <c r="E524" s="16" t="n">
        <v>4</v>
      </c>
      <c r="F524" s="16" t="inlineStr">
        <is>
          <t>奥特莱斯</t>
        </is>
      </c>
      <c r="G524" s="16" t="inlineStr">
        <is>
          <t>EEKWG24E01</t>
        </is>
      </c>
      <c r="H524" s="16" t="n">
        <v>699</v>
      </c>
      <c r="I524" s="16" t="n">
        <v>699</v>
      </c>
      <c r="J524" s="17" t="inlineStr">
        <is>
          <t>########</t>
        </is>
      </c>
      <c r="K524" s="16" t="inlineStr">
        <is>
          <t>(39)Ivory</t>
        </is>
      </c>
      <c r="L524" s="16" t="inlineStr">
        <is>
          <t>营业中</t>
        </is>
      </c>
      <c r="M524" s="16" t="inlineStr">
        <is>
          <t>EEKWG24E0139175</t>
        </is>
      </c>
      <c r="N524" s="16">
        <f>LEFT(M524,12)</f>
        <v/>
      </c>
      <c r="O524" s="16" t="inlineStr">
        <is>
          <t>EEKWG24E01, (39)Ivory, (175)175</t>
        </is>
      </c>
      <c r="P524" s="16" t="n">
        <v>699</v>
      </c>
      <c r="Q524" s="16" t="n">
        <v>699</v>
      </c>
      <c r="R524" s="16" t="n"/>
      <c r="S524" s="16" t="n"/>
      <c r="T524" s="16" t="n">
        <v>1</v>
      </c>
    </row>
    <row r="525" s="103">
      <c r="A525" s="16" t="inlineStr">
        <is>
          <t>B331</t>
        </is>
      </c>
      <c r="B525" s="16" t="inlineStr">
        <is>
          <t>上海区域</t>
        </is>
      </c>
      <c r="C525" s="16" t="inlineStr">
        <is>
          <t>CN0Q</t>
        </is>
      </c>
      <c r="D525" s="16" t="inlineStr">
        <is>
          <t>EE 苏州比斯特购物村</t>
        </is>
      </c>
      <c r="E525" s="16" t="n">
        <v>4</v>
      </c>
      <c r="F525" s="16" t="inlineStr">
        <is>
          <t>奥特莱斯</t>
        </is>
      </c>
      <c r="G525" s="16" t="inlineStr">
        <is>
          <t>EEKWG24E02</t>
        </is>
      </c>
      <c r="H525" s="16" t="n">
        <v>599</v>
      </c>
      <c r="I525" s="16" t="n">
        <v>699</v>
      </c>
      <c r="J525" s="17" t="inlineStr">
        <is>
          <t>########</t>
        </is>
      </c>
      <c r="K525" s="16" t="inlineStr">
        <is>
          <t>(15)Grey</t>
        </is>
      </c>
      <c r="L525" s="16" t="inlineStr">
        <is>
          <t>营业中</t>
        </is>
      </c>
      <c r="M525" s="16" t="inlineStr">
        <is>
          <t>EEKWG24E0215160</t>
        </is>
      </c>
      <c r="N525" s="16">
        <f>LEFT(M525,12)</f>
        <v/>
      </c>
      <c r="O525" s="16" t="inlineStr">
        <is>
          <t>EEKWG24E02, (15)Grey, (160)160</t>
        </is>
      </c>
      <c r="P525" s="16" t="n">
        <v>599</v>
      </c>
      <c r="Q525" s="16" t="n">
        <v>699</v>
      </c>
      <c r="R525" s="16" t="n">
        <v>3</v>
      </c>
      <c r="S525" s="18" t="n">
        <v>1393</v>
      </c>
      <c r="T525" s="16" t="n">
        <v>3</v>
      </c>
    </row>
    <row r="526" s="103">
      <c r="A526" s="16" t="inlineStr">
        <is>
          <t>B331</t>
        </is>
      </c>
      <c r="B526" s="16" t="inlineStr">
        <is>
          <t>上海区域</t>
        </is>
      </c>
      <c r="C526" s="16" t="inlineStr">
        <is>
          <t>CN0Q</t>
        </is>
      </c>
      <c r="D526" s="16" t="inlineStr">
        <is>
          <t>EE 苏州比斯特购物村</t>
        </is>
      </c>
      <c r="E526" s="16" t="n">
        <v>4</v>
      </c>
      <c r="F526" s="16" t="inlineStr">
        <is>
          <t>奥特莱斯</t>
        </is>
      </c>
      <c r="G526" s="16" t="inlineStr">
        <is>
          <t>EEKWG24E02</t>
        </is>
      </c>
      <c r="H526" s="16" t="n">
        <v>599</v>
      </c>
      <c r="I526" s="16" t="n">
        <v>699</v>
      </c>
      <c r="J526" s="17" t="inlineStr">
        <is>
          <t>########</t>
        </is>
      </c>
      <c r="K526" s="16" t="inlineStr">
        <is>
          <t>(15)Grey</t>
        </is>
      </c>
      <c r="L526" s="16" t="inlineStr">
        <is>
          <t>营业中</t>
        </is>
      </c>
      <c r="M526" s="16" t="inlineStr">
        <is>
          <t>EEKWG24E0215165</t>
        </is>
      </c>
      <c r="N526" s="16">
        <f>LEFT(M526,12)</f>
        <v/>
      </c>
      <c r="O526" s="16" t="inlineStr">
        <is>
          <t>EEKWG24E02, (15)Grey, (165)165</t>
        </is>
      </c>
      <c r="P526" s="16" t="n">
        <v>599</v>
      </c>
      <c r="Q526" s="16" t="n">
        <v>699</v>
      </c>
      <c r="R526" s="16" t="n">
        <v>5</v>
      </c>
      <c r="S526" s="18" t="n">
        <v>2281</v>
      </c>
      <c r="T526" s="16" t="n">
        <v>5</v>
      </c>
    </row>
    <row r="527" s="103">
      <c r="A527" s="16" t="inlineStr">
        <is>
          <t>B331</t>
        </is>
      </c>
      <c r="B527" s="16" t="inlineStr">
        <is>
          <t>上海区域</t>
        </is>
      </c>
      <c r="C527" s="16" t="inlineStr">
        <is>
          <t>CN0Q</t>
        </is>
      </c>
      <c r="D527" s="16" t="inlineStr">
        <is>
          <t>EE 苏州比斯特购物村</t>
        </is>
      </c>
      <c r="E527" s="16" t="n">
        <v>4</v>
      </c>
      <c r="F527" s="16" t="inlineStr">
        <is>
          <t>奥特莱斯</t>
        </is>
      </c>
      <c r="G527" s="16" t="inlineStr">
        <is>
          <t>EEKWG24E02</t>
        </is>
      </c>
      <c r="H527" s="16" t="n">
        <v>599</v>
      </c>
      <c r="I527" s="16" t="n">
        <v>699</v>
      </c>
      <c r="J527" s="17" t="inlineStr">
        <is>
          <t>########</t>
        </is>
      </c>
      <c r="K527" s="16" t="inlineStr">
        <is>
          <t>(15)Grey</t>
        </is>
      </c>
      <c r="L527" s="16" t="inlineStr">
        <is>
          <t>营业中</t>
        </is>
      </c>
      <c r="M527" s="16" t="inlineStr">
        <is>
          <t>EEKWG24E0215170</t>
        </is>
      </c>
      <c r="N527" s="16">
        <f>LEFT(M527,12)</f>
        <v/>
      </c>
      <c r="O527" s="16" t="inlineStr">
        <is>
          <t>EEKWG24E02, (15)Grey, (170)170</t>
        </is>
      </c>
      <c r="P527" s="16" t="n">
        <v>599</v>
      </c>
      <c r="Q527" s="16" t="n">
        <v>699</v>
      </c>
      <c r="R527" s="16" t="n">
        <v>1</v>
      </c>
      <c r="S527" s="16" t="n">
        <v>451</v>
      </c>
      <c r="T527" s="16" t="n">
        <v>2</v>
      </c>
    </row>
    <row r="528" s="103">
      <c r="A528" s="16" t="inlineStr">
        <is>
          <t>B331</t>
        </is>
      </c>
      <c r="B528" s="16" t="inlineStr">
        <is>
          <t>上海区域</t>
        </is>
      </c>
      <c r="C528" s="16" t="inlineStr">
        <is>
          <t>CN0Q</t>
        </is>
      </c>
      <c r="D528" s="16" t="inlineStr">
        <is>
          <t>EE 苏州比斯特购物村</t>
        </is>
      </c>
      <c r="E528" s="16" t="n">
        <v>4</v>
      </c>
      <c r="F528" s="16" t="inlineStr">
        <is>
          <t>奥特莱斯</t>
        </is>
      </c>
      <c r="G528" s="16" t="inlineStr">
        <is>
          <t>EEKWG24E02</t>
        </is>
      </c>
      <c r="H528" s="16" t="n">
        <v>599</v>
      </c>
      <c r="I528" s="16" t="n">
        <v>699</v>
      </c>
      <c r="J528" s="17" t="inlineStr">
        <is>
          <t>########</t>
        </is>
      </c>
      <c r="K528" s="16" t="inlineStr">
        <is>
          <t>(15)Grey</t>
        </is>
      </c>
      <c r="L528" s="16" t="inlineStr">
        <is>
          <t>营业中</t>
        </is>
      </c>
      <c r="M528" s="16" t="inlineStr">
        <is>
          <t>EEKWG24E0215175</t>
        </is>
      </c>
      <c r="N528" s="16">
        <f>LEFT(M528,12)</f>
        <v/>
      </c>
      <c r="O528" s="16" t="inlineStr">
        <is>
          <t>EEKWG24E02, (15)Grey, (175)175</t>
        </is>
      </c>
      <c r="P528" s="16" t="n">
        <v>599</v>
      </c>
      <c r="Q528" s="16" t="n">
        <v>699</v>
      </c>
      <c r="R528" s="16" t="n">
        <v>1</v>
      </c>
      <c r="S528" s="16" t="n">
        <v>489</v>
      </c>
      <c r="T528" s="16" t="n">
        <v>1</v>
      </c>
    </row>
    <row r="529" s="103">
      <c r="A529" s="16" t="inlineStr">
        <is>
          <t>B331</t>
        </is>
      </c>
      <c r="B529" s="16" t="inlineStr">
        <is>
          <t>上海区域</t>
        </is>
      </c>
      <c r="C529" s="16" t="inlineStr">
        <is>
          <t>CN0Q</t>
        </is>
      </c>
      <c r="D529" s="16" t="inlineStr">
        <is>
          <t>EE 苏州比斯特购物村</t>
        </is>
      </c>
      <c r="E529" s="16" t="n">
        <v>4</v>
      </c>
      <c r="F529" s="16" t="inlineStr">
        <is>
          <t>奥特莱斯</t>
        </is>
      </c>
      <c r="G529" s="16" t="inlineStr">
        <is>
          <t>EEKWG24E02</t>
        </is>
      </c>
      <c r="H529" s="16" t="n">
        <v>599</v>
      </c>
      <c r="I529" s="16" t="n">
        <v>699</v>
      </c>
      <c r="J529" s="17" t="inlineStr">
        <is>
          <t>########</t>
        </is>
      </c>
      <c r="K529" s="16" t="inlineStr">
        <is>
          <t>(30)Yellow</t>
        </is>
      </c>
      <c r="L529" s="16" t="inlineStr">
        <is>
          <t>营业中</t>
        </is>
      </c>
      <c r="M529" s="16" t="inlineStr">
        <is>
          <t>EEKWG24E0230160</t>
        </is>
      </c>
      <c r="N529" s="16">
        <f>LEFT(M529,12)</f>
        <v/>
      </c>
      <c r="O529" s="16" t="inlineStr">
        <is>
          <t>EEKWG24E02, (30)Yellow, (160)160</t>
        </is>
      </c>
      <c r="P529" s="16" t="n">
        <v>599</v>
      </c>
      <c r="Q529" s="16" t="n">
        <v>699</v>
      </c>
      <c r="R529" s="16" t="n">
        <v>3</v>
      </c>
      <c r="S529" s="16" t="n">
        <v>443</v>
      </c>
      <c r="T529" s="16" t="n">
        <v>2</v>
      </c>
    </row>
    <row r="530" s="103">
      <c r="A530" s="16" t="inlineStr">
        <is>
          <t>B331</t>
        </is>
      </c>
      <c r="B530" s="16" t="inlineStr">
        <is>
          <t>上海区域</t>
        </is>
      </c>
      <c r="C530" s="16" t="inlineStr">
        <is>
          <t>CN0Q</t>
        </is>
      </c>
      <c r="D530" s="16" t="inlineStr">
        <is>
          <t>EE 苏州比斯特购物村</t>
        </is>
      </c>
      <c r="E530" s="16" t="n">
        <v>4</v>
      </c>
      <c r="F530" s="16" t="inlineStr">
        <is>
          <t>奥特莱斯</t>
        </is>
      </c>
      <c r="G530" s="16" t="inlineStr">
        <is>
          <t>EEKWG24E02</t>
        </is>
      </c>
      <c r="H530" s="16" t="n">
        <v>599</v>
      </c>
      <c r="I530" s="16" t="n">
        <v>699</v>
      </c>
      <c r="J530" s="17" t="inlineStr">
        <is>
          <t>########</t>
        </is>
      </c>
      <c r="K530" s="16" t="inlineStr">
        <is>
          <t>(30)Yellow</t>
        </is>
      </c>
      <c r="L530" s="16" t="inlineStr">
        <is>
          <t>营业中</t>
        </is>
      </c>
      <c r="M530" s="16" t="inlineStr">
        <is>
          <t>EEKWG24E0230165</t>
        </is>
      </c>
      <c r="N530" s="16">
        <f>LEFT(M530,12)</f>
        <v/>
      </c>
      <c r="O530" s="16" t="inlineStr">
        <is>
          <t>EEKWG24E02, (30)Yellow, (165)165</t>
        </is>
      </c>
      <c r="P530" s="16" t="n">
        <v>599</v>
      </c>
      <c r="Q530" s="16" t="n">
        <v>699</v>
      </c>
      <c r="R530" s="16" t="n">
        <v>8</v>
      </c>
      <c r="S530" s="18" t="n">
        <v>1390</v>
      </c>
      <c r="T530" s="16" t="n">
        <v>9</v>
      </c>
    </row>
    <row r="531" s="103">
      <c r="A531" s="16" t="inlineStr">
        <is>
          <t>B331</t>
        </is>
      </c>
      <c r="B531" s="16" t="inlineStr">
        <is>
          <t>上海区域</t>
        </is>
      </c>
      <c r="C531" s="16" t="inlineStr">
        <is>
          <t>CN0Q</t>
        </is>
      </c>
      <c r="D531" s="16" t="inlineStr">
        <is>
          <t>EE 苏州比斯特购物村</t>
        </is>
      </c>
      <c r="E531" s="16" t="n">
        <v>4</v>
      </c>
      <c r="F531" s="16" t="inlineStr">
        <is>
          <t>奥特莱斯</t>
        </is>
      </c>
      <c r="G531" s="16" t="inlineStr">
        <is>
          <t>EEKWG24E02</t>
        </is>
      </c>
      <c r="H531" s="16" t="n">
        <v>599</v>
      </c>
      <c r="I531" s="16" t="n">
        <v>699</v>
      </c>
      <c r="J531" s="17" t="inlineStr">
        <is>
          <t>########</t>
        </is>
      </c>
      <c r="K531" s="16" t="inlineStr">
        <is>
          <t>(30)Yellow</t>
        </is>
      </c>
      <c r="L531" s="16" t="inlineStr">
        <is>
          <t>营业中</t>
        </is>
      </c>
      <c r="M531" s="16" t="inlineStr">
        <is>
          <t>EEKWG24E0230170</t>
        </is>
      </c>
      <c r="N531" s="16">
        <f>LEFT(M531,12)</f>
        <v/>
      </c>
      <c r="O531" s="16" t="inlineStr">
        <is>
          <t>EEKWG24E02, (30)Yellow, (170)170</t>
        </is>
      </c>
      <c r="P531" s="16" t="n">
        <v>599</v>
      </c>
      <c r="Q531" s="16" t="n">
        <v>699</v>
      </c>
      <c r="R531" s="16" t="n">
        <v>2</v>
      </c>
      <c r="S531" s="16" t="n"/>
      <c r="T531" s="16" t="n">
        <v>4</v>
      </c>
    </row>
    <row r="532" s="103">
      <c r="A532" s="16" t="inlineStr">
        <is>
          <t>B331</t>
        </is>
      </c>
      <c r="B532" s="16" t="inlineStr">
        <is>
          <t>上海区域</t>
        </is>
      </c>
      <c r="C532" s="16" t="inlineStr">
        <is>
          <t>CN0Q</t>
        </is>
      </c>
      <c r="D532" s="16" t="inlineStr">
        <is>
          <t>EE 苏州比斯特购物村</t>
        </is>
      </c>
      <c r="E532" s="16" t="n">
        <v>4</v>
      </c>
      <c r="F532" s="16" t="inlineStr">
        <is>
          <t>奥特莱斯</t>
        </is>
      </c>
      <c r="G532" s="16" t="inlineStr">
        <is>
          <t>EEKWG24E02</t>
        </is>
      </c>
      <c r="H532" s="16" t="n">
        <v>599</v>
      </c>
      <c r="I532" s="16" t="n">
        <v>699</v>
      </c>
      <c r="J532" s="17" t="inlineStr">
        <is>
          <t>########</t>
        </is>
      </c>
      <c r="K532" s="16" t="inlineStr">
        <is>
          <t>(30)Yellow</t>
        </is>
      </c>
      <c r="L532" s="16" t="inlineStr">
        <is>
          <t>营业中</t>
        </is>
      </c>
      <c r="M532" s="16" t="inlineStr">
        <is>
          <t>EEKWG24E0230175</t>
        </is>
      </c>
      <c r="N532" s="16">
        <f>LEFT(M532,12)</f>
        <v/>
      </c>
      <c r="O532" s="16" t="inlineStr">
        <is>
          <t>EEKWG24E02, (30)Yellow, (175)175</t>
        </is>
      </c>
      <c r="P532" s="16" t="n">
        <v>599</v>
      </c>
      <c r="Q532" s="16" t="n">
        <v>699</v>
      </c>
      <c r="R532" s="16" t="n">
        <v>1</v>
      </c>
      <c r="S532" s="16" t="n">
        <v>489</v>
      </c>
      <c r="T532" s="16" t="n">
        <v>0</v>
      </c>
    </row>
    <row r="533" s="103">
      <c r="A533" s="16" t="inlineStr">
        <is>
          <t>B331</t>
        </is>
      </c>
      <c r="B533" s="16" t="inlineStr">
        <is>
          <t>上海区域</t>
        </is>
      </c>
      <c r="C533" s="16" t="inlineStr">
        <is>
          <t>CN0Q</t>
        </is>
      </c>
      <c r="D533" s="16" t="inlineStr">
        <is>
          <t>EE 苏州比斯特购物村</t>
        </is>
      </c>
      <c r="E533" s="16" t="n">
        <v>4</v>
      </c>
      <c r="F533" s="16" t="inlineStr">
        <is>
          <t>奥特莱斯</t>
        </is>
      </c>
      <c r="G533" s="16" t="inlineStr">
        <is>
          <t>EEKWG24E02</t>
        </is>
      </c>
      <c r="H533" s="16" t="n">
        <v>599</v>
      </c>
      <c r="I533" s="16" t="n">
        <v>699</v>
      </c>
      <c r="J533" s="17" t="inlineStr">
        <is>
          <t>########</t>
        </is>
      </c>
      <c r="K533" s="16" t="inlineStr">
        <is>
          <t>(39)Ivory</t>
        </is>
      </c>
      <c r="L533" s="16" t="inlineStr">
        <is>
          <t>营业中</t>
        </is>
      </c>
      <c r="M533" s="16" t="inlineStr">
        <is>
          <t>EEKWG24E0239160</t>
        </is>
      </c>
      <c r="N533" s="16">
        <f>LEFT(M533,12)</f>
        <v/>
      </c>
      <c r="O533" s="16" t="inlineStr">
        <is>
          <t>EEKWG24E02, (39)Ivory, (160)160</t>
        </is>
      </c>
      <c r="P533" s="16" t="n">
        <v>599</v>
      </c>
      <c r="Q533" s="16" t="n">
        <v>699</v>
      </c>
      <c r="R533" s="16" t="n">
        <v>4</v>
      </c>
      <c r="S533" s="18" t="n">
        <v>1366</v>
      </c>
      <c r="T533" s="16" t="n">
        <v>4</v>
      </c>
    </row>
    <row r="534" s="103">
      <c r="A534" s="16" t="inlineStr">
        <is>
          <t>B331</t>
        </is>
      </c>
      <c r="B534" s="16" t="inlineStr">
        <is>
          <t>上海区域</t>
        </is>
      </c>
      <c r="C534" s="16" t="inlineStr">
        <is>
          <t>CN0Q</t>
        </is>
      </c>
      <c r="D534" s="16" t="inlineStr">
        <is>
          <t>EE 苏州比斯特购物村</t>
        </is>
      </c>
      <c r="E534" s="16" t="n">
        <v>4</v>
      </c>
      <c r="F534" s="16" t="inlineStr">
        <is>
          <t>奥特莱斯</t>
        </is>
      </c>
      <c r="G534" s="16" t="inlineStr">
        <is>
          <t>EEKWG24E02</t>
        </is>
      </c>
      <c r="H534" s="16" t="n">
        <v>599</v>
      </c>
      <c r="I534" s="16" t="n">
        <v>699</v>
      </c>
      <c r="J534" s="17" t="inlineStr">
        <is>
          <t>########</t>
        </is>
      </c>
      <c r="K534" s="16" t="inlineStr">
        <is>
          <t>(39)Ivory</t>
        </is>
      </c>
      <c r="L534" s="16" t="inlineStr">
        <is>
          <t>营业中</t>
        </is>
      </c>
      <c r="M534" s="16" t="inlineStr">
        <is>
          <t>EEKWG24E0239165</t>
        </is>
      </c>
      <c r="N534" s="16">
        <f>LEFT(M534,12)</f>
        <v/>
      </c>
      <c r="O534" s="16" t="inlineStr">
        <is>
          <t>EEKWG24E02, (39)Ivory, (165)165</t>
        </is>
      </c>
      <c r="P534" s="16" t="n">
        <v>599</v>
      </c>
      <c r="Q534" s="16" t="n">
        <v>699</v>
      </c>
      <c r="R534" s="16" t="n">
        <v>6</v>
      </c>
      <c r="S534" s="18" t="n">
        <v>1834</v>
      </c>
      <c r="T534" s="16" t="n">
        <v>6</v>
      </c>
    </row>
    <row r="535" s="103">
      <c r="A535" s="16" t="inlineStr">
        <is>
          <t>B331</t>
        </is>
      </c>
      <c r="B535" s="16" t="inlineStr">
        <is>
          <t>上海区域</t>
        </is>
      </c>
      <c r="C535" s="16" t="inlineStr">
        <is>
          <t>CN0Q</t>
        </is>
      </c>
      <c r="D535" s="16" t="inlineStr">
        <is>
          <t>EE 苏州比斯特购物村</t>
        </is>
      </c>
      <c r="E535" s="16" t="n">
        <v>4</v>
      </c>
      <c r="F535" s="16" t="inlineStr">
        <is>
          <t>奥特莱斯</t>
        </is>
      </c>
      <c r="G535" s="16" t="inlineStr">
        <is>
          <t>EEKWG24E02</t>
        </is>
      </c>
      <c r="H535" s="16" t="n">
        <v>599</v>
      </c>
      <c r="I535" s="16" t="n">
        <v>699</v>
      </c>
      <c r="J535" s="17" t="inlineStr">
        <is>
          <t>########</t>
        </is>
      </c>
      <c r="K535" s="16" t="inlineStr">
        <is>
          <t>(39)Ivory</t>
        </is>
      </c>
      <c r="L535" s="16" t="inlineStr">
        <is>
          <t>营业中</t>
        </is>
      </c>
      <c r="M535" s="16" t="inlineStr">
        <is>
          <t>EEKWG24E0239170</t>
        </is>
      </c>
      <c r="N535" s="16">
        <f>LEFT(M535,12)</f>
        <v/>
      </c>
      <c r="O535" s="16" t="inlineStr">
        <is>
          <t>EEKWG24E02, (39)Ivory, (170)170</t>
        </is>
      </c>
      <c r="P535" s="16" t="n">
        <v>599</v>
      </c>
      <c r="Q535" s="16" t="n">
        <v>699</v>
      </c>
      <c r="R535" s="16" t="n">
        <v>1</v>
      </c>
      <c r="S535" s="16" t="n">
        <v>443</v>
      </c>
      <c r="T535" s="16" t="n">
        <v>1</v>
      </c>
    </row>
    <row r="536" s="103">
      <c r="A536" s="16" t="inlineStr">
        <is>
          <t>B331</t>
        </is>
      </c>
      <c r="B536" s="16" t="inlineStr">
        <is>
          <t>上海区域</t>
        </is>
      </c>
      <c r="C536" s="16" t="inlineStr">
        <is>
          <t>CN0Q</t>
        </is>
      </c>
      <c r="D536" s="16" t="inlineStr">
        <is>
          <t>EE 苏州比斯特购物村</t>
        </is>
      </c>
      <c r="E536" s="16" t="n">
        <v>4</v>
      </c>
      <c r="F536" s="16" t="inlineStr">
        <is>
          <t>奥特莱斯</t>
        </is>
      </c>
      <c r="G536" s="16" t="inlineStr">
        <is>
          <t>EEKWG24E02</t>
        </is>
      </c>
      <c r="H536" s="16" t="n">
        <v>599</v>
      </c>
      <c r="I536" s="16" t="n">
        <v>699</v>
      </c>
      <c r="J536" s="17" t="inlineStr">
        <is>
          <t>########</t>
        </is>
      </c>
      <c r="K536" s="16" t="inlineStr">
        <is>
          <t>(39)Ivory</t>
        </is>
      </c>
      <c r="L536" s="16" t="inlineStr">
        <is>
          <t>营业中</t>
        </is>
      </c>
      <c r="M536" s="16" t="inlineStr">
        <is>
          <t>EEKWG24E0239175</t>
        </is>
      </c>
      <c r="N536" s="16">
        <f>LEFT(M536,12)</f>
        <v/>
      </c>
      <c r="O536" s="16" t="inlineStr">
        <is>
          <t>EEKWG24E02, (39)Ivory, (175)175</t>
        </is>
      </c>
      <c r="P536" s="16" t="n">
        <v>599</v>
      </c>
      <c r="Q536" s="16" t="n">
        <v>699</v>
      </c>
      <c r="R536" s="16" t="n"/>
      <c r="S536" s="16" t="n"/>
      <c r="T536" s="16" t="n">
        <v>1</v>
      </c>
    </row>
    <row r="537" s="103">
      <c r="A537" s="16" t="inlineStr">
        <is>
          <t>B331</t>
        </is>
      </c>
      <c r="B537" s="16" t="inlineStr">
        <is>
          <t>上海区域</t>
        </is>
      </c>
      <c r="C537" s="16" t="inlineStr">
        <is>
          <t>CN0Q</t>
        </is>
      </c>
      <c r="D537" s="16" t="inlineStr">
        <is>
          <t>EE 苏州比斯特购物村</t>
        </is>
      </c>
      <c r="E537" s="16" t="n">
        <v>4</v>
      </c>
      <c r="F537" s="16" t="inlineStr">
        <is>
          <t>奥特莱斯</t>
        </is>
      </c>
      <c r="G537" s="16" t="inlineStr">
        <is>
          <t>EEKWG24E02</t>
        </is>
      </c>
      <c r="H537" s="16" t="n">
        <v>599</v>
      </c>
      <c r="I537" s="16" t="n">
        <v>699</v>
      </c>
      <c r="J537" s="17" t="inlineStr">
        <is>
          <t>########</t>
        </is>
      </c>
      <c r="K537" s="16" t="inlineStr">
        <is>
          <t>(51)L/Blue</t>
        </is>
      </c>
      <c r="L537" s="16" t="inlineStr">
        <is>
          <t>营业中</t>
        </is>
      </c>
      <c r="M537" s="16" t="inlineStr">
        <is>
          <t>EEKWG24E0251160</t>
        </is>
      </c>
      <c r="N537" s="16">
        <f>LEFT(M537,12)</f>
        <v/>
      </c>
      <c r="O537" s="16" t="inlineStr">
        <is>
          <t>EEKWG24E02, (51)L/Blue, (160)160</t>
        </is>
      </c>
      <c r="P537" s="16" t="n">
        <v>599</v>
      </c>
      <c r="Q537" s="16" t="n">
        <v>699</v>
      </c>
      <c r="R537" s="16" t="n">
        <v>6</v>
      </c>
      <c r="S537" s="18" t="n">
        <v>1792</v>
      </c>
      <c r="T537" s="16" t="n">
        <v>8</v>
      </c>
    </row>
    <row r="538" s="103">
      <c r="A538" s="16" t="inlineStr">
        <is>
          <t>B331</t>
        </is>
      </c>
      <c r="B538" s="16" t="inlineStr">
        <is>
          <t>上海区域</t>
        </is>
      </c>
      <c r="C538" s="16" t="inlineStr">
        <is>
          <t>CN0Q</t>
        </is>
      </c>
      <c r="D538" s="16" t="inlineStr">
        <is>
          <t>EE 苏州比斯特购物村</t>
        </is>
      </c>
      <c r="E538" s="16" t="n">
        <v>4</v>
      </c>
      <c r="F538" s="16" t="inlineStr">
        <is>
          <t>奥特莱斯</t>
        </is>
      </c>
      <c r="G538" s="16" t="inlineStr">
        <is>
          <t>EEKWG24E02</t>
        </is>
      </c>
      <c r="H538" s="16" t="n">
        <v>599</v>
      </c>
      <c r="I538" s="16" t="n">
        <v>699</v>
      </c>
      <c r="J538" s="17" t="inlineStr">
        <is>
          <t>########</t>
        </is>
      </c>
      <c r="K538" s="16" t="inlineStr">
        <is>
          <t>(51)L/Blue</t>
        </is>
      </c>
      <c r="L538" s="16" t="inlineStr">
        <is>
          <t>营业中</t>
        </is>
      </c>
      <c r="M538" s="16" t="inlineStr">
        <is>
          <t>EEKWG24E0251165</t>
        </is>
      </c>
      <c r="N538" s="16">
        <f>LEFT(M538,12)</f>
        <v/>
      </c>
      <c r="O538" s="16" t="inlineStr">
        <is>
          <t>EEKWG24E02, (51)L/Blue, (165)165</t>
        </is>
      </c>
      <c r="P538" s="16" t="n">
        <v>599</v>
      </c>
      <c r="Q538" s="16" t="n">
        <v>699</v>
      </c>
      <c r="R538" s="16" t="n">
        <v>4</v>
      </c>
      <c r="S538" s="16" t="n">
        <v>940</v>
      </c>
      <c r="T538" s="16" t="n">
        <v>7</v>
      </c>
    </row>
    <row r="539" s="103">
      <c r="A539" s="16" t="inlineStr">
        <is>
          <t>B331</t>
        </is>
      </c>
      <c r="B539" s="16" t="inlineStr">
        <is>
          <t>上海区域</t>
        </is>
      </c>
      <c r="C539" s="16" t="inlineStr">
        <is>
          <t>CN0Q</t>
        </is>
      </c>
      <c r="D539" s="16" t="inlineStr">
        <is>
          <t>EE 苏州比斯特购物村</t>
        </is>
      </c>
      <c r="E539" s="16" t="n">
        <v>4</v>
      </c>
      <c r="F539" s="16" t="inlineStr">
        <is>
          <t>奥特莱斯</t>
        </is>
      </c>
      <c r="G539" s="16" t="inlineStr">
        <is>
          <t>EEKWG24E02</t>
        </is>
      </c>
      <c r="H539" s="16" t="n">
        <v>599</v>
      </c>
      <c r="I539" s="16" t="n">
        <v>699</v>
      </c>
      <c r="J539" s="17" t="inlineStr">
        <is>
          <t>########</t>
        </is>
      </c>
      <c r="K539" s="16" t="inlineStr">
        <is>
          <t>(51)L/Blue</t>
        </is>
      </c>
      <c r="L539" s="16" t="inlineStr">
        <is>
          <t>营业中</t>
        </is>
      </c>
      <c r="M539" s="16" t="inlineStr">
        <is>
          <t>EEKWG24E0251170</t>
        </is>
      </c>
      <c r="N539" s="16">
        <f>LEFT(M539,12)</f>
        <v/>
      </c>
      <c r="O539" s="16" t="inlineStr">
        <is>
          <t>EEKWG24E02, (51)L/Blue, (170)170</t>
        </is>
      </c>
      <c r="P539" s="16" t="n">
        <v>599</v>
      </c>
      <c r="Q539" s="16" t="n">
        <v>699</v>
      </c>
      <c r="R539" s="16" t="n">
        <v>3</v>
      </c>
      <c r="S539" s="18" t="n">
        <v>1396</v>
      </c>
      <c r="T539" s="16" t="n">
        <v>5</v>
      </c>
    </row>
    <row r="540" s="103">
      <c r="A540" s="16" t="inlineStr">
        <is>
          <t>B331</t>
        </is>
      </c>
      <c r="B540" s="16" t="inlineStr">
        <is>
          <t>上海区域</t>
        </is>
      </c>
      <c r="C540" s="16" t="inlineStr">
        <is>
          <t>CN0Q</t>
        </is>
      </c>
      <c r="D540" s="16" t="inlineStr">
        <is>
          <t>EE 苏州比斯特购物村</t>
        </is>
      </c>
      <c r="E540" s="16" t="n">
        <v>4</v>
      </c>
      <c r="F540" s="16" t="inlineStr">
        <is>
          <t>奥特莱斯</t>
        </is>
      </c>
      <c r="G540" s="16" t="inlineStr">
        <is>
          <t>EEKWG24E02</t>
        </is>
      </c>
      <c r="H540" s="16" t="n">
        <v>599</v>
      </c>
      <c r="I540" s="16" t="n">
        <v>699</v>
      </c>
      <c r="J540" s="17" t="inlineStr">
        <is>
          <t>########</t>
        </is>
      </c>
      <c r="K540" s="16" t="inlineStr">
        <is>
          <t>(51)L/Blue</t>
        </is>
      </c>
      <c r="L540" s="16" t="inlineStr">
        <is>
          <t>营业中</t>
        </is>
      </c>
      <c r="M540" s="16" t="inlineStr">
        <is>
          <t>EEKWG24E0251175</t>
        </is>
      </c>
      <c r="N540" s="16">
        <f>LEFT(M540,12)</f>
        <v/>
      </c>
      <c r="O540" s="16" t="inlineStr">
        <is>
          <t>EEKWG24E02, (51)L/Blue, (175)175</t>
        </is>
      </c>
      <c r="P540" s="16" t="n">
        <v>599</v>
      </c>
      <c r="Q540" s="16" t="n">
        <v>699</v>
      </c>
      <c r="R540" s="16" t="n">
        <v>1</v>
      </c>
      <c r="S540" s="16" t="n">
        <v>489</v>
      </c>
      <c r="T540" s="16" t="n">
        <v>0</v>
      </c>
    </row>
    <row r="541" s="103">
      <c r="A541" s="16" t="inlineStr">
        <is>
          <t>B331</t>
        </is>
      </c>
      <c r="B541" s="16" t="inlineStr">
        <is>
          <t>上海区域</t>
        </is>
      </c>
      <c r="C541" s="16" t="inlineStr">
        <is>
          <t>CN0Q</t>
        </is>
      </c>
      <c r="D541" s="16" t="inlineStr">
        <is>
          <t>EE 苏州比斯特购物村</t>
        </is>
      </c>
      <c r="E541" s="16" t="n">
        <v>4</v>
      </c>
      <c r="F541" s="16" t="inlineStr">
        <is>
          <t>奥特莱斯</t>
        </is>
      </c>
      <c r="G541" s="16" t="inlineStr">
        <is>
          <t>EEKWG24E02</t>
        </is>
      </c>
      <c r="H541" s="16" t="n">
        <v>599</v>
      </c>
      <c r="I541" s="16" t="n">
        <v>699</v>
      </c>
      <c r="J541" s="17" t="inlineStr">
        <is>
          <t>########</t>
        </is>
      </c>
      <c r="K541" s="16" t="inlineStr">
        <is>
          <t>(88)Lavender</t>
        </is>
      </c>
      <c r="L541" s="16" t="inlineStr">
        <is>
          <t>营业中</t>
        </is>
      </c>
      <c r="M541" s="16" t="inlineStr">
        <is>
          <t>EEKWG24E0288160</t>
        </is>
      </c>
      <c r="N541" s="16">
        <f>LEFT(M541,12)</f>
        <v/>
      </c>
      <c r="O541" s="16" t="inlineStr">
        <is>
          <t>EEKWG24E02, (88)Lavender, (160)160</t>
        </is>
      </c>
      <c r="P541" s="16" t="n">
        <v>599</v>
      </c>
      <c r="Q541" s="16" t="n">
        <v>699</v>
      </c>
      <c r="R541" s="16" t="n">
        <v>2</v>
      </c>
      <c r="S541" s="16" t="n">
        <v>885</v>
      </c>
      <c r="T541" s="16" t="n">
        <v>2</v>
      </c>
    </row>
    <row r="542" s="103">
      <c r="A542" s="16" t="inlineStr">
        <is>
          <t>B331</t>
        </is>
      </c>
      <c r="B542" s="16" t="inlineStr">
        <is>
          <t>上海区域</t>
        </is>
      </c>
      <c r="C542" s="16" t="inlineStr">
        <is>
          <t>CN0Q</t>
        </is>
      </c>
      <c r="D542" s="16" t="inlineStr">
        <is>
          <t>EE 苏州比斯特购物村</t>
        </is>
      </c>
      <c r="E542" s="16" t="n">
        <v>4</v>
      </c>
      <c r="F542" s="16" t="inlineStr">
        <is>
          <t>奥特莱斯</t>
        </is>
      </c>
      <c r="G542" s="16" t="inlineStr">
        <is>
          <t>EEKWG24E02</t>
        </is>
      </c>
      <c r="H542" s="16" t="n">
        <v>599</v>
      </c>
      <c r="I542" s="16" t="n">
        <v>699</v>
      </c>
      <c r="J542" s="17" t="inlineStr">
        <is>
          <t>########</t>
        </is>
      </c>
      <c r="K542" s="16" t="inlineStr">
        <is>
          <t>(88)Lavender</t>
        </is>
      </c>
      <c r="L542" s="16" t="inlineStr">
        <is>
          <t>营业中</t>
        </is>
      </c>
      <c r="M542" s="16" t="inlineStr">
        <is>
          <t>EEKWG24E0288165</t>
        </is>
      </c>
      <c r="N542" s="16">
        <f>LEFT(M542,12)</f>
        <v/>
      </c>
      <c r="O542" s="16" t="inlineStr">
        <is>
          <t>EEKWG24E02, (88)Lavender, (165)165</t>
        </is>
      </c>
      <c r="P542" s="16" t="n">
        <v>599</v>
      </c>
      <c r="Q542" s="16" t="n">
        <v>699</v>
      </c>
      <c r="R542" s="16" t="n">
        <v>1</v>
      </c>
      <c r="S542" s="16" t="n">
        <v>443</v>
      </c>
      <c r="T542" s="16" t="n">
        <v>1</v>
      </c>
    </row>
    <row r="543" s="103">
      <c r="A543" s="16" t="inlineStr">
        <is>
          <t>B331</t>
        </is>
      </c>
      <c r="B543" s="16" t="inlineStr">
        <is>
          <t>上海区域</t>
        </is>
      </c>
      <c r="C543" s="16" t="inlineStr">
        <is>
          <t>CN0Q</t>
        </is>
      </c>
      <c r="D543" s="16" t="inlineStr">
        <is>
          <t>EE 苏州比斯特购物村</t>
        </is>
      </c>
      <c r="E543" s="16" t="n">
        <v>4</v>
      </c>
      <c r="F543" s="16" t="inlineStr">
        <is>
          <t>奥特莱斯</t>
        </is>
      </c>
      <c r="G543" s="16" t="inlineStr">
        <is>
          <t>EEKWG24E02</t>
        </is>
      </c>
      <c r="H543" s="16" t="n">
        <v>599</v>
      </c>
      <c r="I543" s="16" t="n">
        <v>699</v>
      </c>
      <c r="J543" s="17" t="inlineStr">
        <is>
          <t>########</t>
        </is>
      </c>
      <c r="K543" s="16" t="inlineStr">
        <is>
          <t>(88)Lavender</t>
        </is>
      </c>
      <c r="L543" s="16" t="inlineStr">
        <is>
          <t>营业中</t>
        </is>
      </c>
      <c r="M543" s="16" t="inlineStr">
        <is>
          <t>EEKWG24E0288170</t>
        </is>
      </c>
      <c r="N543" s="16">
        <f>LEFT(M543,12)</f>
        <v/>
      </c>
      <c r="O543" s="16" t="inlineStr">
        <is>
          <t>EEKWG24E02, (88)Lavender, (170)170</t>
        </is>
      </c>
      <c r="P543" s="16" t="n">
        <v>599</v>
      </c>
      <c r="Q543" s="16" t="n">
        <v>699</v>
      </c>
      <c r="R543" s="16" t="n">
        <v>2</v>
      </c>
      <c r="S543" s="16" t="n">
        <v>458</v>
      </c>
      <c r="T543" s="16" t="n">
        <v>2</v>
      </c>
    </row>
    <row r="544" s="103">
      <c r="A544" s="16" t="inlineStr">
        <is>
          <t>B331</t>
        </is>
      </c>
      <c r="B544" s="16" t="inlineStr">
        <is>
          <t>上海区域</t>
        </is>
      </c>
      <c r="C544" s="16" t="inlineStr">
        <is>
          <t>CN0Q</t>
        </is>
      </c>
      <c r="D544" s="16" t="inlineStr">
        <is>
          <t>EE 苏州比斯特购物村</t>
        </is>
      </c>
      <c r="E544" s="16" t="n">
        <v>4</v>
      </c>
      <c r="F544" s="16" t="inlineStr">
        <is>
          <t>奥特莱斯</t>
        </is>
      </c>
      <c r="G544" s="16" t="inlineStr">
        <is>
          <t>EEKWG24E02</t>
        </is>
      </c>
      <c r="H544" s="16" t="n">
        <v>599</v>
      </c>
      <c r="I544" s="16" t="n">
        <v>699</v>
      </c>
      <c r="J544" s="17" t="inlineStr">
        <is>
          <t>########</t>
        </is>
      </c>
      <c r="K544" s="16" t="inlineStr">
        <is>
          <t>(88)Lavender</t>
        </is>
      </c>
      <c r="L544" s="16" t="inlineStr">
        <is>
          <t>营业中</t>
        </is>
      </c>
      <c r="M544" s="16" t="inlineStr">
        <is>
          <t>EEKWG24E0288175</t>
        </is>
      </c>
      <c r="N544" s="16">
        <f>LEFT(M544,12)</f>
        <v/>
      </c>
      <c r="O544" s="16" t="inlineStr">
        <is>
          <t>EEKWG24E02, (88)Lavender, (175)175</t>
        </is>
      </c>
      <c r="P544" s="16" t="n">
        <v>599</v>
      </c>
      <c r="Q544" s="16" t="n">
        <v>699</v>
      </c>
      <c r="R544" s="16" t="n">
        <v>1</v>
      </c>
      <c r="S544" s="16" t="n">
        <v>489</v>
      </c>
      <c r="T544" s="16" t="n">
        <v>0</v>
      </c>
    </row>
    <row r="545" s="103">
      <c r="A545" s="16" t="inlineStr">
        <is>
          <t>B331</t>
        </is>
      </c>
      <c r="B545" s="16" t="inlineStr">
        <is>
          <t>上海区域</t>
        </is>
      </c>
      <c r="C545" s="16" t="inlineStr">
        <is>
          <t>CN0Q</t>
        </is>
      </c>
      <c r="D545" s="16" t="inlineStr">
        <is>
          <t>EE 苏州比斯特购物村</t>
        </is>
      </c>
      <c r="E545" s="16" t="n">
        <v>4</v>
      </c>
      <c r="F545" s="16" t="inlineStr">
        <is>
          <t>奥特莱斯</t>
        </is>
      </c>
      <c r="G545" s="16" t="inlineStr">
        <is>
          <t>EEKWG24E03</t>
        </is>
      </c>
      <c r="H545" s="16" t="n">
        <v>699</v>
      </c>
      <c r="I545" s="16" t="n">
        <v>699</v>
      </c>
      <c r="J545" s="17" t="inlineStr">
        <is>
          <t>########</t>
        </is>
      </c>
      <c r="K545" s="16" t="inlineStr">
        <is>
          <t>(18)M/Grey</t>
        </is>
      </c>
      <c r="L545" s="16" t="inlineStr">
        <is>
          <t>营业中</t>
        </is>
      </c>
      <c r="M545" s="16" t="inlineStr">
        <is>
          <t>EEKWG24E0318160</t>
        </is>
      </c>
      <c r="N545" s="16">
        <f>LEFT(M545,12)</f>
        <v/>
      </c>
      <c r="O545" s="16" t="inlineStr">
        <is>
          <t>EEKWG24E03, (18)M/Grey, (160)160</t>
        </is>
      </c>
      <c r="P545" s="16" t="n">
        <v>699</v>
      </c>
      <c r="Q545" s="16" t="n">
        <v>699</v>
      </c>
      <c r="R545" s="16" t="n"/>
      <c r="S545" s="16" t="n"/>
      <c r="T545" s="16" t="n">
        <v>4</v>
      </c>
    </row>
    <row r="546" s="103">
      <c r="A546" s="16" t="inlineStr">
        <is>
          <t>B331</t>
        </is>
      </c>
      <c r="B546" s="16" t="inlineStr">
        <is>
          <t>上海区域</t>
        </is>
      </c>
      <c r="C546" s="16" t="inlineStr">
        <is>
          <t>CN0Q</t>
        </is>
      </c>
      <c r="D546" s="16" t="inlineStr">
        <is>
          <t>EE 苏州比斯特购物村</t>
        </is>
      </c>
      <c r="E546" s="16" t="n">
        <v>4</v>
      </c>
      <c r="F546" s="16" t="inlineStr">
        <is>
          <t>奥特莱斯</t>
        </is>
      </c>
      <c r="G546" s="16" t="inlineStr">
        <is>
          <t>EEKWG24E03</t>
        </is>
      </c>
      <c r="H546" s="16" t="n">
        <v>699</v>
      </c>
      <c r="I546" s="16" t="n">
        <v>699</v>
      </c>
      <c r="J546" s="17" t="inlineStr">
        <is>
          <t>########</t>
        </is>
      </c>
      <c r="K546" s="16" t="inlineStr">
        <is>
          <t>(18)M/Grey</t>
        </is>
      </c>
      <c r="L546" s="16" t="inlineStr">
        <is>
          <t>营业中</t>
        </is>
      </c>
      <c r="M546" s="16" t="inlineStr">
        <is>
          <t>EEKWG24E0318165</t>
        </is>
      </c>
      <c r="N546" s="16">
        <f>LEFT(M546,12)</f>
        <v/>
      </c>
      <c r="O546" s="16" t="inlineStr">
        <is>
          <t>EEKWG24E03, (18)M/Grey, (165)165</t>
        </is>
      </c>
      <c r="P546" s="16" t="n">
        <v>699</v>
      </c>
      <c r="Q546" s="16" t="n">
        <v>699</v>
      </c>
      <c r="R546" s="16" t="n">
        <v>2</v>
      </c>
      <c r="S546" s="16" t="n">
        <v>447</v>
      </c>
      <c r="T546" s="16" t="n">
        <v>5</v>
      </c>
    </row>
    <row r="547" s="103">
      <c r="A547" s="16" t="inlineStr">
        <is>
          <t>B331</t>
        </is>
      </c>
      <c r="B547" s="16" t="inlineStr">
        <is>
          <t>上海区域</t>
        </is>
      </c>
      <c r="C547" s="16" t="inlineStr">
        <is>
          <t>CN0Q</t>
        </is>
      </c>
      <c r="D547" s="16" t="inlineStr">
        <is>
          <t>EE 苏州比斯特购物村</t>
        </is>
      </c>
      <c r="E547" s="16" t="n">
        <v>4</v>
      </c>
      <c r="F547" s="16" t="inlineStr">
        <is>
          <t>奥特莱斯</t>
        </is>
      </c>
      <c r="G547" s="16" t="inlineStr">
        <is>
          <t>EEKWG24E03</t>
        </is>
      </c>
      <c r="H547" s="16" t="n">
        <v>699</v>
      </c>
      <c r="I547" s="16" t="n">
        <v>699</v>
      </c>
      <c r="J547" s="17" t="inlineStr">
        <is>
          <t>########</t>
        </is>
      </c>
      <c r="K547" s="16" t="inlineStr">
        <is>
          <t>(18)M/Grey</t>
        </is>
      </c>
      <c r="L547" s="16" t="inlineStr">
        <is>
          <t>营业中</t>
        </is>
      </c>
      <c r="M547" s="16" t="inlineStr">
        <is>
          <t>EEKWG24E0318170</t>
        </is>
      </c>
      <c r="N547" s="16">
        <f>LEFT(M547,12)</f>
        <v/>
      </c>
      <c r="O547" s="16" t="inlineStr">
        <is>
          <t>EEKWG24E03, (18)M/Grey, (170)170</t>
        </is>
      </c>
      <c r="P547" s="16" t="n">
        <v>699</v>
      </c>
      <c r="Q547" s="16" t="n">
        <v>699</v>
      </c>
      <c r="R547" s="16" t="n">
        <v>1</v>
      </c>
      <c r="S547" s="16" t="n">
        <v>489</v>
      </c>
      <c r="T547" s="16" t="n">
        <v>3</v>
      </c>
    </row>
    <row r="548" s="103">
      <c r="A548" s="16" t="inlineStr">
        <is>
          <t>B331</t>
        </is>
      </c>
      <c r="B548" s="16" t="inlineStr">
        <is>
          <t>上海区域</t>
        </is>
      </c>
      <c r="C548" s="16" t="inlineStr">
        <is>
          <t>CN0Q</t>
        </is>
      </c>
      <c r="D548" s="16" t="inlineStr">
        <is>
          <t>EE 苏州比斯特购物村</t>
        </is>
      </c>
      <c r="E548" s="16" t="n">
        <v>4</v>
      </c>
      <c r="F548" s="16" t="inlineStr">
        <is>
          <t>奥特莱斯</t>
        </is>
      </c>
      <c r="G548" s="16" t="inlineStr">
        <is>
          <t>EEKWG24E03</t>
        </is>
      </c>
      <c r="H548" s="16" t="n">
        <v>699</v>
      </c>
      <c r="I548" s="16" t="n">
        <v>699</v>
      </c>
      <c r="J548" s="17" t="inlineStr">
        <is>
          <t>########</t>
        </is>
      </c>
      <c r="K548" s="16" t="inlineStr">
        <is>
          <t>(18)M/Grey</t>
        </is>
      </c>
      <c r="L548" s="16" t="inlineStr">
        <is>
          <t>营业中</t>
        </is>
      </c>
      <c r="M548" s="16" t="inlineStr">
        <is>
          <t>EEKWG24E0318175</t>
        </is>
      </c>
      <c r="N548" s="16">
        <f>LEFT(M548,12)</f>
        <v/>
      </c>
      <c r="O548" s="16" t="inlineStr">
        <is>
          <t>EEKWG24E03, (18)M/Grey, (175)175</t>
        </is>
      </c>
      <c r="P548" s="16" t="n">
        <v>699</v>
      </c>
      <c r="Q548" s="16" t="n">
        <v>699</v>
      </c>
      <c r="R548" s="16" t="n"/>
      <c r="S548" s="16" t="n"/>
      <c r="T548" s="16" t="n">
        <v>1</v>
      </c>
    </row>
    <row r="549" s="103">
      <c r="A549" s="16" t="inlineStr">
        <is>
          <t>B331</t>
        </is>
      </c>
      <c r="B549" s="16" t="inlineStr">
        <is>
          <t>上海区域</t>
        </is>
      </c>
      <c r="C549" s="16" t="inlineStr">
        <is>
          <t>CN0Q</t>
        </is>
      </c>
      <c r="D549" s="16" t="inlineStr">
        <is>
          <t>EE 苏州比斯特购物村</t>
        </is>
      </c>
      <c r="E549" s="16" t="n">
        <v>4</v>
      </c>
      <c r="F549" s="16" t="inlineStr">
        <is>
          <t>奥特莱斯</t>
        </is>
      </c>
      <c r="G549" s="16" t="inlineStr">
        <is>
          <t>EEKWG24E03</t>
        </is>
      </c>
      <c r="H549" s="16" t="n">
        <v>699</v>
      </c>
      <c r="I549" s="16" t="n">
        <v>699</v>
      </c>
      <c r="J549" s="17" t="inlineStr">
        <is>
          <t>########</t>
        </is>
      </c>
      <c r="K549" s="16" t="inlineStr">
        <is>
          <t>(39)Ivory</t>
        </is>
      </c>
      <c r="L549" s="16" t="inlineStr">
        <is>
          <t>营业中</t>
        </is>
      </c>
      <c r="M549" s="16" t="inlineStr">
        <is>
          <t>EEKWG24E0339160</t>
        </is>
      </c>
      <c r="N549" s="16">
        <f>LEFT(M549,12)</f>
        <v/>
      </c>
      <c r="O549" s="16" t="inlineStr">
        <is>
          <t>EEKWG24E03, (39)Ivory, (160)160</t>
        </is>
      </c>
      <c r="P549" s="16" t="n">
        <v>699</v>
      </c>
      <c r="Q549" s="16" t="n">
        <v>699</v>
      </c>
      <c r="R549" s="16" t="n">
        <v>2</v>
      </c>
      <c r="S549" s="16" t="n">
        <v>443</v>
      </c>
      <c r="T549" s="16" t="n">
        <v>2</v>
      </c>
    </row>
    <row r="550" s="103">
      <c r="A550" s="16" t="inlineStr">
        <is>
          <t>B331</t>
        </is>
      </c>
      <c r="B550" s="16" t="inlineStr">
        <is>
          <t>上海区域</t>
        </is>
      </c>
      <c r="C550" s="16" t="inlineStr">
        <is>
          <t>CN0Q</t>
        </is>
      </c>
      <c r="D550" s="16" t="inlineStr">
        <is>
          <t>EE 苏州比斯特购物村</t>
        </is>
      </c>
      <c r="E550" s="16" t="n">
        <v>4</v>
      </c>
      <c r="F550" s="16" t="inlineStr">
        <is>
          <t>奥特莱斯</t>
        </is>
      </c>
      <c r="G550" s="16" t="inlineStr">
        <is>
          <t>EEKWG24E03</t>
        </is>
      </c>
      <c r="H550" s="16" t="n">
        <v>699</v>
      </c>
      <c r="I550" s="16" t="n">
        <v>699</v>
      </c>
      <c r="J550" s="17" t="inlineStr">
        <is>
          <t>########</t>
        </is>
      </c>
      <c r="K550" s="16" t="inlineStr">
        <is>
          <t>(39)Ivory</t>
        </is>
      </c>
      <c r="L550" s="16" t="inlineStr">
        <is>
          <t>营业中</t>
        </is>
      </c>
      <c r="M550" s="16" t="inlineStr">
        <is>
          <t>EEKWG24E0339165</t>
        </is>
      </c>
      <c r="N550" s="16">
        <f>LEFT(M550,12)</f>
        <v/>
      </c>
      <c r="O550" s="16" t="inlineStr">
        <is>
          <t>EEKWG24E03, (39)Ivory, (165)165</t>
        </is>
      </c>
      <c r="P550" s="16" t="n">
        <v>699</v>
      </c>
      <c r="Q550" s="16" t="n">
        <v>699</v>
      </c>
      <c r="R550" s="16" t="n">
        <v>3</v>
      </c>
      <c r="S550" s="18" t="n">
        <v>1376</v>
      </c>
      <c r="T550" s="16" t="n">
        <v>3</v>
      </c>
    </row>
    <row r="551" s="103">
      <c r="A551" s="16" t="inlineStr">
        <is>
          <t>B331</t>
        </is>
      </c>
      <c r="B551" s="16" t="inlineStr">
        <is>
          <t>上海区域</t>
        </is>
      </c>
      <c r="C551" s="16" t="inlineStr">
        <is>
          <t>CN0Q</t>
        </is>
      </c>
      <c r="D551" s="16" t="inlineStr">
        <is>
          <t>EE 苏州比斯特购物村</t>
        </is>
      </c>
      <c r="E551" s="16" t="n">
        <v>4</v>
      </c>
      <c r="F551" s="16" t="inlineStr">
        <is>
          <t>奥特莱斯</t>
        </is>
      </c>
      <c r="G551" s="16" t="inlineStr">
        <is>
          <t>EEKWG24E03</t>
        </is>
      </c>
      <c r="H551" s="16" t="n">
        <v>699</v>
      </c>
      <c r="I551" s="16" t="n">
        <v>699</v>
      </c>
      <c r="J551" s="17" t="inlineStr">
        <is>
          <t>########</t>
        </is>
      </c>
      <c r="K551" s="16" t="inlineStr">
        <is>
          <t>(39)Ivory</t>
        </is>
      </c>
      <c r="L551" s="16" t="inlineStr">
        <is>
          <t>营业中</t>
        </is>
      </c>
      <c r="M551" s="16" t="inlineStr">
        <is>
          <t>EEKWG24E0339170</t>
        </is>
      </c>
      <c r="N551" s="16">
        <f>LEFT(M551,12)</f>
        <v/>
      </c>
      <c r="O551" s="16" t="inlineStr">
        <is>
          <t>EEKWG24E03, (39)Ivory, (170)170</t>
        </is>
      </c>
      <c r="P551" s="16" t="n">
        <v>699</v>
      </c>
      <c r="Q551" s="16" t="n">
        <v>699</v>
      </c>
      <c r="R551" s="16" t="n">
        <v>1</v>
      </c>
      <c r="S551" s="16" t="n">
        <v>452</v>
      </c>
      <c r="T551" s="16" t="n">
        <v>1</v>
      </c>
    </row>
    <row r="552" s="103">
      <c r="A552" s="16" t="inlineStr">
        <is>
          <t>B331</t>
        </is>
      </c>
      <c r="B552" s="16" t="inlineStr">
        <is>
          <t>上海区域</t>
        </is>
      </c>
      <c r="C552" s="16" t="inlineStr">
        <is>
          <t>CN0Q</t>
        </is>
      </c>
      <c r="D552" s="16" t="inlineStr">
        <is>
          <t>EE 苏州比斯特购物村</t>
        </is>
      </c>
      <c r="E552" s="16" t="n">
        <v>4</v>
      </c>
      <c r="F552" s="16" t="inlineStr">
        <is>
          <t>奥特莱斯</t>
        </is>
      </c>
      <c r="G552" s="16" t="inlineStr">
        <is>
          <t>EEKWG24E03</t>
        </is>
      </c>
      <c r="H552" s="16" t="n">
        <v>699</v>
      </c>
      <c r="I552" s="16" t="n">
        <v>699</v>
      </c>
      <c r="J552" s="17" t="inlineStr">
        <is>
          <t>########</t>
        </is>
      </c>
      <c r="K552" s="16" t="inlineStr">
        <is>
          <t>(39)Ivory</t>
        </is>
      </c>
      <c r="L552" s="16" t="inlineStr">
        <is>
          <t>营业中</t>
        </is>
      </c>
      <c r="M552" s="16" t="inlineStr">
        <is>
          <t>EEKWG24E0339175</t>
        </is>
      </c>
      <c r="N552" s="16">
        <f>LEFT(M552,12)</f>
        <v/>
      </c>
      <c r="O552" s="16" t="inlineStr">
        <is>
          <t>EEKWG24E03, (39)Ivory, (175)175</t>
        </is>
      </c>
      <c r="P552" s="16" t="n">
        <v>699</v>
      </c>
      <c r="Q552" s="16" t="n">
        <v>699</v>
      </c>
      <c r="R552" s="16" t="n"/>
      <c r="S552" s="16" t="n"/>
      <c r="T552" s="16" t="n">
        <v>1</v>
      </c>
    </row>
    <row r="553" s="103">
      <c r="A553" s="16" t="inlineStr">
        <is>
          <t>B331</t>
        </is>
      </c>
      <c r="B553" s="16" t="inlineStr">
        <is>
          <t>上海区域</t>
        </is>
      </c>
      <c r="C553" s="16" t="inlineStr">
        <is>
          <t>CN0Q</t>
        </is>
      </c>
      <c r="D553" s="16" t="inlineStr">
        <is>
          <t>EE 苏州比斯特购物村</t>
        </is>
      </c>
      <c r="E553" s="16" t="n">
        <v>4</v>
      </c>
      <c r="F553" s="16" t="inlineStr">
        <is>
          <t>奥特莱斯</t>
        </is>
      </c>
      <c r="G553" s="16" t="inlineStr">
        <is>
          <t>EEKWG24E03</t>
        </is>
      </c>
      <c r="H553" s="16" t="n">
        <v>699</v>
      </c>
      <c r="I553" s="16" t="n">
        <v>699</v>
      </c>
      <c r="J553" s="17" t="inlineStr">
        <is>
          <t>########</t>
        </is>
      </c>
      <c r="K553" s="16" t="inlineStr">
        <is>
          <t>(59)Navy</t>
        </is>
      </c>
      <c r="L553" s="16" t="inlineStr">
        <is>
          <t>营业中</t>
        </is>
      </c>
      <c r="M553" s="16" t="inlineStr">
        <is>
          <t>EEKWG24E0359160</t>
        </is>
      </c>
      <c r="N553" s="16">
        <f>LEFT(M553,12)</f>
        <v/>
      </c>
      <c r="O553" s="16" t="inlineStr">
        <is>
          <t>EEKWG24E03, (59)Navy, (160)160</t>
        </is>
      </c>
      <c r="P553" s="16" t="n">
        <v>699</v>
      </c>
      <c r="Q553" s="16" t="n">
        <v>699</v>
      </c>
      <c r="R553" s="16" t="n">
        <v>2</v>
      </c>
      <c r="S553" s="16" t="n">
        <v>442</v>
      </c>
      <c r="T553" s="16" t="n">
        <v>2</v>
      </c>
    </row>
    <row r="554" s="103">
      <c r="A554" s="16" t="inlineStr">
        <is>
          <t>B331</t>
        </is>
      </c>
      <c r="B554" s="16" t="inlineStr">
        <is>
          <t>上海区域</t>
        </is>
      </c>
      <c r="C554" s="16" t="inlineStr">
        <is>
          <t>CN0Q</t>
        </is>
      </c>
      <c r="D554" s="16" t="inlineStr">
        <is>
          <t>EE 苏州比斯特购物村</t>
        </is>
      </c>
      <c r="E554" s="16" t="n">
        <v>4</v>
      </c>
      <c r="F554" s="16" t="inlineStr">
        <is>
          <t>奥特莱斯</t>
        </is>
      </c>
      <c r="G554" s="16" t="inlineStr">
        <is>
          <t>EEKWG24E03</t>
        </is>
      </c>
      <c r="H554" s="16" t="n">
        <v>699</v>
      </c>
      <c r="I554" s="16" t="n">
        <v>699</v>
      </c>
      <c r="J554" s="17" t="inlineStr">
        <is>
          <t>########</t>
        </is>
      </c>
      <c r="K554" s="16" t="inlineStr">
        <is>
          <t>(59)Navy</t>
        </is>
      </c>
      <c r="L554" s="16" t="inlineStr">
        <is>
          <t>营业中</t>
        </is>
      </c>
      <c r="M554" s="16" t="inlineStr">
        <is>
          <t>EEKWG24E0359165</t>
        </is>
      </c>
      <c r="N554" s="16">
        <f>LEFT(M554,12)</f>
        <v/>
      </c>
      <c r="O554" s="16" t="inlineStr">
        <is>
          <t>EEKWG24E03, (59)Navy, (165)165</t>
        </is>
      </c>
      <c r="P554" s="16" t="n">
        <v>699</v>
      </c>
      <c r="Q554" s="16" t="n">
        <v>699</v>
      </c>
      <c r="R554" s="16" t="n">
        <v>2</v>
      </c>
      <c r="S554" s="16" t="n">
        <v>895</v>
      </c>
      <c r="T554" s="16" t="n">
        <v>2</v>
      </c>
    </row>
    <row r="555" s="103">
      <c r="A555" s="16" t="inlineStr">
        <is>
          <t>B331</t>
        </is>
      </c>
      <c r="B555" s="16" t="inlineStr">
        <is>
          <t>上海区域</t>
        </is>
      </c>
      <c r="C555" s="16" t="inlineStr">
        <is>
          <t>CN0Q</t>
        </is>
      </c>
      <c r="D555" s="16" t="inlineStr">
        <is>
          <t>EE 苏州比斯特购物村</t>
        </is>
      </c>
      <c r="E555" s="16" t="n">
        <v>4</v>
      </c>
      <c r="F555" s="16" t="inlineStr">
        <is>
          <t>奥特莱斯</t>
        </is>
      </c>
      <c r="G555" s="16" t="inlineStr">
        <is>
          <t>EEKWG24E03</t>
        </is>
      </c>
      <c r="H555" s="16" t="n">
        <v>699</v>
      </c>
      <c r="I555" s="16" t="n">
        <v>699</v>
      </c>
      <c r="J555" s="17" t="inlineStr">
        <is>
          <t>########</t>
        </is>
      </c>
      <c r="K555" s="16" t="inlineStr">
        <is>
          <t>(59)Navy</t>
        </is>
      </c>
      <c r="L555" s="16" t="inlineStr">
        <is>
          <t>营业中</t>
        </is>
      </c>
      <c r="M555" s="16" t="inlineStr">
        <is>
          <t>EEKWG24E0359170</t>
        </is>
      </c>
      <c r="N555" s="16">
        <f>LEFT(M555,12)</f>
        <v/>
      </c>
      <c r="O555" s="16" t="inlineStr">
        <is>
          <t>EEKWG24E03, (59)Navy, (170)170</t>
        </is>
      </c>
      <c r="P555" s="16" t="n">
        <v>699</v>
      </c>
      <c r="Q555" s="16" t="n">
        <v>699</v>
      </c>
      <c r="R555" s="16" t="n"/>
      <c r="S555" s="16" t="n"/>
      <c r="T555" s="16" t="n">
        <v>4</v>
      </c>
    </row>
    <row r="556" s="103">
      <c r="A556" s="16" t="inlineStr">
        <is>
          <t>B331</t>
        </is>
      </c>
      <c r="B556" s="16" t="inlineStr">
        <is>
          <t>上海区域</t>
        </is>
      </c>
      <c r="C556" s="16" t="inlineStr">
        <is>
          <t>CN0Q</t>
        </is>
      </c>
      <c r="D556" s="16" t="inlineStr">
        <is>
          <t>EE 苏州比斯特购物村</t>
        </is>
      </c>
      <c r="E556" s="16" t="n">
        <v>4</v>
      </c>
      <c r="F556" s="16" t="inlineStr">
        <is>
          <t>奥特莱斯</t>
        </is>
      </c>
      <c r="G556" s="16" t="inlineStr">
        <is>
          <t>EEKWG24E03</t>
        </is>
      </c>
      <c r="H556" s="16" t="n">
        <v>699</v>
      </c>
      <c r="I556" s="16" t="n">
        <v>699</v>
      </c>
      <c r="J556" s="17" t="inlineStr">
        <is>
          <t>########</t>
        </is>
      </c>
      <c r="K556" s="16" t="inlineStr">
        <is>
          <t>(59)Navy</t>
        </is>
      </c>
      <c r="L556" s="16" t="inlineStr">
        <is>
          <t>营业中</t>
        </is>
      </c>
      <c r="M556" s="16" t="inlineStr">
        <is>
          <t>EEKWG24E0359175</t>
        </is>
      </c>
      <c r="N556" s="16">
        <f>LEFT(M556,12)</f>
        <v/>
      </c>
      <c r="O556" s="16" t="inlineStr">
        <is>
          <t>EEKWG24E03, (59)Navy, (175)175</t>
        </is>
      </c>
      <c r="P556" s="16" t="n">
        <v>699</v>
      </c>
      <c r="Q556" s="16" t="n">
        <v>699</v>
      </c>
      <c r="R556" s="16" t="n">
        <v>1</v>
      </c>
      <c r="S556" s="16" t="n">
        <v>442</v>
      </c>
      <c r="T556" s="16" t="n">
        <v>2</v>
      </c>
    </row>
    <row r="557" s="103">
      <c r="A557" s="16" t="inlineStr">
        <is>
          <t>B331</t>
        </is>
      </c>
      <c r="B557" s="16" t="inlineStr">
        <is>
          <t>上海区域</t>
        </is>
      </c>
      <c r="C557" s="16" t="inlineStr">
        <is>
          <t>CN0Q</t>
        </is>
      </c>
      <c r="D557" s="16" t="inlineStr">
        <is>
          <t>EE 苏州比斯特购物村</t>
        </is>
      </c>
      <c r="E557" s="16" t="n">
        <v>4</v>
      </c>
      <c r="F557" s="16" t="inlineStr">
        <is>
          <t>奥特莱斯</t>
        </is>
      </c>
      <c r="G557" s="16" t="inlineStr">
        <is>
          <t>EEKWG24E03</t>
        </is>
      </c>
      <c r="H557" s="16" t="n">
        <v>699</v>
      </c>
      <c r="I557" s="16" t="n">
        <v>699</v>
      </c>
      <c r="J557" s="17" t="inlineStr">
        <is>
          <t>########</t>
        </is>
      </c>
      <c r="K557" s="16" t="inlineStr">
        <is>
          <t>(88)Lavender</t>
        </is>
      </c>
      <c r="L557" s="16" t="inlineStr">
        <is>
          <t>营业中</t>
        </is>
      </c>
      <c r="M557" s="16" t="inlineStr">
        <is>
          <t>EEKWG24E0388160</t>
        </is>
      </c>
      <c r="N557" s="16">
        <f>LEFT(M557,12)</f>
        <v/>
      </c>
      <c r="O557" s="16" t="inlineStr">
        <is>
          <t>EEKWG24E03, (88)Lavender, (160)160</t>
        </is>
      </c>
      <c r="P557" s="16" t="n">
        <v>699</v>
      </c>
      <c r="Q557" s="16" t="n">
        <v>699</v>
      </c>
      <c r="R557" s="16" t="n">
        <v>1</v>
      </c>
      <c r="S557" s="16" t="n">
        <v>452</v>
      </c>
      <c r="T557" s="16" t="n">
        <v>2</v>
      </c>
    </row>
    <row r="558" s="103">
      <c r="A558" s="16" t="inlineStr">
        <is>
          <t>B331</t>
        </is>
      </c>
      <c r="B558" s="16" t="inlineStr">
        <is>
          <t>上海区域</t>
        </is>
      </c>
      <c r="C558" s="16" t="inlineStr">
        <is>
          <t>CN0Q</t>
        </is>
      </c>
      <c r="D558" s="16" t="inlineStr">
        <is>
          <t>EE 苏州比斯特购物村</t>
        </is>
      </c>
      <c r="E558" s="16" t="n">
        <v>4</v>
      </c>
      <c r="F558" s="16" t="inlineStr">
        <is>
          <t>奥特莱斯</t>
        </is>
      </c>
      <c r="G558" s="16" t="inlineStr">
        <is>
          <t>EEKWG24E03</t>
        </is>
      </c>
      <c r="H558" s="16" t="n">
        <v>699</v>
      </c>
      <c r="I558" s="16" t="n">
        <v>699</v>
      </c>
      <c r="J558" s="17" t="inlineStr">
        <is>
          <t>########</t>
        </is>
      </c>
      <c r="K558" s="16" t="inlineStr">
        <is>
          <t>(88)Lavender</t>
        </is>
      </c>
      <c r="L558" s="16" t="inlineStr">
        <is>
          <t>营业中</t>
        </is>
      </c>
      <c r="M558" s="16" t="inlineStr">
        <is>
          <t>EEKWG24E0388165</t>
        </is>
      </c>
      <c r="N558" s="16">
        <f>LEFT(M558,12)</f>
        <v/>
      </c>
      <c r="O558" s="16" t="inlineStr">
        <is>
          <t>EEKWG24E03, (88)Lavender, (165)165</t>
        </is>
      </c>
      <c r="P558" s="16" t="n">
        <v>699</v>
      </c>
      <c r="Q558" s="16" t="n">
        <v>699</v>
      </c>
      <c r="R558" s="16" t="n"/>
      <c r="S558" s="16" t="n"/>
      <c r="T558" s="16" t="n">
        <v>4</v>
      </c>
    </row>
    <row r="559" s="103">
      <c r="A559" s="16" t="inlineStr">
        <is>
          <t>B331</t>
        </is>
      </c>
      <c r="B559" s="16" t="inlineStr">
        <is>
          <t>上海区域</t>
        </is>
      </c>
      <c r="C559" s="16" t="inlineStr">
        <is>
          <t>CN0Q</t>
        </is>
      </c>
      <c r="D559" s="16" t="inlineStr">
        <is>
          <t>EE 苏州比斯特购物村</t>
        </is>
      </c>
      <c r="E559" s="16" t="n">
        <v>4</v>
      </c>
      <c r="F559" s="16" t="inlineStr">
        <is>
          <t>奥特莱斯</t>
        </is>
      </c>
      <c r="G559" s="16" t="inlineStr">
        <is>
          <t>EEKWG24E03</t>
        </is>
      </c>
      <c r="H559" s="16" t="n">
        <v>699</v>
      </c>
      <c r="I559" s="16" t="n">
        <v>699</v>
      </c>
      <c r="J559" s="17" t="inlineStr">
        <is>
          <t>########</t>
        </is>
      </c>
      <c r="K559" s="16" t="inlineStr">
        <is>
          <t>(88)Lavender</t>
        </is>
      </c>
      <c r="L559" s="16" t="inlineStr">
        <is>
          <t>营业中</t>
        </is>
      </c>
      <c r="M559" s="16" t="inlineStr">
        <is>
          <t>EEKWG24E0388170</t>
        </is>
      </c>
      <c r="N559" s="16">
        <f>LEFT(M559,12)</f>
        <v/>
      </c>
      <c r="O559" s="16" t="inlineStr">
        <is>
          <t>EEKWG24E03, (88)Lavender, (170)170</t>
        </is>
      </c>
      <c r="P559" s="16" t="n">
        <v>699</v>
      </c>
      <c r="Q559" s="16" t="n">
        <v>699</v>
      </c>
      <c r="R559" s="16" t="n">
        <v>1</v>
      </c>
      <c r="S559" s="16" t="n">
        <v>489</v>
      </c>
      <c r="T559" s="16" t="n">
        <v>1</v>
      </c>
    </row>
    <row r="560" s="103">
      <c r="A560" s="16" t="inlineStr">
        <is>
          <t>B331</t>
        </is>
      </c>
      <c r="B560" s="16" t="inlineStr">
        <is>
          <t>上海区域</t>
        </is>
      </c>
      <c r="C560" s="16" t="inlineStr">
        <is>
          <t>CN0Q</t>
        </is>
      </c>
      <c r="D560" s="16" t="inlineStr">
        <is>
          <t>EE 苏州比斯特购物村</t>
        </is>
      </c>
      <c r="E560" s="16" t="n">
        <v>4</v>
      </c>
      <c r="F560" s="16" t="inlineStr">
        <is>
          <t>奥特莱斯</t>
        </is>
      </c>
      <c r="G560" s="16" t="inlineStr">
        <is>
          <t>EEKWG24Q93</t>
        </is>
      </c>
      <c r="H560" s="16" t="n">
        <v>799</v>
      </c>
      <c r="I560" s="16" t="n">
        <v>699</v>
      </c>
      <c r="J560" s="17" t="inlineStr">
        <is>
          <t>########</t>
        </is>
      </c>
      <c r="K560" s="16" t="inlineStr">
        <is>
          <t>(88)Lavender</t>
        </is>
      </c>
      <c r="L560" s="16" t="inlineStr">
        <is>
          <t>营业中</t>
        </is>
      </c>
      <c r="M560" s="16" t="inlineStr">
        <is>
          <t>EEKWG24Q9388160</t>
        </is>
      </c>
      <c r="N560" s="16">
        <f>LEFT(M560,12)</f>
        <v/>
      </c>
      <c r="O560" s="16" t="inlineStr">
        <is>
          <t>EEKWG24Q93, (88)Lavender, (160)160</t>
        </is>
      </c>
      <c r="P560" s="16" t="n">
        <v>799</v>
      </c>
      <c r="Q560" s="16" t="n">
        <v>699</v>
      </c>
      <c r="R560" s="16" t="n"/>
      <c r="S560" s="16" t="n"/>
      <c r="T560" s="16" t="n">
        <v>3</v>
      </c>
    </row>
    <row r="561" s="103">
      <c r="A561" s="16" t="inlineStr">
        <is>
          <t>B331</t>
        </is>
      </c>
      <c r="B561" s="16" t="inlineStr">
        <is>
          <t>上海区域</t>
        </is>
      </c>
      <c r="C561" s="16" t="inlineStr">
        <is>
          <t>CN0Q</t>
        </is>
      </c>
      <c r="D561" s="16" t="inlineStr">
        <is>
          <t>EE 苏州比斯特购物村</t>
        </is>
      </c>
      <c r="E561" s="16" t="n">
        <v>4</v>
      </c>
      <c r="F561" s="16" t="inlineStr">
        <is>
          <t>奥特莱斯</t>
        </is>
      </c>
      <c r="G561" s="16" t="inlineStr">
        <is>
          <t>EEKWG24Q93</t>
        </is>
      </c>
      <c r="H561" s="16" t="n">
        <v>799</v>
      </c>
      <c r="I561" s="16" t="n">
        <v>699</v>
      </c>
      <c r="J561" s="17" t="inlineStr">
        <is>
          <t>########</t>
        </is>
      </c>
      <c r="K561" s="16" t="inlineStr">
        <is>
          <t>(88)Lavender</t>
        </is>
      </c>
      <c r="L561" s="16" t="inlineStr">
        <is>
          <t>营业中</t>
        </is>
      </c>
      <c r="M561" s="16" t="inlineStr">
        <is>
          <t>EEKWG24Q9388165</t>
        </is>
      </c>
      <c r="N561" s="16">
        <f>LEFT(M561,12)</f>
        <v/>
      </c>
      <c r="O561" s="16" t="inlineStr">
        <is>
          <t>EEKWG24Q93, (88)Lavender, (165)165</t>
        </is>
      </c>
      <c r="P561" s="16" t="n">
        <v>799</v>
      </c>
      <c r="Q561" s="16" t="n">
        <v>699</v>
      </c>
      <c r="R561" s="16" t="n"/>
      <c r="S561" s="16" t="n"/>
      <c r="T561" s="16" t="n">
        <v>4</v>
      </c>
    </row>
    <row r="562" s="103">
      <c r="A562" s="16" t="inlineStr">
        <is>
          <t>B331</t>
        </is>
      </c>
      <c r="B562" s="16" t="inlineStr">
        <is>
          <t>上海区域</t>
        </is>
      </c>
      <c r="C562" s="16" t="inlineStr">
        <is>
          <t>CN0Q</t>
        </is>
      </c>
      <c r="D562" s="16" t="inlineStr">
        <is>
          <t>EE 苏州比斯特购物村</t>
        </is>
      </c>
      <c r="E562" s="16" t="n">
        <v>4</v>
      </c>
      <c r="F562" s="16" t="inlineStr">
        <is>
          <t>奥特莱斯</t>
        </is>
      </c>
      <c r="G562" s="16" t="inlineStr">
        <is>
          <t>EEKWG24Q93</t>
        </is>
      </c>
      <c r="H562" s="16" t="n">
        <v>799</v>
      </c>
      <c r="I562" s="16" t="n">
        <v>699</v>
      </c>
      <c r="J562" s="17" t="inlineStr">
        <is>
          <t>########</t>
        </is>
      </c>
      <c r="K562" s="16" t="inlineStr">
        <is>
          <t>(88)Lavender</t>
        </is>
      </c>
      <c r="L562" s="16" t="inlineStr">
        <is>
          <t>营业中</t>
        </is>
      </c>
      <c r="M562" s="16" t="inlineStr">
        <is>
          <t>EEKWG24Q9388170</t>
        </is>
      </c>
      <c r="N562" s="16">
        <f>LEFT(M562,12)</f>
        <v/>
      </c>
      <c r="O562" s="16" t="inlineStr">
        <is>
          <t>EEKWG24Q93, (88)Lavender, (170)170</t>
        </is>
      </c>
      <c r="P562" s="16" t="n">
        <v>799</v>
      </c>
      <c r="Q562" s="16" t="n">
        <v>699</v>
      </c>
      <c r="R562" s="16" t="n"/>
      <c r="S562" s="16" t="n"/>
      <c r="T562" s="16" t="n">
        <v>3</v>
      </c>
    </row>
    <row r="563" s="103">
      <c r="A563" s="16" t="inlineStr">
        <is>
          <t>B331</t>
        </is>
      </c>
      <c r="B563" s="16" t="inlineStr">
        <is>
          <t>上海区域</t>
        </is>
      </c>
      <c r="C563" s="16" t="inlineStr">
        <is>
          <t>CN0Q</t>
        </is>
      </c>
      <c r="D563" s="16" t="inlineStr">
        <is>
          <t>EE 苏州比斯特购物村</t>
        </is>
      </c>
      <c r="E563" s="16" t="n">
        <v>4</v>
      </c>
      <c r="F563" s="16" t="inlineStr">
        <is>
          <t>奥特莱斯</t>
        </is>
      </c>
      <c r="G563" s="16" t="inlineStr">
        <is>
          <t>EEKWG25E01</t>
        </is>
      </c>
      <c r="H563" s="16" t="n">
        <v>599</v>
      </c>
      <c r="I563" s="16" t="n">
        <v>599</v>
      </c>
      <c r="J563" s="17" t="inlineStr">
        <is>
          <t>########</t>
        </is>
      </c>
      <c r="K563" s="16" t="inlineStr">
        <is>
          <t>(39)Ivory</t>
        </is>
      </c>
      <c r="L563" s="16" t="inlineStr">
        <is>
          <t>营业中</t>
        </is>
      </c>
      <c r="M563" s="16" t="inlineStr">
        <is>
          <t>EEKWG25E0139160</t>
        </is>
      </c>
      <c r="N563" s="16">
        <f>LEFT(M563,12)</f>
        <v/>
      </c>
      <c r="O563" s="16" t="inlineStr">
        <is>
          <t>EEKWG25E01, (39)Ivory, (160)160</t>
        </is>
      </c>
      <c r="P563" s="16" t="n">
        <v>599</v>
      </c>
      <c r="Q563" s="16" t="n">
        <v>599</v>
      </c>
      <c r="R563" s="16" t="n"/>
      <c r="S563" s="16" t="n"/>
      <c r="T563" s="16" t="n">
        <v>3</v>
      </c>
    </row>
    <row r="564" s="103">
      <c r="A564" s="16" t="inlineStr">
        <is>
          <t>B331</t>
        </is>
      </c>
      <c r="B564" s="16" t="inlineStr">
        <is>
          <t>上海区域</t>
        </is>
      </c>
      <c r="C564" s="16" t="inlineStr">
        <is>
          <t>CN0Q</t>
        </is>
      </c>
      <c r="D564" s="16" t="inlineStr">
        <is>
          <t>EE 苏州比斯特购物村</t>
        </is>
      </c>
      <c r="E564" s="16" t="n">
        <v>4</v>
      </c>
      <c r="F564" s="16" t="inlineStr">
        <is>
          <t>奥特莱斯</t>
        </is>
      </c>
      <c r="G564" s="16" t="inlineStr">
        <is>
          <t>EEKWG25E01</t>
        </is>
      </c>
      <c r="H564" s="16" t="n">
        <v>599</v>
      </c>
      <c r="I564" s="16" t="n">
        <v>599</v>
      </c>
      <c r="J564" s="17" t="inlineStr">
        <is>
          <t>########</t>
        </is>
      </c>
      <c r="K564" s="16" t="inlineStr">
        <is>
          <t>(39)Ivory</t>
        </is>
      </c>
      <c r="L564" s="16" t="inlineStr">
        <is>
          <t>营业中</t>
        </is>
      </c>
      <c r="M564" s="16" t="inlineStr">
        <is>
          <t>EEKWG25E0139165</t>
        </is>
      </c>
      <c r="N564" s="16">
        <f>LEFT(M564,12)</f>
        <v/>
      </c>
      <c r="O564" s="16" t="inlineStr">
        <is>
          <t>EEKWG25E01, (39)Ivory, (165)165</t>
        </is>
      </c>
      <c r="P564" s="16" t="n">
        <v>599</v>
      </c>
      <c r="Q564" s="16" t="n">
        <v>599</v>
      </c>
      <c r="R564" s="16" t="n"/>
      <c r="S564" s="16" t="n"/>
      <c r="T564" s="16" t="n">
        <v>4</v>
      </c>
    </row>
    <row r="565" s="103">
      <c r="A565" s="16" t="inlineStr">
        <is>
          <t>B331</t>
        </is>
      </c>
      <c r="B565" s="16" t="inlineStr">
        <is>
          <t>上海区域</t>
        </is>
      </c>
      <c r="C565" s="16" t="inlineStr">
        <is>
          <t>CN0Q</t>
        </is>
      </c>
      <c r="D565" s="16" t="inlineStr">
        <is>
          <t>EE 苏州比斯特购物村</t>
        </is>
      </c>
      <c r="E565" s="16" t="n">
        <v>4</v>
      </c>
      <c r="F565" s="16" t="inlineStr">
        <is>
          <t>奥特莱斯</t>
        </is>
      </c>
      <c r="G565" s="16" t="inlineStr">
        <is>
          <t>EEKWG25E01</t>
        </is>
      </c>
      <c r="H565" s="16" t="n">
        <v>599</v>
      </c>
      <c r="I565" s="16" t="n">
        <v>599</v>
      </c>
      <c r="J565" s="17" t="inlineStr">
        <is>
          <t>########</t>
        </is>
      </c>
      <c r="K565" s="16" t="inlineStr">
        <is>
          <t>(39)Ivory</t>
        </is>
      </c>
      <c r="L565" s="16" t="inlineStr">
        <is>
          <t>营业中</t>
        </is>
      </c>
      <c r="M565" s="16" t="inlineStr">
        <is>
          <t>EEKWG25E0139170</t>
        </is>
      </c>
      <c r="N565" s="16">
        <f>LEFT(M565,12)</f>
        <v/>
      </c>
      <c r="O565" s="16" t="inlineStr">
        <is>
          <t>EEKWG25E01, (39)Ivory, (170)170</t>
        </is>
      </c>
      <c r="P565" s="16" t="n">
        <v>599</v>
      </c>
      <c r="Q565" s="16" t="n">
        <v>599</v>
      </c>
      <c r="R565" s="16" t="n">
        <v>1</v>
      </c>
      <c r="S565" s="16" t="n">
        <v>384</v>
      </c>
      <c r="T565" s="16" t="n">
        <v>0</v>
      </c>
    </row>
    <row r="566" s="103">
      <c r="A566" s="16" t="inlineStr">
        <is>
          <t>B331</t>
        </is>
      </c>
      <c r="B566" s="16" t="inlineStr">
        <is>
          <t>上海区域</t>
        </is>
      </c>
      <c r="C566" s="16" t="inlineStr">
        <is>
          <t>CN0Q</t>
        </is>
      </c>
      <c r="D566" s="16" t="inlineStr">
        <is>
          <t>EE 苏州比斯特购物村</t>
        </is>
      </c>
      <c r="E566" s="16" t="n">
        <v>4</v>
      </c>
      <c r="F566" s="16" t="inlineStr">
        <is>
          <t>奥特莱斯</t>
        </is>
      </c>
      <c r="G566" s="16" t="inlineStr">
        <is>
          <t>EEKWG25E01</t>
        </is>
      </c>
      <c r="H566" s="16" t="n">
        <v>599</v>
      </c>
      <c r="I566" s="16" t="n">
        <v>599</v>
      </c>
      <c r="J566" s="17" t="inlineStr">
        <is>
          <t>########</t>
        </is>
      </c>
      <c r="K566" s="16" t="inlineStr">
        <is>
          <t>(39)Ivory</t>
        </is>
      </c>
      <c r="L566" s="16" t="inlineStr">
        <is>
          <t>营业中</t>
        </is>
      </c>
      <c r="M566" s="16" t="inlineStr">
        <is>
          <t>EEKWG25E0139175</t>
        </is>
      </c>
      <c r="N566" s="16">
        <f>LEFT(M566,12)</f>
        <v/>
      </c>
      <c r="O566" s="16" t="inlineStr">
        <is>
          <t>EEKWG25E01, (39)Ivory, (175)175</t>
        </is>
      </c>
      <c r="P566" s="16" t="n">
        <v>599</v>
      </c>
      <c r="Q566" s="16" t="n">
        <v>599</v>
      </c>
      <c r="R566" s="16" t="n"/>
      <c r="S566" s="16" t="n"/>
      <c r="T566" s="16" t="n">
        <v>1</v>
      </c>
    </row>
    <row r="567" s="103">
      <c r="A567" s="16" t="inlineStr">
        <is>
          <t>B331</t>
        </is>
      </c>
      <c r="B567" s="16" t="inlineStr">
        <is>
          <t>上海区域</t>
        </is>
      </c>
      <c r="C567" s="16" t="inlineStr">
        <is>
          <t>CN0Q</t>
        </is>
      </c>
      <c r="D567" s="16" t="inlineStr">
        <is>
          <t>EE 苏州比斯特购物村</t>
        </is>
      </c>
      <c r="E567" s="16" t="n">
        <v>4</v>
      </c>
      <c r="F567" s="16" t="inlineStr">
        <is>
          <t>奥特莱斯</t>
        </is>
      </c>
      <c r="G567" s="16" t="inlineStr">
        <is>
          <t>EEKWG25E01</t>
        </is>
      </c>
      <c r="H567" s="16" t="n">
        <v>599</v>
      </c>
      <c r="I567" s="16" t="n">
        <v>599</v>
      </c>
      <c r="J567" s="17" t="inlineStr">
        <is>
          <t>########</t>
        </is>
      </c>
      <c r="K567" s="16" t="inlineStr">
        <is>
          <t>(51)L/Blue</t>
        </is>
      </c>
      <c r="L567" s="16" t="inlineStr">
        <is>
          <t>营业中</t>
        </is>
      </c>
      <c r="M567" s="16" t="inlineStr">
        <is>
          <t>EEKWG25E0151160</t>
        </is>
      </c>
      <c r="N567" s="16">
        <f>LEFT(M567,12)</f>
        <v/>
      </c>
      <c r="O567" s="16" t="inlineStr">
        <is>
          <t>EEKWG25E01, (51)L/Blue, (160)160</t>
        </is>
      </c>
      <c r="P567" s="16" t="n">
        <v>599</v>
      </c>
      <c r="Q567" s="16" t="n">
        <v>599</v>
      </c>
      <c r="R567" s="16" t="n"/>
      <c r="S567" s="16" t="n"/>
      <c r="T567" s="16" t="n">
        <v>1</v>
      </c>
    </row>
    <row r="568" s="103">
      <c r="A568" s="16" t="inlineStr">
        <is>
          <t>B331</t>
        </is>
      </c>
      <c r="B568" s="16" t="inlineStr">
        <is>
          <t>上海区域</t>
        </is>
      </c>
      <c r="C568" s="16" t="inlineStr">
        <is>
          <t>CN0Q</t>
        </is>
      </c>
      <c r="D568" s="16" t="inlineStr">
        <is>
          <t>EE 苏州比斯特购物村</t>
        </is>
      </c>
      <c r="E568" s="16" t="n">
        <v>4</v>
      </c>
      <c r="F568" s="16" t="inlineStr">
        <is>
          <t>奥特莱斯</t>
        </is>
      </c>
      <c r="G568" s="16" t="inlineStr">
        <is>
          <t>EEKWG25E01</t>
        </is>
      </c>
      <c r="H568" s="16" t="n">
        <v>599</v>
      </c>
      <c r="I568" s="16" t="n">
        <v>599</v>
      </c>
      <c r="J568" s="17" t="inlineStr">
        <is>
          <t>########</t>
        </is>
      </c>
      <c r="K568" s="16" t="inlineStr">
        <is>
          <t>(51)L/Blue</t>
        </is>
      </c>
      <c r="L568" s="16" t="inlineStr">
        <is>
          <t>营业中</t>
        </is>
      </c>
      <c r="M568" s="16" t="inlineStr">
        <is>
          <t>EEKWG25E0151165</t>
        </is>
      </c>
      <c r="N568" s="16">
        <f>LEFT(M568,12)</f>
        <v/>
      </c>
      <c r="O568" s="16" t="inlineStr">
        <is>
          <t>EEKWG25E01, (51)L/Blue, (165)165</t>
        </is>
      </c>
      <c r="P568" s="16" t="n">
        <v>599</v>
      </c>
      <c r="Q568" s="16" t="n">
        <v>599</v>
      </c>
      <c r="R568" s="16" t="n"/>
      <c r="S568" s="16" t="n"/>
      <c r="T568" s="16" t="n">
        <v>2</v>
      </c>
    </row>
    <row r="569" s="103">
      <c r="A569" s="16" t="inlineStr">
        <is>
          <t>B331</t>
        </is>
      </c>
      <c r="B569" s="16" t="inlineStr">
        <is>
          <t>上海区域</t>
        </is>
      </c>
      <c r="C569" s="16" t="inlineStr">
        <is>
          <t>CN0Q</t>
        </is>
      </c>
      <c r="D569" s="16" t="inlineStr">
        <is>
          <t>EE 苏州比斯特购物村</t>
        </is>
      </c>
      <c r="E569" s="16" t="n">
        <v>4</v>
      </c>
      <c r="F569" s="16" t="inlineStr">
        <is>
          <t>奥特莱斯</t>
        </is>
      </c>
      <c r="G569" s="16" t="inlineStr">
        <is>
          <t>EEKWG25E01</t>
        </is>
      </c>
      <c r="H569" s="16" t="n">
        <v>599</v>
      </c>
      <c r="I569" s="16" t="n">
        <v>599</v>
      </c>
      <c r="J569" s="17" t="inlineStr">
        <is>
          <t>########</t>
        </is>
      </c>
      <c r="K569" s="16" t="inlineStr">
        <is>
          <t>(51)L/Blue</t>
        </is>
      </c>
      <c r="L569" s="16" t="inlineStr">
        <is>
          <t>营业中</t>
        </is>
      </c>
      <c r="M569" s="16" t="inlineStr">
        <is>
          <t>EEKWG25E0151170</t>
        </is>
      </c>
      <c r="N569" s="16">
        <f>LEFT(M569,12)</f>
        <v/>
      </c>
      <c r="O569" s="16" t="inlineStr">
        <is>
          <t>EEKWG25E01, (51)L/Blue, (170)170</t>
        </is>
      </c>
      <c r="P569" s="16" t="n">
        <v>599</v>
      </c>
      <c r="Q569" s="16" t="n">
        <v>599</v>
      </c>
      <c r="R569" s="16" t="n"/>
      <c r="S569" s="16" t="n"/>
      <c r="T569" s="16" t="n">
        <v>1</v>
      </c>
    </row>
    <row r="570" s="103">
      <c r="A570" s="16" t="inlineStr">
        <is>
          <t>B331</t>
        </is>
      </c>
      <c r="B570" s="16" t="inlineStr">
        <is>
          <t>上海区域</t>
        </is>
      </c>
      <c r="C570" s="16" t="inlineStr">
        <is>
          <t>CN0Q</t>
        </is>
      </c>
      <c r="D570" s="16" t="inlineStr">
        <is>
          <t>EE 苏州比斯特购物村</t>
        </is>
      </c>
      <c r="E570" s="16" t="n">
        <v>4</v>
      </c>
      <c r="F570" s="16" t="inlineStr">
        <is>
          <t>奥特莱斯</t>
        </is>
      </c>
      <c r="G570" s="16" t="inlineStr">
        <is>
          <t>EEKWG25E01</t>
        </is>
      </c>
      <c r="H570" s="16" t="n">
        <v>599</v>
      </c>
      <c r="I570" s="16" t="n">
        <v>599</v>
      </c>
      <c r="J570" s="17" t="inlineStr">
        <is>
          <t>########</t>
        </is>
      </c>
      <c r="K570" s="16" t="inlineStr">
        <is>
          <t>(51)L/Blue</t>
        </is>
      </c>
      <c r="L570" s="16" t="inlineStr">
        <is>
          <t>营业中</t>
        </is>
      </c>
      <c r="M570" s="16" t="inlineStr">
        <is>
          <t>EEKWG25E0151175</t>
        </is>
      </c>
      <c r="N570" s="16">
        <f>LEFT(M570,12)</f>
        <v/>
      </c>
      <c r="O570" s="16" t="inlineStr">
        <is>
          <t>EEKWG25E01, (51)L/Blue, (175)175</t>
        </is>
      </c>
      <c r="P570" s="16" t="n">
        <v>599</v>
      </c>
      <c r="Q570" s="16" t="n">
        <v>599</v>
      </c>
      <c r="R570" s="16" t="n"/>
      <c r="S570" s="16" t="n"/>
      <c r="T570" s="16" t="n">
        <v>1</v>
      </c>
    </row>
    <row r="571" s="103">
      <c r="A571" s="16" t="inlineStr">
        <is>
          <t>B331</t>
        </is>
      </c>
      <c r="B571" s="16" t="inlineStr">
        <is>
          <t>上海区域</t>
        </is>
      </c>
      <c r="C571" s="16" t="inlineStr">
        <is>
          <t>CN0Q</t>
        </is>
      </c>
      <c r="D571" s="16" t="inlineStr">
        <is>
          <t>EE 苏州比斯特购物村</t>
        </is>
      </c>
      <c r="E571" s="16" t="n">
        <v>4</v>
      </c>
      <c r="F571" s="16" t="inlineStr">
        <is>
          <t>奥特莱斯</t>
        </is>
      </c>
      <c r="G571" s="16" t="inlineStr">
        <is>
          <t>EEKWG25E01</t>
        </is>
      </c>
      <c r="H571" s="16" t="n">
        <v>599</v>
      </c>
      <c r="I571" s="16" t="n">
        <v>599</v>
      </c>
      <c r="J571" s="17" t="inlineStr">
        <is>
          <t>########</t>
        </is>
      </c>
      <c r="K571" s="16" t="inlineStr">
        <is>
          <t>(59)Navy</t>
        </is>
      </c>
      <c r="L571" s="16" t="inlineStr">
        <is>
          <t>营业中</t>
        </is>
      </c>
      <c r="M571" s="16" t="inlineStr">
        <is>
          <t>EEKWG25E0159160</t>
        </is>
      </c>
      <c r="N571" s="16">
        <f>LEFT(M571,12)</f>
        <v/>
      </c>
      <c r="O571" s="16" t="inlineStr">
        <is>
          <t>EEKWG25E01, (59)Navy, (160)160</t>
        </is>
      </c>
      <c r="P571" s="16" t="n">
        <v>599</v>
      </c>
      <c r="Q571" s="16" t="n">
        <v>599</v>
      </c>
      <c r="R571" s="16" t="n"/>
      <c r="S571" s="16" t="n"/>
      <c r="T571" s="16" t="n">
        <v>2</v>
      </c>
    </row>
    <row r="572" s="103">
      <c r="A572" s="16" t="inlineStr">
        <is>
          <t>B331</t>
        </is>
      </c>
      <c r="B572" s="16" t="inlineStr">
        <is>
          <t>上海区域</t>
        </is>
      </c>
      <c r="C572" s="16" t="inlineStr">
        <is>
          <t>CN0Q</t>
        </is>
      </c>
      <c r="D572" s="16" t="inlineStr">
        <is>
          <t>EE 苏州比斯特购物村</t>
        </is>
      </c>
      <c r="E572" s="16" t="n">
        <v>4</v>
      </c>
      <c r="F572" s="16" t="inlineStr">
        <is>
          <t>奥特莱斯</t>
        </is>
      </c>
      <c r="G572" s="16" t="inlineStr">
        <is>
          <t>EEKWG25E01</t>
        </is>
      </c>
      <c r="H572" s="16" t="n">
        <v>599</v>
      </c>
      <c r="I572" s="16" t="n">
        <v>599</v>
      </c>
      <c r="J572" s="17" t="inlineStr">
        <is>
          <t>########</t>
        </is>
      </c>
      <c r="K572" s="16" t="inlineStr">
        <is>
          <t>(59)Navy</t>
        </is>
      </c>
      <c r="L572" s="16" t="inlineStr">
        <is>
          <t>营业中</t>
        </is>
      </c>
      <c r="M572" s="16" t="inlineStr">
        <is>
          <t>EEKWG25E0159165</t>
        </is>
      </c>
      <c r="N572" s="16">
        <f>LEFT(M572,12)</f>
        <v/>
      </c>
      <c r="O572" s="16" t="inlineStr">
        <is>
          <t>EEKWG25E01, (59)Navy, (165)165</t>
        </is>
      </c>
      <c r="P572" s="16" t="n">
        <v>599</v>
      </c>
      <c r="Q572" s="16" t="n">
        <v>599</v>
      </c>
      <c r="R572" s="16" t="n"/>
      <c r="S572" s="16" t="n"/>
      <c r="T572" s="16" t="n">
        <v>4</v>
      </c>
    </row>
    <row r="573" s="103">
      <c r="A573" s="16" t="inlineStr">
        <is>
          <t>B331</t>
        </is>
      </c>
      <c r="B573" s="16" t="inlineStr">
        <is>
          <t>上海区域</t>
        </is>
      </c>
      <c r="C573" s="16" t="inlineStr">
        <is>
          <t>CN0Q</t>
        </is>
      </c>
      <c r="D573" s="16" t="inlineStr">
        <is>
          <t>EE 苏州比斯特购物村</t>
        </is>
      </c>
      <c r="E573" s="16" t="n">
        <v>4</v>
      </c>
      <c r="F573" s="16" t="inlineStr">
        <is>
          <t>奥特莱斯</t>
        </is>
      </c>
      <c r="G573" s="16" t="inlineStr">
        <is>
          <t>EEKWG25E01</t>
        </is>
      </c>
      <c r="H573" s="16" t="n">
        <v>599</v>
      </c>
      <c r="I573" s="16" t="n">
        <v>599</v>
      </c>
      <c r="J573" s="17" t="inlineStr">
        <is>
          <t>########</t>
        </is>
      </c>
      <c r="K573" s="16" t="inlineStr">
        <is>
          <t>(59)Navy</t>
        </is>
      </c>
      <c r="L573" s="16" t="inlineStr">
        <is>
          <t>营业中</t>
        </is>
      </c>
      <c r="M573" s="16" t="inlineStr">
        <is>
          <t>EEKWG25E0159170</t>
        </is>
      </c>
      <c r="N573" s="16">
        <f>LEFT(M573,12)</f>
        <v/>
      </c>
      <c r="O573" s="16" t="inlineStr">
        <is>
          <t>EEKWG25E01, (59)Navy, (170)170</t>
        </is>
      </c>
      <c r="P573" s="16" t="n">
        <v>599</v>
      </c>
      <c r="Q573" s="16" t="n">
        <v>599</v>
      </c>
      <c r="R573" s="16" t="n"/>
      <c r="S573" s="16" t="n"/>
      <c r="T573" s="16" t="n">
        <v>3</v>
      </c>
    </row>
    <row r="574" s="103">
      <c r="A574" s="16" t="inlineStr">
        <is>
          <t>B331</t>
        </is>
      </c>
      <c r="B574" s="16" t="inlineStr">
        <is>
          <t>上海区域</t>
        </is>
      </c>
      <c r="C574" s="16" t="inlineStr">
        <is>
          <t>CN0Q</t>
        </is>
      </c>
      <c r="D574" s="16" t="inlineStr">
        <is>
          <t>EE 苏州比斯特购物村</t>
        </is>
      </c>
      <c r="E574" s="16" t="n">
        <v>4</v>
      </c>
      <c r="F574" s="16" t="inlineStr">
        <is>
          <t>奥特莱斯</t>
        </is>
      </c>
      <c r="G574" s="16" t="inlineStr">
        <is>
          <t>EEKWG25E01</t>
        </is>
      </c>
      <c r="H574" s="16" t="n">
        <v>599</v>
      </c>
      <c r="I574" s="16" t="n">
        <v>599</v>
      </c>
      <c r="J574" s="17" t="inlineStr">
        <is>
          <t>########</t>
        </is>
      </c>
      <c r="K574" s="16" t="inlineStr">
        <is>
          <t>(59)Navy</t>
        </is>
      </c>
      <c r="L574" s="16" t="inlineStr">
        <is>
          <t>营业中</t>
        </is>
      </c>
      <c r="M574" s="16" t="inlineStr">
        <is>
          <t>EEKWG25E0159175</t>
        </is>
      </c>
      <c r="N574" s="16">
        <f>LEFT(M574,12)</f>
        <v/>
      </c>
      <c r="O574" s="16" t="inlineStr">
        <is>
          <t>EEKWG25E01, (59)Navy, (175)175</t>
        </is>
      </c>
      <c r="P574" s="16" t="n">
        <v>599</v>
      </c>
      <c r="Q574" s="16" t="n">
        <v>599</v>
      </c>
      <c r="R574" s="16" t="n"/>
      <c r="S574" s="16" t="n"/>
      <c r="T574" s="16" t="n">
        <v>1</v>
      </c>
    </row>
    <row r="575" s="103">
      <c r="A575" s="16" t="inlineStr">
        <is>
          <t>B331</t>
        </is>
      </c>
      <c r="B575" s="16" t="inlineStr">
        <is>
          <t>上海区域</t>
        </is>
      </c>
      <c r="C575" s="16" t="inlineStr">
        <is>
          <t>CN0Q</t>
        </is>
      </c>
      <c r="D575" s="16" t="inlineStr">
        <is>
          <t>EE 苏州比斯特购物村</t>
        </is>
      </c>
      <c r="E575" s="16" t="n">
        <v>4</v>
      </c>
      <c r="F575" s="16" t="inlineStr">
        <is>
          <t>奥特莱斯</t>
        </is>
      </c>
      <c r="G575" s="16" t="inlineStr">
        <is>
          <t>EEKWG25E02</t>
        </is>
      </c>
      <c r="H575" s="16" t="n">
        <v>699</v>
      </c>
      <c r="I575" s="16" t="n">
        <v>699</v>
      </c>
      <c r="J575" s="17" t="inlineStr">
        <is>
          <t>########</t>
        </is>
      </c>
      <c r="K575" s="16" t="inlineStr">
        <is>
          <t>(15)Grey</t>
        </is>
      </c>
      <c r="L575" s="16" t="inlineStr">
        <is>
          <t>营业中</t>
        </is>
      </c>
      <c r="M575" s="16" t="inlineStr">
        <is>
          <t>EEKWG25E0215160</t>
        </is>
      </c>
      <c r="N575" s="16">
        <f>LEFT(M575,12)</f>
        <v/>
      </c>
      <c r="O575" s="16" t="inlineStr">
        <is>
          <t>EEKWG25E02, (15)Grey, (160)160</t>
        </is>
      </c>
      <c r="P575" s="16" t="n">
        <v>699</v>
      </c>
      <c r="Q575" s="16" t="n">
        <v>699</v>
      </c>
      <c r="R575" s="16" t="n">
        <v>1</v>
      </c>
      <c r="S575" s="16" t="n">
        <v>443</v>
      </c>
      <c r="T575" s="16" t="n">
        <v>2</v>
      </c>
    </row>
    <row r="576" s="103">
      <c r="A576" s="16" t="inlineStr">
        <is>
          <t>B331</t>
        </is>
      </c>
      <c r="B576" s="16" t="inlineStr">
        <is>
          <t>上海区域</t>
        </is>
      </c>
      <c r="C576" s="16" t="inlineStr">
        <is>
          <t>CN0Q</t>
        </is>
      </c>
      <c r="D576" s="16" t="inlineStr">
        <is>
          <t>EE 苏州比斯特购物村</t>
        </is>
      </c>
      <c r="E576" s="16" t="n">
        <v>4</v>
      </c>
      <c r="F576" s="16" t="inlineStr">
        <is>
          <t>奥特莱斯</t>
        </is>
      </c>
      <c r="G576" s="16" t="inlineStr">
        <is>
          <t>EEKWG25E02</t>
        </is>
      </c>
      <c r="H576" s="16" t="n">
        <v>699</v>
      </c>
      <c r="I576" s="16" t="n">
        <v>699</v>
      </c>
      <c r="J576" s="17" t="inlineStr">
        <is>
          <t>########</t>
        </is>
      </c>
      <c r="K576" s="16" t="inlineStr">
        <is>
          <t>(15)Grey</t>
        </is>
      </c>
      <c r="L576" s="16" t="inlineStr">
        <is>
          <t>营业中</t>
        </is>
      </c>
      <c r="M576" s="16" t="inlineStr">
        <is>
          <t>EEKWG25E0215165</t>
        </is>
      </c>
      <c r="N576" s="16">
        <f>LEFT(M576,12)</f>
        <v/>
      </c>
      <c r="O576" s="16" t="inlineStr">
        <is>
          <t>EEKWG25E02, (15)Grey, (165)165</t>
        </is>
      </c>
      <c r="P576" s="16" t="n">
        <v>699</v>
      </c>
      <c r="Q576" s="16" t="n">
        <v>699</v>
      </c>
      <c r="R576" s="16" t="n"/>
      <c r="S576" s="16" t="n"/>
      <c r="T576" s="16" t="n">
        <v>2</v>
      </c>
    </row>
    <row r="577" s="103">
      <c r="A577" s="16" t="inlineStr">
        <is>
          <t>B331</t>
        </is>
      </c>
      <c r="B577" s="16" t="inlineStr">
        <is>
          <t>上海区域</t>
        </is>
      </c>
      <c r="C577" s="16" t="inlineStr">
        <is>
          <t>CN0Q</t>
        </is>
      </c>
      <c r="D577" s="16" t="inlineStr">
        <is>
          <t>EE 苏州比斯特购物村</t>
        </is>
      </c>
      <c r="E577" s="16" t="n">
        <v>4</v>
      </c>
      <c r="F577" s="16" t="inlineStr">
        <is>
          <t>奥特莱斯</t>
        </is>
      </c>
      <c r="G577" s="16" t="inlineStr">
        <is>
          <t>EEKWG25E02</t>
        </is>
      </c>
      <c r="H577" s="16" t="n">
        <v>699</v>
      </c>
      <c r="I577" s="16" t="n">
        <v>699</v>
      </c>
      <c r="J577" s="17" t="inlineStr">
        <is>
          <t>########</t>
        </is>
      </c>
      <c r="K577" s="16" t="inlineStr">
        <is>
          <t>(15)Grey</t>
        </is>
      </c>
      <c r="L577" s="16" t="inlineStr">
        <is>
          <t>营业中</t>
        </is>
      </c>
      <c r="M577" s="16" t="inlineStr">
        <is>
          <t>EEKWG25E0215170</t>
        </is>
      </c>
      <c r="N577" s="16">
        <f>LEFT(M577,12)</f>
        <v/>
      </c>
      <c r="O577" s="16" t="inlineStr">
        <is>
          <t>EEKWG25E02, (15)Grey, (170)170</t>
        </is>
      </c>
      <c r="P577" s="16" t="n">
        <v>699</v>
      </c>
      <c r="Q577" s="16" t="n">
        <v>699</v>
      </c>
      <c r="R577" s="16" t="n"/>
      <c r="S577" s="16" t="n"/>
      <c r="T577" s="16" t="n">
        <v>3</v>
      </c>
    </row>
    <row r="578" s="103">
      <c r="A578" s="16" t="inlineStr">
        <is>
          <t>B331</t>
        </is>
      </c>
      <c r="B578" s="16" t="inlineStr">
        <is>
          <t>上海区域</t>
        </is>
      </c>
      <c r="C578" s="16" t="inlineStr">
        <is>
          <t>CN0Q</t>
        </is>
      </c>
      <c r="D578" s="16" t="inlineStr">
        <is>
          <t>EE 苏州比斯特购物村</t>
        </is>
      </c>
      <c r="E578" s="16" t="n">
        <v>4</v>
      </c>
      <c r="F578" s="16" t="inlineStr">
        <is>
          <t>奥特莱斯</t>
        </is>
      </c>
      <c r="G578" s="16" t="inlineStr">
        <is>
          <t>EEKWG25E02</t>
        </is>
      </c>
      <c r="H578" s="16" t="n">
        <v>699</v>
      </c>
      <c r="I578" s="16" t="n">
        <v>699</v>
      </c>
      <c r="J578" s="17" t="inlineStr">
        <is>
          <t>########</t>
        </is>
      </c>
      <c r="K578" s="16" t="inlineStr">
        <is>
          <t>(15)Grey</t>
        </is>
      </c>
      <c r="L578" s="16" t="inlineStr">
        <is>
          <t>营业中</t>
        </is>
      </c>
      <c r="M578" s="16" t="inlineStr">
        <is>
          <t>EEKWG25E0215175</t>
        </is>
      </c>
      <c r="N578" s="16">
        <f>LEFT(M578,12)</f>
        <v/>
      </c>
      <c r="O578" s="16" t="inlineStr">
        <is>
          <t>EEKWG25E02, (15)Grey, (175)175</t>
        </is>
      </c>
      <c r="P578" s="16" t="n">
        <v>699</v>
      </c>
      <c r="Q578" s="16" t="n">
        <v>699</v>
      </c>
      <c r="R578" s="16" t="n"/>
      <c r="S578" s="16" t="n"/>
      <c r="T578" s="16" t="n">
        <v>1</v>
      </c>
    </row>
    <row r="579" s="103">
      <c r="A579" s="16" t="inlineStr">
        <is>
          <t>B331</t>
        </is>
      </c>
      <c r="B579" s="16" t="inlineStr">
        <is>
          <t>上海区域</t>
        </is>
      </c>
      <c r="C579" s="16" t="inlineStr">
        <is>
          <t>CN0Q</t>
        </is>
      </c>
      <c r="D579" s="16" t="inlineStr">
        <is>
          <t>EE 苏州比斯特购物村</t>
        </is>
      </c>
      <c r="E579" s="16" t="n">
        <v>4</v>
      </c>
      <c r="F579" s="16" t="inlineStr">
        <is>
          <t>奥特莱斯</t>
        </is>
      </c>
      <c r="G579" s="16" t="inlineStr">
        <is>
          <t>EEKWG25E02</t>
        </is>
      </c>
      <c r="H579" s="16" t="n">
        <v>699</v>
      </c>
      <c r="I579" s="16" t="n">
        <v>699</v>
      </c>
      <c r="J579" s="17" t="inlineStr">
        <is>
          <t>########</t>
        </is>
      </c>
      <c r="K579" s="16" t="inlineStr">
        <is>
          <t>(59)Navy</t>
        </is>
      </c>
      <c r="L579" s="16" t="inlineStr">
        <is>
          <t>营业中</t>
        </is>
      </c>
      <c r="M579" s="16" t="inlineStr">
        <is>
          <t>EEKWG25E0259160</t>
        </is>
      </c>
      <c r="N579" s="16">
        <f>LEFT(M579,12)</f>
        <v/>
      </c>
      <c r="O579" s="16" t="inlineStr">
        <is>
          <t>EEKWG25E02, (59)Navy, (160)160</t>
        </is>
      </c>
      <c r="P579" s="16" t="n">
        <v>699</v>
      </c>
      <c r="Q579" s="16" t="n">
        <v>699</v>
      </c>
      <c r="R579" s="16" t="n">
        <v>0</v>
      </c>
      <c r="S579" s="16" t="n">
        <v>0</v>
      </c>
      <c r="T579" s="16" t="n">
        <v>2</v>
      </c>
    </row>
    <row r="580" s="103">
      <c r="A580" s="16" t="inlineStr">
        <is>
          <t>B331</t>
        </is>
      </c>
      <c r="B580" s="16" t="inlineStr">
        <is>
          <t>上海区域</t>
        </is>
      </c>
      <c r="C580" s="16" t="inlineStr">
        <is>
          <t>CN0Q</t>
        </is>
      </c>
      <c r="D580" s="16" t="inlineStr">
        <is>
          <t>EE 苏州比斯特购物村</t>
        </is>
      </c>
      <c r="E580" s="16" t="n">
        <v>4</v>
      </c>
      <c r="F580" s="16" t="inlineStr">
        <is>
          <t>奥特莱斯</t>
        </is>
      </c>
      <c r="G580" s="16" t="inlineStr">
        <is>
          <t>EEKWG25E02</t>
        </is>
      </c>
      <c r="H580" s="16" t="n">
        <v>699</v>
      </c>
      <c r="I580" s="16" t="n">
        <v>699</v>
      </c>
      <c r="J580" s="17" t="inlineStr">
        <is>
          <t>########</t>
        </is>
      </c>
      <c r="K580" s="16" t="inlineStr">
        <is>
          <t>(59)Navy</t>
        </is>
      </c>
      <c r="L580" s="16" t="inlineStr">
        <is>
          <t>营业中</t>
        </is>
      </c>
      <c r="M580" s="16" t="inlineStr">
        <is>
          <t>EEKWG25E0259165</t>
        </is>
      </c>
      <c r="N580" s="16">
        <f>LEFT(M580,12)</f>
        <v/>
      </c>
      <c r="O580" s="16" t="inlineStr">
        <is>
          <t>EEKWG25E02, (59)Navy, (165)165</t>
        </is>
      </c>
      <c r="P580" s="16" t="n">
        <v>699</v>
      </c>
      <c r="Q580" s="16" t="n">
        <v>699</v>
      </c>
      <c r="R580" s="16" t="n">
        <v>3</v>
      </c>
      <c r="S580" s="18" t="n">
        <v>1096</v>
      </c>
      <c r="T580" s="16" t="n">
        <v>0</v>
      </c>
    </row>
    <row r="581" s="103">
      <c r="A581" s="16" t="inlineStr">
        <is>
          <t>B331</t>
        </is>
      </c>
      <c r="B581" s="16" t="inlineStr">
        <is>
          <t>上海区域</t>
        </is>
      </c>
      <c r="C581" s="16" t="inlineStr">
        <is>
          <t>CN0Q</t>
        </is>
      </c>
      <c r="D581" s="16" t="inlineStr">
        <is>
          <t>EE 苏州比斯特购物村</t>
        </is>
      </c>
      <c r="E581" s="16" t="n">
        <v>4</v>
      </c>
      <c r="F581" s="16" t="inlineStr">
        <is>
          <t>奥特莱斯</t>
        </is>
      </c>
      <c r="G581" s="16" t="inlineStr">
        <is>
          <t>EEKWG25E02</t>
        </is>
      </c>
      <c r="H581" s="16" t="n">
        <v>699</v>
      </c>
      <c r="I581" s="16" t="n">
        <v>699</v>
      </c>
      <c r="J581" s="17" t="inlineStr">
        <is>
          <t>########</t>
        </is>
      </c>
      <c r="K581" s="16" t="inlineStr">
        <is>
          <t>(59)Navy</t>
        </is>
      </c>
      <c r="L581" s="16" t="inlineStr">
        <is>
          <t>营业中</t>
        </is>
      </c>
      <c r="M581" s="16" t="inlineStr">
        <is>
          <t>EEKWG25E0259170</t>
        </is>
      </c>
      <c r="N581" s="16">
        <f>LEFT(M581,12)</f>
        <v/>
      </c>
      <c r="O581" s="16" t="inlineStr">
        <is>
          <t>EEKWG25E02, (59)Navy, (170)170</t>
        </is>
      </c>
      <c r="P581" s="16" t="n">
        <v>699</v>
      </c>
      <c r="Q581" s="16" t="n">
        <v>699</v>
      </c>
      <c r="R581" s="16" t="n"/>
      <c r="S581" s="16" t="n"/>
      <c r="T581" s="16" t="n">
        <v>2</v>
      </c>
    </row>
    <row r="582" s="103">
      <c r="A582" s="16" t="inlineStr">
        <is>
          <t>B331</t>
        </is>
      </c>
      <c r="B582" s="16" t="inlineStr">
        <is>
          <t>上海区域</t>
        </is>
      </c>
      <c r="C582" s="16" t="inlineStr">
        <is>
          <t>CN0Q</t>
        </is>
      </c>
      <c r="D582" s="16" t="inlineStr">
        <is>
          <t>EE 苏州比斯特购物村</t>
        </is>
      </c>
      <c r="E582" s="16" t="n">
        <v>4</v>
      </c>
      <c r="F582" s="16" t="inlineStr">
        <is>
          <t>奥特莱斯</t>
        </is>
      </c>
      <c r="G582" s="16" t="inlineStr">
        <is>
          <t>EEKWG25E02</t>
        </is>
      </c>
      <c r="H582" s="16" t="n">
        <v>699</v>
      </c>
      <c r="I582" s="16" t="n">
        <v>699</v>
      </c>
      <c r="J582" s="17" t="inlineStr">
        <is>
          <t>########</t>
        </is>
      </c>
      <c r="K582" s="16" t="inlineStr">
        <is>
          <t>(59)Navy</t>
        </is>
      </c>
      <c r="L582" s="16" t="inlineStr">
        <is>
          <t>营业中</t>
        </is>
      </c>
      <c r="M582" s="16" t="inlineStr">
        <is>
          <t>EEKWG25E0259175</t>
        </is>
      </c>
      <c r="N582" s="16">
        <f>LEFT(M582,12)</f>
        <v/>
      </c>
      <c r="O582" s="16" t="inlineStr">
        <is>
          <t>EEKWG25E02, (59)Navy, (175)175</t>
        </is>
      </c>
      <c r="P582" s="16" t="n">
        <v>699</v>
      </c>
      <c r="Q582" s="16" t="n">
        <v>699</v>
      </c>
      <c r="R582" s="16" t="n"/>
      <c r="S582" s="16" t="n"/>
      <c r="T582" s="16" t="n">
        <v>1</v>
      </c>
    </row>
    <row r="583" s="103">
      <c r="A583" s="16" t="inlineStr">
        <is>
          <t>B331</t>
        </is>
      </c>
      <c r="B583" s="16" t="inlineStr">
        <is>
          <t>上海区域</t>
        </is>
      </c>
      <c r="C583" s="16" t="inlineStr">
        <is>
          <t>CN0Q</t>
        </is>
      </c>
      <c r="D583" s="16" t="inlineStr">
        <is>
          <t>EE 苏州比斯特购物村</t>
        </is>
      </c>
      <c r="E583" s="16" t="n">
        <v>4</v>
      </c>
      <c r="F583" s="16" t="inlineStr">
        <is>
          <t>奥特莱斯</t>
        </is>
      </c>
      <c r="G583" s="16" t="inlineStr">
        <is>
          <t>EEKWG62S01</t>
        </is>
      </c>
      <c r="H583" s="16" t="n">
        <v>599</v>
      </c>
      <c r="I583" s="16" t="n">
        <v>699</v>
      </c>
      <c r="J583" s="17" t="n">
        <v>46024</v>
      </c>
      <c r="K583" s="16" t="inlineStr">
        <is>
          <t>(18)M/Grey</t>
        </is>
      </c>
      <c r="L583" s="16" t="inlineStr">
        <is>
          <t>营业中</t>
        </is>
      </c>
      <c r="M583" s="16" t="inlineStr">
        <is>
          <t>EEKWG62S0118160</t>
        </is>
      </c>
      <c r="N583" s="16">
        <f>LEFT(M583,12)</f>
        <v/>
      </c>
      <c r="O583" s="16" t="inlineStr">
        <is>
          <t>EEKWG62S01, (18)M/Grey, (160)160</t>
        </is>
      </c>
      <c r="P583" s="16" t="n">
        <v>599</v>
      </c>
      <c r="Q583" s="16" t="n">
        <v>699</v>
      </c>
      <c r="R583" s="16" t="n">
        <v>1</v>
      </c>
      <c r="S583" s="16" t="n">
        <v>316</v>
      </c>
      <c r="T583" s="16" t="n">
        <v>1</v>
      </c>
    </row>
    <row r="584" s="103">
      <c r="A584" s="16" t="inlineStr">
        <is>
          <t>B331</t>
        </is>
      </c>
      <c r="B584" s="16" t="inlineStr">
        <is>
          <t>上海区域</t>
        </is>
      </c>
      <c r="C584" s="16" t="inlineStr">
        <is>
          <t>CN0Q</t>
        </is>
      </c>
      <c r="D584" s="16" t="inlineStr">
        <is>
          <t>EE 苏州比斯特购物村</t>
        </is>
      </c>
      <c r="E584" s="16" t="n">
        <v>4</v>
      </c>
      <c r="F584" s="16" t="inlineStr">
        <is>
          <t>奥特莱斯</t>
        </is>
      </c>
      <c r="G584" s="16" t="inlineStr">
        <is>
          <t>EEKWG62S01</t>
        </is>
      </c>
      <c r="H584" s="16" t="n">
        <v>599</v>
      </c>
      <c r="I584" s="16" t="n">
        <v>699</v>
      </c>
      <c r="J584" s="17" t="n">
        <v>46024</v>
      </c>
      <c r="K584" s="16" t="inlineStr">
        <is>
          <t>(18)M/Grey</t>
        </is>
      </c>
      <c r="L584" s="16" t="inlineStr">
        <is>
          <t>营业中</t>
        </is>
      </c>
      <c r="M584" s="16" t="inlineStr">
        <is>
          <t>EEKWG62S0118165</t>
        </is>
      </c>
      <c r="N584" s="16">
        <f>LEFT(M584,12)</f>
        <v/>
      </c>
      <c r="O584" s="16" t="inlineStr">
        <is>
          <t>EEKWG62S01, (18)M/Grey, (165)165</t>
        </is>
      </c>
      <c r="P584" s="16" t="n">
        <v>599</v>
      </c>
      <c r="Q584" s="16" t="n">
        <v>699</v>
      </c>
      <c r="R584" s="16" t="n">
        <v>1</v>
      </c>
      <c r="S584" s="16" t="n">
        <v>280</v>
      </c>
      <c r="T584" s="16" t="n">
        <v>3</v>
      </c>
    </row>
    <row r="585" s="103">
      <c r="A585" s="16" t="inlineStr">
        <is>
          <t>B331</t>
        </is>
      </c>
      <c r="B585" s="16" t="inlineStr">
        <is>
          <t>上海区域</t>
        </is>
      </c>
      <c r="C585" s="16" t="inlineStr">
        <is>
          <t>CN0Q</t>
        </is>
      </c>
      <c r="D585" s="16" t="inlineStr">
        <is>
          <t>EE 苏州比斯特购物村</t>
        </is>
      </c>
      <c r="E585" s="16" t="n">
        <v>4</v>
      </c>
      <c r="F585" s="16" t="inlineStr">
        <is>
          <t>奥特莱斯</t>
        </is>
      </c>
      <c r="G585" s="16" t="inlineStr">
        <is>
          <t>EEKWG62S01</t>
        </is>
      </c>
      <c r="H585" s="16" t="n">
        <v>599</v>
      </c>
      <c r="I585" s="16" t="n">
        <v>699</v>
      </c>
      <c r="J585" s="17" t="n">
        <v>46024</v>
      </c>
      <c r="K585" s="16" t="inlineStr">
        <is>
          <t>(18)M/Grey</t>
        </is>
      </c>
      <c r="L585" s="16" t="inlineStr">
        <is>
          <t>营业中</t>
        </is>
      </c>
      <c r="M585" s="16" t="inlineStr">
        <is>
          <t>EEKWG62S0118170</t>
        </is>
      </c>
      <c r="N585" s="16">
        <f>LEFT(M585,12)</f>
        <v/>
      </c>
      <c r="O585" s="16" t="inlineStr">
        <is>
          <t>EEKWG62S01, (18)M/Grey, (170)170</t>
        </is>
      </c>
      <c r="P585" s="16" t="n">
        <v>599</v>
      </c>
      <c r="Q585" s="16" t="n">
        <v>699</v>
      </c>
      <c r="R585" s="16" t="n">
        <v>1</v>
      </c>
      <c r="S585" s="16" t="n">
        <v>321</v>
      </c>
      <c r="T585" s="16" t="n">
        <v>1</v>
      </c>
    </row>
    <row r="586" s="103">
      <c r="A586" s="16" t="inlineStr">
        <is>
          <t>B331</t>
        </is>
      </c>
      <c r="B586" s="16" t="inlineStr">
        <is>
          <t>上海区域</t>
        </is>
      </c>
      <c r="C586" s="16" t="inlineStr">
        <is>
          <t>CN0Q</t>
        </is>
      </c>
      <c r="D586" s="16" t="inlineStr">
        <is>
          <t>EE 苏州比斯特购物村</t>
        </is>
      </c>
      <c r="E586" s="16" t="n">
        <v>4</v>
      </c>
      <c r="F586" s="16" t="inlineStr">
        <is>
          <t>奥特莱斯</t>
        </is>
      </c>
      <c r="G586" s="16" t="inlineStr">
        <is>
          <t>EEKWG62S01</t>
        </is>
      </c>
      <c r="H586" s="16" t="n">
        <v>599</v>
      </c>
      <c r="I586" s="16" t="n">
        <v>699</v>
      </c>
      <c r="J586" s="17" t="n">
        <v>46024</v>
      </c>
      <c r="K586" s="16" t="inlineStr">
        <is>
          <t>(20)Red</t>
        </is>
      </c>
      <c r="L586" s="16" t="inlineStr">
        <is>
          <t>营业中</t>
        </is>
      </c>
      <c r="M586" s="16" t="inlineStr">
        <is>
          <t>EEKWG62S0120160</t>
        </is>
      </c>
      <c r="N586" s="16">
        <f>LEFT(M586,12)</f>
        <v/>
      </c>
      <c r="O586" s="16" t="inlineStr">
        <is>
          <t>EEKWG62S01, (20)Red, (160)160</t>
        </is>
      </c>
      <c r="P586" s="16" t="n">
        <v>599</v>
      </c>
      <c r="Q586" s="16" t="n">
        <v>699</v>
      </c>
      <c r="R586" s="16" t="n"/>
      <c r="S586" s="16" t="n"/>
      <c r="T586" s="16" t="n">
        <v>2</v>
      </c>
    </row>
    <row r="587" s="103">
      <c r="A587" s="16" t="inlineStr">
        <is>
          <t>B331</t>
        </is>
      </c>
      <c r="B587" s="16" t="inlineStr">
        <is>
          <t>上海区域</t>
        </is>
      </c>
      <c r="C587" s="16" t="inlineStr">
        <is>
          <t>CN0Q</t>
        </is>
      </c>
      <c r="D587" s="16" t="inlineStr">
        <is>
          <t>EE 苏州比斯特购物村</t>
        </is>
      </c>
      <c r="E587" s="16" t="n">
        <v>4</v>
      </c>
      <c r="F587" s="16" t="inlineStr">
        <is>
          <t>奥特莱斯</t>
        </is>
      </c>
      <c r="G587" s="16" t="inlineStr">
        <is>
          <t>EEKWG62S01</t>
        </is>
      </c>
      <c r="H587" s="16" t="n">
        <v>599</v>
      </c>
      <c r="I587" s="16" t="n">
        <v>699</v>
      </c>
      <c r="J587" s="17" t="n">
        <v>46024</v>
      </c>
      <c r="K587" s="16" t="inlineStr">
        <is>
          <t>(20)Red</t>
        </is>
      </c>
      <c r="L587" s="16" t="inlineStr">
        <is>
          <t>营业中</t>
        </is>
      </c>
      <c r="M587" s="16" t="inlineStr">
        <is>
          <t>EEKWG62S0120165</t>
        </is>
      </c>
      <c r="N587" s="16">
        <f>LEFT(M587,12)</f>
        <v/>
      </c>
      <c r="O587" s="16" t="inlineStr">
        <is>
          <t>EEKWG62S01, (20)Red, (165)165</t>
        </is>
      </c>
      <c r="P587" s="16" t="n">
        <v>599</v>
      </c>
      <c r="Q587" s="16" t="n">
        <v>699</v>
      </c>
      <c r="R587" s="16" t="n"/>
      <c r="S587" s="16" t="n"/>
      <c r="T587" s="16" t="n">
        <v>4</v>
      </c>
    </row>
    <row r="588" s="103">
      <c r="A588" s="16" t="inlineStr">
        <is>
          <t>B331</t>
        </is>
      </c>
      <c r="B588" s="16" t="inlineStr">
        <is>
          <t>上海区域</t>
        </is>
      </c>
      <c r="C588" s="16" t="inlineStr">
        <is>
          <t>CN0Q</t>
        </is>
      </c>
      <c r="D588" s="16" t="inlineStr">
        <is>
          <t>EE 苏州比斯特购物村</t>
        </is>
      </c>
      <c r="E588" s="16" t="n">
        <v>4</v>
      </c>
      <c r="F588" s="16" t="inlineStr">
        <is>
          <t>奥特莱斯</t>
        </is>
      </c>
      <c r="G588" s="16" t="inlineStr">
        <is>
          <t>EEKWG62S01</t>
        </is>
      </c>
      <c r="H588" s="16" t="n">
        <v>599</v>
      </c>
      <c r="I588" s="16" t="n">
        <v>699</v>
      </c>
      <c r="J588" s="17" t="n">
        <v>46024</v>
      </c>
      <c r="K588" s="16" t="inlineStr">
        <is>
          <t>(20)Red</t>
        </is>
      </c>
      <c r="L588" s="16" t="inlineStr">
        <is>
          <t>营业中</t>
        </is>
      </c>
      <c r="M588" s="16" t="inlineStr">
        <is>
          <t>EEKWG62S0120170</t>
        </is>
      </c>
      <c r="N588" s="16">
        <f>LEFT(M588,12)</f>
        <v/>
      </c>
      <c r="O588" s="16" t="inlineStr">
        <is>
          <t>EEKWG62S01, (20)Red, (170)170</t>
        </is>
      </c>
      <c r="P588" s="16" t="n">
        <v>599</v>
      </c>
      <c r="Q588" s="16" t="n">
        <v>699</v>
      </c>
      <c r="R588" s="16" t="n"/>
      <c r="S588" s="16" t="n"/>
      <c r="T588" s="16" t="n">
        <v>2</v>
      </c>
    </row>
    <row r="589" s="103">
      <c r="A589" s="16" t="inlineStr">
        <is>
          <t>B331</t>
        </is>
      </c>
      <c r="B589" s="16" t="inlineStr">
        <is>
          <t>上海区域</t>
        </is>
      </c>
      <c r="C589" s="16" t="inlineStr">
        <is>
          <t>CN0Q</t>
        </is>
      </c>
      <c r="D589" s="16" t="inlineStr">
        <is>
          <t>EE 苏州比斯特购物村</t>
        </is>
      </c>
      <c r="E589" s="16" t="n">
        <v>4</v>
      </c>
      <c r="F589" s="16" t="inlineStr">
        <is>
          <t>奥特莱斯</t>
        </is>
      </c>
      <c r="G589" s="16" t="inlineStr">
        <is>
          <t>EEKWG62S01</t>
        </is>
      </c>
      <c r="H589" s="16" t="n">
        <v>599</v>
      </c>
      <c r="I589" s="16" t="n">
        <v>699</v>
      </c>
      <c r="J589" s="17" t="n">
        <v>46024</v>
      </c>
      <c r="K589" s="16" t="inlineStr">
        <is>
          <t>(31)L/Yellow</t>
        </is>
      </c>
      <c r="L589" s="16" t="inlineStr">
        <is>
          <t>营业中</t>
        </is>
      </c>
      <c r="M589" s="16" t="inlineStr">
        <is>
          <t>EEKWG62S0131160</t>
        </is>
      </c>
      <c r="N589" s="16">
        <f>LEFT(M589,12)</f>
        <v/>
      </c>
      <c r="O589" s="16" t="inlineStr">
        <is>
          <t>EEKWG62S01, (31)L/Yellow, (160)160</t>
        </is>
      </c>
      <c r="P589" s="16" t="n">
        <v>599</v>
      </c>
      <c r="Q589" s="16" t="n">
        <v>699</v>
      </c>
      <c r="R589" s="16" t="n">
        <v>1</v>
      </c>
      <c r="S589" s="16" t="n">
        <v>280</v>
      </c>
      <c r="T589" s="16" t="n">
        <v>1</v>
      </c>
    </row>
    <row r="590" s="103">
      <c r="A590" s="16" t="inlineStr">
        <is>
          <t>B331</t>
        </is>
      </c>
      <c r="B590" s="16" t="inlineStr">
        <is>
          <t>上海区域</t>
        </is>
      </c>
      <c r="C590" s="16" t="inlineStr">
        <is>
          <t>CN0Q</t>
        </is>
      </c>
      <c r="D590" s="16" t="inlineStr">
        <is>
          <t>EE 苏州比斯特购物村</t>
        </is>
      </c>
      <c r="E590" s="16" t="n">
        <v>4</v>
      </c>
      <c r="F590" s="16" t="inlineStr">
        <is>
          <t>奥特莱斯</t>
        </is>
      </c>
      <c r="G590" s="16" t="inlineStr">
        <is>
          <t>EEKWG62S01</t>
        </is>
      </c>
      <c r="H590" s="16" t="n">
        <v>599</v>
      </c>
      <c r="I590" s="16" t="n">
        <v>699</v>
      </c>
      <c r="J590" s="17" t="n">
        <v>46024</v>
      </c>
      <c r="K590" s="16" t="inlineStr">
        <is>
          <t>(31)L/Yellow</t>
        </is>
      </c>
      <c r="L590" s="16" t="inlineStr">
        <is>
          <t>营业中</t>
        </is>
      </c>
      <c r="M590" s="16" t="inlineStr">
        <is>
          <t>EEKWG62S0131165</t>
        </is>
      </c>
      <c r="N590" s="16">
        <f>LEFT(M590,12)</f>
        <v/>
      </c>
      <c r="O590" s="16" t="inlineStr">
        <is>
          <t>EEKWG62S01, (31)L/Yellow, (165)165</t>
        </is>
      </c>
      <c r="P590" s="16" t="n">
        <v>599</v>
      </c>
      <c r="Q590" s="16" t="n">
        <v>699</v>
      </c>
      <c r="R590" s="16" t="n">
        <v>1</v>
      </c>
      <c r="S590" s="16" t="n">
        <v>264</v>
      </c>
      <c r="T590" s="16" t="n">
        <v>3</v>
      </c>
    </row>
    <row r="591" s="103">
      <c r="A591" s="16" t="inlineStr">
        <is>
          <t>B331</t>
        </is>
      </c>
      <c r="B591" s="16" t="inlineStr">
        <is>
          <t>上海区域</t>
        </is>
      </c>
      <c r="C591" s="16" t="inlineStr">
        <is>
          <t>CN0Q</t>
        </is>
      </c>
      <c r="D591" s="16" t="inlineStr">
        <is>
          <t>EE 苏州比斯特购物村</t>
        </is>
      </c>
      <c r="E591" s="16" t="n">
        <v>4</v>
      </c>
      <c r="F591" s="16" t="inlineStr">
        <is>
          <t>奥特莱斯</t>
        </is>
      </c>
      <c r="G591" s="16" t="inlineStr">
        <is>
          <t>EEKWG62S01</t>
        </is>
      </c>
      <c r="H591" s="16" t="n">
        <v>599</v>
      </c>
      <c r="I591" s="16" t="n">
        <v>699</v>
      </c>
      <c r="J591" s="17" t="n">
        <v>46024</v>
      </c>
      <c r="K591" s="16" t="inlineStr">
        <is>
          <t>(31)L/Yellow</t>
        </is>
      </c>
      <c r="L591" s="16" t="inlineStr">
        <is>
          <t>营业中</t>
        </is>
      </c>
      <c r="M591" s="16" t="inlineStr">
        <is>
          <t>EEKWG62S0131170</t>
        </is>
      </c>
      <c r="N591" s="16">
        <f>LEFT(M591,12)</f>
        <v/>
      </c>
      <c r="O591" s="16" t="inlineStr">
        <is>
          <t>EEKWG62S01, (31)L/Yellow, (170)170</t>
        </is>
      </c>
      <c r="P591" s="16" t="n">
        <v>599</v>
      </c>
      <c r="Q591" s="16" t="n">
        <v>699</v>
      </c>
      <c r="R591" s="16" t="n">
        <v>1</v>
      </c>
      <c r="S591" s="16" t="n">
        <v>320</v>
      </c>
      <c r="T591" s="16" t="n">
        <v>1</v>
      </c>
    </row>
    <row r="592" s="103">
      <c r="A592" s="16" t="inlineStr">
        <is>
          <t>B331</t>
        </is>
      </c>
      <c r="B592" s="16" t="inlineStr">
        <is>
          <t>上海区域</t>
        </is>
      </c>
      <c r="C592" s="16" t="inlineStr">
        <is>
          <t>CN0Q</t>
        </is>
      </c>
      <c r="D592" s="16" t="inlineStr">
        <is>
          <t>EE 苏州比斯特购物村</t>
        </is>
      </c>
      <c r="E592" s="16" t="n">
        <v>4</v>
      </c>
      <c r="F592" s="16" t="inlineStr">
        <is>
          <t>奥特莱斯</t>
        </is>
      </c>
      <c r="G592" s="16" t="inlineStr">
        <is>
          <t>EEKWG64L03</t>
        </is>
      </c>
      <c r="H592" s="16" t="n">
        <v>599</v>
      </c>
      <c r="I592" s="16" t="n">
        <v>699</v>
      </c>
      <c r="J592" s="17" t="inlineStr">
        <is>
          <t>########</t>
        </is>
      </c>
      <c r="K592" s="16" t="inlineStr">
        <is>
          <t>(26)L/Pink</t>
        </is>
      </c>
      <c r="L592" s="16" t="inlineStr">
        <is>
          <t>营业中</t>
        </is>
      </c>
      <c r="M592" s="16" t="inlineStr">
        <is>
          <t>EEKWG64L0326160</t>
        </is>
      </c>
      <c r="N592" s="16">
        <f>LEFT(M592,12)</f>
        <v/>
      </c>
      <c r="O592" s="16" t="inlineStr">
        <is>
          <t>EEKWG64L03, (26)L/Pink, (160)160</t>
        </is>
      </c>
      <c r="P592" s="16" t="n">
        <v>599</v>
      </c>
      <c r="Q592" s="16" t="n">
        <v>699</v>
      </c>
      <c r="R592" s="16" t="n"/>
      <c r="S592" s="16" t="n"/>
      <c r="T592" s="16" t="n">
        <v>3</v>
      </c>
    </row>
    <row r="593" s="103">
      <c r="A593" s="16" t="inlineStr">
        <is>
          <t>B331</t>
        </is>
      </c>
      <c r="B593" s="16" t="inlineStr">
        <is>
          <t>上海区域</t>
        </is>
      </c>
      <c r="C593" s="16" t="inlineStr">
        <is>
          <t>CN0Q</t>
        </is>
      </c>
      <c r="D593" s="16" t="inlineStr">
        <is>
          <t>EE 苏州比斯特购物村</t>
        </is>
      </c>
      <c r="E593" s="16" t="n">
        <v>4</v>
      </c>
      <c r="F593" s="16" t="inlineStr">
        <is>
          <t>奥特莱斯</t>
        </is>
      </c>
      <c r="G593" s="16" t="inlineStr">
        <is>
          <t>EEKWG64L03</t>
        </is>
      </c>
      <c r="H593" s="16" t="n">
        <v>599</v>
      </c>
      <c r="I593" s="16" t="n">
        <v>699</v>
      </c>
      <c r="J593" s="17" t="inlineStr">
        <is>
          <t>########</t>
        </is>
      </c>
      <c r="K593" s="16" t="inlineStr">
        <is>
          <t>(26)L/Pink</t>
        </is>
      </c>
      <c r="L593" s="16" t="inlineStr">
        <is>
          <t>营业中</t>
        </is>
      </c>
      <c r="M593" s="16" t="inlineStr">
        <is>
          <t>EEKWG64L0326165</t>
        </is>
      </c>
      <c r="N593" s="16">
        <f>LEFT(M593,12)</f>
        <v/>
      </c>
      <c r="O593" s="16" t="inlineStr">
        <is>
          <t>EEKWG64L03, (26)L/Pink, (165)165</t>
        </is>
      </c>
      <c r="P593" s="16" t="n">
        <v>599</v>
      </c>
      <c r="Q593" s="16" t="n">
        <v>699</v>
      </c>
      <c r="R593" s="16" t="n">
        <v>1</v>
      </c>
      <c r="S593" s="16" t="n">
        <v>350</v>
      </c>
      <c r="T593" s="16" t="n">
        <v>1</v>
      </c>
    </row>
    <row r="594" s="103">
      <c r="A594" s="16" t="inlineStr">
        <is>
          <t>B331</t>
        </is>
      </c>
      <c r="B594" s="16" t="inlineStr">
        <is>
          <t>上海区域</t>
        </is>
      </c>
      <c r="C594" s="16" t="inlineStr">
        <is>
          <t>CN0Q</t>
        </is>
      </c>
      <c r="D594" s="16" t="inlineStr">
        <is>
          <t>EE 苏州比斯特购物村</t>
        </is>
      </c>
      <c r="E594" s="16" t="n">
        <v>4</v>
      </c>
      <c r="F594" s="16" t="inlineStr">
        <is>
          <t>奥特莱斯</t>
        </is>
      </c>
      <c r="G594" s="16" t="inlineStr">
        <is>
          <t>EEKWG64L03</t>
        </is>
      </c>
      <c r="H594" s="16" t="n">
        <v>599</v>
      </c>
      <c r="I594" s="16" t="n">
        <v>699</v>
      </c>
      <c r="J594" s="17" t="inlineStr">
        <is>
          <t>########</t>
        </is>
      </c>
      <c r="K594" s="16" t="inlineStr">
        <is>
          <t>(26)L/Pink</t>
        </is>
      </c>
      <c r="L594" s="16" t="inlineStr">
        <is>
          <t>营业中</t>
        </is>
      </c>
      <c r="M594" s="16" t="inlineStr">
        <is>
          <t>EEKWG64L0326170</t>
        </is>
      </c>
      <c r="N594" s="16">
        <f>LEFT(M594,12)</f>
        <v/>
      </c>
      <c r="O594" s="16" t="inlineStr">
        <is>
          <t>EEKWG64L03, (26)L/Pink, (170)170</t>
        </is>
      </c>
      <c r="P594" s="16" t="n">
        <v>599</v>
      </c>
      <c r="Q594" s="16" t="n">
        <v>699</v>
      </c>
      <c r="R594" s="16" t="n"/>
      <c r="S594" s="16" t="n"/>
      <c r="T594" s="16" t="n">
        <v>2</v>
      </c>
    </row>
    <row r="595" s="103">
      <c r="A595" s="16" t="inlineStr">
        <is>
          <t>B331</t>
        </is>
      </c>
      <c r="B595" s="16" t="inlineStr">
        <is>
          <t>上海区域</t>
        </is>
      </c>
      <c r="C595" s="16" t="inlineStr">
        <is>
          <t>CN0Q</t>
        </is>
      </c>
      <c r="D595" s="16" t="inlineStr">
        <is>
          <t>EE 苏州比斯特购物村</t>
        </is>
      </c>
      <c r="E595" s="16" t="n">
        <v>4</v>
      </c>
      <c r="F595" s="16" t="inlineStr">
        <is>
          <t>奥特莱斯</t>
        </is>
      </c>
      <c r="G595" s="16" t="inlineStr">
        <is>
          <t>EEKWG64L03</t>
        </is>
      </c>
      <c r="H595" s="16" t="n">
        <v>599</v>
      </c>
      <c r="I595" s="16" t="n">
        <v>699</v>
      </c>
      <c r="J595" s="17" t="inlineStr">
        <is>
          <t>########</t>
        </is>
      </c>
      <c r="K595" s="16" t="inlineStr">
        <is>
          <t>(30)Yellow</t>
        </is>
      </c>
      <c r="L595" s="16" t="inlineStr">
        <is>
          <t>营业中</t>
        </is>
      </c>
      <c r="M595" s="16" t="inlineStr">
        <is>
          <t>EEKWG64L0330160</t>
        </is>
      </c>
      <c r="N595" s="16">
        <f>LEFT(M595,12)</f>
        <v/>
      </c>
      <c r="O595" s="16" t="inlineStr">
        <is>
          <t>EEKWG64L03, (30)Yellow, (160)160</t>
        </is>
      </c>
      <c r="P595" s="16" t="n">
        <v>599</v>
      </c>
      <c r="Q595" s="16" t="n">
        <v>699</v>
      </c>
      <c r="R595" s="16" t="n"/>
      <c r="S595" s="16" t="n"/>
      <c r="T595" s="16" t="n">
        <v>2</v>
      </c>
    </row>
    <row r="596" s="103">
      <c r="A596" s="16" t="inlineStr">
        <is>
          <t>B331</t>
        </is>
      </c>
      <c r="B596" s="16" t="inlineStr">
        <is>
          <t>上海区域</t>
        </is>
      </c>
      <c r="C596" s="16" t="inlineStr">
        <is>
          <t>CN0Q</t>
        </is>
      </c>
      <c r="D596" s="16" t="inlineStr">
        <is>
          <t>EE 苏州比斯特购物村</t>
        </is>
      </c>
      <c r="E596" s="16" t="n">
        <v>4</v>
      </c>
      <c r="F596" s="16" t="inlineStr">
        <is>
          <t>奥特莱斯</t>
        </is>
      </c>
      <c r="G596" s="16" t="inlineStr">
        <is>
          <t>EEKWG64L03</t>
        </is>
      </c>
      <c r="H596" s="16" t="n">
        <v>599</v>
      </c>
      <c r="I596" s="16" t="n">
        <v>699</v>
      </c>
      <c r="J596" s="17" t="inlineStr">
        <is>
          <t>########</t>
        </is>
      </c>
      <c r="K596" s="16" t="inlineStr">
        <is>
          <t>(30)Yellow</t>
        </is>
      </c>
      <c r="L596" s="16" t="inlineStr">
        <is>
          <t>营业中</t>
        </is>
      </c>
      <c r="M596" s="16" t="inlineStr">
        <is>
          <t>EEKWG64L0330165</t>
        </is>
      </c>
      <c r="N596" s="16">
        <f>LEFT(M596,12)</f>
        <v/>
      </c>
      <c r="O596" s="16" t="inlineStr">
        <is>
          <t>EEKWG64L03, (30)Yellow, (165)165</t>
        </is>
      </c>
      <c r="P596" s="16" t="n">
        <v>599</v>
      </c>
      <c r="Q596" s="16" t="n">
        <v>699</v>
      </c>
      <c r="R596" s="16" t="n">
        <v>1</v>
      </c>
      <c r="S596" s="16" t="n">
        <v>326</v>
      </c>
      <c r="T596" s="16" t="n">
        <v>2</v>
      </c>
    </row>
    <row r="597" s="103">
      <c r="A597" s="16" t="inlineStr">
        <is>
          <t>B331</t>
        </is>
      </c>
      <c r="B597" s="16" t="inlineStr">
        <is>
          <t>上海区域</t>
        </is>
      </c>
      <c r="C597" s="16" t="inlineStr">
        <is>
          <t>CN0Q</t>
        </is>
      </c>
      <c r="D597" s="16" t="inlineStr">
        <is>
          <t>EE 苏州比斯特购物村</t>
        </is>
      </c>
      <c r="E597" s="16" t="n">
        <v>4</v>
      </c>
      <c r="F597" s="16" t="inlineStr">
        <is>
          <t>奥特莱斯</t>
        </is>
      </c>
      <c r="G597" s="16" t="inlineStr">
        <is>
          <t>EEKWG64L03</t>
        </is>
      </c>
      <c r="H597" s="16" t="n">
        <v>599</v>
      </c>
      <c r="I597" s="16" t="n">
        <v>699</v>
      </c>
      <c r="J597" s="17" t="inlineStr">
        <is>
          <t>########</t>
        </is>
      </c>
      <c r="K597" s="16" t="inlineStr">
        <is>
          <t>(30)Yellow</t>
        </is>
      </c>
      <c r="L597" s="16" t="inlineStr">
        <is>
          <t>营业中</t>
        </is>
      </c>
      <c r="M597" s="16" t="inlineStr">
        <is>
          <t>EEKWG64L0330170</t>
        </is>
      </c>
      <c r="N597" s="16">
        <f>LEFT(M597,12)</f>
        <v/>
      </c>
      <c r="O597" s="16" t="inlineStr">
        <is>
          <t>EEKWG64L03, (30)Yellow, (170)170</t>
        </is>
      </c>
      <c r="P597" s="16" t="n">
        <v>599</v>
      </c>
      <c r="Q597" s="16" t="n">
        <v>699</v>
      </c>
      <c r="R597" s="16" t="n"/>
      <c r="S597" s="16" t="n"/>
      <c r="T597" s="16" t="n">
        <v>2</v>
      </c>
    </row>
    <row r="598" s="103">
      <c r="A598" s="16" t="inlineStr">
        <is>
          <t>B331</t>
        </is>
      </c>
      <c r="B598" s="16" t="inlineStr">
        <is>
          <t>上海区域</t>
        </is>
      </c>
      <c r="C598" s="16" t="inlineStr">
        <is>
          <t>CN0Q</t>
        </is>
      </c>
      <c r="D598" s="16" t="inlineStr">
        <is>
          <t>EE 苏州比斯特购物村</t>
        </is>
      </c>
      <c r="E598" s="16" t="n">
        <v>4</v>
      </c>
      <c r="F598" s="16" t="inlineStr">
        <is>
          <t>奥特莱斯</t>
        </is>
      </c>
      <c r="G598" s="16" t="inlineStr">
        <is>
          <t>EEKWG64S02</t>
        </is>
      </c>
      <c r="H598" s="16" t="n">
        <v>699</v>
      </c>
      <c r="I598" s="16" t="n">
        <v>699</v>
      </c>
      <c r="J598" s="17" t="inlineStr">
        <is>
          <t>########</t>
        </is>
      </c>
      <c r="K598" s="16" t="inlineStr">
        <is>
          <t>(15)Grey</t>
        </is>
      </c>
      <c r="L598" s="16" t="inlineStr">
        <is>
          <t>营业中</t>
        </is>
      </c>
      <c r="M598" s="16" t="inlineStr">
        <is>
          <t>EEKWG64S0215160</t>
        </is>
      </c>
      <c r="N598" s="16">
        <f>LEFT(M598,12)</f>
        <v/>
      </c>
      <c r="O598" s="16" t="inlineStr">
        <is>
          <t>EEKWG64S02, (15)Grey, (160)160</t>
        </is>
      </c>
      <c r="P598" s="16" t="n">
        <v>699</v>
      </c>
      <c r="Q598" s="16" t="n">
        <v>699</v>
      </c>
      <c r="R598" s="16" t="n">
        <v>2</v>
      </c>
      <c r="S598" s="16" t="n"/>
      <c r="T598" s="16" t="n">
        <v>0</v>
      </c>
    </row>
    <row r="599" s="103">
      <c r="A599" s="16" t="inlineStr">
        <is>
          <t>B331</t>
        </is>
      </c>
      <c r="B599" s="16" t="inlineStr">
        <is>
          <t>上海区域</t>
        </is>
      </c>
      <c r="C599" s="16" t="inlineStr">
        <is>
          <t>CN0Q</t>
        </is>
      </c>
      <c r="D599" s="16" t="inlineStr">
        <is>
          <t>EE 苏州比斯特购物村</t>
        </is>
      </c>
      <c r="E599" s="16" t="n">
        <v>4</v>
      </c>
      <c r="F599" s="16" t="inlineStr">
        <is>
          <t>奥特莱斯</t>
        </is>
      </c>
      <c r="G599" s="16" t="inlineStr">
        <is>
          <t>EEKWG64S02</t>
        </is>
      </c>
      <c r="H599" s="16" t="n">
        <v>699</v>
      </c>
      <c r="I599" s="16" t="n">
        <v>699</v>
      </c>
      <c r="J599" s="17" t="inlineStr">
        <is>
          <t>########</t>
        </is>
      </c>
      <c r="K599" s="16" t="inlineStr">
        <is>
          <t>(15)Grey</t>
        </is>
      </c>
      <c r="L599" s="16" t="inlineStr">
        <is>
          <t>营业中</t>
        </is>
      </c>
      <c r="M599" s="16" t="inlineStr">
        <is>
          <t>EEKWG64S0215165</t>
        </is>
      </c>
      <c r="N599" s="16">
        <f>LEFT(M599,12)</f>
        <v/>
      </c>
      <c r="O599" s="16" t="inlineStr">
        <is>
          <t>EEKWG64S02, (15)Grey, (165)165</t>
        </is>
      </c>
      <c r="P599" s="16" t="n">
        <v>699</v>
      </c>
      <c r="Q599" s="16" t="n">
        <v>699</v>
      </c>
      <c r="R599" s="16" t="n">
        <v>3</v>
      </c>
      <c r="S599" s="16" t="n">
        <v>612</v>
      </c>
      <c r="T599" s="16" t="n">
        <v>0</v>
      </c>
    </row>
    <row r="600" s="103">
      <c r="A600" s="16" t="inlineStr">
        <is>
          <t>B331</t>
        </is>
      </c>
      <c r="B600" s="16" t="inlineStr">
        <is>
          <t>上海区域</t>
        </is>
      </c>
      <c r="C600" s="16" t="inlineStr">
        <is>
          <t>CN0Q</t>
        </is>
      </c>
      <c r="D600" s="16" t="inlineStr">
        <is>
          <t>EE 苏州比斯特购物村</t>
        </is>
      </c>
      <c r="E600" s="16" t="n">
        <v>4</v>
      </c>
      <c r="F600" s="16" t="inlineStr">
        <is>
          <t>奥特莱斯</t>
        </is>
      </c>
      <c r="G600" s="16" t="inlineStr">
        <is>
          <t>EEKWG64S02</t>
        </is>
      </c>
      <c r="H600" s="16" t="n">
        <v>699</v>
      </c>
      <c r="I600" s="16" t="n">
        <v>699</v>
      </c>
      <c r="J600" s="17" t="inlineStr">
        <is>
          <t>########</t>
        </is>
      </c>
      <c r="K600" s="16" t="inlineStr">
        <is>
          <t>(15)Grey</t>
        </is>
      </c>
      <c r="L600" s="16" t="inlineStr">
        <is>
          <t>营业中</t>
        </is>
      </c>
      <c r="M600" s="16" t="inlineStr">
        <is>
          <t>EEKWG64S0215170</t>
        </is>
      </c>
      <c r="N600" s="16">
        <f>LEFT(M600,12)</f>
        <v/>
      </c>
      <c r="O600" s="16" t="inlineStr">
        <is>
          <t>EEKWG64S02, (15)Grey, (170)170</t>
        </is>
      </c>
      <c r="P600" s="16" t="n">
        <v>699</v>
      </c>
      <c r="Q600" s="16" t="n">
        <v>699</v>
      </c>
      <c r="R600" s="16" t="n">
        <v>2</v>
      </c>
      <c r="S600" s="16" t="n">
        <v>325</v>
      </c>
      <c r="T600" s="16" t="n">
        <v>0</v>
      </c>
    </row>
    <row r="601" s="103">
      <c r="A601" s="16" t="inlineStr">
        <is>
          <t>B331</t>
        </is>
      </c>
      <c r="B601" s="16" t="inlineStr">
        <is>
          <t>上海区域</t>
        </is>
      </c>
      <c r="C601" s="16" t="inlineStr">
        <is>
          <t>CN0Q</t>
        </is>
      </c>
      <c r="D601" s="16" t="inlineStr">
        <is>
          <t>EE 苏州比斯特购物村</t>
        </is>
      </c>
      <c r="E601" s="16" t="n">
        <v>4</v>
      </c>
      <c r="F601" s="16" t="inlineStr">
        <is>
          <t>奥特莱斯</t>
        </is>
      </c>
      <c r="G601" s="16" t="inlineStr">
        <is>
          <t>EEKWG64S02</t>
        </is>
      </c>
      <c r="H601" s="16" t="n">
        <v>699</v>
      </c>
      <c r="I601" s="16" t="n">
        <v>699</v>
      </c>
      <c r="J601" s="17" t="inlineStr">
        <is>
          <t>########</t>
        </is>
      </c>
      <c r="K601" s="16" t="inlineStr">
        <is>
          <t>(39)Ivory</t>
        </is>
      </c>
      <c r="L601" s="16" t="inlineStr">
        <is>
          <t>营业中</t>
        </is>
      </c>
      <c r="M601" s="16" t="inlineStr">
        <is>
          <t>EEKWG64S0239160</t>
        </is>
      </c>
      <c r="N601" s="16">
        <f>LEFT(M601,12)</f>
        <v/>
      </c>
      <c r="O601" s="16" t="inlineStr">
        <is>
          <t>EEKWG64S02, (39)Ivory, (160)160</t>
        </is>
      </c>
      <c r="P601" s="16" t="n">
        <v>699</v>
      </c>
      <c r="Q601" s="16" t="n">
        <v>699</v>
      </c>
      <c r="R601" s="16" t="n">
        <v>2</v>
      </c>
      <c r="S601" s="16" t="n">
        <v>637</v>
      </c>
      <c r="T601" s="16" t="n">
        <v>2</v>
      </c>
    </row>
    <row r="602" s="103">
      <c r="A602" s="16" t="inlineStr">
        <is>
          <t>B331</t>
        </is>
      </c>
      <c r="B602" s="16" t="inlineStr">
        <is>
          <t>上海区域</t>
        </is>
      </c>
      <c r="C602" s="16" t="inlineStr">
        <is>
          <t>CN0Q</t>
        </is>
      </c>
      <c r="D602" s="16" t="inlineStr">
        <is>
          <t>EE 苏州比斯特购物村</t>
        </is>
      </c>
      <c r="E602" s="16" t="n">
        <v>4</v>
      </c>
      <c r="F602" s="16" t="inlineStr">
        <is>
          <t>奥特莱斯</t>
        </is>
      </c>
      <c r="G602" s="16" t="inlineStr">
        <is>
          <t>EEKWG64S02</t>
        </is>
      </c>
      <c r="H602" s="16" t="n">
        <v>699</v>
      </c>
      <c r="I602" s="16" t="n">
        <v>699</v>
      </c>
      <c r="J602" s="17" t="inlineStr">
        <is>
          <t>########</t>
        </is>
      </c>
      <c r="K602" s="16" t="inlineStr">
        <is>
          <t>(39)Ivory</t>
        </is>
      </c>
      <c r="L602" s="16" t="inlineStr">
        <is>
          <t>营业中</t>
        </is>
      </c>
      <c r="M602" s="16" t="inlineStr">
        <is>
          <t>EEKWG64S0239165</t>
        </is>
      </c>
      <c r="N602" s="16">
        <f>LEFT(M602,12)</f>
        <v/>
      </c>
      <c r="O602" s="16" t="inlineStr">
        <is>
          <t>EEKWG64S02, (39)Ivory, (165)165</t>
        </is>
      </c>
      <c r="P602" s="16" t="n">
        <v>699</v>
      </c>
      <c r="Q602" s="16" t="n">
        <v>699</v>
      </c>
      <c r="R602" s="16" t="n">
        <v>2</v>
      </c>
      <c r="S602" s="16" t="n">
        <v>327</v>
      </c>
      <c r="T602" s="16" t="n">
        <v>2</v>
      </c>
    </row>
    <row r="603" s="103">
      <c r="A603" s="16" t="inlineStr">
        <is>
          <t>B331</t>
        </is>
      </c>
      <c r="B603" s="16" t="inlineStr">
        <is>
          <t>上海区域</t>
        </is>
      </c>
      <c r="C603" s="16" t="inlineStr">
        <is>
          <t>CN0Q</t>
        </is>
      </c>
      <c r="D603" s="16" t="inlineStr">
        <is>
          <t>EE 苏州比斯特购物村</t>
        </is>
      </c>
      <c r="E603" s="16" t="n">
        <v>4</v>
      </c>
      <c r="F603" s="16" t="inlineStr">
        <is>
          <t>奥特莱斯</t>
        </is>
      </c>
      <c r="G603" s="16" t="inlineStr">
        <is>
          <t>EEKWG64S02</t>
        </is>
      </c>
      <c r="H603" s="16" t="n">
        <v>699</v>
      </c>
      <c r="I603" s="16" t="n">
        <v>699</v>
      </c>
      <c r="J603" s="17" t="inlineStr">
        <is>
          <t>########</t>
        </is>
      </c>
      <c r="K603" s="16" t="inlineStr">
        <is>
          <t>(39)Ivory</t>
        </is>
      </c>
      <c r="L603" s="16" t="inlineStr">
        <is>
          <t>营业中</t>
        </is>
      </c>
      <c r="M603" s="16" t="inlineStr">
        <is>
          <t>EEKWG64S0239170</t>
        </is>
      </c>
      <c r="N603" s="16">
        <f>LEFT(M603,12)</f>
        <v/>
      </c>
      <c r="O603" s="16" t="inlineStr">
        <is>
          <t>EEKWG64S02, (39)Ivory, (170)170</t>
        </is>
      </c>
      <c r="P603" s="16" t="n">
        <v>699</v>
      </c>
      <c r="Q603" s="16" t="n">
        <v>699</v>
      </c>
      <c r="R603" s="16" t="n"/>
      <c r="S603" s="16" t="n"/>
      <c r="T603" s="16" t="n">
        <v>2</v>
      </c>
    </row>
    <row r="604" s="103">
      <c r="A604" s="16" t="inlineStr">
        <is>
          <t>B331</t>
        </is>
      </c>
      <c r="B604" s="16" t="inlineStr">
        <is>
          <t>上海区域</t>
        </is>
      </c>
      <c r="C604" s="16" t="inlineStr">
        <is>
          <t>CN0Q</t>
        </is>
      </c>
      <c r="D604" s="16" t="inlineStr">
        <is>
          <t>EE 苏州比斯特购物村</t>
        </is>
      </c>
      <c r="E604" s="16" t="n">
        <v>4</v>
      </c>
      <c r="F604" s="16" t="inlineStr">
        <is>
          <t>奥特莱斯</t>
        </is>
      </c>
      <c r="G604" s="16" t="inlineStr">
        <is>
          <t>EELAF23M01</t>
        </is>
      </c>
      <c r="H604" s="16" t="n">
        <v>499</v>
      </c>
      <c r="I604" s="16" t="n">
        <v>499</v>
      </c>
      <c r="J604" s="17" t="inlineStr">
        <is>
          <t>########</t>
        </is>
      </c>
      <c r="K604" s="16" t="inlineStr">
        <is>
          <t>(18)M/Grey</t>
        </is>
      </c>
      <c r="L604" s="16" t="inlineStr">
        <is>
          <t>营业中</t>
        </is>
      </c>
      <c r="M604" s="16" t="inlineStr">
        <is>
          <t>EELAF23M0118160</t>
        </is>
      </c>
      <c r="N604" s="16">
        <f>LEFT(M604,12)</f>
        <v/>
      </c>
      <c r="O604" s="16" t="inlineStr">
        <is>
          <t>EELAF23M01, (18)M/Grey, (160)160</t>
        </is>
      </c>
      <c r="P604" s="16" t="n">
        <v>499</v>
      </c>
      <c r="Q604" s="16" t="n">
        <v>499</v>
      </c>
      <c r="R604" s="16" t="n"/>
      <c r="S604" s="16" t="n"/>
      <c r="T604" s="16" t="n">
        <v>2</v>
      </c>
    </row>
    <row r="605" s="103">
      <c r="A605" s="16" t="inlineStr">
        <is>
          <t>B331</t>
        </is>
      </c>
      <c r="B605" s="16" t="inlineStr">
        <is>
          <t>上海区域</t>
        </is>
      </c>
      <c r="C605" s="16" t="inlineStr">
        <is>
          <t>CN0Q</t>
        </is>
      </c>
      <c r="D605" s="16" t="inlineStr">
        <is>
          <t>EE 苏州比斯特购物村</t>
        </is>
      </c>
      <c r="E605" s="16" t="n">
        <v>4</v>
      </c>
      <c r="F605" s="16" t="inlineStr">
        <is>
          <t>奥特莱斯</t>
        </is>
      </c>
      <c r="G605" s="16" t="inlineStr">
        <is>
          <t>EELAF23M01</t>
        </is>
      </c>
      <c r="H605" s="16" t="n">
        <v>499</v>
      </c>
      <c r="I605" s="16" t="n">
        <v>499</v>
      </c>
      <c r="J605" s="17" t="inlineStr">
        <is>
          <t>########</t>
        </is>
      </c>
      <c r="K605" s="16" t="inlineStr">
        <is>
          <t>(18)M/Grey</t>
        </is>
      </c>
      <c r="L605" s="16" t="inlineStr">
        <is>
          <t>营业中</t>
        </is>
      </c>
      <c r="M605" s="16" t="inlineStr">
        <is>
          <t>EELAF23M0118165</t>
        </is>
      </c>
      <c r="N605" s="16">
        <f>LEFT(M605,12)</f>
        <v/>
      </c>
      <c r="O605" s="16" t="inlineStr">
        <is>
          <t>EELAF23M01, (18)M/Grey, (165)165</t>
        </is>
      </c>
      <c r="P605" s="16" t="n">
        <v>499</v>
      </c>
      <c r="Q605" s="16" t="n">
        <v>499</v>
      </c>
      <c r="R605" s="16" t="n"/>
      <c r="S605" s="16" t="n"/>
      <c r="T605" s="16" t="n">
        <v>3</v>
      </c>
    </row>
    <row r="606" s="103">
      <c r="A606" s="16" t="inlineStr">
        <is>
          <t>B331</t>
        </is>
      </c>
      <c r="B606" s="16" t="inlineStr">
        <is>
          <t>上海区域</t>
        </is>
      </c>
      <c r="C606" s="16" t="inlineStr">
        <is>
          <t>CN0Q</t>
        </is>
      </c>
      <c r="D606" s="16" t="inlineStr">
        <is>
          <t>EE 苏州比斯特购物村</t>
        </is>
      </c>
      <c r="E606" s="16" t="n">
        <v>4</v>
      </c>
      <c r="F606" s="16" t="inlineStr">
        <is>
          <t>奥特莱斯</t>
        </is>
      </c>
      <c r="G606" s="16" t="inlineStr">
        <is>
          <t>EELAF23M01</t>
        </is>
      </c>
      <c r="H606" s="16" t="n">
        <v>499</v>
      </c>
      <c r="I606" s="16" t="n">
        <v>499</v>
      </c>
      <c r="J606" s="17" t="inlineStr">
        <is>
          <t>########</t>
        </is>
      </c>
      <c r="K606" s="16" t="inlineStr">
        <is>
          <t>(18)M/Grey</t>
        </is>
      </c>
      <c r="L606" s="16" t="inlineStr">
        <is>
          <t>营业中</t>
        </is>
      </c>
      <c r="M606" s="16" t="inlineStr">
        <is>
          <t>EELAF23M0118170</t>
        </is>
      </c>
      <c r="N606" s="16">
        <f>LEFT(M606,12)</f>
        <v/>
      </c>
      <c r="O606" s="16" t="inlineStr">
        <is>
          <t>EELAF23M01, (18)M/Grey, (170)170</t>
        </is>
      </c>
      <c r="P606" s="16" t="n">
        <v>499</v>
      </c>
      <c r="Q606" s="16" t="n">
        <v>499</v>
      </c>
      <c r="R606" s="16" t="n"/>
      <c r="S606" s="16" t="n"/>
      <c r="T606" s="16" t="n">
        <v>1</v>
      </c>
    </row>
    <row r="607" s="103">
      <c r="A607" s="16" t="inlineStr">
        <is>
          <t>B331</t>
        </is>
      </c>
      <c r="B607" s="16" t="inlineStr">
        <is>
          <t>上海区域</t>
        </is>
      </c>
      <c r="C607" s="16" t="inlineStr">
        <is>
          <t>CN0Q</t>
        </is>
      </c>
      <c r="D607" s="16" t="inlineStr">
        <is>
          <t>EE 苏州比斯特购物村</t>
        </is>
      </c>
      <c r="E607" s="16" t="n">
        <v>4</v>
      </c>
      <c r="F607" s="16" t="inlineStr">
        <is>
          <t>奥特莱斯</t>
        </is>
      </c>
      <c r="G607" s="16" t="inlineStr">
        <is>
          <t>EELAF23M01</t>
        </is>
      </c>
      <c r="H607" s="16" t="n">
        <v>499</v>
      </c>
      <c r="I607" s="16" t="n">
        <v>499</v>
      </c>
      <c r="J607" s="17" t="inlineStr">
        <is>
          <t>########</t>
        </is>
      </c>
      <c r="K607" s="16" t="inlineStr">
        <is>
          <t>(64)Cream</t>
        </is>
      </c>
      <c r="L607" s="16" t="inlineStr">
        <is>
          <t>营业中</t>
        </is>
      </c>
      <c r="M607" s="16" t="inlineStr">
        <is>
          <t>EELAF23M0164160</t>
        </is>
      </c>
      <c r="N607" s="16">
        <f>LEFT(M607,12)</f>
        <v/>
      </c>
      <c r="O607" s="16" t="inlineStr">
        <is>
          <t>EELAF23M01, (64)Cream, (160)160</t>
        </is>
      </c>
      <c r="P607" s="16" t="n">
        <v>499</v>
      </c>
      <c r="Q607" s="16" t="n">
        <v>499</v>
      </c>
      <c r="R607" s="16" t="n"/>
      <c r="S607" s="16" t="n"/>
      <c r="T607" s="16" t="n">
        <v>4</v>
      </c>
    </row>
    <row r="608" s="103">
      <c r="A608" s="16" t="inlineStr">
        <is>
          <t>B331</t>
        </is>
      </c>
      <c r="B608" s="16" t="inlineStr">
        <is>
          <t>上海区域</t>
        </is>
      </c>
      <c r="C608" s="16" t="inlineStr">
        <is>
          <t>CN0Q</t>
        </is>
      </c>
      <c r="D608" s="16" t="inlineStr">
        <is>
          <t>EE 苏州比斯特购物村</t>
        </is>
      </c>
      <c r="E608" s="16" t="n">
        <v>4</v>
      </c>
      <c r="F608" s="16" t="inlineStr">
        <is>
          <t>奥特莱斯</t>
        </is>
      </c>
      <c r="G608" s="16" t="inlineStr">
        <is>
          <t>EELAF23M01</t>
        </is>
      </c>
      <c r="H608" s="16" t="n">
        <v>499</v>
      </c>
      <c r="I608" s="16" t="n">
        <v>499</v>
      </c>
      <c r="J608" s="17" t="inlineStr">
        <is>
          <t>########</t>
        </is>
      </c>
      <c r="K608" s="16" t="inlineStr">
        <is>
          <t>(64)Cream</t>
        </is>
      </c>
      <c r="L608" s="16" t="inlineStr">
        <is>
          <t>营业中</t>
        </is>
      </c>
      <c r="M608" s="16" t="inlineStr">
        <is>
          <t>EELAF23M0164165</t>
        </is>
      </c>
      <c r="N608" s="16">
        <f>LEFT(M608,12)</f>
        <v/>
      </c>
      <c r="O608" s="16" t="inlineStr">
        <is>
          <t>EELAF23M01, (64)Cream, (165)165</t>
        </is>
      </c>
      <c r="P608" s="16" t="n">
        <v>499</v>
      </c>
      <c r="Q608" s="16" t="n">
        <v>499</v>
      </c>
      <c r="R608" s="16" t="n"/>
      <c r="S608" s="16" t="n"/>
      <c r="T608" s="16" t="n">
        <v>3</v>
      </c>
    </row>
    <row r="609" s="103">
      <c r="A609" s="16" t="inlineStr">
        <is>
          <t>B331</t>
        </is>
      </c>
      <c r="B609" s="16" t="inlineStr">
        <is>
          <t>上海区域</t>
        </is>
      </c>
      <c r="C609" s="16" t="inlineStr">
        <is>
          <t>CN0Q</t>
        </is>
      </c>
      <c r="D609" s="16" t="inlineStr">
        <is>
          <t>EE 苏州比斯特购物村</t>
        </is>
      </c>
      <c r="E609" s="16" t="n">
        <v>4</v>
      </c>
      <c r="F609" s="16" t="inlineStr">
        <is>
          <t>奥特莱斯</t>
        </is>
      </c>
      <c r="G609" s="16" t="inlineStr">
        <is>
          <t>EELAF23M02</t>
        </is>
      </c>
      <c r="H609" s="16" t="n">
        <v>599</v>
      </c>
      <c r="I609" s="16" t="n">
        <v>599</v>
      </c>
      <c r="J609" s="17" t="inlineStr">
        <is>
          <t>########</t>
        </is>
      </c>
      <c r="K609" s="16" t="inlineStr">
        <is>
          <t>(15)Grey</t>
        </is>
      </c>
      <c r="L609" s="16" t="inlineStr">
        <is>
          <t>营业中</t>
        </is>
      </c>
      <c r="M609" s="16" t="inlineStr">
        <is>
          <t>EELAF23M0215160</t>
        </is>
      </c>
      <c r="N609" s="16">
        <f>LEFT(M609,12)</f>
        <v/>
      </c>
      <c r="O609" s="16" t="inlineStr">
        <is>
          <t>EELAF23M02, (15)Grey, (160)160</t>
        </is>
      </c>
      <c r="P609" s="16" t="n">
        <v>599</v>
      </c>
      <c r="Q609" s="16" t="n">
        <v>599</v>
      </c>
      <c r="R609" s="16" t="n"/>
      <c r="S609" s="16" t="n"/>
      <c r="T609" s="16" t="n">
        <v>2</v>
      </c>
    </row>
    <row r="610" s="103">
      <c r="A610" s="16" t="inlineStr">
        <is>
          <t>B331</t>
        </is>
      </c>
      <c r="B610" s="16" t="inlineStr">
        <is>
          <t>上海区域</t>
        </is>
      </c>
      <c r="C610" s="16" t="inlineStr">
        <is>
          <t>CN0Q</t>
        </is>
      </c>
      <c r="D610" s="16" t="inlineStr">
        <is>
          <t>EE 苏州比斯特购物村</t>
        </is>
      </c>
      <c r="E610" s="16" t="n">
        <v>4</v>
      </c>
      <c r="F610" s="16" t="inlineStr">
        <is>
          <t>奥特莱斯</t>
        </is>
      </c>
      <c r="G610" s="16" t="inlineStr">
        <is>
          <t>EELAF23M02</t>
        </is>
      </c>
      <c r="H610" s="16" t="n">
        <v>599</v>
      </c>
      <c r="I610" s="16" t="n">
        <v>599</v>
      </c>
      <c r="J610" s="17" t="inlineStr">
        <is>
          <t>########</t>
        </is>
      </c>
      <c r="K610" s="16" t="inlineStr">
        <is>
          <t>(15)Grey</t>
        </is>
      </c>
      <c r="L610" s="16" t="inlineStr">
        <is>
          <t>营业中</t>
        </is>
      </c>
      <c r="M610" s="16" t="inlineStr">
        <is>
          <t>EELAF23M0215165</t>
        </is>
      </c>
      <c r="N610" s="16">
        <f>LEFT(M610,12)</f>
        <v/>
      </c>
      <c r="O610" s="16" t="inlineStr">
        <is>
          <t>EELAF23M02, (15)Grey, (165)165</t>
        </is>
      </c>
      <c r="P610" s="16" t="n">
        <v>599</v>
      </c>
      <c r="Q610" s="16" t="n">
        <v>599</v>
      </c>
      <c r="R610" s="16" t="n"/>
      <c r="S610" s="16" t="n"/>
      <c r="T610" s="16" t="n">
        <v>3</v>
      </c>
    </row>
    <row r="611" s="103">
      <c r="A611" s="16" t="inlineStr">
        <is>
          <t>B331</t>
        </is>
      </c>
      <c r="B611" s="16" t="inlineStr">
        <is>
          <t>上海区域</t>
        </is>
      </c>
      <c r="C611" s="16" t="inlineStr">
        <is>
          <t>CN0Q</t>
        </is>
      </c>
      <c r="D611" s="16" t="inlineStr">
        <is>
          <t>EE 苏州比斯特购物村</t>
        </is>
      </c>
      <c r="E611" s="16" t="n">
        <v>4</v>
      </c>
      <c r="F611" s="16" t="inlineStr">
        <is>
          <t>奥特莱斯</t>
        </is>
      </c>
      <c r="G611" s="16" t="inlineStr">
        <is>
          <t>EELAF23M02</t>
        </is>
      </c>
      <c r="H611" s="16" t="n">
        <v>599</v>
      </c>
      <c r="I611" s="16" t="n">
        <v>599</v>
      </c>
      <c r="J611" s="17" t="inlineStr">
        <is>
          <t>########</t>
        </is>
      </c>
      <c r="K611" s="16" t="inlineStr">
        <is>
          <t>(15)Grey</t>
        </is>
      </c>
      <c r="L611" s="16" t="inlineStr">
        <is>
          <t>营业中</t>
        </is>
      </c>
      <c r="M611" s="16" t="inlineStr">
        <is>
          <t>EELAF23M0215170</t>
        </is>
      </c>
      <c r="N611" s="16">
        <f>LEFT(M611,12)</f>
        <v/>
      </c>
      <c r="O611" s="16" t="inlineStr">
        <is>
          <t>EELAF23M02, (15)Grey, (170)170</t>
        </is>
      </c>
      <c r="P611" s="16" t="n">
        <v>599</v>
      </c>
      <c r="Q611" s="16" t="n">
        <v>599</v>
      </c>
      <c r="R611" s="16" t="n"/>
      <c r="S611" s="16" t="n"/>
      <c r="T611" s="16" t="n">
        <v>2</v>
      </c>
    </row>
    <row r="612" s="103">
      <c r="A612" s="16" t="inlineStr">
        <is>
          <t>B331</t>
        </is>
      </c>
      <c r="B612" s="16" t="inlineStr">
        <is>
          <t>上海区域</t>
        </is>
      </c>
      <c r="C612" s="16" t="inlineStr">
        <is>
          <t>CN0Q</t>
        </is>
      </c>
      <c r="D612" s="16" t="inlineStr">
        <is>
          <t>EE 苏州比斯特购物村</t>
        </is>
      </c>
      <c r="E612" s="16" t="n">
        <v>4</v>
      </c>
      <c r="F612" s="16" t="inlineStr">
        <is>
          <t>奥特莱斯</t>
        </is>
      </c>
      <c r="G612" s="16" t="inlineStr">
        <is>
          <t>EELAF24M01</t>
        </is>
      </c>
      <c r="H612" s="16" t="n">
        <v>599</v>
      </c>
      <c r="I612" s="16" t="n">
        <v>699</v>
      </c>
      <c r="J612" s="17" t="inlineStr">
        <is>
          <t>########</t>
        </is>
      </c>
      <c r="K612" s="16" t="inlineStr">
        <is>
          <t>(99)MIX</t>
        </is>
      </c>
      <c r="L612" s="16" t="inlineStr">
        <is>
          <t>营业中</t>
        </is>
      </c>
      <c r="M612" s="16" t="inlineStr">
        <is>
          <t>EELAF24M0199160</t>
        </is>
      </c>
      <c r="N612" s="16">
        <f>LEFT(M612,12)</f>
        <v/>
      </c>
      <c r="O612" s="16" t="inlineStr">
        <is>
          <t>EELAF24M01, (99)MIX, (160)160</t>
        </is>
      </c>
      <c r="P612" s="16" t="n">
        <v>599</v>
      </c>
      <c r="Q612" s="16" t="n">
        <v>699</v>
      </c>
      <c r="R612" s="16" t="n"/>
      <c r="S612" s="16" t="n"/>
      <c r="T612" s="16" t="n">
        <v>2</v>
      </c>
    </row>
    <row r="613" s="103">
      <c r="A613" s="16" t="inlineStr">
        <is>
          <t>B331</t>
        </is>
      </c>
      <c r="B613" s="16" t="inlineStr">
        <is>
          <t>上海区域</t>
        </is>
      </c>
      <c r="C613" s="16" t="inlineStr">
        <is>
          <t>CN0Q</t>
        </is>
      </c>
      <c r="D613" s="16" t="inlineStr">
        <is>
          <t>EE 苏州比斯特购物村</t>
        </is>
      </c>
      <c r="E613" s="16" t="n">
        <v>4</v>
      </c>
      <c r="F613" s="16" t="inlineStr">
        <is>
          <t>奥特莱斯</t>
        </is>
      </c>
      <c r="G613" s="16" t="inlineStr">
        <is>
          <t>EELAF24M01</t>
        </is>
      </c>
      <c r="H613" s="16" t="n">
        <v>599</v>
      </c>
      <c r="I613" s="16" t="n">
        <v>699</v>
      </c>
      <c r="J613" s="17" t="inlineStr">
        <is>
          <t>########</t>
        </is>
      </c>
      <c r="K613" s="16" t="inlineStr">
        <is>
          <t>(99)MIX</t>
        </is>
      </c>
      <c r="L613" s="16" t="inlineStr">
        <is>
          <t>营业中</t>
        </is>
      </c>
      <c r="M613" s="16" t="inlineStr">
        <is>
          <t>EELAF24M0199165</t>
        </is>
      </c>
      <c r="N613" s="16">
        <f>LEFT(M613,12)</f>
        <v/>
      </c>
      <c r="O613" s="16" t="inlineStr">
        <is>
          <t>EELAF24M01, (99)MIX, (165)165</t>
        </is>
      </c>
      <c r="P613" s="16" t="n">
        <v>599</v>
      </c>
      <c r="Q613" s="16" t="n">
        <v>699</v>
      </c>
      <c r="R613" s="16" t="n"/>
      <c r="S613" s="16" t="n"/>
      <c r="T613" s="16" t="n">
        <v>4</v>
      </c>
    </row>
    <row r="614" s="103">
      <c r="A614" s="16" t="inlineStr">
        <is>
          <t>B331</t>
        </is>
      </c>
      <c r="B614" s="16" t="inlineStr">
        <is>
          <t>上海区域</t>
        </is>
      </c>
      <c r="C614" s="16" t="inlineStr">
        <is>
          <t>CN0Q</t>
        </is>
      </c>
      <c r="D614" s="16" t="inlineStr">
        <is>
          <t>EE 苏州比斯特购物村</t>
        </is>
      </c>
      <c r="E614" s="16" t="n">
        <v>4</v>
      </c>
      <c r="F614" s="16" t="inlineStr">
        <is>
          <t>奥特莱斯</t>
        </is>
      </c>
      <c r="G614" s="16" t="inlineStr">
        <is>
          <t>EELAF24M01</t>
        </is>
      </c>
      <c r="H614" s="16" t="n">
        <v>599</v>
      </c>
      <c r="I614" s="16" t="n">
        <v>699</v>
      </c>
      <c r="J614" s="17" t="inlineStr">
        <is>
          <t>########</t>
        </is>
      </c>
      <c r="K614" s="16" t="inlineStr">
        <is>
          <t>(99)MIX</t>
        </is>
      </c>
      <c r="L614" s="16" t="inlineStr">
        <is>
          <t>营业中</t>
        </is>
      </c>
      <c r="M614" s="16" t="inlineStr">
        <is>
          <t>EELAF24M0199170</t>
        </is>
      </c>
      <c r="N614" s="16">
        <f>LEFT(M614,12)</f>
        <v/>
      </c>
      <c r="O614" s="16" t="inlineStr">
        <is>
          <t>EELAF24M01, (99)MIX, (170)170</t>
        </is>
      </c>
      <c r="P614" s="16" t="n">
        <v>599</v>
      </c>
      <c r="Q614" s="16" t="n">
        <v>699</v>
      </c>
      <c r="R614" s="16" t="n"/>
      <c r="S614" s="16" t="n"/>
      <c r="T614" s="16" t="n">
        <v>3</v>
      </c>
    </row>
    <row r="615" s="103">
      <c r="A615" s="16" t="inlineStr">
        <is>
          <t>B331</t>
        </is>
      </c>
      <c r="B615" s="16" t="inlineStr">
        <is>
          <t>上海区域</t>
        </is>
      </c>
      <c r="C615" s="16" t="inlineStr">
        <is>
          <t>CN0Q</t>
        </is>
      </c>
      <c r="D615" s="16" t="inlineStr">
        <is>
          <t>EE 苏州比斯特购物村</t>
        </is>
      </c>
      <c r="E615" s="16" t="n">
        <v>4</v>
      </c>
      <c r="F615" s="16" t="inlineStr">
        <is>
          <t>奥特莱斯</t>
        </is>
      </c>
      <c r="G615" s="16" t="inlineStr">
        <is>
          <t>EELAG12B04</t>
        </is>
      </c>
      <c r="H615" s="16" t="n">
        <v>599</v>
      </c>
      <c r="I615" s="16" t="n">
        <v>599</v>
      </c>
      <c r="J615" s="17" t="n">
        <v>46024</v>
      </c>
      <c r="K615" s="16" t="inlineStr">
        <is>
          <t>(39)Ivory</t>
        </is>
      </c>
      <c r="L615" s="16" t="inlineStr">
        <is>
          <t>营业中</t>
        </is>
      </c>
      <c r="M615" s="16" t="inlineStr">
        <is>
          <t>EELAG12B0439165</t>
        </is>
      </c>
      <c r="N615" s="16">
        <f>LEFT(M615,12)</f>
        <v/>
      </c>
      <c r="O615" s="16" t="inlineStr">
        <is>
          <t>EELAG12B04, (39)Ivory, (165)165</t>
        </is>
      </c>
      <c r="P615" s="16" t="n">
        <v>599</v>
      </c>
      <c r="Q615" s="16" t="n">
        <v>599</v>
      </c>
      <c r="R615" s="16" t="n"/>
      <c r="S615" s="16" t="n"/>
      <c r="T615" s="16" t="n">
        <v>3</v>
      </c>
    </row>
    <row r="616" s="103">
      <c r="A616" s="16" t="inlineStr">
        <is>
          <t>B331</t>
        </is>
      </c>
      <c r="B616" s="16" t="inlineStr">
        <is>
          <t>上海区域</t>
        </is>
      </c>
      <c r="C616" s="16" t="inlineStr">
        <is>
          <t>CN0Q</t>
        </is>
      </c>
      <c r="D616" s="16" t="inlineStr">
        <is>
          <t>EE 苏州比斯特购物村</t>
        </is>
      </c>
      <c r="E616" s="16" t="n">
        <v>4</v>
      </c>
      <c r="F616" s="16" t="inlineStr">
        <is>
          <t>奥特莱斯</t>
        </is>
      </c>
      <c r="G616" s="16" t="inlineStr">
        <is>
          <t>EELAG12B04</t>
        </is>
      </c>
      <c r="H616" s="16" t="n">
        <v>599</v>
      </c>
      <c r="I616" s="16" t="n">
        <v>599</v>
      </c>
      <c r="J616" s="17" t="n">
        <v>46024</v>
      </c>
      <c r="K616" s="16" t="inlineStr">
        <is>
          <t>(39)Ivory</t>
        </is>
      </c>
      <c r="L616" s="16" t="inlineStr">
        <is>
          <t>营业中</t>
        </is>
      </c>
      <c r="M616" s="16" t="inlineStr">
        <is>
          <t>EELAG12B0439170</t>
        </is>
      </c>
      <c r="N616" s="16">
        <f>LEFT(M616,12)</f>
        <v/>
      </c>
      <c r="O616" s="16" t="inlineStr">
        <is>
          <t>EELAG12B04, (39)Ivory, (170)170</t>
        </is>
      </c>
      <c r="P616" s="16" t="n">
        <v>599</v>
      </c>
      <c r="Q616" s="16" t="n">
        <v>599</v>
      </c>
      <c r="R616" s="16" t="n"/>
      <c r="S616" s="16" t="n"/>
      <c r="T616" s="16" t="n">
        <v>2</v>
      </c>
    </row>
    <row r="617" s="103">
      <c r="A617" s="16" t="inlineStr">
        <is>
          <t>B331</t>
        </is>
      </c>
      <c r="B617" s="16" t="inlineStr">
        <is>
          <t>上海区域</t>
        </is>
      </c>
      <c r="C617" s="16" t="inlineStr">
        <is>
          <t>CN0Q</t>
        </is>
      </c>
      <c r="D617" s="16" t="inlineStr">
        <is>
          <t>EE 苏州比斯特购物村</t>
        </is>
      </c>
      <c r="E617" s="16" t="n">
        <v>4</v>
      </c>
      <c r="F617" s="16" t="inlineStr">
        <is>
          <t>奥特莱斯</t>
        </is>
      </c>
      <c r="G617" s="16" t="inlineStr">
        <is>
          <t>EELAG12D1G</t>
        </is>
      </c>
      <c r="H617" s="16" t="n">
        <v>799</v>
      </c>
      <c r="I617" s="16" t="n">
        <v>799</v>
      </c>
      <c r="J617" s="17" t="n">
        <v>46024</v>
      </c>
      <c r="K617" s="16" t="inlineStr">
        <is>
          <t>(40)Green</t>
        </is>
      </c>
      <c r="L617" s="16" t="inlineStr">
        <is>
          <t>营业中</t>
        </is>
      </c>
      <c r="M617" s="16" t="inlineStr">
        <is>
          <t>EELAG12D1G40170</t>
        </is>
      </c>
      <c r="N617" s="16">
        <f>LEFT(M617,12)</f>
        <v/>
      </c>
      <c r="O617" s="16" t="inlineStr">
        <is>
          <t>EELAG12D1G, (40)Green, (170)170</t>
        </is>
      </c>
      <c r="P617" s="16" t="n">
        <v>799</v>
      </c>
      <c r="Q617" s="16" t="n">
        <v>799</v>
      </c>
      <c r="R617" s="16" t="n"/>
      <c r="S617" s="16" t="n"/>
      <c r="T617" s="16" t="n">
        <v>3</v>
      </c>
    </row>
    <row r="618" s="103">
      <c r="A618" s="16" t="inlineStr">
        <is>
          <t>B331</t>
        </is>
      </c>
      <c r="B618" s="16" t="inlineStr">
        <is>
          <t>上海区域</t>
        </is>
      </c>
      <c r="C618" s="16" t="inlineStr">
        <is>
          <t>CN0Q</t>
        </is>
      </c>
      <c r="D618" s="16" t="inlineStr">
        <is>
          <t>EE 苏州比斯特购物村</t>
        </is>
      </c>
      <c r="E618" s="16" t="n">
        <v>4</v>
      </c>
      <c r="F618" s="16" t="inlineStr">
        <is>
          <t>奥特莱斯</t>
        </is>
      </c>
      <c r="G618" s="16" t="inlineStr">
        <is>
          <t>EELAG12D1G</t>
        </is>
      </c>
      <c r="H618" s="16" t="n">
        <v>799</v>
      </c>
      <c r="I618" s="16" t="n">
        <v>799</v>
      </c>
      <c r="J618" s="17" t="n">
        <v>46024</v>
      </c>
      <c r="K618" s="16" t="inlineStr">
        <is>
          <t>(40)Green</t>
        </is>
      </c>
      <c r="L618" s="16" t="inlineStr">
        <is>
          <t>营业中</t>
        </is>
      </c>
      <c r="M618" s="16" t="inlineStr">
        <is>
          <t>EELAG12D1G40175</t>
        </is>
      </c>
      <c r="N618" s="16">
        <f>LEFT(M618,12)</f>
        <v/>
      </c>
      <c r="O618" s="16" t="inlineStr">
        <is>
          <t>EELAG12D1G, (40)Green, (175)175</t>
        </is>
      </c>
      <c r="P618" s="16" t="n">
        <v>799</v>
      </c>
      <c r="Q618" s="16" t="n">
        <v>799</v>
      </c>
      <c r="R618" s="16" t="n"/>
      <c r="S618" s="16" t="n"/>
      <c r="T618" s="16" t="n">
        <v>3</v>
      </c>
    </row>
    <row r="619" s="103">
      <c r="A619" s="16" t="inlineStr">
        <is>
          <t>B331</t>
        </is>
      </c>
      <c r="B619" s="16" t="inlineStr">
        <is>
          <t>上海区域</t>
        </is>
      </c>
      <c r="C619" s="16" t="inlineStr">
        <is>
          <t>CN0Q</t>
        </is>
      </c>
      <c r="D619" s="16" t="inlineStr">
        <is>
          <t>EE 苏州比斯特购物村</t>
        </is>
      </c>
      <c r="E619" s="16" t="n">
        <v>4</v>
      </c>
      <c r="F619" s="16" t="inlineStr">
        <is>
          <t>奥特莱斯</t>
        </is>
      </c>
      <c r="G619" s="16" t="inlineStr">
        <is>
          <t>EELAG12D1G</t>
        </is>
      </c>
      <c r="H619" s="16" t="n">
        <v>799</v>
      </c>
      <c r="I619" s="16" t="n">
        <v>799</v>
      </c>
      <c r="J619" s="17" t="n">
        <v>46024</v>
      </c>
      <c r="K619" s="16" t="inlineStr">
        <is>
          <t>(40)Green</t>
        </is>
      </c>
      <c r="L619" s="16" t="inlineStr">
        <is>
          <t>营业中</t>
        </is>
      </c>
      <c r="M619" s="16" t="inlineStr">
        <is>
          <t>EELAG12D1G40180</t>
        </is>
      </c>
      <c r="N619" s="16">
        <f>LEFT(M619,12)</f>
        <v/>
      </c>
      <c r="O619" s="16" t="inlineStr">
        <is>
          <t>EELAG12D1G, (40)Green, (180)180</t>
        </is>
      </c>
      <c r="P619" s="16" t="n">
        <v>799</v>
      </c>
      <c r="Q619" s="16" t="n">
        <v>799</v>
      </c>
      <c r="R619" s="16" t="n"/>
      <c r="S619" s="16" t="n"/>
      <c r="T619" s="16" t="n">
        <v>3</v>
      </c>
    </row>
    <row r="620" s="103">
      <c r="A620" s="16" t="inlineStr">
        <is>
          <t>B331</t>
        </is>
      </c>
      <c r="B620" s="16" t="inlineStr">
        <is>
          <t>上海区域</t>
        </is>
      </c>
      <c r="C620" s="16" t="inlineStr">
        <is>
          <t>CN0Q</t>
        </is>
      </c>
      <c r="D620" s="16" t="inlineStr">
        <is>
          <t>EE 苏州比斯特购物村</t>
        </is>
      </c>
      <c r="E620" s="16" t="n">
        <v>4</v>
      </c>
      <c r="F620" s="16" t="inlineStr">
        <is>
          <t>奥特莱斯</t>
        </is>
      </c>
      <c r="G620" s="16" t="inlineStr">
        <is>
          <t>EELAG12D2G</t>
        </is>
      </c>
      <c r="H620" s="16" t="n">
        <v>799</v>
      </c>
      <c r="I620" s="16" t="n">
        <v>799</v>
      </c>
      <c r="J620" s="17" t="inlineStr">
        <is>
          <t>########</t>
        </is>
      </c>
      <c r="K620" s="16" t="inlineStr">
        <is>
          <t>(15)Grey</t>
        </is>
      </c>
      <c r="L620" s="16" t="inlineStr">
        <is>
          <t>营业中</t>
        </is>
      </c>
      <c r="M620" s="16" t="inlineStr">
        <is>
          <t>EELAG12D2G15170</t>
        </is>
      </c>
      <c r="N620" s="16">
        <f>LEFT(M620,12)</f>
        <v/>
      </c>
      <c r="O620" s="16" t="inlineStr">
        <is>
          <t>EELAG12D2G, (15)Grey, (170)170</t>
        </is>
      </c>
      <c r="P620" s="16" t="n">
        <v>799</v>
      </c>
      <c r="Q620" s="16" t="n">
        <v>799</v>
      </c>
      <c r="R620" s="16" t="n"/>
      <c r="S620" s="16" t="n"/>
      <c r="T620" s="16" t="n">
        <v>2</v>
      </c>
    </row>
    <row r="621" s="103">
      <c r="A621" s="16" t="inlineStr">
        <is>
          <t>B331</t>
        </is>
      </c>
      <c r="B621" s="16" t="inlineStr">
        <is>
          <t>上海区域</t>
        </is>
      </c>
      <c r="C621" s="16" t="inlineStr">
        <is>
          <t>CN0Q</t>
        </is>
      </c>
      <c r="D621" s="16" t="inlineStr">
        <is>
          <t>EE 苏州比斯特购物村</t>
        </is>
      </c>
      <c r="E621" s="16" t="n">
        <v>4</v>
      </c>
      <c r="F621" s="16" t="inlineStr">
        <is>
          <t>奥特莱斯</t>
        </is>
      </c>
      <c r="G621" s="16" t="inlineStr">
        <is>
          <t>EELAG12D2G</t>
        </is>
      </c>
      <c r="H621" s="16" t="n">
        <v>799</v>
      </c>
      <c r="I621" s="16" t="n">
        <v>799</v>
      </c>
      <c r="J621" s="17" t="inlineStr">
        <is>
          <t>########</t>
        </is>
      </c>
      <c r="K621" s="16" t="inlineStr">
        <is>
          <t>(15)Grey</t>
        </is>
      </c>
      <c r="L621" s="16" t="inlineStr">
        <is>
          <t>营业中</t>
        </is>
      </c>
      <c r="M621" s="16" t="inlineStr">
        <is>
          <t>EELAG12D2G15175</t>
        </is>
      </c>
      <c r="N621" s="16">
        <f>LEFT(M621,12)</f>
        <v/>
      </c>
      <c r="O621" s="16" t="inlineStr">
        <is>
          <t>EELAG12D2G, (15)Grey, (175)175</t>
        </is>
      </c>
      <c r="P621" s="16" t="n">
        <v>799</v>
      </c>
      <c r="Q621" s="16" t="n">
        <v>799</v>
      </c>
      <c r="R621" s="16" t="n"/>
      <c r="S621" s="16" t="n"/>
      <c r="T621" s="16" t="n">
        <v>3</v>
      </c>
    </row>
    <row r="622" s="103">
      <c r="A622" s="16" t="inlineStr">
        <is>
          <t>B331</t>
        </is>
      </c>
      <c r="B622" s="16" t="inlineStr">
        <is>
          <t>上海区域</t>
        </is>
      </c>
      <c r="C622" s="16" t="inlineStr">
        <is>
          <t>CN0Q</t>
        </is>
      </c>
      <c r="D622" s="16" t="inlineStr">
        <is>
          <t>EE 苏州比斯特购物村</t>
        </is>
      </c>
      <c r="E622" s="16" t="n">
        <v>4</v>
      </c>
      <c r="F622" s="16" t="inlineStr">
        <is>
          <t>奥特莱斯</t>
        </is>
      </c>
      <c r="G622" s="16" t="inlineStr">
        <is>
          <t>EELAG12D2G</t>
        </is>
      </c>
      <c r="H622" s="16" t="n">
        <v>799</v>
      </c>
      <c r="I622" s="16" t="n">
        <v>799</v>
      </c>
      <c r="J622" s="17" t="inlineStr">
        <is>
          <t>########</t>
        </is>
      </c>
      <c r="K622" s="16" t="inlineStr">
        <is>
          <t>(15)Grey</t>
        </is>
      </c>
      <c r="L622" s="16" t="inlineStr">
        <is>
          <t>营业中</t>
        </is>
      </c>
      <c r="M622" s="16" t="inlineStr">
        <is>
          <t>EELAG12D2G15180</t>
        </is>
      </c>
      <c r="N622" s="16">
        <f>LEFT(M622,12)</f>
        <v/>
      </c>
      <c r="O622" s="16" t="inlineStr">
        <is>
          <t>EELAG12D2G, (15)Grey, (180)180</t>
        </is>
      </c>
      <c r="P622" s="16" t="n">
        <v>799</v>
      </c>
      <c r="Q622" s="16" t="n">
        <v>799</v>
      </c>
      <c r="R622" s="16" t="n"/>
      <c r="S622" s="16" t="n"/>
      <c r="T622" s="16" t="n">
        <v>2</v>
      </c>
    </row>
    <row r="623" s="103">
      <c r="A623" s="16" t="inlineStr">
        <is>
          <t>B331</t>
        </is>
      </c>
      <c r="B623" s="16" t="inlineStr">
        <is>
          <t>上海区域</t>
        </is>
      </c>
      <c r="C623" s="16" t="inlineStr">
        <is>
          <t>CN0Q</t>
        </is>
      </c>
      <c r="D623" s="16" t="inlineStr">
        <is>
          <t>EE 苏州比斯特购物村</t>
        </is>
      </c>
      <c r="E623" s="16" t="n">
        <v>4</v>
      </c>
      <c r="F623" s="16" t="inlineStr">
        <is>
          <t>奥特莱斯</t>
        </is>
      </c>
      <c r="G623" s="16" t="inlineStr">
        <is>
          <t>EELAG23E01</t>
        </is>
      </c>
      <c r="H623" s="16" t="n">
        <v>799</v>
      </c>
      <c r="I623" s="16" t="n">
        <v>699</v>
      </c>
      <c r="J623" s="17" t="inlineStr">
        <is>
          <t>########</t>
        </is>
      </c>
      <c r="K623" s="16" t="inlineStr">
        <is>
          <t>(25)Pink</t>
        </is>
      </c>
      <c r="L623" s="16" t="inlineStr">
        <is>
          <t>营业中</t>
        </is>
      </c>
      <c r="M623" s="16" t="inlineStr">
        <is>
          <t>EELAG23E0125160</t>
        </is>
      </c>
      <c r="N623" s="16">
        <f>LEFT(M623,12)</f>
        <v/>
      </c>
      <c r="O623" s="16" t="inlineStr">
        <is>
          <t>EELAG23E01, (25)Pink, (160)160</t>
        </is>
      </c>
      <c r="P623" s="16" t="n">
        <v>799</v>
      </c>
      <c r="Q623" s="16" t="n">
        <v>699</v>
      </c>
      <c r="R623" s="16" t="n">
        <v>2</v>
      </c>
      <c r="S623" s="16" t="n">
        <v>666</v>
      </c>
      <c r="T623" s="16" t="n">
        <v>3</v>
      </c>
    </row>
    <row r="624" s="103">
      <c r="A624" s="16" t="inlineStr">
        <is>
          <t>B331</t>
        </is>
      </c>
      <c r="B624" s="16" t="inlineStr">
        <is>
          <t>上海区域</t>
        </is>
      </c>
      <c r="C624" s="16" t="inlineStr">
        <is>
          <t>CN0Q</t>
        </is>
      </c>
      <c r="D624" s="16" t="inlineStr">
        <is>
          <t>EE 苏州比斯特购物村</t>
        </is>
      </c>
      <c r="E624" s="16" t="n">
        <v>4</v>
      </c>
      <c r="F624" s="16" t="inlineStr">
        <is>
          <t>奥特莱斯</t>
        </is>
      </c>
      <c r="G624" s="16" t="inlineStr">
        <is>
          <t>EELAG23E01</t>
        </is>
      </c>
      <c r="H624" s="16" t="n">
        <v>799</v>
      </c>
      <c r="I624" s="16" t="n">
        <v>699</v>
      </c>
      <c r="J624" s="17" t="inlineStr">
        <is>
          <t>########</t>
        </is>
      </c>
      <c r="K624" s="16" t="inlineStr">
        <is>
          <t>(25)Pink</t>
        </is>
      </c>
      <c r="L624" s="16" t="inlineStr">
        <is>
          <t>营业中</t>
        </is>
      </c>
      <c r="M624" s="16" t="inlineStr">
        <is>
          <t>EELAG23E0125165</t>
        </is>
      </c>
      <c r="N624" s="16">
        <f>LEFT(M624,12)</f>
        <v/>
      </c>
      <c r="O624" s="16" t="inlineStr">
        <is>
          <t>EELAG23E01, (25)Pink, (165)165</t>
        </is>
      </c>
      <c r="P624" s="16" t="n">
        <v>799</v>
      </c>
      <c r="Q624" s="16" t="n">
        <v>699</v>
      </c>
      <c r="R624" s="16" t="n">
        <v>2</v>
      </c>
      <c r="S624" s="16" t="n">
        <v>901</v>
      </c>
      <c r="T624" s="16" t="n">
        <v>2</v>
      </c>
    </row>
    <row r="625" s="103">
      <c r="A625" s="16" t="inlineStr">
        <is>
          <t>B331</t>
        </is>
      </c>
      <c r="B625" s="16" t="inlineStr">
        <is>
          <t>上海区域</t>
        </is>
      </c>
      <c r="C625" s="16" t="inlineStr">
        <is>
          <t>CN0Q</t>
        </is>
      </c>
      <c r="D625" s="16" t="inlineStr">
        <is>
          <t>EE 苏州比斯特购物村</t>
        </is>
      </c>
      <c r="E625" s="16" t="n">
        <v>4</v>
      </c>
      <c r="F625" s="16" t="inlineStr">
        <is>
          <t>奥特莱斯</t>
        </is>
      </c>
      <c r="G625" s="16" t="inlineStr">
        <is>
          <t>EELAG23E01</t>
        </is>
      </c>
      <c r="H625" s="16" t="n">
        <v>799</v>
      </c>
      <c r="I625" s="16" t="n">
        <v>699</v>
      </c>
      <c r="J625" s="17" t="inlineStr">
        <is>
          <t>########</t>
        </is>
      </c>
      <c r="K625" s="16" t="inlineStr">
        <is>
          <t>(25)Pink</t>
        </is>
      </c>
      <c r="L625" s="16" t="inlineStr">
        <is>
          <t>营业中</t>
        </is>
      </c>
      <c r="M625" s="16" t="inlineStr">
        <is>
          <t>EELAG23E0125170</t>
        </is>
      </c>
      <c r="N625" s="16">
        <f>LEFT(M625,12)</f>
        <v/>
      </c>
      <c r="O625" s="16" t="inlineStr">
        <is>
          <t>EELAG23E01, (25)Pink, (170)170</t>
        </is>
      </c>
      <c r="P625" s="16" t="n">
        <v>799</v>
      </c>
      <c r="Q625" s="16" t="n">
        <v>699</v>
      </c>
      <c r="R625" s="16" t="n">
        <v>2</v>
      </c>
      <c r="S625" s="16" t="n">
        <v>944</v>
      </c>
      <c r="T625" s="16" t="n">
        <v>0</v>
      </c>
    </row>
    <row r="626" s="103">
      <c r="A626" s="16" t="inlineStr">
        <is>
          <t>B331</t>
        </is>
      </c>
      <c r="B626" s="16" t="inlineStr">
        <is>
          <t>上海区域</t>
        </is>
      </c>
      <c r="C626" s="16" t="inlineStr">
        <is>
          <t>CN0Q</t>
        </is>
      </c>
      <c r="D626" s="16" t="inlineStr">
        <is>
          <t>EE 苏州比斯特购物村</t>
        </is>
      </c>
      <c r="E626" s="16" t="n">
        <v>4</v>
      </c>
      <c r="F626" s="16" t="inlineStr">
        <is>
          <t>奥特莱斯</t>
        </is>
      </c>
      <c r="G626" s="16" t="inlineStr">
        <is>
          <t>EELAG23E01</t>
        </is>
      </c>
      <c r="H626" s="16" t="n">
        <v>799</v>
      </c>
      <c r="I626" s="16" t="n">
        <v>699</v>
      </c>
      <c r="J626" s="17" t="inlineStr">
        <is>
          <t>########</t>
        </is>
      </c>
      <c r="K626" s="16" t="inlineStr">
        <is>
          <t>(51)L/Blue</t>
        </is>
      </c>
      <c r="L626" s="16" t="inlineStr">
        <is>
          <t>营业中</t>
        </is>
      </c>
      <c r="M626" s="16" t="inlineStr">
        <is>
          <t>EELAG23E0151160</t>
        </is>
      </c>
      <c r="N626" s="16">
        <f>LEFT(M626,12)</f>
        <v/>
      </c>
      <c r="O626" s="16" t="inlineStr">
        <is>
          <t>EELAG23E01, (51)L/Blue, (160)160</t>
        </is>
      </c>
      <c r="P626" s="16" t="n">
        <v>799</v>
      </c>
      <c r="Q626" s="16" t="n">
        <v>699</v>
      </c>
      <c r="R626" s="16" t="n">
        <v>1</v>
      </c>
      <c r="S626" s="16" t="n">
        <v>441</v>
      </c>
      <c r="T626" s="16" t="n">
        <v>3</v>
      </c>
    </row>
    <row r="627" s="103">
      <c r="A627" s="16" t="inlineStr">
        <is>
          <t>B331</t>
        </is>
      </c>
      <c r="B627" s="16" t="inlineStr">
        <is>
          <t>上海区域</t>
        </is>
      </c>
      <c r="C627" s="16" t="inlineStr">
        <is>
          <t>CN0Q</t>
        </is>
      </c>
      <c r="D627" s="16" t="inlineStr">
        <is>
          <t>EE 苏州比斯特购物村</t>
        </is>
      </c>
      <c r="E627" s="16" t="n">
        <v>4</v>
      </c>
      <c r="F627" s="16" t="inlineStr">
        <is>
          <t>奥特莱斯</t>
        </is>
      </c>
      <c r="G627" s="16" t="inlineStr">
        <is>
          <t>EELAG23E01</t>
        </is>
      </c>
      <c r="H627" s="16" t="n">
        <v>799</v>
      </c>
      <c r="I627" s="16" t="n">
        <v>699</v>
      </c>
      <c r="J627" s="17" t="inlineStr">
        <is>
          <t>########</t>
        </is>
      </c>
      <c r="K627" s="16" t="inlineStr">
        <is>
          <t>(51)L/Blue</t>
        </is>
      </c>
      <c r="L627" s="16" t="inlineStr">
        <is>
          <t>营业中</t>
        </is>
      </c>
      <c r="M627" s="16" t="inlineStr">
        <is>
          <t>EELAG23E0151165</t>
        </is>
      </c>
      <c r="N627" s="16">
        <f>LEFT(M627,12)</f>
        <v/>
      </c>
      <c r="O627" s="16" t="inlineStr">
        <is>
          <t>EELAG23E01, (51)L/Blue, (165)165</t>
        </is>
      </c>
      <c r="P627" s="16" t="n">
        <v>799</v>
      </c>
      <c r="Q627" s="16" t="n">
        <v>699</v>
      </c>
      <c r="R627" s="16" t="n">
        <v>2</v>
      </c>
      <c r="S627" s="16" t="n">
        <v>899</v>
      </c>
      <c r="T627" s="16" t="n">
        <v>2</v>
      </c>
    </row>
    <row r="628" s="103">
      <c r="A628" s="16" t="inlineStr">
        <is>
          <t>B331</t>
        </is>
      </c>
      <c r="B628" s="16" t="inlineStr">
        <is>
          <t>上海区域</t>
        </is>
      </c>
      <c r="C628" s="16" t="inlineStr">
        <is>
          <t>CN0Q</t>
        </is>
      </c>
      <c r="D628" s="16" t="inlineStr">
        <is>
          <t>EE 苏州比斯特购物村</t>
        </is>
      </c>
      <c r="E628" s="16" t="n">
        <v>4</v>
      </c>
      <c r="F628" s="16" t="inlineStr">
        <is>
          <t>奥特莱斯</t>
        </is>
      </c>
      <c r="G628" s="16" t="inlineStr">
        <is>
          <t>EELAG23E01</t>
        </is>
      </c>
      <c r="H628" s="16" t="n">
        <v>799</v>
      </c>
      <c r="I628" s="16" t="n">
        <v>699</v>
      </c>
      <c r="J628" s="17" t="inlineStr">
        <is>
          <t>########</t>
        </is>
      </c>
      <c r="K628" s="16" t="inlineStr">
        <is>
          <t>(51)L/Blue</t>
        </is>
      </c>
      <c r="L628" s="16" t="inlineStr">
        <is>
          <t>营业中</t>
        </is>
      </c>
      <c r="M628" s="16" t="inlineStr">
        <is>
          <t>EELAG23E0151170</t>
        </is>
      </c>
      <c r="N628" s="16">
        <f>LEFT(M628,12)</f>
        <v/>
      </c>
      <c r="O628" s="16" t="inlineStr">
        <is>
          <t>EELAG23E01, (51)L/Blue, (170)170</t>
        </is>
      </c>
      <c r="P628" s="16" t="n">
        <v>799</v>
      </c>
      <c r="Q628" s="16" t="n">
        <v>699</v>
      </c>
      <c r="R628" s="16" t="n"/>
      <c r="S628" s="16" t="n"/>
      <c r="T628" s="16" t="n">
        <v>3</v>
      </c>
    </row>
    <row r="629" s="103">
      <c r="A629" s="16" t="inlineStr">
        <is>
          <t>B331</t>
        </is>
      </c>
      <c r="B629" s="16" t="inlineStr">
        <is>
          <t>上海区域</t>
        </is>
      </c>
      <c r="C629" s="16" t="inlineStr">
        <is>
          <t>CN0Q</t>
        </is>
      </c>
      <c r="D629" s="16" t="inlineStr">
        <is>
          <t>EE 苏州比斯特购物村</t>
        </is>
      </c>
      <c r="E629" s="16" t="n">
        <v>4</v>
      </c>
      <c r="F629" s="16" t="inlineStr">
        <is>
          <t>奥特莱斯</t>
        </is>
      </c>
      <c r="G629" s="16" t="inlineStr">
        <is>
          <t>EELAG23E01</t>
        </is>
      </c>
      <c r="H629" s="16" t="n">
        <v>799</v>
      </c>
      <c r="I629" s="16" t="n">
        <v>699</v>
      </c>
      <c r="J629" s="17" t="inlineStr">
        <is>
          <t>########</t>
        </is>
      </c>
      <c r="K629" s="16" t="inlineStr">
        <is>
          <t>(99)MIX</t>
        </is>
      </c>
      <c r="L629" s="16" t="inlineStr">
        <is>
          <t>营业中</t>
        </is>
      </c>
      <c r="M629" s="16" t="inlineStr">
        <is>
          <t>EELAG23E0199160</t>
        </is>
      </c>
      <c r="N629" s="16">
        <f>LEFT(M629,12)</f>
        <v/>
      </c>
      <c r="O629" s="16" t="inlineStr">
        <is>
          <t>EELAG23E01, (99)MIX, (160)160</t>
        </is>
      </c>
      <c r="P629" s="16" t="n">
        <v>799</v>
      </c>
      <c r="Q629" s="16" t="n">
        <v>699</v>
      </c>
      <c r="R629" s="16" t="n">
        <v>1</v>
      </c>
      <c r="S629" s="16" t="n">
        <v>448</v>
      </c>
      <c r="T629" s="16" t="n">
        <v>1</v>
      </c>
    </row>
    <row r="630" s="103">
      <c r="A630" s="16" t="inlineStr">
        <is>
          <t>B331</t>
        </is>
      </c>
      <c r="B630" s="16" t="inlineStr">
        <is>
          <t>上海区域</t>
        </is>
      </c>
      <c r="C630" s="16" t="inlineStr">
        <is>
          <t>CN0Q</t>
        </is>
      </c>
      <c r="D630" s="16" t="inlineStr">
        <is>
          <t>EE 苏州比斯特购物村</t>
        </is>
      </c>
      <c r="E630" s="16" t="n">
        <v>4</v>
      </c>
      <c r="F630" s="16" t="inlineStr">
        <is>
          <t>奥特莱斯</t>
        </is>
      </c>
      <c r="G630" s="16" t="inlineStr">
        <is>
          <t>EELAG23E01</t>
        </is>
      </c>
      <c r="H630" s="16" t="n">
        <v>799</v>
      </c>
      <c r="I630" s="16" t="n">
        <v>699</v>
      </c>
      <c r="J630" s="17" t="inlineStr">
        <is>
          <t>########</t>
        </is>
      </c>
      <c r="K630" s="16" t="inlineStr">
        <is>
          <t>(99)MIX</t>
        </is>
      </c>
      <c r="L630" s="16" t="inlineStr">
        <is>
          <t>营业中</t>
        </is>
      </c>
      <c r="M630" s="16" t="inlineStr">
        <is>
          <t>EELAG23E0199165</t>
        </is>
      </c>
      <c r="N630" s="16">
        <f>LEFT(M630,12)</f>
        <v/>
      </c>
      <c r="O630" s="16" t="inlineStr">
        <is>
          <t>EELAG23E01, (99)MIX, (165)165</t>
        </is>
      </c>
      <c r="P630" s="16" t="n">
        <v>799</v>
      </c>
      <c r="Q630" s="16" t="n">
        <v>699</v>
      </c>
      <c r="R630" s="16" t="n">
        <v>1</v>
      </c>
      <c r="S630" s="16" t="n">
        <v>489</v>
      </c>
      <c r="T630" s="16" t="n">
        <v>3</v>
      </c>
    </row>
    <row r="631" s="103">
      <c r="A631" s="16" t="inlineStr">
        <is>
          <t>B331</t>
        </is>
      </c>
      <c r="B631" s="16" t="inlineStr">
        <is>
          <t>上海区域</t>
        </is>
      </c>
      <c r="C631" s="16" t="inlineStr">
        <is>
          <t>CN0Q</t>
        </is>
      </c>
      <c r="D631" s="16" t="inlineStr">
        <is>
          <t>EE 苏州比斯特购物村</t>
        </is>
      </c>
      <c r="E631" s="16" t="n">
        <v>4</v>
      </c>
      <c r="F631" s="16" t="inlineStr">
        <is>
          <t>奥特莱斯</t>
        </is>
      </c>
      <c r="G631" s="16" t="inlineStr">
        <is>
          <t>EELAG23E01</t>
        </is>
      </c>
      <c r="H631" s="16" t="n">
        <v>799</v>
      </c>
      <c r="I631" s="16" t="n">
        <v>699</v>
      </c>
      <c r="J631" s="17" t="inlineStr">
        <is>
          <t>########</t>
        </is>
      </c>
      <c r="K631" s="16" t="inlineStr">
        <is>
          <t>(99)MIX</t>
        </is>
      </c>
      <c r="L631" s="16" t="inlineStr">
        <is>
          <t>营业中</t>
        </is>
      </c>
      <c r="M631" s="16" t="inlineStr">
        <is>
          <t>EELAG23E0199170</t>
        </is>
      </c>
      <c r="N631" s="16">
        <f>LEFT(M631,12)</f>
        <v/>
      </c>
      <c r="O631" s="16" t="inlineStr">
        <is>
          <t>EELAG23E01, (99)MIX, (170)170</t>
        </is>
      </c>
      <c r="P631" s="16" t="n">
        <v>799</v>
      </c>
      <c r="Q631" s="16" t="n">
        <v>699</v>
      </c>
      <c r="R631" s="16" t="n">
        <v>1</v>
      </c>
      <c r="S631" s="16" t="n"/>
      <c r="T631" s="16" t="n">
        <v>2</v>
      </c>
    </row>
    <row r="632" s="103">
      <c r="A632" s="16" t="inlineStr">
        <is>
          <t>B331</t>
        </is>
      </c>
      <c r="B632" s="16" t="inlineStr">
        <is>
          <t>上海区域</t>
        </is>
      </c>
      <c r="C632" s="16" t="inlineStr">
        <is>
          <t>CN0Q</t>
        </is>
      </c>
      <c r="D632" s="16" t="inlineStr">
        <is>
          <t>EE 苏州比斯特购物村</t>
        </is>
      </c>
      <c r="E632" s="16" t="n">
        <v>4</v>
      </c>
      <c r="F632" s="16" t="inlineStr">
        <is>
          <t>奥特莱斯</t>
        </is>
      </c>
      <c r="G632" s="16" t="inlineStr">
        <is>
          <t>EELAG64S01</t>
        </is>
      </c>
      <c r="H632" s="16" t="n">
        <v>599</v>
      </c>
      <c r="I632" s="16" t="n">
        <v>599</v>
      </c>
      <c r="J632" s="17" t="inlineStr">
        <is>
          <t>########</t>
        </is>
      </c>
      <c r="K632" s="16" t="inlineStr">
        <is>
          <t>(39)Ivory</t>
        </is>
      </c>
      <c r="L632" s="16" t="inlineStr">
        <is>
          <t>营业中</t>
        </is>
      </c>
      <c r="M632" s="16" t="inlineStr">
        <is>
          <t>EELAG64S0139160</t>
        </is>
      </c>
      <c r="N632" s="16">
        <f>LEFT(M632,12)</f>
        <v/>
      </c>
      <c r="O632" s="16" t="inlineStr">
        <is>
          <t>EELAG64S01, (39)Ivory, (160)160</t>
        </is>
      </c>
      <c r="P632" s="16" t="n">
        <v>599</v>
      </c>
      <c r="Q632" s="16" t="n">
        <v>599</v>
      </c>
      <c r="R632" s="16" t="n">
        <v>4</v>
      </c>
      <c r="S632" s="16" t="n">
        <v>573</v>
      </c>
      <c r="T632" s="16" t="n">
        <v>4</v>
      </c>
    </row>
    <row r="633" s="103">
      <c r="A633" s="16" t="inlineStr">
        <is>
          <t>B331</t>
        </is>
      </c>
      <c r="B633" s="16" t="inlineStr">
        <is>
          <t>上海区域</t>
        </is>
      </c>
      <c r="C633" s="16" t="inlineStr">
        <is>
          <t>CN0Q</t>
        </is>
      </c>
      <c r="D633" s="16" t="inlineStr">
        <is>
          <t>EE 苏州比斯特购物村</t>
        </is>
      </c>
      <c r="E633" s="16" t="n">
        <v>4</v>
      </c>
      <c r="F633" s="16" t="inlineStr">
        <is>
          <t>奥特莱斯</t>
        </is>
      </c>
      <c r="G633" s="16" t="inlineStr">
        <is>
          <t>EELAG64S01</t>
        </is>
      </c>
      <c r="H633" s="16" t="n">
        <v>599</v>
      </c>
      <c r="I633" s="16" t="n">
        <v>599</v>
      </c>
      <c r="J633" s="17" t="inlineStr">
        <is>
          <t>########</t>
        </is>
      </c>
      <c r="K633" s="16" t="inlineStr">
        <is>
          <t>(39)Ivory</t>
        </is>
      </c>
      <c r="L633" s="16" t="inlineStr">
        <is>
          <t>营业中</t>
        </is>
      </c>
      <c r="M633" s="16" t="inlineStr">
        <is>
          <t>EELAG64S0139165</t>
        </is>
      </c>
      <c r="N633" s="16">
        <f>LEFT(M633,12)</f>
        <v/>
      </c>
      <c r="O633" s="16" t="inlineStr">
        <is>
          <t>EELAG64S01, (39)Ivory, (165)165</t>
        </is>
      </c>
      <c r="P633" s="16" t="n">
        <v>599</v>
      </c>
      <c r="Q633" s="16" t="n">
        <v>599</v>
      </c>
      <c r="R633" s="16" t="n">
        <v>5</v>
      </c>
      <c r="S633" s="18" t="n">
        <v>1395</v>
      </c>
      <c r="T633" s="16" t="n">
        <v>5</v>
      </c>
    </row>
    <row r="634" s="103">
      <c r="A634" s="16" t="inlineStr">
        <is>
          <t>B331</t>
        </is>
      </c>
      <c r="B634" s="16" t="inlineStr">
        <is>
          <t>上海区域</t>
        </is>
      </c>
      <c r="C634" s="16" t="inlineStr">
        <is>
          <t>CN0Q</t>
        </is>
      </c>
      <c r="D634" s="16" t="inlineStr">
        <is>
          <t>EE 苏州比斯特购物村</t>
        </is>
      </c>
      <c r="E634" s="16" t="n">
        <v>4</v>
      </c>
      <c r="F634" s="16" t="inlineStr">
        <is>
          <t>奥特莱斯</t>
        </is>
      </c>
      <c r="G634" s="16" t="inlineStr">
        <is>
          <t>EELAG64S01</t>
        </is>
      </c>
      <c r="H634" s="16" t="n">
        <v>599</v>
      </c>
      <c r="I634" s="16" t="n">
        <v>599</v>
      </c>
      <c r="J634" s="17" t="inlineStr">
        <is>
          <t>########</t>
        </is>
      </c>
      <c r="K634" s="16" t="inlineStr">
        <is>
          <t>(39)Ivory</t>
        </is>
      </c>
      <c r="L634" s="16" t="inlineStr">
        <is>
          <t>营业中</t>
        </is>
      </c>
      <c r="M634" s="16" t="inlineStr">
        <is>
          <t>EELAG64S0139170</t>
        </is>
      </c>
      <c r="N634" s="16">
        <f>LEFT(M634,12)</f>
        <v/>
      </c>
      <c r="O634" s="16" t="inlineStr">
        <is>
          <t>EELAG64S01, (39)Ivory, (170)170</t>
        </is>
      </c>
      <c r="P634" s="16" t="n">
        <v>599</v>
      </c>
      <c r="Q634" s="16" t="n">
        <v>599</v>
      </c>
      <c r="R634" s="16" t="n">
        <v>2</v>
      </c>
      <c r="S634" s="16" t="n">
        <v>545</v>
      </c>
      <c r="T634" s="16" t="n">
        <v>0</v>
      </c>
    </row>
    <row r="635" s="103">
      <c r="A635" s="16" t="inlineStr">
        <is>
          <t>B331</t>
        </is>
      </c>
      <c r="B635" s="16" t="inlineStr">
        <is>
          <t>上海区域</t>
        </is>
      </c>
      <c r="C635" s="16" t="inlineStr">
        <is>
          <t>CN0Q</t>
        </is>
      </c>
      <c r="D635" s="16" t="inlineStr">
        <is>
          <t>EE 苏州比斯特购物村</t>
        </is>
      </c>
      <c r="E635" s="16" t="n">
        <v>4</v>
      </c>
      <c r="F635" s="16" t="inlineStr">
        <is>
          <t>奥特莱斯</t>
        </is>
      </c>
      <c r="G635" s="16" t="inlineStr">
        <is>
          <t>EEMTG12B1G</t>
        </is>
      </c>
      <c r="H635" s="16" t="n">
        <v>699</v>
      </c>
      <c r="I635" s="16" t="n">
        <v>699</v>
      </c>
      <c r="J635" s="17" t="n">
        <v>46024</v>
      </c>
      <c r="K635" s="16" t="inlineStr">
        <is>
          <t>(15)Grey</t>
        </is>
      </c>
      <c r="L635" s="16" t="inlineStr">
        <is>
          <t>营业中</t>
        </is>
      </c>
      <c r="M635" s="16" t="inlineStr">
        <is>
          <t>EEMTG12B1G15170</t>
        </is>
      </c>
      <c r="N635" s="16">
        <f>LEFT(M635,12)</f>
        <v/>
      </c>
      <c r="O635" s="16" t="inlineStr">
        <is>
          <t>EEMTG12B1G, (15)Grey, (170)170</t>
        </is>
      </c>
      <c r="P635" s="16" t="n">
        <v>699</v>
      </c>
      <c r="Q635" s="16" t="n">
        <v>699</v>
      </c>
      <c r="R635" s="16" t="n"/>
      <c r="S635" s="16" t="n"/>
      <c r="T635" s="16" t="n">
        <v>3</v>
      </c>
    </row>
    <row r="636" s="103">
      <c r="A636" s="16" t="inlineStr">
        <is>
          <t>B331</t>
        </is>
      </c>
      <c r="B636" s="16" t="inlineStr">
        <is>
          <t>上海区域</t>
        </is>
      </c>
      <c r="C636" s="16" t="inlineStr">
        <is>
          <t>CN0Q</t>
        </is>
      </c>
      <c r="D636" s="16" t="inlineStr">
        <is>
          <t>EE 苏州比斯特购物村</t>
        </is>
      </c>
      <c r="E636" s="16" t="n">
        <v>4</v>
      </c>
      <c r="F636" s="16" t="inlineStr">
        <is>
          <t>奥特莱斯</t>
        </is>
      </c>
      <c r="G636" s="16" t="inlineStr">
        <is>
          <t>EEMTG12B1G</t>
        </is>
      </c>
      <c r="H636" s="16" t="n">
        <v>699</v>
      </c>
      <c r="I636" s="16" t="n">
        <v>699</v>
      </c>
      <c r="J636" s="17" t="n">
        <v>46024</v>
      </c>
      <c r="K636" s="16" t="inlineStr">
        <is>
          <t>(15)Grey</t>
        </is>
      </c>
      <c r="L636" s="16" t="inlineStr">
        <is>
          <t>营业中</t>
        </is>
      </c>
      <c r="M636" s="16" t="inlineStr">
        <is>
          <t>EEMTG12B1G15175</t>
        </is>
      </c>
      <c r="N636" s="16">
        <f>LEFT(M636,12)</f>
        <v/>
      </c>
      <c r="O636" s="16" t="inlineStr">
        <is>
          <t>EEMTG12B1G, (15)Grey, (175)175</t>
        </is>
      </c>
      <c r="P636" s="16" t="n">
        <v>699</v>
      </c>
      <c r="Q636" s="16" t="n">
        <v>699</v>
      </c>
      <c r="R636" s="16" t="n"/>
      <c r="S636" s="16" t="n"/>
      <c r="T636" s="16" t="n">
        <v>3</v>
      </c>
    </row>
    <row r="637" s="103">
      <c r="A637" s="16" t="inlineStr">
        <is>
          <t>B331</t>
        </is>
      </c>
      <c r="B637" s="16" t="inlineStr">
        <is>
          <t>上海区域</t>
        </is>
      </c>
      <c r="C637" s="16" t="inlineStr">
        <is>
          <t>CN0Q</t>
        </is>
      </c>
      <c r="D637" s="16" t="inlineStr">
        <is>
          <t>EE 苏州比斯特购物村</t>
        </is>
      </c>
      <c r="E637" s="16" t="n">
        <v>4</v>
      </c>
      <c r="F637" s="16" t="inlineStr">
        <is>
          <t>奥特莱斯</t>
        </is>
      </c>
      <c r="G637" s="16" t="inlineStr">
        <is>
          <t>EEMTG12B1G</t>
        </is>
      </c>
      <c r="H637" s="16" t="n">
        <v>699</v>
      </c>
      <c r="I637" s="16" t="n">
        <v>699</v>
      </c>
      <c r="J637" s="17" t="n">
        <v>46024</v>
      </c>
      <c r="K637" s="16" t="inlineStr">
        <is>
          <t>(15)Grey</t>
        </is>
      </c>
      <c r="L637" s="16" t="inlineStr">
        <is>
          <t>营业中</t>
        </is>
      </c>
      <c r="M637" s="16" t="inlineStr">
        <is>
          <t>EEMTG12B1G15180</t>
        </is>
      </c>
      <c r="N637" s="16">
        <f>LEFT(M637,12)</f>
        <v/>
      </c>
      <c r="O637" s="16" t="inlineStr">
        <is>
          <t>EEMTG12B1G, (15)Grey, (180)180</t>
        </is>
      </c>
      <c r="P637" s="16" t="n">
        <v>699</v>
      </c>
      <c r="Q637" s="16" t="n">
        <v>699</v>
      </c>
      <c r="R637" s="16" t="n"/>
      <c r="S637" s="16" t="n"/>
      <c r="T637" s="16" t="n">
        <v>3</v>
      </c>
    </row>
    <row r="638" s="103">
      <c r="A638" s="16" t="inlineStr">
        <is>
          <t>B331</t>
        </is>
      </c>
      <c r="B638" s="16" t="inlineStr">
        <is>
          <t>上海区域</t>
        </is>
      </c>
      <c r="C638" s="16" t="inlineStr">
        <is>
          <t>CN0Q</t>
        </is>
      </c>
      <c r="D638" s="16" t="inlineStr">
        <is>
          <t>EE 苏州比斯特购物村</t>
        </is>
      </c>
      <c r="E638" s="16" t="n">
        <v>4</v>
      </c>
      <c r="F638" s="16" t="inlineStr">
        <is>
          <t>奥特莱斯</t>
        </is>
      </c>
      <c r="G638" s="16" t="inlineStr">
        <is>
          <t>EEMTG12B1G</t>
        </is>
      </c>
      <c r="H638" s="16" t="n">
        <v>699</v>
      </c>
      <c r="I638" s="16" t="n">
        <v>699</v>
      </c>
      <c r="J638" s="17" t="n">
        <v>46024</v>
      </c>
      <c r="K638" s="16" t="inlineStr">
        <is>
          <t>(59)Navy</t>
        </is>
      </c>
      <c r="L638" s="16" t="inlineStr">
        <is>
          <t>营业中</t>
        </is>
      </c>
      <c r="M638" s="16" t="inlineStr">
        <is>
          <t>EEMTG12B1G59170</t>
        </is>
      </c>
      <c r="N638" s="16">
        <f>LEFT(M638,12)</f>
        <v/>
      </c>
      <c r="O638" s="16" t="inlineStr">
        <is>
          <t>EEMTG12B1G, (59)Navy, (170)170</t>
        </is>
      </c>
      <c r="P638" s="16" t="n">
        <v>699</v>
      </c>
      <c r="Q638" s="16" t="n">
        <v>699</v>
      </c>
      <c r="R638" s="16" t="n"/>
      <c r="S638" s="16" t="n"/>
      <c r="T638" s="16" t="n">
        <v>2</v>
      </c>
    </row>
    <row r="639" s="103">
      <c r="A639" s="16" t="inlineStr">
        <is>
          <t>B331</t>
        </is>
      </c>
      <c r="B639" s="16" t="inlineStr">
        <is>
          <t>上海区域</t>
        </is>
      </c>
      <c r="C639" s="16" t="inlineStr">
        <is>
          <t>CN0Q</t>
        </is>
      </c>
      <c r="D639" s="16" t="inlineStr">
        <is>
          <t>EE 苏州比斯特购物村</t>
        </is>
      </c>
      <c r="E639" s="16" t="n">
        <v>4</v>
      </c>
      <c r="F639" s="16" t="inlineStr">
        <is>
          <t>奥特莱斯</t>
        </is>
      </c>
      <c r="G639" s="16" t="inlineStr">
        <is>
          <t>EEMTG12B1G</t>
        </is>
      </c>
      <c r="H639" s="16" t="n">
        <v>699</v>
      </c>
      <c r="I639" s="16" t="n">
        <v>699</v>
      </c>
      <c r="J639" s="17" t="n">
        <v>46024</v>
      </c>
      <c r="K639" s="16" t="inlineStr">
        <is>
          <t>(59)Navy</t>
        </is>
      </c>
      <c r="L639" s="16" t="inlineStr">
        <is>
          <t>营业中</t>
        </is>
      </c>
      <c r="M639" s="16" t="inlineStr">
        <is>
          <t>EEMTG12B1G59175</t>
        </is>
      </c>
      <c r="N639" s="16">
        <f>LEFT(M639,12)</f>
        <v/>
      </c>
      <c r="O639" s="16" t="inlineStr">
        <is>
          <t>EEMTG12B1G, (59)Navy, (175)175</t>
        </is>
      </c>
      <c r="P639" s="16" t="n">
        <v>699</v>
      </c>
      <c r="Q639" s="16" t="n">
        <v>699</v>
      </c>
      <c r="R639" s="16" t="n"/>
      <c r="S639" s="16" t="n"/>
      <c r="T639" s="16" t="n">
        <v>2</v>
      </c>
    </row>
    <row r="640" s="103">
      <c r="A640" s="16" t="inlineStr">
        <is>
          <t>B331</t>
        </is>
      </c>
      <c r="B640" s="16" t="inlineStr">
        <is>
          <t>上海区域</t>
        </is>
      </c>
      <c r="C640" s="16" t="inlineStr">
        <is>
          <t>CN0Q</t>
        </is>
      </c>
      <c r="D640" s="16" t="inlineStr">
        <is>
          <t>EE 苏州比斯特购物村</t>
        </is>
      </c>
      <c r="E640" s="16" t="n">
        <v>4</v>
      </c>
      <c r="F640" s="16" t="inlineStr">
        <is>
          <t>奥特莱斯</t>
        </is>
      </c>
      <c r="G640" s="16" t="inlineStr">
        <is>
          <t>EEMTG12B1G</t>
        </is>
      </c>
      <c r="H640" s="16" t="n">
        <v>699</v>
      </c>
      <c r="I640" s="16" t="n">
        <v>699</v>
      </c>
      <c r="J640" s="17" t="n">
        <v>46024</v>
      </c>
      <c r="K640" s="16" t="inlineStr">
        <is>
          <t>(59)Navy</t>
        </is>
      </c>
      <c r="L640" s="16" t="inlineStr">
        <is>
          <t>营业中</t>
        </is>
      </c>
      <c r="M640" s="16" t="inlineStr">
        <is>
          <t>EEMTG12B1G59180</t>
        </is>
      </c>
      <c r="N640" s="16">
        <f>LEFT(M640,12)</f>
        <v/>
      </c>
      <c r="O640" s="16" t="inlineStr">
        <is>
          <t>EEMTG12B1G, (59)Navy, (180)180</t>
        </is>
      </c>
      <c r="P640" s="16" t="n">
        <v>699</v>
      </c>
      <c r="Q640" s="16" t="n">
        <v>699</v>
      </c>
      <c r="R640" s="16" t="n"/>
      <c r="S640" s="16" t="n"/>
      <c r="T640" s="16" t="n">
        <v>2</v>
      </c>
    </row>
    <row r="641" s="103">
      <c r="A641" s="16" t="inlineStr">
        <is>
          <t>B331</t>
        </is>
      </c>
      <c r="B641" s="16" t="inlineStr">
        <is>
          <t>上海区域</t>
        </is>
      </c>
      <c r="C641" s="16" t="inlineStr">
        <is>
          <t>CN0Q</t>
        </is>
      </c>
      <c r="D641" s="16" t="inlineStr">
        <is>
          <t>EE 苏州比斯特购物村</t>
        </is>
      </c>
      <c r="E641" s="16" t="n">
        <v>4</v>
      </c>
      <c r="F641" s="16" t="inlineStr">
        <is>
          <t>奥特莱斯</t>
        </is>
      </c>
      <c r="G641" s="16" t="inlineStr">
        <is>
          <t>EEMTG12E01</t>
        </is>
      </c>
      <c r="H641" s="16" t="n">
        <v>999</v>
      </c>
      <c r="I641" s="16" t="n">
        <v>899</v>
      </c>
      <c r="J641" s="17" t="n">
        <v>46024</v>
      </c>
      <c r="K641" s="16" t="inlineStr">
        <is>
          <t>(18)M/Grey</t>
        </is>
      </c>
      <c r="L641" s="16" t="inlineStr">
        <is>
          <t>营业中</t>
        </is>
      </c>
      <c r="M641" s="16" t="inlineStr">
        <is>
          <t>EEMTG12E0118165</t>
        </is>
      </c>
      <c r="N641" s="16">
        <f>LEFT(M641,12)</f>
        <v/>
      </c>
      <c r="O641" s="16" t="inlineStr">
        <is>
          <t>EEMTG12E01, (18)M/Grey, (165)165</t>
        </is>
      </c>
      <c r="P641" s="16" t="n">
        <v>999</v>
      </c>
      <c r="Q641" s="16" t="n">
        <v>899</v>
      </c>
      <c r="R641" s="16" t="n"/>
      <c r="S641" s="16" t="n"/>
      <c r="T641" s="16" t="n">
        <v>3</v>
      </c>
    </row>
    <row r="642" s="103">
      <c r="A642" s="16" t="inlineStr">
        <is>
          <t>B331</t>
        </is>
      </c>
      <c r="B642" s="16" t="inlineStr">
        <is>
          <t>上海区域</t>
        </is>
      </c>
      <c r="C642" s="16" t="inlineStr">
        <is>
          <t>CN0Q</t>
        </is>
      </c>
      <c r="D642" s="16" t="inlineStr">
        <is>
          <t>EE 苏州比斯特购物村</t>
        </is>
      </c>
      <c r="E642" s="16" t="n">
        <v>4</v>
      </c>
      <c r="F642" s="16" t="inlineStr">
        <is>
          <t>奥特莱斯</t>
        </is>
      </c>
      <c r="G642" s="16" t="inlineStr">
        <is>
          <t>EEMTG12E01</t>
        </is>
      </c>
      <c r="H642" s="16" t="n">
        <v>999</v>
      </c>
      <c r="I642" s="16" t="n">
        <v>899</v>
      </c>
      <c r="J642" s="17" t="n">
        <v>46024</v>
      </c>
      <c r="K642" s="16" t="inlineStr">
        <is>
          <t>(18)M/Grey</t>
        </is>
      </c>
      <c r="L642" s="16" t="inlineStr">
        <is>
          <t>营业中</t>
        </is>
      </c>
      <c r="M642" s="16" t="inlineStr">
        <is>
          <t>EEMTG12E0118170</t>
        </is>
      </c>
      <c r="N642" s="16">
        <f>LEFT(M642,12)</f>
        <v/>
      </c>
      <c r="O642" s="16" t="inlineStr">
        <is>
          <t>EEMTG12E01, (18)M/Grey, (170)170</t>
        </is>
      </c>
      <c r="P642" s="16" t="n">
        <v>999</v>
      </c>
      <c r="Q642" s="16" t="n">
        <v>899</v>
      </c>
      <c r="R642" s="16" t="n"/>
      <c r="S642" s="16" t="n"/>
      <c r="T642" s="16" t="n">
        <v>3</v>
      </c>
    </row>
    <row r="643" s="103">
      <c r="A643" s="16" t="inlineStr">
        <is>
          <t>B331</t>
        </is>
      </c>
      <c r="B643" s="16" t="inlineStr">
        <is>
          <t>上海区域</t>
        </is>
      </c>
      <c r="C643" s="16" t="inlineStr">
        <is>
          <t>CN0Q</t>
        </is>
      </c>
      <c r="D643" s="16" t="inlineStr">
        <is>
          <t>EE 苏州比斯特购物村</t>
        </is>
      </c>
      <c r="E643" s="16" t="n">
        <v>4</v>
      </c>
      <c r="F643" s="16" t="inlineStr">
        <is>
          <t>奥特莱斯</t>
        </is>
      </c>
      <c r="G643" s="16" t="inlineStr">
        <is>
          <t>EEMTG23Q1G</t>
        </is>
      </c>
      <c r="H643" s="16" t="n">
        <v>799</v>
      </c>
      <c r="I643" s="16" t="n">
        <v>799</v>
      </c>
      <c r="J643" s="17" t="n">
        <v>46059</v>
      </c>
      <c r="K643" s="16" t="inlineStr">
        <is>
          <t>(35)Beige</t>
        </is>
      </c>
      <c r="L643" s="16" t="inlineStr">
        <is>
          <t>营业中</t>
        </is>
      </c>
      <c r="M643" s="16" t="inlineStr">
        <is>
          <t>EEMTG23Q1G35175</t>
        </is>
      </c>
      <c r="N643" s="16">
        <f>LEFT(M643,12)</f>
        <v/>
      </c>
      <c r="O643" s="16" t="inlineStr">
        <is>
          <t>EEMTG23Q1G, (35)Beige, (175)175</t>
        </is>
      </c>
      <c r="P643" s="16" t="n">
        <v>799</v>
      </c>
      <c r="Q643" s="16" t="n">
        <v>799</v>
      </c>
      <c r="R643" s="16" t="n"/>
      <c r="S643" s="16" t="n"/>
      <c r="T643" s="16" t="n">
        <v>2</v>
      </c>
    </row>
    <row r="644" s="103">
      <c r="A644" s="16" t="inlineStr">
        <is>
          <t>B331</t>
        </is>
      </c>
      <c r="B644" s="16" t="inlineStr">
        <is>
          <t>上海区域</t>
        </is>
      </c>
      <c r="C644" s="16" t="inlineStr">
        <is>
          <t>CN0Q</t>
        </is>
      </c>
      <c r="D644" s="16" t="inlineStr">
        <is>
          <t>EE 苏州比斯特购物村</t>
        </is>
      </c>
      <c r="E644" s="16" t="n">
        <v>4</v>
      </c>
      <c r="F644" s="16" t="inlineStr">
        <is>
          <t>奥特莱斯</t>
        </is>
      </c>
      <c r="G644" s="16" t="inlineStr">
        <is>
          <t>EEMTG23Q1G</t>
        </is>
      </c>
      <c r="H644" s="16" t="n">
        <v>799</v>
      </c>
      <c r="I644" s="16" t="n">
        <v>799</v>
      </c>
      <c r="J644" s="17" t="n">
        <v>46059</v>
      </c>
      <c r="K644" s="16" t="inlineStr">
        <is>
          <t>(35)Beige</t>
        </is>
      </c>
      <c r="L644" s="16" t="inlineStr">
        <is>
          <t>营业中</t>
        </is>
      </c>
      <c r="M644" s="16" t="inlineStr">
        <is>
          <t>EEMTG23Q1G35180</t>
        </is>
      </c>
      <c r="N644" s="16">
        <f>LEFT(M644,12)</f>
        <v/>
      </c>
      <c r="O644" s="16" t="inlineStr">
        <is>
          <t>EEMTG23Q1G, (35)Beige, (180)180</t>
        </is>
      </c>
      <c r="P644" s="16" t="n">
        <v>799</v>
      </c>
      <c r="Q644" s="16" t="n">
        <v>799</v>
      </c>
      <c r="R644" s="16" t="n"/>
      <c r="S644" s="16" t="n"/>
      <c r="T644" s="16" t="n">
        <v>1</v>
      </c>
    </row>
    <row r="645" s="103">
      <c r="A645" s="16" t="inlineStr">
        <is>
          <t>B331</t>
        </is>
      </c>
      <c r="B645" s="16" t="inlineStr">
        <is>
          <t>上海区域</t>
        </is>
      </c>
      <c r="C645" s="16" t="inlineStr">
        <is>
          <t>CN0Q</t>
        </is>
      </c>
      <c r="D645" s="16" t="inlineStr">
        <is>
          <t>EE 苏州比斯特购物村</t>
        </is>
      </c>
      <c r="E645" s="16" t="n">
        <v>4</v>
      </c>
      <c r="F645" s="16" t="inlineStr">
        <is>
          <t>奥特莱斯</t>
        </is>
      </c>
      <c r="G645" s="16" t="inlineStr">
        <is>
          <t>EEMTG23Q1G</t>
        </is>
      </c>
      <c r="H645" s="16" t="n">
        <v>799</v>
      </c>
      <c r="I645" s="16" t="n">
        <v>799</v>
      </c>
      <c r="J645" s="17" t="n">
        <v>46059</v>
      </c>
      <c r="K645" s="16" t="inlineStr">
        <is>
          <t>(50)Blue</t>
        </is>
      </c>
      <c r="L645" s="16" t="inlineStr">
        <is>
          <t>营业中</t>
        </is>
      </c>
      <c r="M645" s="16" t="inlineStr">
        <is>
          <t>EEMTG23Q1G50175</t>
        </is>
      </c>
      <c r="N645" s="16">
        <f>LEFT(M645,12)</f>
        <v/>
      </c>
      <c r="O645" s="16" t="inlineStr">
        <is>
          <t>EEMTG23Q1G, (50)Blue, (175)175</t>
        </is>
      </c>
      <c r="P645" s="16" t="n">
        <v>799</v>
      </c>
      <c r="Q645" s="16" t="n">
        <v>799</v>
      </c>
      <c r="R645" s="16" t="n"/>
      <c r="S645" s="16" t="n"/>
      <c r="T645" s="16" t="n">
        <v>2</v>
      </c>
    </row>
    <row r="646" s="103">
      <c r="A646" s="16" t="inlineStr">
        <is>
          <t>B331</t>
        </is>
      </c>
      <c r="B646" s="16" t="inlineStr">
        <is>
          <t>上海区域</t>
        </is>
      </c>
      <c r="C646" s="16" t="inlineStr">
        <is>
          <t>CN0Q</t>
        </is>
      </c>
      <c r="D646" s="16" t="inlineStr">
        <is>
          <t>EE 苏州比斯特购物村</t>
        </is>
      </c>
      <c r="E646" s="16" t="n">
        <v>4</v>
      </c>
      <c r="F646" s="16" t="inlineStr">
        <is>
          <t>奥特莱斯</t>
        </is>
      </c>
      <c r="G646" s="16" t="inlineStr">
        <is>
          <t>EEMTG23Q1G</t>
        </is>
      </c>
      <c r="H646" s="16" t="n">
        <v>799</v>
      </c>
      <c r="I646" s="16" t="n">
        <v>799</v>
      </c>
      <c r="J646" s="17" t="n">
        <v>46059</v>
      </c>
      <c r="K646" s="16" t="inlineStr">
        <is>
          <t>(50)Blue</t>
        </is>
      </c>
      <c r="L646" s="16" t="inlineStr">
        <is>
          <t>营业中</t>
        </is>
      </c>
      <c r="M646" s="16" t="inlineStr">
        <is>
          <t>EEMTG23Q1G50180</t>
        </is>
      </c>
      <c r="N646" s="16">
        <f>LEFT(M646,12)</f>
        <v/>
      </c>
      <c r="O646" s="16" t="inlineStr">
        <is>
          <t>EEMTG23Q1G, (50)Blue, (180)180</t>
        </is>
      </c>
      <c r="P646" s="16" t="n">
        <v>799</v>
      </c>
      <c r="Q646" s="16" t="n">
        <v>799</v>
      </c>
      <c r="R646" s="16" t="n"/>
      <c r="S646" s="16" t="n"/>
      <c r="T646" s="16" t="n">
        <v>1</v>
      </c>
    </row>
    <row r="647" s="103">
      <c r="A647" s="16" t="inlineStr">
        <is>
          <t>B331</t>
        </is>
      </c>
      <c r="B647" s="16" t="inlineStr">
        <is>
          <t>上海区域</t>
        </is>
      </c>
      <c r="C647" s="16" t="inlineStr">
        <is>
          <t>CN0Q</t>
        </is>
      </c>
      <c r="D647" s="16" t="inlineStr">
        <is>
          <t>EE 苏州比斯特购物村</t>
        </is>
      </c>
      <c r="E647" s="16" t="n">
        <v>4</v>
      </c>
      <c r="F647" s="16" t="inlineStr">
        <is>
          <t>奥特莱斯</t>
        </is>
      </c>
      <c r="G647" s="16" t="inlineStr">
        <is>
          <t>EEOJG23B01</t>
        </is>
      </c>
      <c r="H647" s="16" t="n">
        <v>1299</v>
      </c>
      <c r="I647" s="16" t="n">
        <v>1299</v>
      </c>
      <c r="J647" s="17" t="inlineStr">
        <is>
          <t>########</t>
        </is>
      </c>
      <c r="K647" s="16" t="inlineStr">
        <is>
          <t>(56)L/Indigo</t>
        </is>
      </c>
      <c r="L647" s="16" t="inlineStr">
        <is>
          <t>营业中</t>
        </is>
      </c>
      <c r="M647" s="16" t="inlineStr">
        <is>
          <t>EEOJG23B0156160</t>
        </is>
      </c>
      <c r="N647" s="16">
        <f>LEFT(M647,12)</f>
        <v/>
      </c>
      <c r="O647" s="16" t="inlineStr">
        <is>
          <t>EEOJG23B01, (56)L/Indigo, (160)160</t>
        </is>
      </c>
      <c r="P647" s="16" t="n">
        <v>1299</v>
      </c>
      <c r="Q647" s="16" t="n">
        <v>1299</v>
      </c>
      <c r="R647" s="16" t="n"/>
      <c r="S647" s="16" t="n"/>
      <c r="T647" s="16" t="n">
        <v>2</v>
      </c>
    </row>
    <row r="648" s="103">
      <c r="A648" s="16" t="inlineStr">
        <is>
          <t>B331</t>
        </is>
      </c>
      <c r="B648" s="16" t="inlineStr">
        <is>
          <t>上海区域</t>
        </is>
      </c>
      <c r="C648" s="16" t="inlineStr">
        <is>
          <t>CN0Q</t>
        </is>
      </c>
      <c r="D648" s="16" t="inlineStr">
        <is>
          <t>EE 苏州比斯特购物村</t>
        </is>
      </c>
      <c r="E648" s="16" t="n">
        <v>4</v>
      </c>
      <c r="F648" s="16" t="inlineStr">
        <is>
          <t>奥特莱斯</t>
        </is>
      </c>
      <c r="G648" s="16" t="inlineStr">
        <is>
          <t>EEOJG23B01</t>
        </is>
      </c>
      <c r="H648" s="16" t="n">
        <v>1299</v>
      </c>
      <c r="I648" s="16" t="n">
        <v>1299</v>
      </c>
      <c r="J648" s="17" t="inlineStr">
        <is>
          <t>########</t>
        </is>
      </c>
      <c r="K648" s="16" t="inlineStr">
        <is>
          <t>(56)L/Indigo</t>
        </is>
      </c>
      <c r="L648" s="16" t="inlineStr">
        <is>
          <t>营业中</t>
        </is>
      </c>
      <c r="M648" s="16" t="inlineStr">
        <is>
          <t>EEOJG23B0156165</t>
        </is>
      </c>
      <c r="N648" s="16">
        <f>LEFT(M648,12)</f>
        <v/>
      </c>
      <c r="O648" s="16" t="inlineStr">
        <is>
          <t>EEOJG23B01, (56)L/Indigo, (165)165</t>
        </is>
      </c>
      <c r="P648" s="16" t="n">
        <v>1299</v>
      </c>
      <c r="Q648" s="16" t="n">
        <v>1299</v>
      </c>
      <c r="R648" s="16" t="n">
        <v>2</v>
      </c>
      <c r="S648" s="18" t="n">
        <v>1757</v>
      </c>
      <c r="T648" s="16" t="n">
        <v>2</v>
      </c>
    </row>
    <row r="649" s="103">
      <c r="A649" s="16" t="inlineStr">
        <is>
          <t>B331</t>
        </is>
      </c>
      <c r="B649" s="16" t="inlineStr">
        <is>
          <t>上海区域</t>
        </is>
      </c>
      <c r="C649" s="16" t="inlineStr">
        <is>
          <t>CN0Q</t>
        </is>
      </c>
      <c r="D649" s="16" t="inlineStr">
        <is>
          <t>EE 苏州比斯特购物村</t>
        </is>
      </c>
      <c r="E649" s="16" t="n">
        <v>4</v>
      </c>
      <c r="F649" s="16" t="inlineStr">
        <is>
          <t>奥特莱斯</t>
        </is>
      </c>
      <c r="G649" s="16" t="inlineStr">
        <is>
          <t>EEOJG23B01</t>
        </is>
      </c>
      <c r="H649" s="16" t="n">
        <v>1299</v>
      </c>
      <c r="I649" s="16" t="n">
        <v>1299</v>
      </c>
      <c r="J649" s="17" t="inlineStr">
        <is>
          <t>########</t>
        </is>
      </c>
      <c r="K649" s="16" t="inlineStr">
        <is>
          <t>(56)L/Indigo</t>
        </is>
      </c>
      <c r="L649" s="16" t="inlineStr">
        <is>
          <t>营业中</t>
        </is>
      </c>
      <c r="M649" s="16" t="inlineStr">
        <is>
          <t>EEOJG23B0156170</t>
        </is>
      </c>
      <c r="N649" s="16">
        <f>LEFT(M649,12)</f>
        <v/>
      </c>
      <c r="O649" s="16" t="inlineStr">
        <is>
          <t>EEOJG23B01, (56)L/Indigo, (170)170</t>
        </is>
      </c>
      <c r="P649" s="16" t="n">
        <v>1299</v>
      </c>
      <c r="Q649" s="16" t="n">
        <v>1299</v>
      </c>
      <c r="R649" s="16" t="n">
        <v>1</v>
      </c>
      <c r="S649" s="16" t="n"/>
      <c r="T649" s="16" t="n">
        <v>2</v>
      </c>
    </row>
    <row r="650" s="103">
      <c r="A650" s="16" t="inlineStr">
        <is>
          <t>B331</t>
        </is>
      </c>
      <c r="B650" s="16" t="inlineStr">
        <is>
          <t>上海区域</t>
        </is>
      </c>
      <c r="C650" s="16" t="inlineStr">
        <is>
          <t>CN0Q</t>
        </is>
      </c>
      <c r="D650" s="16" t="inlineStr">
        <is>
          <t>EE 苏州比斯特购物村</t>
        </is>
      </c>
      <c r="E650" s="16" t="n">
        <v>4</v>
      </c>
      <c r="F650" s="16" t="inlineStr">
        <is>
          <t>奥特莱斯</t>
        </is>
      </c>
      <c r="G650" s="16" t="inlineStr">
        <is>
          <t>EEOJG23B02</t>
        </is>
      </c>
      <c r="H650" s="16" t="n">
        <v>1299</v>
      </c>
      <c r="I650" s="16" t="n">
        <v>1299</v>
      </c>
      <c r="J650" s="17" t="inlineStr">
        <is>
          <t>########</t>
        </is>
      </c>
      <c r="K650" s="16" t="inlineStr">
        <is>
          <t>(57)D/Indigo</t>
        </is>
      </c>
      <c r="L650" s="16" t="inlineStr">
        <is>
          <t>营业中</t>
        </is>
      </c>
      <c r="M650" s="16" t="inlineStr">
        <is>
          <t>EEOJG23B0257160</t>
        </is>
      </c>
      <c r="N650" s="16">
        <f>LEFT(M650,12)</f>
        <v/>
      </c>
      <c r="O650" s="16" t="inlineStr">
        <is>
          <t>EEOJG23B02, (57)D/Indigo, (160)160</t>
        </is>
      </c>
      <c r="P650" s="16" t="n">
        <v>1299</v>
      </c>
      <c r="Q650" s="16" t="n">
        <v>1299</v>
      </c>
      <c r="R650" s="16" t="n"/>
      <c r="S650" s="16" t="n"/>
      <c r="T650" s="16" t="n">
        <v>2</v>
      </c>
    </row>
    <row r="651" s="103">
      <c r="A651" s="16" t="inlineStr">
        <is>
          <t>B331</t>
        </is>
      </c>
      <c r="B651" s="16" t="inlineStr">
        <is>
          <t>上海区域</t>
        </is>
      </c>
      <c r="C651" s="16" t="inlineStr">
        <is>
          <t>CN0Q</t>
        </is>
      </c>
      <c r="D651" s="16" t="inlineStr">
        <is>
          <t>EE 苏州比斯特购物村</t>
        </is>
      </c>
      <c r="E651" s="16" t="n">
        <v>4</v>
      </c>
      <c r="F651" s="16" t="inlineStr">
        <is>
          <t>奥特莱斯</t>
        </is>
      </c>
      <c r="G651" s="16" t="inlineStr">
        <is>
          <t>EEOJG23B02</t>
        </is>
      </c>
      <c r="H651" s="16" t="n">
        <v>1299</v>
      </c>
      <c r="I651" s="16" t="n">
        <v>1299</v>
      </c>
      <c r="J651" s="17" t="inlineStr">
        <is>
          <t>########</t>
        </is>
      </c>
      <c r="K651" s="16" t="inlineStr">
        <is>
          <t>(57)D/Indigo</t>
        </is>
      </c>
      <c r="L651" s="16" t="inlineStr">
        <is>
          <t>营业中</t>
        </is>
      </c>
      <c r="M651" s="16" t="inlineStr">
        <is>
          <t>EEOJG23B0257165</t>
        </is>
      </c>
      <c r="N651" s="16">
        <f>LEFT(M651,12)</f>
        <v/>
      </c>
      <c r="O651" s="16" t="inlineStr">
        <is>
          <t>EEOJG23B02, (57)D/Indigo, (165)165</t>
        </is>
      </c>
      <c r="P651" s="16" t="n">
        <v>1299</v>
      </c>
      <c r="Q651" s="16" t="n">
        <v>1299</v>
      </c>
      <c r="R651" s="16" t="n"/>
      <c r="S651" s="16" t="n"/>
      <c r="T651" s="16" t="n">
        <v>2</v>
      </c>
    </row>
    <row r="652" s="103">
      <c r="A652" s="16" t="inlineStr">
        <is>
          <t>B331</t>
        </is>
      </c>
      <c r="B652" s="16" t="inlineStr">
        <is>
          <t>上海区域</t>
        </is>
      </c>
      <c r="C652" s="16" t="inlineStr">
        <is>
          <t>CN0Q</t>
        </is>
      </c>
      <c r="D652" s="16" t="inlineStr">
        <is>
          <t>EE 苏州比斯特购物村</t>
        </is>
      </c>
      <c r="E652" s="16" t="n">
        <v>4</v>
      </c>
      <c r="F652" s="16" t="inlineStr">
        <is>
          <t>奥特莱斯</t>
        </is>
      </c>
      <c r="G652" s="16" t="inlineStr">
        <is>
          <t>EEOJG23B02</t>
        </is>
      </c>
      <c r="H652" s="16" t="n">
        <v>1299</v>
      </c>
      <c r="I652" s="16" t="n">
        <v>1299</v>
      </c>
      <c r="J652" s="17" t="inlineStr">
        <is>
          <t>########</t>
        </is>
      </c>
      <c r="K652" s="16" t="inlineStr">
        <is>
          <t>(57)D/Indigo</t>
        </is>
      </c>
      <c r="L652" s="16" t="inlineStr">
        <is>
          <t>营业中</t>
        </is>
      </c>
      <c r="M652" s="16" t="inlineStr">
        <is>
          <t>EEOJG23B0257170</t>
        </is>
      </c>
      <c r="N652" s="16">
        <f>LEFT(M652,12)</f>
        <v/>
      </c>
      <c r="O652" s="16" t="inlineStr">
        <is>
          <t>EEOJG23B02, (57)D/Indigo, (170)170</t>
        </is>
      </c>
      <c r="P652" s="16" t="n">
        <v>1299</v>
      </c>
      <c r="Q652" s="16" t="n">
        <v>1299</v>
      </c>
      <c r="R652" s="16" t="n"/>
      <c r="S652" s="16" t="n"/>
      <c r="T652" s="16" t="n">
        <v>2</v>
      </c>
    </row>
    <row r="653" s="103">
      <c r="A653" s="16" t="inlineStr">
        <is>
          <t>B331</t>
        </is>
      </c>
      <c r="B653" s="16" t="inlineStr">
        <is>
          <t>上海区域</t>
        </is>
      </c>
      <c r="C653" s="16" t="inlineStr">
        <is>
          <t>CN0Q</t>
        </is>
      </c>
      <c r="D653" s="16" t="inlineStr">
        <is>
          <t>EE 苏州比斯特购物村</t>
        </is>
      </c>
      <c r="E653" s="16" t="n">
        <v>4</v>
      </c>
      <c r="F653" s="16" t="inlineStr">
        <is>
          <t>奥特莱斯</t>
        </is>
      </c>
      <c r="G653" s="16" t="inlineStr">
        <is>
          <t>EEOJG24B03</t>
        </is>
      </c>
      <c r="H653" s="16" t="n">
        <v>999</v>
      </c>
      <c r="I653" s="16" t="n">
        <v>999</v>
      </c>
      <c r="J653" s="17" t="inlineStr">
        <is>
          <t>########</t>
        </is>
      </c>
      <c r="K653" s="16" t="inlineStr">
        <is>
          <t>(56)L/Indigo</t>
        </is>
      </c>
      <c r="L653" s="16" t="inlineStr">
        <is>
          <t>营业中</t>
        </is>
      </c>
      <c r="M653" s="16" t="inlineStr">
        <is>
          <t>EEOJG24B0356160</t>
        </is>
      </c>
      <c r="N653" s="16">
        <f>LEFT(M653,12)</f>
        <v/>
      </c>
      <c r="O653" s="16" t="inlineStr">
        <is>
          <t>EEOJG24B03, (56)L/Indigo, (160)160</t>
        </is>
      </c>
      <c r="P653" s="16" t="n">
        <v>999</v>
      </c>
      <c r="Q653" s="16" t="n">
        <v>999</v>
      </c>
      <c r="R653" s="16" t="n">
        <v>1</v>
      </c>
      <c r="S653" s="16" t="n">
        <v>640</v>
      </c>
      <c r="T653" s="16" t="n">
        <v>0</v>
      </c>
    </row>
    <row r="654" s="103">
      <c r="A654" s="16" t="inlineStr">
        <is>
          <t>B331</t>
        </is>
      </c>
      <c r="B654" s="16" t="inlineStr">
        <is>
          <t>上海区域</t>
        </is>
      </c>
      <c r="C654" s="16" t="inlineStr">
        <is>
          <t>CN0Q</t>
        </is>
      </c>
      <c r="D654" s="16" t="inlineStr">
        <is>
          <t>EE 苏州比斯特购物村</t>
        </is>
      </c>
      <c r="E654" s="16" t="n">
        <v>4</v>
      </c>
      <c r="F654" s="16" t="inlineStr">
        <is>
          <t>奥特莱斯</t>
        </is>
      </c>
      <c r="G654" s="16" t="inlineStr">
        <is>
          <t>EEOJG24B03</t>
        </is>
      </c>
      <c r="H654" s="16" t="n">
        <v>999</v>
      </c>
      <c r="I654" s="16" t="n">
        <v>999</v>
      </c>
      <c r="J654" s="17" t="inlineStr">
        <is>
          <t>########</t>
        </is>
      </c>
      <c r="K654" s="16" t="inlineStr">
        <is>
          <t>(56)L/Indigo</t>
        </is>
      </c>
      <c r="L654" s="16" t="inlineStr">
        <is>
          <t>营业中</t>
        </is>
      </c>
      <c r="M654" s="16" t="inlineStr">
        <is>
          <t>EEOJG24B0356165</t>
        </is>
      </c>
      <c r="N654" s="16">
        <f>LEFT(M654,12)</f>
        <v/>
      </c>
      <c r="O654" s="16" t="inlineStr">
        <is>
          <t>EEOJG24B03, (56)L/Indigo, (165)165</t>
        </is>
      </c>
      <c r="P654" s="16" t="n">
        <v>999</v>
      </c>
      <c r="Q654" s="16" t="n">
        <v>999</v>
      </c>
      <c r="R654" s="16" t="n">
        <v>3</v>
      </c>
      <c r="S654" s="18" t="n">
        <v>1999</v>
      </c>
      <c r="T654" s="16" t="n">
        <v>0</v>
      </c>
    </row>
    <row r="655" s="103">
      <c r="A655" s="16" t="inlineStr">
        <is>
          <t>B331</t>
        </is>
      </c>
      <c r="B655" s="16" t="inlineStr">
        <is>
          <t>上海区域</t>
        </is>
      </c>
      <c r="C655" s="16" t="inlineStr">
        <is>
          <t>CN0Q</t>
        </is>
      </c>
      <c r="D655" s="16" t="inlineStr">
        <is>
          <t>EE 苏州比斯特购物村</t>
        </is>
      </c>
      <c r="E655" s="16" t="n">
        <v>4</v>
      </c>
      <c r="F655" s="16" t="inlineStr">
        <is>
          <t>奥特莱斯</t>
        </is>
      </c>
      <c r="G655" s="16" t="inlineStr">
        <is>
          <t>EEOJG24B03</t>
        </is>
      </c>
      <c r="H655" s="16" t="n">
        <v>999</v>
      </c>
      <c r="I655" s="16" t="n">
        <v>999</v>
      </c>
      <c r="J655" s="17" t="inlineStr">
        <is>
          <t>########</t>
        </is>
      </c>
      <c r="K655" s="16" t="inlineStr">
        <is>
          <t>(56)L/Indigo</t>
        </is>
      </c>
      <c r="L655" s="16" t="inlineStr">
        <is>
          <t>营业中</t>
        </is>
      </c>
      <c r="M655" s="16" t="inlineStr">
        <is>
          <t>EEOJG24B0356170</t>
        </is>
      </c>
      <c r="N655" s="16">
        <f>LEFT(M655,12)</f>
        <v/>
      </c>
      <c r="O655" s="16" t="inlineStr">
        <is>
          <t>EEOJG24B03, (56)L/Indigo, (170)170</t>
        </is>
      </c>
      <c r="P655" s="16" t="n">
        <v>999</v>
      </c>
      <c r="Q655" s="16" t="n">
        <v>999</v>
      </c>
      <c r="R655" s="16" t="n">
        <v>1</v>
      </c>
      <c r="S655" s="16" t="n">
        <v>637</v>
      </c>
      <c r="T655" s="16" t="n">
        <v>0</v>
      </c>
    </row>
    <row r="656" s="103">
      <c r="A656" s="16" t="inlineStr">
        <is>
          <t>B331</t>
        </is>
      </c>
      <c r="B656" s="16" t="inlineStr">
        <is>
          <t>上海区域</t>
        </is>
      </c>
      <c r="C656" s="16" t="inlineStr">
        <is>
          <t>CN0Q</t>
        </is>
      </c>
      <c r="D656" s="16" t="inlineStr">
        <is>
          <t>EE 苏州比斯特购物村</t>
        </is>
      </c>
      <c r="E656" s="16" t="n">
        <v>4</v>
      </c>
      <c r="F656" s="16" t="inlineStr">
        <is>
          <t>奥特莱斯</t>
        </is>
      </c>
      <c r="G656" s="16" t="inlineStr">
        <is>
          <t>EEOJG24E01</t>
        </is>
      </c>
      <c r="H656" s="16" t="n">
        <v>1299</v>
      </c>
      <c r="I656" s="16" t="n">
        <v>1599</v>
      </c>
      <c r="J656" s="17" t="inlineStr">
        <is>
          <t>########</t>
        </is>
      </c>
      <c r="K656" s="16" t="inlineStr">
        <is>
          <t>(01)M/Indigo</t>
        </is>
      </c>
      <c r="L656" s="16" t="inlineStr">
        <is>
          <t>营业中</t>
        </is>
      </c>
      <c r="M656" s="16" t="inlineStr">
        <is>
          <t>EEOJG24E0101160</t>
        </is>
      </c>
      <c r="N656" s="16">
        <f>LEFT(M656,12)</f>
        <v/>
      </c>
      <c r="O656" s="16" t="inlineStr">
        <is>
          <t>EEOJG24E01, (01)M/Indigo, (160)160</t>
        </is>
      </c>
      <c r="P656" s="16" t="n">
        <v>1299</v>
      </c>
      <c r="Q656" s="16" t="n">
        <v>1599</v>
      </c>
      <c r="R656" s="16" t="n">
        <v>2</v>
      </c>
      <c r="S656" s="16" t="n">
        <v>-171</v>
      </c>
      <c r="T656" s="16" t="n">
        <v>2</v>
      </c>
    </row>
    <row r="657" s="103">
      <c r="A657" s="16" t="inlineStr">
        <is>
          <t>B331</t>
        </is>
      </c>
      <c r="B657" s="16" t="inlineStr">
        <is>
          <t>上海区域</t>
        </is>
      </c>
      <c r="C657" s="16" t="inlineStr">
        <is>
          <t>CN0Q</t>
        </is>
      </c>
      <c r="D657" s="16" t="inlineStr">
        <is>
          <t>EE 苏州比斯特购物村</t>
        </is>
      </c>
      <c r="E657" s="16" t="n">
        <v>4</v>
      </c>
      <c r="F657" s="16" t="inlineStr">
        <is>
          <t>奥特莱斯</t>
        </is>
      </c>
      <c r="G657" s="16" t="inlineStr">
        <is>
          <t>EEOJG24E01</t>
        </is>
      </c>
      <c r="H657" s="16" t="n">
        <v>1299</v>
      </c>
      <c r="I657" s="16" t="n">
        <v>1599</v>
      </c>
      <c r="J657" s="17" t="inlineStr">
        <is>
          <t>########</t>
        </is>
      </c>
      <c r="K657" s="16" t="inlineStr">
        <is>
          <t>(01)M/Indigo</t>
        </is>
      </c>
      <c r="L657" s="16" t="inlineStr">
        <is>
          <t>营业中</t>
        </is>
      </c>
      <c r="M657" s="16" t="inlineStr">
        <is>
          <t>EEOJG24E0101165</t>
        </is>
      </c>
      <c r="N657" s="16">
        <f>LEFT(M657,12)</f>
        <v/>
      </c>
      <c r="O657" s="16" t="inlineStr">
        <is>
          <t>EEOJG24E01, (01)M/Indigo, (165)165</t>
        </is>
      </c>
      <c r="P657" s="16" t="n">
        <v>1299</v>
      </c>
      <c r="Q657" s="16" t="n">
        <v>1599</v>
      </c>
      <c r="R657" s="16" t="n">
        <v>7</v>
      </c>
      <c r="S657" s="18" t="n">
        <v>5086</v>
      </c>
      <c r="T657" s="16" t="n">
        <v>5</v>
      </c>
    </row>
    <row r="658" s="103">
      <c r="A658" s="16" t="inlineStr">
        <is>
          <t>B331</t>
        </is>
      </c>
      <c r="B658" s="16" t="inlineStr">
        <is>
          <t>上海区域</t>
        </is>
      </c>
      <c r="C658" s="16" t="inlineStr">
        <is>
          <t>CN0Q</t>
        </is>
      </c>
      <c r="D658" s="16" t="inlineStr">
        <is>
          <t>EE 苏州比斯特购物村</t>
        </is>
      </c>
      <c r="E658" s="16" t="n">
        <v>4</v>
      </c>
      <c r="F658" s="16" t="inlineStr">
        <is>
          <t>奥特莱斯</t>
        </is>
      </c>
      <c r="G658" s="16" t="inlineStr">
        <is>
          <t>EEOJG24E01</t>
        </is>
      </c>
      <c r="H658" s="16" t="n">
        <v>1299</v>
      </c>
      <c r="I658" s="16" t="n">
        <v>1599</v>
      </c>
      <c r="J658" s="17" t="inlineStr">
        <is>
          <t>########</t>
        </is>
      </c>
      <c r="K658" s="16" t="inlineStr">
        <is>
          <t>(01)M/Indigo</t>
        </is>
      </c>
      <c r="L658" s="16" t="inlineStr">
        <is>
          <t>营业中</t>
        </is>
      </c>
      <c r="M658" s="16" t="inlineStr">
        <is>
          <t>EEOJG24E0101170</t>
        </is>
      </c>
      <c r="N658" s="16">
        <f>LEFT(M658,12)</f>
        <v/>
      </c>
      <c r="O658" s="16" t="inlineStr">
        <is>
          <t>EEOJG24E01, (01)M/Indigo, (170)170</t>
        </is>
      </c>
      <c r="P658" s="16" t="n">
        <v>1299</v>
      </c>
      <c r="Q658" s="16" t="n">
        <v>1599</v>
      </c>
      <c r="R658" s="16" t="n"/>
      <c r="S658" s="16" t="n"/>
      <c r="T658" s="16" t="n">
        <v>3</v>
      </c>
    </row>
    <row r="659" s="103">
      <c r="A659" s="16" t="inlineStr">
        <is>
          <t>B331</t>
        </is>
      </c>
      <c r="B659" s="16" t="inlineStr">
        <is>
          <t>上海区域</t>
        </is>
      </c>
      <c r="C659" s="16" t="inlineStr">
        <is>
          <t>CN0Q</t>
        </is>
      </c>
      <c r="D659" s="16" t="inlineStr">
        <is>
          <t>EE 苏州比斯特购物村</t>
        </is>
      </c>
      <c r="E659" s="16" t="n">
        <v>4</v>
      </c>
      <c r="F659" s="16" t="inlineStr">
        <is>
          <t>奥特莱斯</t>
        </is>
      </c>
      <c r="G659" s="16" t="inlineStr">
        <is>
          <t>EEOJG24E01</t>
        </is>
      </c>
      <c r="H659" s="16" t="n">
        <v>1299</v>
      </c>
      <c r="I659" s="16" t="n">
        <v>1599</v>
      </c>
      <c r="J659" s="17" t="inlineStr">
        <is>
          <t>########</t>
        </is>
      </c>
      <c r="K659" s="16" t="inlineStr">
        <is>
          <t>(39)Ivory</t>
        </is>
      </c>
      <c r="L659" s="16" t="inlineStr">
        <is>
          <t>营业中</t>
        </is>
      </c>
      <c r="M659" s="16" t="inlineStr">
        <is>
          <t>EEOJG24E0139160</t>
        </is>
      </c>
      <c r="N659" s="16">
        <f>LEFT(M659,12)</f>
        <v/>
      </c>
      <c r="O659" s="16" t="inlineStr">
        <is>
          <t>EEOJG24E01, (39)Ivory, (160)160</t>
        </is>
      </c>
      <c r="P659" s="16" t="n">
        <v>1299</v>
      </c>
      <c r="Q659" s="16" t="n">
        <v>1599</v>
      </c>
      <c r="R659" s="16" t="n">
        <v>6</v>
      </c>
      <c r="S659" s="18" t="n">
        <v>5690</v>
      </c>
      <c r="T659" s="16" t="n">
        <v>6</v>
      </c>
    </row>
    <row r="660" s="103">
      <c r="A660" s="16" t="inlineStr">
        <is>
          <t>B331</t>
        </is>
      </c>
      <c r="B660" s="16" t="inlineStr">
        <is>
          <t>上海区域</t>
        </is>
      </c>
      <c r="C660" s="16" t="inlineStr">
        <is>
          <t>CN0Q</t>
        </is>
      </c>
      <c r="D660" s="16" t="inlineStr">
        <is>
          <t>EE 苏州比斯特购物村</t>
        </is>
      </c>
      <c r="E660" s="16" t="n">
        <v>4</v>
      </c>
      <c r="F660" s="16" t="inlineStr">
        <is>
          <t>奥特莱斯</t>
        </is>
      </c>
      <c r="G660" s="16" t="inlineStr">
        <is>
          <t>EEOJG24E01</t>
        </is>
      </c>
      <c r="H660" s="16" t="n">
        <v>1299</v>
      </c>
      <c r="I660" s="16" t="n">
        <v>1599</v>
      </c>
      <c r="J660" s="17" t="inlineStr">
        <is>
          <t>########</t>
        </is>
      </c>
      <c r="K660" s="16" t="inlineStr">
        <is>
          <t>(39)Ivory</t>
        </is>
      </c>
      <c r="L660" s="16" t="inlineStr">
        <is>
          <t>营业中</t>
        </is>
      </c>
      <c r="M660" s="16" t="inlineStr">
        <is>
          <t>EEOJG24E0139165</t>
        </is>
      </c>
      <c r="N660" s="16">
        <f>LEFT(M660,12)</f>
        <v/>
      </c>
      <c r="O660" s="16" t="inlineStr">
        <is>
          <t>EEOJG24E01, (39)Ivory, (165)165</t>
        </is>
      </c>
      <c r="P660" s="16" t="n">
        <v>1299</v>
      </c>
      <c r="Q660" s="16" t="n">
        <v>1599</v>
      </c>
      <c r="R660" s="16" t="n">
        <v>8</v>
      </c>
      <c r="S660" s="18" t="n">
        <v>6136</v>
      </c>
      <c r="T660" s="16" t="n">
        <v>6</v>
      </c>
    </row>
    <row r="661" s="103">
      <c r="A661" s="16" t="inlineStr">
        <is>
          <t>B331</t>
        </is>
      </c>
      <c r="B661" s="16" t="inlineStr">
        <is>
          <t>上海区域</t>
        </is>
      </c>
      <c r="C661" s="16" t="inlineStr">
        <is>
          <t>CN0Q</t>
        </is>
      </c>
      <c r="D661" s="16" t="inlineStr">
        <is>
          <t>EE 苏州比斯特购物村</t>
        </is>
      </c>
      <c r="E661" s="16" t="n">
        <v>4</v>
      </c>
      <c r="F661" s="16" t="inlineStr">
        <is>
          <t>奥特莱斯</t>
        </is>
      </c>
      <c r="G661" s="16" t="inlineStr">
        <is>
          <t>EEOJG24E01</t>
        </is>
      </c>
      <c r="H661" s="16" t="n">
        <v>1299</v>
      </c>
      <c r="I661" s="16" t="n">
        <v>1599</v>
      </c>
      <c r="J661" s="17" t="inlineStr">
        <is>
          <t>########</t>
        </is>
      </c>
      <c r="K661" s="16" t="inlineStr">
        <is>
          <t>(39)Ivory</t>
        </is>
      </c>
      <c r="L661" s="16" t="inlineStr">
        <is>
          <t>营业中</t>
        </is>
      </c>
      <c r="M661" s="16" t="inlineStr">
        <is>
          <t>EEOJG24E0139170</t>
        </is>
      </c>
      <c r="N661" s="16">
        <f>LEFT(M661,12)</f>
        <v/>
      </c>
      <c r="O661" s="16" t="inlineStr">
        <is>
          <t>EEOJG24E01, (39)Ivory, (170)170</t>
        </is>
      </c>
      <c r="P661" s="16" t="n">
        <v>1299</v>
      </c>
      <c r="Q661" s="16" t="n">
        <v>1599</v>
      </c>
      <c r="R661" s="16" t="n">
        <v>2</v>
      </c>
      <c r="S661" s="18" t="n">
        <v>1119</v>
      </c>
      <c r="T661" s="16" t="n">
        <v>2</v>
      </c>
    </row>
    <row r="662" s="103">
      <c r="A662" s="16" t="inlineStr">
        <is>
          <t>B331</t>
        </is>
      </c>
      <c r="B662" s="16" t="inlineStr">
        <is>
          <t>上海区域</t>
        </is>
      </c>
      <c r="C662" s="16" t="inlineStr">
        <is>
          <t>CN0Q</t>
        </is>
      </c>
      <c r="D662" s="16" t="inlineStr">
        <is>
          <t>EE 苏州比斯特购物村</t>
        </is>
      </c>
      <c r="E662" s="16" t="n">
        <v>4</v>
      </c>
      <c r="F662" s="16" t="inlineStr">
        <is>
          <t>奥特莱斯</t>
        </is>
      </c>
      <c r="G662" s="16" t="inlineStr">
        <is>
          <t>EEOMG25B01</t>
        </is>
      </c>
      <c r="H662" s="16" t="n">
        <v>799</v>
      </c>
      <c r="I662" s="16" t="n">
        <v>799</v>
      </c>
      <c r="J662" s="17" t="inlineStr">
        <is>
          <t>########</t>
        </is>
      </c>
      <c r="K662" s="16" t="inlineStr">
        <is>
          <t>(19)BLACK</t>
        </is>
      </c>
      <c r="L662" s="16" t="inlineStr">
        <is>
          <t>营业中</t>
        </is>
      </c>
      <c r="M662" s="16" t="inlineStr">
        <is>
          <t>EEOMG25B0119160</t>
        </is>
      </c>
      <c r="N662" s="16">
        <f>LEFT(M662,12)</f>
        <v/>
      </c>
      <c r="O662" s="16" t="inlineStr">
        <is>
          <t>EEOMG25B01, (19)BLACK, (160)160</t>
        </is>
      </c>
      <c r="P662" s="16" t="n">
        <v>799</v>
      </c>
      <c r="Q662" s="16" t="n">
        <v>799</v>
      </c>
      <c r="R662" s="16" t="n">
        <v>1</v>
      </c>
      <c r="S662" s="16" t="n"/>
      <c r="T662" s="16" t="n">
        <v>1</v>
      </c>
    </row>
    <row r="663" s="103">
      <c r="A663" s="16" t="inlineStr">
        <is>
          <t>B331</t>
        </is>
      </c>
      <c r="B663" s="16" t="inlineStr">
        <is>
          <t>上海区域</t>
        </is>
      </c>
      <c r="C663" s="16" t="inlineStr">
        <is>
          <t>CN0Q</t>
        </is>
      </c>
      <c r="D663" s="16" t="inlineStr">
        <is>
          <t>EE 苏州比斯特购物村</t>
        </is>
      </c>
      <c r="E663" s="16" t="n">
        <v>4</v>
      </c>
      <c r="F663" s="16" t="inlineStr">
        <is>
          <t>奥特莱斯</t>
        </is>
      </c>
      <c r="G663" s="16" t="inlineStr">
        <is>
          <t>EEOMG26B01</t>
        </is>
      </c>
      <c r="H663" s="16" t="n">
        <v>999</v>
      </c>
      <c r="I663" s="16" t="n">
        <v>999</v>
      </c>
      <c r="J663" s="17" t="inlineStr">
        <is>
          <t>########</t>
        </is>
      </c>
      <c r="K663" s="16" t="inlineStr">
        <is>
          <t>(64)Cream</t>
        </is>
      </c>
      <c r="L663" s="16" t="inlineStr">
        <is>
          <t>营业中</t>
        </is>
      </c>
      <c r="M663" s="16" t="inlineStr">
        <is>
          <t>EEOMG26B0164160</t>
        </is>
      </c>
      <c r="N663" s="16">
        <f>LEFT(M663,12)</f>
        <v/>
      </c>
      <c r="O663" s="16" t="inlineStr">
        <is>
          <t>EEOMG26B01, (64)Cream, (160)160</t>
        </is>
      </c>
      <c r="P663" s="16" t="n">
        <v>999</v>
      </c>
      <c r="Q663" s="16" t="n">
        <v>999</v>
      </c>
      <c r="R663" s="16" t="n"/>
      <c r="S663" s="16" t="n"/>
      <c r="T663" s="16" t="n">
        <v>2</v>
      </c>
    </row>
    <row r="664" s="103">
      <c r="A664" s="16" t="inlineStr">
        <is>
          <t>B331</t>
        </is>
      </c>
      <c r="B664" s="16" t="inlineStr">
        <is>
          <t>上海区域</t>
        </is>
      </c>
      <c r="C664" s="16" t="inlineStr">
        <is>
          <t>CN0Q</t>
        </is>
      </c>
      <c r="D664" s="16" t="inlineStr">
        <is>
          <t>EE 苏州比斯特购物村</t>
        </is>
      </c>
      <c r="E664" s="16" t="n">
        <v>4</v>
      </c>
      <c r="F664" s="16" t="inlineStr">
        <is>
          <t>奥特莱斯</t>
        </is>
      </c>
      <c r="G664" s="16" t="inlineStr">
        <is>
          <t>EEOMG26B01</t>
        </is>
      </c>
      <c r="H664" s="16" t="n">
        <v>999</v>
      </c>
      <c r="I664" s="16" t="n">
        <v>999</v>
      </c>
      <c r="J664" s="17" t="inlineStr">
        <is>
          <t>########</t>
        </is>
      </c>
      <c r="K664" s="16" t="inlineStr">
        <is>
          <t>(64)Cream</t>
        </is>
      </c>
      <c r="L664" s="16" t="inlineStr">
        <is>
          <t>营业中</t>
        </is>
      </c>
      <c r="M664" s="16" t="inlineStr">
        <is>
          <t>EEOMG26B0164165</t>
        </is>
      </c>
      <c r="N664" s="16">
        <f>LEFT(M664,12)</f>
        <v/>
      </c>
      <c r="O664" s="16" t="inlineStr">
        <is>
          <t>EEOMG26B01, (64)Cream, (165)165</t>
        </is>
      </c>
      <c r="P664" s="16" t="n">
        <v>999</v>
      </c>
      <c r="Q664" s="16" t="n">
        <v>999</v>
      </c>
      <c r="R664" s="16" t="n">
        <v>1</v>
      </c>
      <c r="S664" s="16" t="n">
        <v>637</v>
      </c>
      <c r="T664" s="16" t="n">
        <v>1</v>
      </c>
    </row>
    <row r="665" s="103">
      <c r="A665" s="16" t="inlineStr">
        <is>
          <t>B331</t>
        </is>
      </c>
      <c r="B665" s="16" t="inlineStr">
        <is>
          <t>上海区域</t>
        </is>
      </c>
      <c r="C665" s="16" t="inlineStr">
        <is>
          <t>CN0Q</t>
        </is>
      </c>
      <c r="D665" s="16" t="inlineStr">
        <is>
          <t>EE 苏州比斯特购物村</t>
        </is>
      </c>
      <c r="E665" s="16" t="n">
        <v>4</v>
      </c>
      <c r="F665" s="16" t="inlineStr">
        <is>
          <t>奥特莱斯</t>
        </is>
      </c>
      <c r="G665" s="16" t="inlineStr">
        <is>
          <t>EEOMG26B01</t>
        </is>
      </c>
      <c r="H665" s="16" t="n">
        <v>999</v>
      </c>
      <c r="I665" s="16" t="n">
        <v>999</v>
      </c>
      <c r="J665" s="17" t="inlineStr">
        <is>
          <t>########</t>
        </is>
      </c>
      <c r="K665" s="16" t="inlineStr">
        <is>
          <t>(64)Cream</t>
        </is>
      </c>
      <c r="L665" s="16" t="inlineStr">
        <is>
          <t>营业中</t>
        </is>
      </c>
      <c r="M665" s="16" t="inlineStr">
        <is>
          <t>EEOMG26B0164170</t>
        </is>
      </c>
      <c r="N665" s="16">
        <f>LEFT(M665,12)</f>
        <v/>
      </c>
      <c r="O665" s="16" t="inlineStr">
        <is>
          <t>EEOMG26B01, (64)Cream, (170)170</t>
        </is>
      </c>
      <c r="P665" s="16" t="n">
        <v>999</v>
      </c>
      <c r="Q665" s="16" t="n">
        <v>999</v>
      </c>
      <c r="R665" s="16" t="n">
        <v>1</v>
      </c>
      <c r="S665" s="16" t="n">
        <v>645</v>
      </c>
      <c r="T665" s="16" t="n">
        <v>0</v>
      </c>
    </row>
    <row r="666" s="103">
      <c r="A666" s="16" t="inlineStr">
        <is>
          <t>B331</t>
        </is>
      </c>
      <c r="B666" s="16" t="inlineStr">
        <is>
          <t>上海区域</t>
        </is>
      </c>
      <c r="C666" s="16" t="inlineStr">
        <is>
          <t>CN0Q</t>
        </is>
      </c>
      <c r="D666" s="16" t="inlineStr">
        <is>
          <t>EE 苏州比斯特购物村</t>
        </is>
      </c>
      <c r="E666" s="16" t="n">
        <v>4</v>
      </c>
      <c r="F666" s="16" t="inlineStr">
        <is>
          <t>奥特莱斯</t>
        </is>
      </c>
      <c r="G666" s="16" t="inlineStr">
        <is>
          <t>EEOWG24B01</t>
        </is>
      </c>
      <c r="H666" s="16" t="n">
        <v>1299</v>
      </c>
      <c r="I666" s="16" t="n">
        <v>1299</v>
      </c>
      <c r="J666" s="17" t="inlineStr">
        <is>
          <t>########</t>
        </is>
      </c>
      <c r="K666" s="16" t="inlineStr">
        <is>
          <t>(30)Yellow</t>
        </is>
      </c>
      <c r="L666" s="16" t="inlineStr">
        <is>
          <t>营业中</t>
        </is>
      </c>
      <c r="M666" s="16" t="inlineStr">
        <is>
          <t>EEOWG24B0130160</t>
        </is>
      </c>
      <c r="N666" s="16">
        <f>LEFT(M666,12)</f>
        <v/>
      </c>
      <c r="O666" s="16" t="inlineStr">
        <is>
          <t>EEOWG24B01, (30)Yellow, (160)160</t>
        </is>
      </c>
      <c r="P666" s="16" t="n">
        <v>1299</v>
      </c>
      <c r="Q666" s="16" t="n">
        <v>1299</v>
      </c>
      <c r="R666" s="16" t="n"/>
      <c r="S666" s="16" t="n"/>
      <c r="T666" s="16" t="n">
        <v>4</v>
      </c>
    </row>
    <row r="667" s="103">
      <c r="A667" s="16" t="inlineStr">
        <is>
          <t>B331</t>
        </is>
      </c>
      <c r="B667" s="16" t="inlineStr">
        <is>
          <t>上海区域</t>
        </is>
      </c>
      <c r="C667" s="16" t="inlineStr">
        <is>
          <t>CN0Q</t>
        </is>
      </c>
      <c r="D667" s="16" t="inlineStr">
        <is>
          <t>EE 苏州比斯特购物村</t>
        </is>
      </c>
      <c r="E667" s="16" t="n">
        <v>4</v>
      </c>
      <c r="F667" s="16" t="inlineStr">
        <is>
          <t>奥特莱斯</t>
        </is>
      </c>
      <c r="G667" s="16" t="inlineStr">
        <is>
          <t>EEOWG24B01</t>
        </is>
      </c>
      <c r="H667" s="16" t="n">
        <v>1299</v>
      </c>
      <c r="I667" s="16" t="n">
        <v>1299</v>
      </c>
      <c r="J667" s="17" t="inlineStr">
        <is>
          <t>########</t>
        </is>
      </c>
      <c r="K667" s="16" t="inlineStr">
        <is>
          <t>(30)Yellow</t>
        </is>
      </c>
      <c r="L667" s="16" t="inlineStr">
        <is>
          <t>营业中</t>
        </is>
      </c>
      <c r="M667" s="16" t="inlineStr">
        <is>
          <t>EEOWG24B0130165</t>
        </is>
      </c>
      <c r="N667" s="16">
        <f>LEFT(M667,12)</f>
        <v/>
      </c>
      <c r="O667" s="16" t="inlineStr">
        <is>
          <t>EEOWG24B01, (30)Yellow, (165)165</t>
        </is>
      </c>
      <c r="P667" s="16" t="n">
        <v>1299</v>
      </c>
      <c r="Q667" s="16" t="n">
        <v>1299</v>
      </c>
      <c r="R667" s="16" t="n"/>
      <c r="S667" s="16" t="n"/>
      <c r="T667" s="16" t="n">
        <v>4</v>
      </c>
    </row>
    <row r="668" s="103">
      <c r="A668" s="16" t="inlineStr">
        <is>
          <t>B331</t>
        </is>
      </c>
      <c r="B668" s="16" t="inlineStr">
        <is>
          <t>上海区域</t>
        </is>
      </c>
      <c r="C668" s="16" t="inlineStr">
        <is>
          <t>CN0Q</t>
        </is>
      </c>
      <c r="D668" s="16" t="inlineStr">
        <is>
          <t>EE 苏州比斯特购物村</t>
        </is>
      </c>
      <c r="E668" s="16" t="n">
        <v>4</v>
      </c>
      <c r="F668" s="16" t="inlineStr">
        <is>
          <t>奥特莱斯</t>
        </is>
      </c>
      <c r="G668" s="16" t="inlineStr">
        <is>
          <t>EEOWG24B01</t>
        </is>
      </c>
      <c r="H668" s="16" t="n">
        <v>1299</v>
      </c>
      <c r="I668" s="16" t="n">
        <v>1299</v>
      </c>
      <c r="J668" s="17" t="inlineStr">
        <is>
          <t>########</t>
        </is>
      </c>
      <c r="K668" s="16" t="inlineStr">
        <is>
          <t>(30)Yellow</t>
        </is>
      </c>
      <c r="L668" s="16" t="inlineStr">
        <is>
          <t>营业中</t>
        </is>
      </c>
      <c r="M668" s="16" t="inlineStr">
        <is>
          <t>EEOWG24B0130170</t>
        </is>
      </c>
      <c r="N668" s="16">
        <f>LEFT(M668,12)</f>
        <v/>
      </c>
      <c r="O668" s="16" t="inlineStr">
        <is>
          <t>EEOWG24B01, (30)Yellow, (170)170</t>
        </is>
      </c>
      <c r="P668" s="16" t="n">
        <v>1299</v>
      </c>
      <c r="Q668" s="16" t="n">
        <v>1299</v>
      </c>
      <c r="R668" s="16" t="n"/>
      <c r="S668" s="16" t="n"/>
      <c r="T668" s="16" t="n">
        <v>2</v>
      </c>
    </row>
    <row r="669" s="103">
      <c r="A669" s="16" t="inlineStr">
        <is>
          <t>B331</t>
        </is>
      </c>
      <c r="B669" s="16" t="inlineStr">
        <is>
          <t>上海区域</t>
        </is>
      </c>
      <c r="C669" s="16" t="inlineStr">
        <is>
          <t>CN0Q</t>
        </is>
      </c>
      <c r="D669" s="16" t="inlineStr">
        <is>
          <t>EE 苏州比斯特购物村</t>
        </is>
      </c>
      <c r="E669" s="16" t="n">
        <v>4</v>
      </c>
      <c r="F669" s="16" t="inlineStr">
        <is>
          <t>奥特莱斯</t>
        </is>
      </c>
      <c r="G669" s="16" t="inlineStr">
        <is>
          <t>EEOWG24B02</t>
        </is>
      </c>
      <c r="H669" s="16" t="n">
        <v>1299</v>
      </c>
      <c r="I669" s="16" t="n">
        <v>1299</v>
      </c>
      <c r="J669" s="17" t="inlineStr">
        <is>
          <t>########</t>
        </is>
      </c>
      <c r="K669" s="16" t="inlineStr">
        <is>
          <t>(37)D/Beige</t>
        </is>
      </c>
      <c r="L669" s="16" t="inlineStr">
        <is>
          <t>营业中</t>
        </is>
      </c>
      <c r="M669" s="16" t="inlineStr">
        <is>
          <t>EEOWG24B0237160</t>
        </is>
      </c>
      <c r="N669" s="16">
        <f>LEFT(M669,12)</f>
        <v/>
      </c>
      <c r="O669" s="16" t="inlineStr">
        <is>
          <t>EEOWG24B02, (37)D/Beige, (160)160</t>
        </is>
      </c>
      <c r="P669" s="16" t="n">
        <v>1299</v>
      </c>
      <c r="Q669" s="16" t="n">
        <v>1299</v>
      </c>
      <c r="R669" s="16" t="n"/>
      <c r="S669" s="16" t="n"/>
      <c r="T669" s="16" t="n">
        <v>3</v>
      </c>
    </row>
    <row r="670" s="103">
      <c r="A670" s="16" t="inlineStr">
        <is>
          <t>B331</t>
        </is>
      </c>
      <c r="B670" s="16" t="inlineStr">
        <is>
          <t>上海区域</t>
        </is>
      </c>
      <c r="C670" s="16" t="inlineStr">
        <is>
          <t>CN0Q</t>
        </is>
      </c>
      <c r="D670" s="16" t="inlineStr">
        <is>
          <t>EE 苏州比斯特购物村</t>
        </is>
      </c>
      <c r="E670" s="16" t="n">
        <v>4</v>
      </c>
      <c r="F670" s="16" t="inlineStr">
        <is>
          <t>奥特莱斯</t>
        </is>
      </c>
      <c r="G670" s="16" t="inlineStr">
        <is>
          <t>EEOWG24B02</t>
        </is>
      </c>
      <c r="H670" s="16" t="n">
        <v>1299</v>
      </c>
      <c r="I670" s="16" t="n">
        <v>1299</v>
      </c>
      <c r="J670" s="17" t="inlineStr">
        <is>
          <t>########</t>
        </is>
      </c>
      <c r="K670" s="16" t="inlineStr">
        <is>
          <t>(37)D/Beige</t>
        </is>
      </c>
      <c r="L670" s="16" t="inlineStr">
        <is>
          <t>营业中</t>
        </is>
      </c>
      <c r="M670" s="16" t="inlineStr">
        <is>
          <t>EEOWG24B0237165</t>
        </is>
      </c>
      <c r="N670" s="16">
        <f>LEFT(M670,12)</f>
        <v/>
      </c>
      <c r="O670" s="16" t="inlineStr">
        <is>
          <t>EEOWG24B02, (37)D/Beige, (165)165</t>
        </is>
      </c>
      <c r="P670" s="16" t="n">
        <v>1299</v>
      </c>
      <c r="Q670" s="16" t="n">
        <v>1299</v>
      </c>
      <c r="R670" s="16" t="n"/>
      <c r="S670" s="16" t="n"/>
      <c r="T670" s="16" t="n">
        <v>2</v>
      </c>
    </row>
    <row r="671" s="103">
      <c r="A671" s="16" t="inlineStr">
        <is>
          <t>B331</t>
        </is>
      </c>
      <c r="B671" s="16" t="inlineStr">
        <is>
          <t>上海区域</t>
        </is>
      </c>
      <c r="C671" s="16" t="inlineStr">
        <is>
          <t>CN0Q</t>
        </is>
      </c>
      <c r="D671" s="16" t="inlineStr">
        <is>
          <t>EE 苏州比斯特购物村</t>
        </is>
      </c>
      <c r="E671" s="16" t="n">
        <v>4</v>
      </c>
      <c r="F671" s="16" t="inlineStr">
        <is>
          <t>奥特莱斯</t>
        </is>
      </c>
      <c r="G671" s="16" t="inlineStr">
        <is>
          <t>EEOWG24B02</t>
        </is>
      </c>
      <c r="H671" s="16" t="n">
        <v>1299</v>
      </c>
      <c r="I671" s="16" t="n">
        <v>1299</v>
      </c>
      <c r="J671" s="17" t="inlineStr">
        <is>
          <t>########</t>
        </is>
      </c>
      <c r="K671" s="16" t="inlineStr">
        <is>
          <t>(37)D/Beige</t>
        </is>
      </c>
      <c r="L671" s="16" t="inlineStr">
        <is>
          <t>营业中</t>
        </is>
      </c>
      <c r="M671" s="16" t="inlineStr">
        <is>
          <t>EEOWG24B0237170</t>
        </is>
      </c>
      <c r="N671" s="16">
        <f>LEFT(M671,12)</f>
        <v/>
      </c>
      <c r="O671" s="16" t="inlineStr">
        <is>
          <t>EEOWG24B02, (37)D/Beige, (170)170</t>
        </is>
      </c>
      <c r="P671" s="16" t="n">
        <v>1299</v>
      </c>
      <c r="Q671" s="16" t="n">
        <v>1299</v>
      </c>
      <c r="R671" s="16" t="n">
        <v>1</v>
      </c>
      <c r="S671" s="16" t="n">
        <v>825</v>
      </c>
      <c r="T671" s="16" t="n">
        <v>1</v>
      </c>
    </row>
    <row r="672" s="103">
      <c r="A672" s="16" t="inlineStr">
        <is>
          <t>B331</t>
        </is>
      </c>
      <c r="B672" s="16" t="inlineStr">
        <is>
          <t>上海区域</t>
        </is>
      </c>
      <c r="C672" s="16" t="inlineStr">
        <is>
          <t>CN0Q</t>
        </is>
      </c>
      <c r="D672" s="16" t="inlineStr">
        <is>
          <t>EE 苏州比斯特购物村</t>
        </is>
      </c>
      <c r="E672" s="16" t="n">
        <v>4</v>
      </c>
      <c r="F672" s="16" t="inlineStr">
        <is>
          <t>奥特莱斯</t>
        </is>
      </c>
      <c r="G672" s="16" t="inlineStr">
        <is>
          <t>EEOWG24B02</t>
        </is>
      </c>
      <c r="H672" s="16" t="n">
        <v>1299</v>
      </c>
      <c r="I672" s="16" t="n">
        <v>1299</v>
      </c>
      <c r="J672" s="17" t="inlineStr">
        <is>
          <t>########</t>
        </is>
      </c>
      <c r="K672" s="16" t="inlineStr">
        <is>
          <t>(50)Blue</t>
        </is>
      </c>
      <c r="L672" s="16" t="inlineStr">
        <is>
          <t>营业中</t>
        </is>
      </c>
      <c r="M672" s="16" t="inlineStr">
        <is>
          <t>EEOWG24B0250160</t>
        </is>
      </c>
      <c r="N672" s="16">
        <f>LEFT(M672,12)</f>
        <v/>
      </c>
      <c r="O672" s="16" t="inlineStr">
        <is>
          <t>EEOWG24B02, (50)Blue, (160)160</t>
        </is>
      </c>
      <c r="P672" s="16" t="n">
        <v>1299</v>
      </c>
      <c r="Q672" s="16" t="n">
        <v>1299</v>
      </c>
      <c r="R672" s="16" t="n"/>
      <c r="S672" s="16" t="n"/>
      <c r="T672" s="16" t="n">
        <v>2</v>
      </c>
    </row>
    <row r="673" s="103">
      <c r="A673" s="16" t="inlineStr">
        <is>
          <t>B331</t>
        </is>
      </c>
      <c r="B673" s="16" t="inlineStr">
        <is>
          <t>上海区域</t>
        </is>
      </c>
      <c r="C673" s="16" t="inlineStr">
        <is>
          <t>CN0Q</t>
        </is>
      </c>
      <c r="D673" s="16" t="inlineStr">
        <is>
          <t>EE 苏州比斯特购物村</t>
        </is>
      </c>
      <c r="E673" s="16" t="n">
        <v>4</v>
      </c>
      <c r="F673" s="16" t="inlineStr">
        <is>
          <t>奥特莱斯</t>
        </is>
      </c>
      <c r="G673" s="16" t="inlineStr">
        <is>
          <t>EEOWG24B02</t>
        </is>
      </c>
      <c r="H673" s="16" t="n">
        <v>1299</v>
      </c>
      <c r="I673" s="16" t="n">
        <v>1299</v>
      </c>
      <c r="J673" s="17" t="inlineStr">
        <is>
          <t>########</t>
        </is>
      </c>
      <c r="K673" s="16" t="inlineStr">
        <is>
          <t>(50)Blue</t>
        </is>
      </c>
      <c r="L673" s="16" t="inlineStr">
        <is>
          <t>营业中</t>
        </is>
      </c>
      <c r="M673" s="16" t="inlineStr">
        <is>
          <t>EEOWG24B0250165</t>
        </is>
      </c>
      <c r="N673" s="16">
        <f>LEFT(M673,12)</f>
        <v/>
      </c>
      <c r="O673" s="16" t="inlineStr">
        <is>
          <t>EEOWG24B02, (50)Blue, (165)165</t>
        </is>
      </c>
      <c r="P673" s="16" t="n">
        <v>1299</v>
      </c>
      <c r="Q673" s="16" t="n">
        <v>1299</v>
      </c>
      <c r="R673" s="16" t="n">
        <v>1</v>
      </c>
      <c r="S673" s="16" t="n">
        <v>847</v>
      </c>
      <c r="T673" s="16" t="n">
        <v>1</v>
      </c>
    </row>
    <row r="674" s="103">
      <c r="A674" s="16" t="inlineStr">
        <is>
          <t>B331</t>
        </is>
      </c>
      <c r="B674" s="16" t="inlineStr">
        <is>
          <t>上海区域</t>
        </is>
      </c>
      <c r="C674" s="16" t="inlineStr">
        <is>
          <t>CN0Q</t>
        </is>
      </c>
      <c r="D674" s="16" t="inlineStr">
        <is>
          <t>EE 苏州比斯特购物村</t>
        </is>
      </c>
      <c r="E674" s="16" t="n">
        <v>4</v>
      </c>
      <c r="F674" s="16" t="inlineStr">
        <is>
          <t>奥特莱斯</t>
        </is>
      </c>
      <c r="G674" s="16" t="inlineStr">
        <is>
          <t>EEOWG24B02</t>
        </is>
      </c>
      <c r="H674" s="16" t="n">
        <v>1299</v>
      </c>
      <c r="I674" s="16" t="n">
        <v>1299</v>
      </c>
      <c r="J674" s="17" t="inlineStr">
        <is>
          <t>########</t>
        </is>
      </c>
      <c r="K674" s="16" t="inlineStr">
        <is>
          <t>(50)Blue</t>
        </is>
      </c>
      <c r="L674" s="16" t="inlineStr">
        <is>
          <t>营业中</t>
        </is>
      </c>
      <c r="M674" s="16" t="inlineStr">
        <is>
          <t>EEOWG24B0250170</t>
        </is>
      </c>
      <c r="N674" s="16">
        <f>LEFT(M674,12)</f>
        <v/>
      </c>
      <c r="O674" s="16" t="inlineStr">
        <is>
          <t>EEOWG24B02, (50)Blue, (170)170</t>
        </is>
      </c>
      <c r="P674" s="16" t="n">
        <v>1299</v>
      </c>
      <c r="Q674" s="16" t="n">
        <v>1299</v>
      </c>
      <c r="R674" s="16" t="n">
        <v>1</v>
      </c>
      <c r="S674" s="16" t="n">
        <v>833</v>
      </c>
      <c r="T674" s="16" t="n">
        <v>0</v>
      </c>
    </row>
    <row r="675" s="103">
      <c r="A675" s="16" t="inlineStr">
        <is>
          <t>B331</t>
        </is>
      </c>
      <c r="B675" s="16" t="inlineStr">
        <is>
          <t>上海区域</t>
        </is>
      </c>
      <c r="C675" s="16" t="inlineStr">
        <is>
          <t>CN0Q</t>
        </is>
      </c>
      <c r="D675" s="16" t="inlineStr">
        <is>
          <t>EE 苏州比斯特购物村</t>
        </is>
      </c>
      <c r="E675" s="16" t="n">
        <v>4</v>
      </c>
      <c r="F675" s="16" t="inlineStr">
        <is>
          <t>奥特莱斯</t>
        </is>
      </c>
      <c r="G675" s="16" t="inlineStr">
        <is>
          <t>EEOWG24B03</t>
        </is>
      </c>
      <c r="H675" s="16" t="n">
        <v>999</v>
      </c>
      <c r="I675" s="16" t="n">
        <v>1299</v>
      </c>
      <c r="J675" s="17" t="inlineStr">
        <is>
          <t>########</t>
        </is>
      </c>
      <c r="K675" s="16" t="inlineStr">
        <is>
          <t>(51)L/Blue</t>
        </is>
      </c>
      <c r="L675" s="16" t="inlineStr">
        <is>
          <t>营业中</t>
        </is>
      </c>
      <c r="M675" s="16" t="inlineStr">
        <is>
          <t>EEOWG24B0351160</t>
        </is>
      </c>
      <c r="N675" s="16">
        <f>LEFT(M675,12)</f>
        <v/>
      </c>
      <c r="O675" s="16" t="inlineStr">
        <is>
          <t>EEOWG24B03, (51)L/Blue, (160)160</t>
        </is>
      </c>
      <c r="P675" s="16" t="n">
        <v>999</v>
      </c>
      <c r="Q675" s="16" t="n">
        <v>1299</v>
      </c>
      <c r="R675" s="16" t="n"/>
      <c r="S675" s="16" t="n"/>
      <c r="T675" s="16" t="n">
        <v>2</v>
      </c>
    </row>
    <row r="676" s="103">
      <c r="A676" s="16" t="inlineStr">
        <is>
          <t>B331</t>
        </is>
      </c>
      <c r="B676" s="16" t="inlineStr">
        <is>
          <t>上海区域</t>
        </is>
      </c>
      <c r="C676" s="16" t="inlineStr">
        <is>
          <t>CN0Q</t>
        </is>
      </c>
      <c r="D676" s="16" t="inlineStr">
        <is>
          <t>EE 苏州比斯特购物村</t>
        </is>
      </c>
      <c r="E676" s="16" t="n">
        <v>4</v>
      </c>
      <c r="F676" s="16" t="inlineStr">
        <is>
          <t>奥特莱斯</t>
        </is>
      </c>
      <c r="G676" s="16" t="inlineStr">
        <is>
          <t>EEOWG24B03</t>
        </is>
      </c>
      <c r="H676" s="16" t="n">
        <v>999</v>
      </c>
      <c r="I676" s="16" t="n">
        <v>1299</v>
      </c>
      <c r="J676" s="17" t="inlineStr">
        <is>
          <t>########</t>
        </is>
      </c>
      <c r="K676" s="16" t="inlineStr">
        <is>
          <t>(51)L/Blue</t>
        </is>
      </c>
      <c r="L676" s="16" t="inlineStr">
        <is>
          <t>营业中</t>
        </is>
      </c>
      <c r="M676" s="16" t="inlineStr">
        <is>
          <t>EEOWG24B0351165</t>
        </is>
      </c>
      <c r="N676" s="16">
        <f>LEFT(M676,12)</f>
        <v/>
      </c>
      <c r="O676" s="16" t="inlineStr">
        <is>
          <t>EEOWG24B03, (51)L/Blue, (165)165</t>
        </is>
      </c>
      <c r="P676" s="16" t="n">
        <v>999</v>
      </c>
      <c r="Q676" s="16" t="n">
        <v>1299</v>
      </c>
      <c r="R676" s="16" t="n"/>
      <c r="S676" s="16" t="n"/>
      <c r="T676" s="16" t="n">
        <v>2</v>
      </c>
    </row>
    <row r="677" s="103">
      <c r="A677" s="16" t="inlineStr">
        <is>
          <t>B331</t>
        </is>
      </c>
      <c r="B677" s="16" t="inlineStr">
        <is>
          <t>上海区域</t>
        </is>
      </c>
      <c r="C677" s="16" t="inlineStr">
        <is>
          <t>CN0Q</t>
        </is>
      </c>
      <c r="D677" s="16" t="inlineStr">
        <is>
          <t>EE 苏州比斯特购物村</t>
        </is>
      </c>
      <c r="E677" s="16" t="n">
        <v>4</v>
      </c>
      <c r="F677" s="16" t="inlineStr">
        <is>
          <t>奥特莱斯</t>
        </is>
      </c>
      <c r="G677" s="16" t="inlineStr">
        <is>
          <t>EEOWG24B03</t>
        </is>
      </c>
      <c r="H677" s="16" t="n">
        <v>999</v>
      </c>
      <c r="I677" s="16" t="n">
        <v>1299</v>
      </c>
      <c r="J677" s="17" t="inlineStr">
        <is>
          <t>########</t>
        </is>
      </c>
      <c r="K677" s="16" t="inlineStr">
        <is>
          <t>(51)L/Blue</t>
        </is>
      </c>
      <c r="L677" s="16" t="inlineStr">
        <is>
          <t>营业中</t>
        </is>
      </c>
      <c r="M677" s="16" t="inlineStr">
        <is>
          <t>EEOWG24B0351170</t>
        </is>
      </c>
      <c r="N677" s="16">
        <f>LEFT(M677,12)</f>
        <v/>
      </c>
      <c r="O677" s="16" t="inlineStr">
        <is>
          <t>EEOWG24B03, (51)L/Blue, (170)170</t>
        </is>
      </c>
      <c r="P677" s="16" t="n">
        <v>999</v>
      </c>
      <c r="Q677" s="16" t="n">
        <v>1299</v>
      </c>
      <c r="R677" s="16" t="n"/>
      <c r="S677" s="16" t="n"/>
      <c r="T677" s="16" t="n">
        <v>2</v>
      </c>
    </row>
    <row r="678" s="103">
      <c r="A678" s="16" t="inlineStr">
        <is>
          <t>B331</t>
        </is>
      </c>
      <c r="B678" s="16" t="inlineStr">
        <is>
          <t>上海区域</t>
        </is>
      </c>
      <c r="C678" s="16" t="inlineStr">
        <is>
          <t>CN0Q</t>
        </is>
      </c>
      <c r="D678" s="16" t="inlineStr">
        <is>
          <t>EE 苏州比斯特购物村</t>
        </is>
      </c>
      <c r="E678" s="16" t="n">
        <v>4</v>
      </c>
      <c r="F678" s="16" t="inlineStr">
        <is>
          <t>奥特莱斯</t>
        </is>
      </c>
      <c r="G678" s="16" t="inlineStr">
        <is>
          <t>EEOWG24B03</t>
        </is>
      </c>
      <c r="H678" s="16" t="n">
        <v>999</v>
      </c>
      <c r="I678" s="16" t="n">
        <v>1299</v>
      </c>
      <c r="J678" s="17" t="inlineStr">
        <is>
          <t>########</t>
        </is>
      </c>
      <c r="K678" s="16" t="inlineStr">
        <is>
          <t>(59)Navy</t>
        </is>
      </c>
      <c r="L678" s="16" t="inlineStr">
        <is>
          <t>营业中</t>
        </is>
      </c>
      <c r="M678" s="16" t="inlineStr">
        <is>
          <t>EEOWG24B0359160</t>
        </is>
      </c>
      <c r="N678" s="16">
        <f>LEFT(M678,12)</f>
        <v/>
      </c>
      <c r="O678" s="16" t="inlineStr">
        <is>
          <t>EEOWG24B03, (59)Navy, (160)160</t>
        </is>
      </c>
      <c r="P678" s="16" t="n">
        <v>999</v>
      </c>
      <c r="Q678" s="16" t="n">
        <v>1299</v>
      </c>
      <c r="R678" s="16" t="n"/>
      <c r="S678" s="16" t="n"/>
      <c r="T678" s="16" t="n">
        <v>2</v>
      </c>
    </row>
    <row r="679" s="103">
      <c r="A679" s="16" t="inlineStr">
        <is>
          <t>B331</t>
        </is>
      </c>
      <c r="B679" s="16" t="inlineStr">
        <is>
          <t>上海区域</t>
        </is>
      </c>
      <c r="C679" s="16" t="inlineStr">
        <is>
          <t>CN0Q</t>
        </is>
      </c>
      <c r="D679" s="16" t="inlineStr">
        <is>
          <t>EE 苏州比斯特购物村</t>
        </is>
      </c>
      <c r="E679" s="16" t="n">
        <v>4</v>
      </c>
      <c r="F679" s="16" t="inlineStr">
        <is>
          <t>奥特莱斯</t>
        </is>
      </c>
      <c r="G679" s="16" t="inlineStr">
        <is>
          <t>EEOWG24B03</t>
        </is>
      </c>
      <c r="H679" s="16" t="n">
        <v>999</v>
      </c>
      <c r="I679" s="16" t="n">
        <v>1299</v>
      </c>
      <c r="J679" s="17" t="inlineStr">
        <is>
          <t>########</t>
        </is>
      </c>
      <c r="K679" s="16" t="inlineStr">
        <is>
          <t>(59)Navy</t>
        </is>
      </c>
      <c r="L679" s="16" t="inlineStr">
        <is>
          <t>营业中</t>
        </is>
      </c>
      <c r="M679" s="16" t="inlineStr">
        <is>
          <t>EEOWG24B0359165</t>
        </is>
      </c>
      <c r="N679" s="16">
        <f>LEFT(M679,12)</f>
        <v/>
      </c>
      <c r="O679" s="16" t="inlineStr">
        <is>
          <t>EEOWG24B03, (59)Navy, (165)165</t>
        </is>
      </c>
      <c r="P679" s="16" t="n">
        <v>999</v>
      </c>
      <c r="Q679" s="16" t="n">
        <v>1299</v>
      </c>
      <c r="R679" s="16" t="n"/>
      <c r="S679" s="16" t="n"/>
      <c r="T679" s="16" t="n">
        <v>2</v>
      </c>
    </row>
    <row r="680" s="103">
      <c r="A680" s="16" t="inlineStr">
        <is>
          <t>B331</t>
        </is>
      </c>
      <c r="B680" s="16" t="inlineStr">
        <is>
          <t>上海区域</t>
        </is>
      </c>
      <c r="C680" s="16" t="inlineStr">
        <is>
          <t>CN0Q</t>
        </is>
      </c>
      <c r="D680" s="16" t="inlineStr">
        <is>
          <t>EE 苏州比斯特购物村</t>
        </is>
      </c>
      <c r="E680" s="16" t="n">
        <v>4</v>
      </c>
      <c r="F680" s="16" t="inlineStr">
        <is>
          <t>奥特莱斯</t>
        </is>
      </c>
      <c r="G680" s="16" t="inlineStr">
        <is>
          <t>EEOWG24B03</t>
        </is>
      </c>
      <c r="H680" s="16" t="n">
        <v>999</v>
      </c>
      <c r="I680" s="16" t="n">
        <v>1299</v>
      </c>
      <c r="J680" s="17" t="inlineStr">
        <is>
          <t>########</t>
        </is>
      </c>
      <c r="K680" s="16" t="inlineStr">
        <is>
          <t>(59)Navy</t>
        </is>
      </c>
      <c r="L680" s="16" t="inlineStr">
        <is>
          <t>营业中</t>
        </is>
      </c>
      <c r="M680" s="16" t="inlineStr">
        <is>
          <t>EEOWG24B0359170</t>
        </is>
      </c>
      <c r="N680" s="16">
        <f>LEFT(M680,12)</f>
        <v/>
      </c>
      <c r="O680" s="16" t="inlineStr">
        <is>
          <t>EEOWG24B03, (59)Navy, (170)170</t>
        </is>
      </c>
      <c r="P680" s="16" t="n">
        <v>999</v>
      </c>
      <c r="Q680" s="16" t="n">
        <v>1299</v>
      </c>
      <c r="R680" s="16" t="n"/>
      <c r="S680" s="16" t="n"/>
      <c r="T680" s="16" t="n">
        <v>1</v>
      </c>
    </row>
    <row r="681" s="103">
      <c r="A681" s="16" t="inlineStr">
        <is>
          <t>B331</t>
        </is>
      </c>
      <c r="B681" s="16" t="inlineStr">
        <is>
          <t>上海区域</t>
        </is>
      </c>
      <c r="C681" s="16" t="inlineStr">
        <is>
          <t>CN0Q</t>
        </is>
      </c>
      <c r="D681" s="16" t="inlineStr">
        <is>
          <t>EE 苏州比斯特购物村</t>
        </is>
      </c>
      <c r="E681" s="16" t="n">
        <v>4</v>
      </c>
      <c r="F681" s="16" t="inlineStr">
        <is>
          <t>奥特莱斯</t>
        </is>
      </c>
      <c r="G681" s="16" t="inlineStr">
        <is>
          <t>EEOWG24E01</t>
        </is>
      </c>
      <c r="H681" s="16" t="n">
        <v>1299</v>
      </c>
      <c r="I681" s="16" t="n">
        <v>1299</v>
      </c>
      <c r="J681" s="17" t="inlineStr">
        <is>
          <t>########</t>
        </is>
      </c>
      <c r="K681" s="16" t="inlineStr">
        <is>
          <t>(35)Beige</t>
        </is>
      </c>
      <c r="L681" s="16" t="inlineStr">
        <is>
          <t>营业中</t>
        </is>
      </c>
      <c r="M681" s="16" t="inlineStr">
        <is>
          <t>EEOWG24E0135160</t>
        </is>
      </c>
      <c r="N681" s="16">
        <f>LEFT(M681,12)</f>
        <v/>
      </c>
      <c r="O681" s="16" t="inlineStr">
        <is>
          <t>EEOWG24E01, (35)Beige, (160)160</t>
        </is>
      </c>
      <c r="P681" s="16" t="n">
        <v>1299</v>
      </c>
      <c r="Q681" s="16" t="n">
        <v>1299</v>
      </c>
      <c r="R681" s="16" t="n">
        <v>1</v>
      </c>
      <c r="S681" s="16" t="n">
        <v>823</v>
      </c>
      <c r="T681" s="16" t="n">
        <v>1</v>
      </c>
    </row>
    <row r="682" s="103">
      <c r="A682" s="16" t="inlineStr">
        <is>
          <t>B331</t>
        </is>
      </c>
      <c r="B682" s="16" t="inlineStr">
        <is>
          <t>上海区域</t>
        </is>
      </c>
      <c r="C682" s="16" t="inlineStr">
        <is>
          <t>CN0Q</t>
        </is>
      </c>
      <c r="D682" s="16" t="inlineStr">
        <is>
          <t>EE 苏州比斯特购物村</t>
        </is>
      </c>
      <c r="E682" s="16" t="n">
        <v>4</v>
      </c>
      <c r="F682" s="16" t="inlineStr">
        <is>
          <t>奥特莱斯</t>
        </is>
      </c>
      <c r="G682" s="16" t="inlineStr">
        <is>
          <t>EEOWG24E01</t>
        </is>
      </c>
      <c r="H682" s="16" t="n">
        <v>1299</v>
      </c>
      <c r="I682" s="16" t="n">
        <v>1299</v>
      </c>
      <c r="J682" s="17" t="inlineStr">
        <is>
          <t>########</t>
        </is>
      </c>
      <c r="K682" s="16" t="inlineStr">
        <is>
          <t>(35)Beige</t>
        </is>
      </c>
      <c r="L682" s="16" t="inlineStr">
        <is>
          <t>营业中</t>
        </is>
      </c>
      <c r="M682" s="16" t="inlineStr">
        <is>
          <t>EEOWG24E0135165</t>
        </is>
      </c>
      <c r="N682" s="16">
        <f>LEFT(M682,12)</f>
        <v/>
      </c>
      <c r="O682" s="16" t="inlineStr">
        <is>
          <t>EEOWG24E01, (35)Beige, (165)165</t>
        </is>
      </c>
      <c r="P682" s="16" t="n">
        <v>1299</v>
      </c>
      <c r="Q682" s="16" t="n">
        <v>1299</v>
      </c>
      <c r="R682" s="16" t="n">
        <v>1</v>
      </c>
      <c r="S682" s="16" t="n">
        <v>825</v>
      </c>
      <c r="T682" s="16" t="n">
        <v>2</v>
      </c>
    </row>
    <row r="683" s="103">
      <c r="A683" s="16" t="inlineStr">
        <is>
          <t>B331</t>
        </is>
      </c>
      <c r="B683" s="16" t="inlineStr">
        <is>
          <t>上海区域</t>
        </is>
      </c>
      <c r="C683" s="16" t="inlineStr">
        <is>
          <t>CN0Q</t>
        </is>
      </c>
      <c r="D683" s="16" t="inlineStr">
        <is>
          <t>EE 苏州比斯特购物村</t>
        </is>
      </c>
      <c r="E683" s="16" t="n">
        <v>4</v>
      </c>
      <c r="F683" s="16" t="inlineStr">
        <is>
          <t>奥特莱斯</t>
        </is>
      </c>
      <c r="G683" s="16" t="inlineStr">
        <is>
          <t>EEOWG24E01</t>
        </is>
      </c>
      <c r="H683" s="16" t="n">
        <v>1299</v>
      </c>
      <c r="I683" s="16" t="n">
        <v>1299</v>
      </c>
      <c r="J683" s="17" t="inlineStr">
        <is>
          <t>########</t>
        </is>
      </c>
      <c r="K683" s="16" t="inlineStr">
        <is>
          <t>(35)Beige</t>
        </is>
      </c>
      <c r="L683" s="16" t="inlineStr">
        <is>
          <t>营业中</t>
        </is>
      </c>
      <c r="M683" s="16" t="inlineStr">
        <is>
          <t>EEOWG24E0135170</t>
        </is>
      </c>
      <c r="N683" s="16">
        <f>LEFT(M683,12)</f>
        <v/>
      </c>
      <c r="O683" s="16" t="inlineStr">
        <is>
          <t>EEOWG24E01, (35)Beige, (170)170</t>
        </is>
      </c>
      <c r="P683" s="16" t="n">
        <v>1299</v>
      </c>
      <c r="Q683" s="16" t="n">
        <v>1299</v>
      </c>
      <c r="R683" s="16" t="n"/>
      <c r="S683" s="16" t="n"/>
      <c r="T683" s="16" t="n">
        <v>3</v>
      </c>
    </row>
    <row r="684" s="103">
      <c r="A684" s="16" t="inlineStr">
        <is>
          <t>B331</t>
        </is>
      </c>
      <c r="B684" s="16" t="inlineStr">
        <is>
          <t>上海区域</t>
        </is>
      </c>
      <c r="C684" s="16" t="inlineStr">
        <is>
          <t>CN0Q</t>
        </is>
      </c>
      <c r="D684" s="16" t="inlineStr">
        <is>
          <t>EE 苏州比斯特购物村</t>
        </is>
      </c>
      <c r="E684" s="16" t="n">
        <v>4</v>
      </c>
      <c r="F684" s="16" t="inlineStr">
        <is>
          <t>奥特莱斯</t>
        </is>
      </c>
      <c r="G684" s="16" t="inlineStr">
        <is>
          <t>EEOWG24E01</t>
        </is>
      </c>
      <c r="H684" s="16" t="n">
        <v>1299</v>
      </c>
      <c r="I684" s="16" t="n">
        <v>1299</v>
      </c>
      <c r="J684" s="17" t="inlineStr">
        <is>
          <t>########</t>
        </is>
      </c>
      <c r="K684" s="16" t="inlineStr">
        <is>
          <t>(59)Navy</t>
        </is>
      </c>
      <c r="L684" s="16" t="inlineStr">
        <is>
          <t>营业中</t>
        </is>
      </c>
      <c r="M684" s="16" t="inlineStr">
        <is>
          <t>EEOWG24E0159160</t>
        </is>
      </c>
      <c r="N684" s="16">
        <f>LEFT(M684,12)</f>
        <v/>
      </c>
      <c r="O684" s="16" t="inlineStr">
        <is>
          <t>EEOWG24E01, (59)Navy, (160)160</t>
        </is>
      </c>
      <c r="P684" s="16" t="n">
        <v>1299</v>
      </c>
      <c r="Q684" s="16" t="n">
        <v>1299</v>
      </c>
      <c r="R684" s="16" t="n">
        <v>1</v>
      </c>
      <c r="S684" s="16" t="n">
        <v>844</v>
      </c>
      <c r="T684" s="16" t="n">
        <v>1</v>
      </c>
    </row>
    <row r="685" s="103">
      <c r="A685" s="16" t="inlineStr">
        <is>
          <t>B331</t>
        </is>
      </c>
      <c r="B685" s="16" t="inlineStr">
        <is>
          <t>上海区域</t>
        </is>
      </c>
      <c r="C685" s="16" t="inlineStr">
        <is>
          <t>CN0Q</t>
        </is>
      </c>
      <c r="D685" s="16" t="inlineStr">
        <is>
          <t>EE 苏州比斯特购物村</t>
        </is>
      </c>
      <c r="E685" s="16" t="n">
        <v>4</v>
      </c>
      <c r="F685" s="16" t="inlineStr">
        <is>
          <t>奥特莱斯</t>
        </is>
      </c>
      <c r="G685" s="16" t="inlineStr">
        <is>
          <t>EEOWG24E01</t>
        </is>
      </c>
      <c r="H685" s="16" t="n">
        <v>1299</v>
      </c>
      <c r="I685" s="16" t="n">
        <v>1299</v>
      </c>
      <c r="J685" s="17" t="inlineStr">
        <is>
          <t>########</t>
        </is>
      </c>
      <c r="K685" s="16" t="inlineStr">
        <is>
          <t>(59)Navy</t>
        </is>
      </c>
      <c r="L685" s="16" t="inlineStr">
        <is>
          <t>营业中</t>
        </is>
      </c>
      <c r="M685" s="16" t="inlineStr">
        <is>
          <t>EEOWG24E0159165</t>
        </is>
      </c>
      <c r="N685" s="16">
        <f>LEFT(M685,12)</f>
        <v/>
      </c>
      <c r="O685" s="16" t="inlineStr">
        <is>
          <t>EEOWG24E01, (59)Navy, (165)165</t>
        </is>
      </c>
      <c r="P685" s="16" t="n">
        <v>1299</v>
      </c>
      <c r="Q685" s="16" t="n">
        <v>1299</v>
      </c>
      <c r="R685" s="16" t="n">
        <v>2</v>
      </c>
      <c r="S685" s="18" t="n">
        <v>1666</v>
      </c>
      <c r="T685" s="16" t="n">
        <v>5</v>
      </c>
    </row>
    <row r="686" s="103">
      <c r="A686" s="16" t="inlineStr">
        <is>
          <t>B331</t>
        </is>
      </c>
      <c r="B686" s="16" t="inlineStr">
        <is>
          <t>上海区域</t>
        </is>
      </c>
      <c r="C686" s="16" t="inlineStr">
        <is>
          <t>CN0Q</t>
        </is>
      </c>
      <c r="D686" s="16" t="inlineStr">
        <is>
          <t>EE 苏州比斯特购物村</t>
        </is>
      </c>
      <c r="E686" s="16" t="n">
        <v>4</v>
      </c>
      <c r="F686" s="16" t="inlineStr">
        <is>
          <t>奥特莱斯</t>
        </is>
      </c>
      <c r="G686" s="16" t="inlineStr">
        <is>
          <t>EEOWG24E01</t>
        </is>
      </c>
      <c r="H686" s="16" t="n">
        <v>1299</v>
      </c>
      <c r="I686" s="16" t="n">
        <v>1299</v>
      </c>
      <c r="J686" s="17" t="inlineStr">
        <is>
          <t>########</t>
        </is>
      </c>
      <c r="K686" s="16" t="inlineStr">
        <is>
          <t>(59)Navy</t>
        </is>
      </c>
      <c r="L686" s="16" t="inlineStr">
        <is>
          <t>营业中</t>
        </is>
      </c>
      <c r="M686" s="16" t="inlineStr">
        <is>
          <t>EEOWG24E0159170</t>
        </is>
      </c>
      <c r="N686" s="16">
        <f>LEFT(M686,12)</f>
        <v/>
      </c>
      <c r="O686" s="16" t="inlineStr">
        <is>
          <t>EEOWG24E01, (59)Navy, (170)170</t>
        </is>
      </c>
      <c r="P686" s="16" t="n">
        <v>1299</v>
      </c>
      <c r="Q686" s="16" t="n">
        <v>1299</v>
      </c>
      <c r="R686" s="16" t="n"/>
      <c r="S686" s="16" t="n"/>
      <c r="T686" s="16" t="n">
        <v>6</v>
      </c>
    </row>
    <row r="687" s="103">
      <c r="A687" s="16" t="inlineStr">
        <is>
          <t>B331</t>
        </is>
      </c>
      <c r="B687" s="16" t="inlineStr">
        <is>
          <t>上海区域</t>
        </is>
      </c>
      <c r="C687" s="16" t="inlineStr">
        <is>
          <t>CN0Q</t>
        </is>
      </c>
      <c r="D687" s="16" t="inlineStr">
        <is>
          <t>EE 苏州比斯特购物村</t>
        </is>
      </c>
      <c r="E687" s="16" t="n">
        <v>4</v>
      </c>
      <c r="F687" s="16" t="inlineStr">
        <is>
          <t>奥特莱斯</t>
        </is>
      </c>
      <c r="G687" s="16" t="inlineStr">
        <is>
          <t>EEOWG24E02</t>
        </is>
      </c>
      <c r="H687" s="16" t="n">
        <v>1299</v>
      </c>
      <c r="I687" s="16" t="n">
        <v>1299</v>
      </c>
      <c r="J687" s="17" t="inlineStr">
        <is>
          <t>########</t>
        </is>
      </c>
      <c r="K687" s="16" t="inlineStr">
        <is>
          <t>(36)L/Beige</t>
        </is>
      </c>
      <c r="L687" s="16" t="inlineStr">
        <is>
          <t>营业中</t>
        </is>
      </c>
      <c r="M687" s="16" t="inlineStr">
        <is>
          <t>EEOWG24E0236160</t>
        </is>
      </c>
      <c r="N687" s="16">
        <f>LEFT(M687,12)</f>
        <v/>
      </c>
      <c r="O687" s="16" t="inlineStr">
        <is>
          <t>EEOWG24E02, (36)L/Beige, (160)160</t>
        </is>
      </c>
      <c r="P687" s="16" t="n">
        <v>1299</v>
      </c>
      <c r="Q687" s="16" t="n">
        <v>1299</v>
      </c>
      <c r="R687" s="16" t="n">
        <v>1</v>
      </c>
      <c r="S687" s="16" t="n">
        <v>820</v>
      </c>
      <c r="T687" s="16" t="n">
        <v>3</v>
      </c>
    </row>
    <row r="688" s="103">
      <c r="A688" s="16" t="inlineStr">
        <is>
          <t>B331</t>
        </is>
      </c>
      <c r="B688" s="16" t="inlineStr">
        <is>
          <t>上海区域</t>
        </is>
      </c>
      <c r="C688" s="16" t="inlineStr">
        <is>
          <t>CN0Q</t>
        </is>
      </c>
      <c r="D688" s="16" t="inlineStr">
        <is>
          <t>EE 苏州比斯特购物村</t>
        </is>
      </c>
      <c r="E688" s="16" t="n">
        <v>4</v>
      </c>
      <c r="F688" s="16" t="inlineStr">
        <is>
          <t>奥特莱斯</t>
        </is>
      </c>
      <c r="G688" s="16" t="inlineStr">
        <is>
          <t>EEOWG24E02</t>
        </is>
      </c>
      <c r="H688" s="16" t="n">
        <v>1299</v>
      </c>
      <c r="I688" s="16" t="n">
        <v>1299</v>
      </c>
      <c r="J688" s="17" t="inlineStr">
        <is>
          <t>########</t>
        </is>
      </c>
      <c r="K688" s="16" t="inlineStr">
        <is>
          <t>(36)L/Beige</t>
        </is>
      </c>
      <c r="L688" s="16" t="inlineStr">
        <is>
          <t>营业中</t>
        </is>
      </c>
      <c r="M688" s="16" t="inlineStr">
        <is>
          <t>EEOWG24E0236165</t>
        </is>
      </c>
      <c r="N688" s="16">
        <f>LEFT(M688,12)</f>
        <v/>
      </c>
      <c r="O688" s="16" t="inlineStr">
        <is>
          <t>EEOWG24E02, (36)L/Beige, (165)165</t>
        </is>
      </c>
      <c r="P688" s="16" t="n">
        <v>1299</v>
      </c>
      <c r="Q688" s="16" t="n">
        <v>1299</v>
      </c>
      <c r="R688" s="16" t="n">
        <v>3</v>
      </c>
      <c r="S688" s="18" t="n">
        <v>1672</v>
      </c>
      <c r="T688" s="16" t="n">
        <v>3</v>
      </c>
    </row>
    <row r="689" s="103">
      <c r="A689" s="16" t="inlineStr">
        <is>
          <t>B331</t>
        </is>
      </c>
      <c r="B689" s="16" t="inlineStr">
        <is>
          <t>上海区域</t>
        </is>
      </c>
      <c r="C689" s="16" t="inlineStr">
        <is>
          <t>CN0Q</t>
        </is>
      </c>
      <c r="D689" s="16" t="inlineStr">
        <is>
          <t>EE 苏州比斯特购物村</t>
        </is>
      </c>
      <c r="E689" s="16" t="n">
        <v>4</v>
      </c>
      <c r="F689" s="16" t="inlineStr">
        <is>
          <t>奥特莱斯</t>
        </is>
      </c>
      <c r="G689" s="16" t="inlineStr">
        <is>
          <t>EEOWG24E02</t>
        </is>
      </c>
      <c r="H689" s="16" t="n">
        <v>1299</v>
      </c>
      <c r="I689" s="16" t="n">
        <v>1299</v>
      </c>
      <c r="J689" s="17" t="inlineStr">
        <is>
          <t>########</t>
        </is>
      </c>
      <c r="K689" s="16" t="inlineStr">
        <is>
          <t>(36)L/Beige</t>
        </is>
      </c>
      <c r="L689" s="16" t="inlineStr">
        <is>
          <t>营业中</t>
        </is>
      </c>
      <c r="M689" s="16" t="inlineStr">
        <is>
          <t>EEOWG24E0236170</t>
        </is>
      </c>
      <c r="N689" s="16">
        <f>LEFT(M689,12)</f>
        <v/>
      </c>
      <c r="O689" s="16" t="inlineStr">
        <is>
          <t>EEOWG24E02, (36)L/Beige, (170)170</t>
        </is>
      </c>
      <c r="P689" s="16" t="n">
        <v>1299</v>
      </c>
      <c r="Q689" s="16" t="n">
        <v>1299</v>
      </c>
      <c r="R689" s="16" t="n">
        <v>1</v>
      </c>
      <c r="S689" s="16" t="n">
        <v>827</v>
      </c>
      <c r="T689" s="16" t="n">
        <v>1</v>
      </c>
    </row>
    <row r="690" s="103">
      <c r="A690" s="16" t="inlineStr">
        <is>
          <t>B331</t>
        </is>
      </c>
      <c r="B690" s="16" t="inlineStr">
        <is>
          <t>上海区域</t>
        </is>
      </c>
      <c r="C690" s="16" t="inlineStr">
        <is>
          <t>CN0Q</t>
        </is>
      </c>
      <c r="D690" s="16" t="inlineStr">
        <is>
          <t>EE 苏州比斯特购物村</t>
        </is>
      </c>
      <c r="E690" s="16" t="n">
        <v>4</v>
      </c>
      <c r="F690" s="16" t="inlineStr">
        <is>
          <t>奥特莱斯</t>
        </is>
      </c>
      <c r="G690" s="16" t="inlineStr">
        <is>
          <t>EEOWG24E02</t>
        </is>
      </c>
      <c r="H690" s="16" t="n">
        <v>1299</v>
      </c>
      <c r="I690" s="16" t="n">
        <v>1299</v>
      </c>
      <c r="J690" s="17" t="inlineStr">
        <is>
          <t>########</t>
        </is>
      </c>
      <c r="K690" s="16" t="inlineStr">
        <is>
          <t>(59)Navy</t>
        </is>
      </c>
      <c r="L690" s="16" t="inlineStr">
        <is>
          <t>营业中</t>
        </is>
      </c>
      <c r="M690" s="16" t="inlineStr">
        <is>
          <t>EEOWG24E0259160</t>
        </is>
      </c>
      <c r="N690" s="16">
        <f>LEFT(M690,12)</f>
        <v/>
      </c>
      <c r="O690" s="16" t="inlineStr">
        <is>
          <t>EEOWG24E02, (59)Navy, (160)160</t>
        </is>
      </c>
      <c r="P690" s="16" t="n">
        <v>1299</v>
      </c>
      <c r="Q690" s="16" t="n">
        <v>1299</v>
      </c>
      <c r="R690" s="16" t="n">
        <v>2</v>
      </c>
      <c r="S690" s="16" t="n">
        <v>858</v>
      </c>
      <c r="T690" s="16" t="n">
        <v>2</v>
      </c>
    </row>
    <row r="691" s="103">
      <c r="A691" s="16" t="inlineStr">
        <is>
          <t>B331</t>
        </is>
      </c>
      <c r="B691" s="16" t="inlineStr">
        <is>
          <t>上海区域</t>
        </is>
      </c>
      <c r="C691" s="16" t="inlineStr">
        <is>
          <t>CN0Q</t>
        </is>
      </c>
      <c r="D691" s="16" t="inlineStr">
        <is>
          <t>EE 苏州比斯特购物村</t>
        </is>
      </c>
      <c r="E691" s="16" t="n">
        <v>4</v>
      </c>
      <c r="F691" s="16" t="inlineStr">
        <is>
          <t>奥特莱斯</t>
        </is>
      </c>
      <c r="G691" s="16" t="inlineStr">
        <is>
          <t>EEOWG24E02</t>
        </is>
      </c>
      <c r="H691" s="16" t="n">
        <v>1299</v>
      </c>
      <c r="I691" s="16" t="n">
        <v>1299</v>
      </c>
      <c r="J691" s="17" t="inlineStr">
        <is>
          <t>########</t>
        </is>
      </c>
      <c r="K691" s="16" t="inlineStr">
        <is>
          <t>(59)Navy</t>
        </is>
      </c>
      <c r="L691" s="16" t="inlineStr">
        <is>
          <t>营业中</t>
        </is>
      </c>
      <c r="M691" s="16" t="inlineStr">
        <is>
          <t>EEOWG24E0259165</t>
        </is>
      </c>
      <c r="N691" s="16">
        <f>LEFT(M691,12)</f>
        <v/>
      </c>
      <c r="O691" s="16" t="inlineStr">
        <is>
          <t>EEOWG24E02, (59)Navy, (165)165</t>
        </is>
      </c>
      <c r="P691" s="16" t="n">
        <v>1299</v>
      </c>
      <c r="Q691" s="16" t="n">
        <v>1299</v>
      </c>
      <c r="R691" s="16" t="n">
        <v>4</v>
      </c>
      <c r="S691" s="18" t="n">
        <v>1653</v>
      </c>
      <c r="T691" s="16" t="n">
        <v>4</v>
      </c>
    </row>
    <row r="692" s="103">
      <c r="A692" s="16" t="inlineStr">
        <is>
          <t>B331</t>
        </is>
      </c>
      <c r="B692" s="16" t="inlineStr">
        <is>
          <t>上海区域</t>
        </is>
      </c>
      <c r="C692" s="16" t="inlineStr">
        <is>
          <t>CN0Q</t>
        </is>
      </c>
      <c r="D692" s="16" t="inlineStr">
        <is>
          <t>EE 苏州比斯特购物村</t>
        </is>
      </c>
      <c r="E692" s="16" t="n">
        <v>4</v>
      </c>
      <c r="F692" s="16" t="inlineStr">
        <is>
          <t>奥特莱斯</t>
        </is>
      </c>
      <c r="G692" s="16" t="inlineStr">
        <is>
          <t>EEOWG24E02</t>
        </is>
      </c>
      <c r="H692" s="16" t="n">
        <v>1299</v>
      </c>
      <c r="I692" s="16" t="n">
        <v>1299</v>
      </c>
      <c r="J692" s="17" t="inlineStr">
        <is>
          <t>########</t>
        </is>
      </c>
      <c r="K692" s="16" t="inlineStr">
        <is>
          <t>(59)Navy</t>
        </is>
      </c>
      <c r="L692" s="16" t="inlineStr">
        <is>
          <t>营业中</t>
        </is>
      </c>
      <c r="M692" s="16" t="inlineStr">
        <is>
          <t>EEOWG24E0259170</t>
        </is>
      </c>
      <c r="N692" s="16">
        <f>LEFT(M692,12)</f>
        <v/>
      </c>
      <c r="O692" s="16" t="inlineStr">
        <is>
          <t>EEOWG24E02, (59)Navy, (170)170</t>
        </is>
      </c>
      <c r="P692" s="16" t="n">
        <v>1299</v>
      </c>
      <c r="Q692" s="16" t="n">
        <v>1299</v>
      </c>
      <c r="R692" s="16" t="n">
        <v>2</v>
      </c>
      <c r="S692" s="16" t="n"/>
      <c r="T692" s="16" t="n">
        <v>4</v>
      </c>
    </row>
    <row r="693" s="103">
      <c r="A693" s="16" t="inlineStr">
        <is>
          <t>B331</t>
        </is>
      </c>
      <c r="B693" s="16" t="inlineStr">
        <is>
          <t>上海区域</t>
        </is>
      </c>
      <c r="C693" s="16" t="inlineStr">
        <is>
          <t>CN0Q</t>
        </is>
      </c>
      <c r="D693" s="16" t="inlineStr">
        <is>
          <t>EE 苏州比斯特购物村</t>
        </is>
      </c>
      <c r="E693" s="16" t="n">
        <v>4</v>
      </c>
      <c r="F693" s="16" t="inlineStr">
        <is>
          <t>奥特莱斯</t>
        </is>
      </c>
      <c r="G693" s="16" t="inlineStr">
        <is>
          <t>EEOWG24E02</t>
        </is>
      </c>
      <c r="H693" s="16" t="n">
        <v>1299</v>
      </c>
      <c r="I693" s="16" t="n">
        <v>1299</v>
      </c>
      <c r="J693" s="17" t="inlineStr">
        <is>
          <t>########</t>
        </is>
      </c>
      <c r="K693" s="16" t="inlineStr">
        <is>
          <t>(99)MIX</t>
        </is>
      </c>
      <c r="L693" s="16" t="inlineStr">
        <is>
          <t>营业中</t>
        </is>
      </c>
      <c r="M693" s="16" t="inlineStr">
        <is>
          <t>EEOWG24E0299160</t>
        </is>
      </c>
      <c r="N693" s="16">
        <f>LEFT(M693,12)</f>
        <v/>
      </c>
      <c r="O693" s="16" t="inlineStr">
        <is>
          <t>EEOWG24E02, (99)MIX, (160)160</t>
        </is>
      </c>
      <c r="P693" s="16" t="n">
        <v>1299</v>
      </c>
      <c r="Q693" s="16" t="n">
        <v>1299</v>
      </c>
      <c r="R693" s="16" t="n"/>
      <c r="S693" s="16" t="n"/>
      <c r="T693" s="16" t="n">
        <v>2</v>
      </c>
    </row>
    <row r="694" s="103">
      <c r="A694" s="16" t="inlineStr">
        <is>
          <t>B331</t>
        </is>
      </c>
      <c r="B694" s="16" t="inlineStr">
        <is>
          <t>上海区域</t>
        </is>
      </c>
      <c r="C694" s="16" t="inlineStr">
        <is>
          <t>CN0Q</t>
        </is>
      </c>
      <c r="D694" s="16" t="inlineStr">
        <is>
          <t>EE 苏州比斯特购物村</t>
        </is>
      </c>
      <c r="E694" s="16" t="n">
        <v>4</v>
      </c>
      <c r="F694" s="16" t="inlineStr">
        <is>
          <t>奥特莱斯</t>
        </is>
      </c>
      <c r="G694" s="16" t="inlineStr">
        <is>
          <t>EEOWG24E02</t>
        </is>
      </c>
      <c r="H694" s="16" t="n">
        <v>1299</v>
      </c>
      <c r="I694" s="16" t="n">
        <v>1299</v>
      </c>
      <c r="J694" s="17" t="inlineStr">
        <is>
          <t>########</t>
        </is>
      </c>
      <c r="K694" s="16" t="inlineStr">
        <is>
          <t>(99)MIX</t>
        </is>
      </c>
      <c r="L694" s="16" t="inlineStr">
        <is>
          <t>营业中</t>
        </is>
      </c>
      <c r="M694" s="16" t="inlineStr">
        <is>
          <t>EEOWG24E0299165</t>
        </is>
      </c>
      <c r="N694" s="16">
        <f>LEFT(M694,12)</f>
        <v/>
      </c>
      <c r="O694" s="16" t="inlineStr">
        <is>
          <t>EEOWG24E02, (99)MIX, (165)165</t>
        </is>
      </c>
      <c r="P694" s="16" t="n">
        <v>1299</v>
      </c>
      <c r="Q694" s="16" t="n">
        <v>1299</v>
      </c>
      <c r="R694" s="16" t="n">
        <v>0</v>
      </c>
      <c r="S694" s="16" t="n"/>
      <c r="T694" s="16" t="n">
        <v>2</v>
      </c>
    </row>
    <row r="695" s="103">
      <c r="A695" s="16" t="inlineStr">
        <is>
          <t>B331</t>
        </is>
      </c>
      <c r="B695" s="16" t="inlineStr">
        <is>
          <t>上海区域</t>
        </is>
      </c>
      <c r="C695" s="16" t="inlineStr">
        <is>
          <t>CN0Q</t>
        </is>
      </c>
      <c r="D695" s="16" t="inlineStr">
        <is>
          <t>EE 苏州比斯特购物村</t>
        </is>
      </c>
      <c r="E695" s="16" t="n">
        <v>4</v>
      </c>
      <c r="F695" s="16" t="inlineStr">
        <is>
          <t>奥特莱斯</t>
        </is>
      </c>
      <c r="G695" s="16" t="inlineStr">
        <is>
          <t>EEOWG24E02</t>
        </is>
      </c>
      <c r="H695" s="16" t="n">
        <v>1299</v>
      </c>
      <c r="I695" s="16" t="n">
        <v>1299</v>
      </c>
      <c r="J695" s="17" t="inlineStr">
        <is>
          <t>########</t>
        </is>
      </c>
      <c r="K695" s="16" t="inlineStr">
        <is>
          <t>(99)MIX</t>
        </is>
      </c>
      <c r="L695" s="16" t="inlineStr">
        <is>
          <t>营业中</t>
        </is>
      </c>
      <c r="M695" s="16" t="inlineStr">
        <is>
          <t>EEOWG24E0299170</t>
        </is>
      </c>
      <c r="N695" s="16">
        <f>LEFT(M695,12)</f>
        <v/>
      </c>
      <c r="O695" s="16" t="inlineStr">
        <is>
          <t>EEOWG24E02, (99)MIX, (170)170</t>
        </is>
      </c>
      <c r="P695" s="16" t="n">
        <v>1299</v>
      </c>
      <c r="Q695" s="16" t="n">
        <v>1299</v>
      </c>
      <c r="R695" s="16" t="n"/>
      <c r="S695" s="16" t="n"/>
      <c r="T695" s="16" t="n">
        <v>2</v>
      </c>
    </row>
    <row r="696" s="103">
      <c r="A696" s="16" t="inlineStr">
        <is>
          <t>B331</t>
        </is>
      </c>
      <c r="B696" s="16" t="inlineStr">
        <is>
          <t>上海区域</t>
        </is>
      </c>
      <c r="C696" s="16" t="inlineStr">
        <is>
          <t>CN0Q</t>
        </is>
      </c>
      <c r="D696" s="16" t="inlineStr">
        <is>
          <t>EE 苏州比斯特购物村</t>
        </is>
      </c>
      <c r="E696" s="16" t="n">
        <v>4</v>
      </c>
      <c r="F696" s="16" t="inlineStr">
        <is>
          <t>奥特莱斯</t>
        </is>
      </c>
      <c r="G696" s="16" t="inlineStr">
        <is>
          <t>EEOWG24E03</t>
        </is>
      </c>
      <c r="H696" s="16" t="n">
        <v>1299</v>
      </c>
      <c r="I696" s="16" t="n">
        <v>1299</v>
      </c>
      <c r="J696" s="17" t="inlineStr">
        <is>
          <t>########</t>
        </is>
      </c>
      <c r="K696" s="16" t="inlineStr">
        <is>
          <t>(51)L/Blue</t>
        </is>
      </c>
      <c r="L696" s="16" t="inlineStr">
        <is>
          <t>营业中</t>
        </is>
      </c>
      <c r="M696" s="16" t="inlineStr">
        <is>
          <t>EEOWG24E0351160</t>
        </is>
      </c>
      <c r="N696" s="16">
        <f>LEFT(M696,12)</f>
        <v/>
      </c>
      <c r="O696" s="16" t="inlineStr">
        <is>
          <t>EEOWG24E03, (51)L/Blue, (160)160</t>
        </is>
      </c>
      <c r="P696" s="16" t="n">
        <v>1299</v>
      </c>
      <c r="Q696" s="16" t="n">
        <v>1299</v>
      </c>
      <c r="R696" s="16" t="n">
        <v>1</v>
      </c>
      <c r="S696" s="16" t="n"/>
      <c r="T696" s="16" t="n">
        <v>2</v>
      </c>
    </row>
    <row r="697" s="103">
      <c r="A697" s="16" t="inlineStr">
        <is>
          <t>B331</t>
        </is>
      </c>
      <c r="B697" s="16" t="inlineStr">
        <is>
          <t>上海区域</t>
        </is>
      </c>
      <c r="C697" s="16" t="inlineStr">
        <is>
          <t>CN0Q</t>
        </is>
      </c>
      <c r="D697" s="16" t="inlineStr">
        <is>
          <t>EE 苏州比斯特购物村</t>
        </is>
      </c>
      <c r="E697" s="16" t="n">
        <v>4</v>
      </c>
      <c r="F697" s="16" t="inlineStr">
        <is>
          <t>奥特莱斯</t>
        </is>
      </c>
      <c r="G697" s="16" t="inlineStr">
        <is>
          <t>EEOWG24E03</t>
        </is>
      </c>
      <c r="H697" s="16" t="n">
        <v>1299</v>
      </c>
      <c r="I697" s="16" t="n">
        <v>1299</v>
      </c>
      <c r="J697" s="17" t="inlineStr">
        <is>
          <t>########</t>
        </is>
      </c>
      <c r="K697" s="16" t="inlineStr">
        <is>
          <t>(51)L/Blue</t>
        </is>
      </c>
      <c r="L697" s="16" t="inlineStr">
        <is>
          <t>营业中</t>
        </is>
      </c>
      <c r="M697" s="16" t="inlineStr">
        <is>
          <t>EEOWG24E0351165</t>
        </is>
      </c>
      <c r="N697" s="16">
        <f>LEFT(M697,12)</f>
        <v/>
      </c>
      <c r="O697" s="16" t="inlineStr">
        <is>
          <t>EEOWG24E03, (51)L/Blue, (165)165</t>
        </is>
      </c>
      <c r="P697" s="16" t="n">
        <v>1299</v>
      </c>
      <c r="Q697" s="16" t="n">
        <v>1299</v>
      </c>
      <c r="R697" s="16" t="n"/>
      <c r="S697" s="16" t="n"/>
      <c r="T697" s="16" t="n">
        <v>2</v>
      </c>
    </row>
    <row r="698" s="103">
      <c r="A698" s="16" t="inlineStr">
        <is>
          <t>B331</t>
        </is>
      </c>
      <c r="B698" s="16" t="inlineStr">
        <is>
          <t>上海区域</t>
        </is>
      </c>
      <c r="C698" s="16" t="inlineStr">
        <is>
          <t>CN0Q</t>
        </is>
      </c>
      <c r="D698" s="16" t="inlineStr">
        <is>
          <t>EE 苏州比斯特购物村</t>
        </is>
      </c>
      <c r="E698" s="16" t="n">
        <v>4</v>
      </c>
      <c r="F698" s="16" t="inlineStr">
        <is>
          <t>奥特莱斯</t>
        </is>
      </c>
      <c r="G698" s="16" t="inlineStr">
        <is>
          <t>EEOWG24E03</t>
        </is>
      </c>
      <c r="H698" s="16" t="n">
        <v>1299</v>
      </c>
      <c r="I698" s="16" t="n">
        <v>1299</v>
      </c>
      <c r="J698" s="17" t="inlineStr">
        <is>
          <t>########</t>
        </is>
      </c>
      <c r="K698" s="16" t="inlineStr">
        <is>
          <t>(51)L/Blue</t>
        </is>
      </c>
      <c r="L698" s="16" t="inlineStr">
        <is>
          <t>营业中</t>
        </is>
      </c>
      <c r="M698" s="16" t="inlineStr">
        <is>
          <t>EEOWG24E0351170</t>
        </is>
      </c>
      <c r="N698" s="16">
        <f>LEFT(M698,12)</f>
        <v/>
      </c>
      <c r="O698" s="16" t="inlineStr">
        <is>
          <t>EEOWG24E03, (51)L/Blue, (170)170</t>
        </is>
      </c>
      <c r="P698" s="16" t="n">
        <v>1299</v>
      </c>
      <c r="Q698" s="16" t="n">
        <v>1299</v>
      </c>
      <c r="R698" s="16" t="n"/>
      <c r="S698" s="16" t="n"/>
      <c r="T698" s="16" t="n">
        <v>2</v>
      </c>
    </row>
    <row r="699" s="103">
      <c r="A699" s="16" t="inlineStr">
        <is>
          <t>B331</t>
        </is>
      </c>
      <c r="B699" s="16" t="inlineStr">
        <is>
          <t>上海区域</t>
        </is>
      </c>
      <c r="C699" s="16" t="inlineStr">
        <is>
          <t>CN0Q</t>
        </is>
      </c>
      <c r="D699" s="16" t="inlineStr">
        <is>
          <t>EE 苏州比斯特购物村</t>
        </is>
      </c>
      <c r="E699" s="16" t="n">
        <v>4</v>
      </c>
      <c r="F699" s="16" t="inlineStr">
        <is>
          <t>奥特莱斯</t>
        </is>
      </c>
      <c r="G699" s="16" t="inlineStr">
        <is>
          <t>EEOWG25B02</t>
        </is>
      </c>
      <c r="H699" s="16" t="n">
        <v>1599</v>
      </c>
      <c r="I699" s="16" t="n">
        <v>1299</v>
      </c>
      <c r="J699" s="17" t="inlineStr">
        <is>
          <t>########</t>
        </is>
      </c>
      <c r="K699" s="16" t="inlineStr">
        <is>
          <t>(39)Ivory</t>
        </is>
      </c>
      <c r="L699" s="16" t="inlineStr">
        <is>
          <t>营业中</t>
        </is>
      </c>
      <c r="M699" s="16" t="inlineStr">
        <is>
          <t>EEOWG25B0239160</t>
        </is>
      </c>
      <c r="N699" s="16">
        <f>LEFT(M699,12)</f>
        <v/>
      </c>
      <c r="O699" s="16" t="inlineStr">
        <is>
          <t>EEOWG25B02, (39)Ivory, (160)160</t>
        </is>
      </c>
      <c r="P699" s="16" t="n">
        <v>1599</v>
      </c>
      <c r="Q699" s="16" t="n">
        <v>1299</v>
      </c>
      <c r="R699" s="16" t="n">
        <v>1</v>
      </c>
      <c r="S699" s="16" t="n">
        <v>909</v>
      </c>
      <c r="T699" s="16" t="n">
        <v>4</v>
      </c>
    </row>
    <row r="700" s="103">
      <c r="A700" s="16" t="inlineStr">
        <is>
          <t>B331</t>
        </is>
      </c>
      <c r="B700" s="16" t="inlineStr">
        <is>
          <t>上海区域</t>
        </is>
      </c>
      <c r="C700" s="16" t="inlineStr">
        <is>
          <t>CN0Q</t>
        </is>
      </c>
      <c r="D700" s="16" t="inlineStr">
        <is>
          <t>EE 苏州比斯特购物村</t>
        </is>
      </c>
      <c r="E700" s="16" t="n">
        <v>4</v>
      </c>
      <c r="F700" s="16" t="inlineStr">
        <is>
          <t>奥特莱斯</t>
        </is>
      </c>
      <c r="G700" s="16" t="inlineStr">
        <is>
          <t>EEOWG25B02</t>
        </is>
      </c>
      <c r="H700" s="16" t="n">
        <v>1599</v>
      </c>
      <c r="I700" s="16" t="n">
        <v>1299</v>
      </c>
      <c r="J700" s="17" t="inlineStr">
        <is>
          <t>########</t>
        </is>
      </c>
      <c r="K700" s="16" t="inlineStr">
        <is>
          <t>(39)Ivory</t>
        </is>
      </c>
      <c r="L700" s="16" t="inlineStr">
        <is>
          <t>营业中</t>
        </is>
      </c>
      <c r="M700" s="16" t="inlineStr">
        <is>
          <t>EEOWG25B0239165</t>
        </is>
      </c>
      <c r="N700" s="16">
        <f>LEFT(M700,12)</f>
        <v/>
      </c>
      <c r="O700" s="16" t="inlineStr">
        <is>
          <t>EEOWG25B02, (39)Ivory, (165)165</t>
        </is>
      </c>
      <c r="P700" s="16" t="n">
        <v>1599</v>
      </c>
      <c r="Q700" s="16" t="n">
        <v>1299</v>
      </c>
      <c r="R700" s="16" t="n">
        <v>1</v>
      </c>
      <c r="S700" s="16" t="n"/>
      <c r="T700" s="16" t="n">
        <v>4</v>
      </c>
    </row>
    <row r="701" s="103">
      <c r="A701" s="16" t="inlineStr">
        <is>
          <t>B331</t>
        </is>
      </c>
      <c r="B701" s="16" t="inlineStr">
        <is>
          <t>上海区域</t>
        </is>
      </c>
      <c r="C701" s="16" t="inlineStr">
        <is>
          <t>CN0Q</t>
        </is>
      </c>
      <c r="D701" s="16" t="inlineStr">
        <is>
          <t>EE 苏州比斯特购物村</t>
        </is>
      </c>
      <c r="E701" s="16" t="n">
        <v>4</v>
      </c>
      <c r="F701" s="16" t="inlineStr">
        <is>
          <t>奥特莱斯</t>
        </is>
      </c>
      <c r="G701" s="16" t="inlineStr">
        <is>
          <t>EEOWG25B02</t>
        </is>
      </c>
      <c r="H701" s="16" t="n">
        <v>1599</v>
      </c>
      <c r="I701" s="16" t="n">
        <v>1299</v>
      </c>
      <c r="J701" s="17" t="inlineStr">
        <is>
          <t>########</t>
        </is>
      </c>
      <c r="K701" s="16" t="inlineStr">
        <is>
          <t>(39)Ivory</t>
        </is>
      </c>
      <c r="L701" s="16" t="inlineStr">
        <is>
          <t>营业中</t>
        </is>
      </c>
      <c r="M701" s="16" t="inlineStr">
        <is>
          <t>EEOWG25B0239170</t>
        </is>
      </c>
      <c r="N701" s="16">
        <f>LEFT(M701,12)</f>
        <v/>
      </c>
      <c r="O701" s="16" t="inlineStr">
        <is>
          <t>EEOWG25B02, (39)Ivory, (170)170</t>
        </is>
      </c>
      <c r="P701" s="16" t="n">
        <v>1599</v>
      </c>
      <c r="Q701" s="16" t="n">
        <v>1299</v>
      </c>
      <c r="R701" s="16" t="n"/>
      <c r="S701" s="16" t="n"/>
      <c r="T701" s="16" t="n">
        <v>2</v>
      </c>
    </row>
    <row r="702" s="103">
      <c r="A702" s="16" t="inlineStr">
        <is>
          <t>B331</t>
        </is>
      </c>
      <c r="B702" s="16" t="inlineStr">
        <is>
          <t>上海区域</t>
        </is>
      </c>
      <c r="C702" s="16" t="inlineStr">
        <is>
          <t>CN0Q</t>
        </is>
      </c>
      <c r="D702" s="16" t="inlineStr">
        <is>
          <t>EE 苏州比斯特购物村</t>
        </is>
      </c>
      <c r="E702" s="16" t="n">
        <v>4</v>
      </c>
      <c r="F702" s="16" t="inlineStr">
        <is>
          <t>奥特莱斯</t>
        </is>
      </c>
      <c r="G702" s="16" t="inlineStr">
        <is>
          <t>EEOWG25B03</t>
        </is>
      </c>
      <c r="H702" s="16" t="n">
        <v>1299</v>
      </c>
      <c r="I702" s="16" t="n">
        <v>1299</v>
      </c>
      <c r="J702" s="17" t="inlineStr">
        <is>
          <t>########</t>
        </is>
      </c>
      <c r="K702" s="16" t="inlineStr">
        <is>
          <t>(30)Yellow</t>
        </is>
      </c>
      <c r="L702" s="16" t="inlineStr">
        <is>
          <t>营业中</t>
        </is>
      </c>
      <c r="M702" s="16" t="inlineStr">
        <is>
          <t>EEOWG25B0330160</t>
        </is>
      </c>
      <c r="N702" s="16">
        <f>LEFT(M702,12)</f>
        <v/>
      </c>
      <c r="O702" s="16" t="inlineStr">
        <is>
          <t>EEOWG25B03, (30)Yellow, (160)160</t>
        </is>
      </c>
      <c r="P702" s="16" t="n">
        <v>1299</v>
      </c>
      <c r="Q702" s="16" t="n">
        <v>1299</v>
      </c>
      <c r="R702" s="16" t="n"/>
      <c r="S702" s="16" t="n"/>
      <c r="T702" s="16" t="n">
        <v>2</v>
      </c>
    </row>
    <row r="703" s="103">
      <c r="A703" s="16" t="inlineStr">
        <is>
          <t>B331</t>
        </is>
      </c>
      <c r="B703" s="16" t="inlineStr">
        <is>
          <t>上海区域</t>
        </is>
      </c>
      <c r="C703" s="16" t="inlineStr">
        <is>
          <t>CN0Q</t>
        </is>
      </c>
      <c r="D703" s="16" t="inlineStr">
        <is>
          <t>EE 苏州比斯特购物村</t>
        </is>
      </c>
      <c r="E703" s="16" t="n">
        <v>4</v>
      </c>
      <c r="F703" s="16" t="inlineStr">
        <is>
          <t>奥特莱斯</t>
        </is>
      </c>
      <c r="G703" s="16" t="inlineStr">
        <is>
          <t>EEOWG25B03</t>
        </is>
      </c>
      <c r="H703" s="16" t="n">
        <v>1299</v>
      </c>
      <c r="I703" s="16" t="n">
        <v>1299</v>
      </c>
      <c r="J703" s="17" t="inlineStr">
        <is>
          <t>########</t>
        </is>
      </c>
      <c r="K703" s="16" t="inlineStr">
        <is>
          <t>(30)Yellow</t>
        </is>
      </c>
      <c r="L703" s="16" t="inlineStr">
        <is>
          <t>营业中</t>
        </is>
      </c>
      <c r="M703" s="16" t="inlineStr">
        <is>
          <t>EEOWG25B0330165</t>
        </is>
      </c>
      <c r="N703" s="16">
        <f>LEFT(M703,12)</f>
        <v/>
      </c>
      <c r="O703" s="16" t="inlineStr">
        <is>
          <t>EEOWG25B03, (30)Yellow, (165)165</t>
        </is>
      </c>
      <c r="P703" s="16" t="n">
        <v>1299</v>
      </c>
      <c r="Q703" s="16" t="n">
        <v>1299</v>
      </c>
      <c r="R703" s="16" t="n">
        <v>1</v>
      </c>
      <c r="S703" s="16" t="n"/>
      <c r="T703" s="16" t="n">
        <v>2</v>
      </c>
    </row>
    <row r="704" s="103">
      <c r="A704" s="16" t="inlineStr">
        <is>
          <t>B331</t>
        </is>
      </c>
      <c r="B704" s="16" t="inlineStr">
        <is>
          <t>上海区域</t>
        </is>
      </c>
      <c r="C704" s="16" t="inlineStr">
        <is>
          <t>CN0Q</t>
        </is>
      </c>
      <c r="D704" s="16" t="inlineStr">
        <is>
          <t>EE 苏州比斯特购物村</t>
        </is>
      </c>
      <c r="E704" s="16" t="n">
        <v>4</v>
      </c>
      <c r="F704" s="16" t="inlineStr">
        <is>
          <t>奥特莱斯</t>
        </is>
      </c>
      <c r="G704" s="16" t="inlineStr">
        <is>
          <t>EEOWG25B03</t>
        </is>
      </c>
      <c r="H704" s="16" t="n">
        <v>1299</v>
      </c>
      <c r="I704" s="16" t="n">
        <v>1299</v>
      </c>
      <c r="J704" s="17" t="inlineStr">
        <is>
          <t>########</t>
        </is>
      </c>
      <c r="K704" s="16" t="inlineStr">
        <is>
          <t>(30)Yellow</t>
        </is>
      </c>
      <c r="L704" s="16" t="inlineStr">
        <is>
          <t>营业中</t>
        </is>
      </c>
      <c r="M704" s="16" t="inlineStr">
        <is>
          <t>EEOWG25B0330170</t>
        </is>
      </c>
      <c r="N704" s="16">
        <f>LEFT(M704,12)</f>
        <v/>
      </c>
      <c r="O704" s="16" t="inlineStr">
        <is>
          <t>EEOWG25B03, (30)Yellow, (170)170</t>
        </is>
      </c>
      <c r="P704" s="16" t="n">
        <v>1299</v>
      </c>
      <c r="Q704" s="16" t="n">
        <v>1299</v>
      </c>
      <c r="R704" s="16" t="n"/>
      <c r="S704" s="16" t="n"/>
      <c r="T704" s="16" t="n">
        <v>2</v>
      </c>
    </row>
    <row r="705" s="103">
      <c r="A705" s="16" t="inlineStr">
        <is>
          <t>B331</t>
        </is>
      </c>
      <c r="B705" s="16" t="inlineStr">
        <is>
          <t>上海区域</t>
        </is>
      </c>
      <c r="C705" s="16" t="inlineStr">
        <is>
          <t>CN0Q</t>
        </is>
      </c>
      <c r="D705" s="16" t="inlineStr">
        <is>
          <t>EE 苏州比斯特购物村</t>
        </is>
      </c>
      <c r="E705" s="16" t="n">
        <v>4</v>
      </c>
      <c r="F705" s="16" t="inlineStr">
        <is>
          <t>奥特莱斯</t>
        </is>
      </c>
      <c r="G705" s="16" t="inlineStr">
        <is>
          <t>EEOWG25B04</t>
        </is>
      </c>
      <c r="H705" s="16" t="n">
        <v>999</v>
      </c>
      <c r="I705" s="16" t="n">
        <v>1299</v>
      </c>
      <c r="J705" s="17" t="inlineStr">
        <is>
          <t>########</t>
        </is>
      </c>
      <c r="K705" s="16" t="inlineStr">
        <is>
          <t>(39)Ivory</t>
        </is>
      </c>
      <c r="L705" s="16" t="inlineStr">
        <is>
          <t>营业中</t>
        </is>
      </c>
      <c r="M705" s="16" t="inlineStr">
        <is>
          <t>EEOWG25B0439160</t>
        </is>
      </c>
      <c r="N705" s="16">
        <f>LEFT(M705,12)</f>
        <v/>
      </c>
      <c r="O705" s="16" t="inlineStr">
        <is>
          <t>EEOWG25B04, (39)Ivory, (160)160</t>
        </is>
      </c>
      <c r="P705" s="16" t="n">
        <v>999</v>
      </c>
      <c r="Q705" s="16" t="n">
        <v>1299</v>
      </c>
      <c r="R705" s="16" t="n">
        <v>3</v>
      </c>
      <c r="S705" s="16" t="n">
        <v>847</v>
      </c>
      <c r="T705" s="16" t="n">
        <v>3</v>
      </c>
    </row>
    <row r="706" s="103">
      <c r="A706" s="16" t="inlineStr">
        <is>
          <t>B331</t>
        </is>
      </c>
      <c r="B706" s="16" t="inlineStr">
        <is>
          <t>上海区域</t>
        </is>
      </c>
      <c r="C706" s="16" t="inlineStr">
        <is>
          <t>CN0Q</t>
        </is>
      </c>
      <c r="D706" s="16" t="inlineStr">
        <is>
          <t>EE 苏州比斯特购物村</t>
        </is>
      </c>
      <c r="E706" s="16" t="n">
        <v>4</v>
      </c>
      <c r="F706" s="16" t="inlineStr">
        <is>
          <t>奥特莱斯</t>
        </is>
      </c>
      <c r="G706" s="16" t="inlineStr">
        <is>
          <t>EEOWG25B04</t>
        </is>
      </c>
      <c r="H706" s="16" t="n">
        <v>999</v>
      </c>
      <c r="I706" s="16" t="n">
        <v>1299</v>
      </c>
      <c r="J706" s="17" t="inlineStr">
        <is>
          <t>########</t>
        </is>
      </c>
      <c r="K706" s="16" t="inlineStr">
        <is>
          <t>(39)Ivory</t>
        </is>
      </c>
      <c r="L706" s="16" t="inlineStr">
        <is>
          <t>营业中</t>
        </is>
      </c>
      <c r="M706" s="16" t="inlineStr">
        <is>
          <t>EEOWG25B0439165</t>
        </is>
      </c>
      <c r="N706" s="16">
        <f>LEFT(M706,12)</f>
        <v/>
      </c>
      <c r="O706" s="16" t="inlineStr">
        <is>
          <t>EEOWG25B04, (39)Ivory, (165)165</t>
        </is>
      </c>
      <c r="P706" s="16" t="n">
        <v>999</v>
      </c>
      <c r="Q706" s="16" t="n">
        <v>1299</v>
      </c>
      <c r="R706" s="16" t="n"/>
      <c r="S706" s="16" t="n"/>
      <c r="T706" s="16" t="n">
        <v>4</v>
      </c>
    </row>
    <row r="707" s="103">
      <c r="A707" s="16" t="inlineStr">
        <is>
          <t>B331</t>
        </is>
      </c>
      <c r="B707" s="16" t="inlineStr">
        <is>
          <t>上海区域</t>
        </is>
      </c>
      <c r="C707" s="16" t="inlineStr">
        <is>
          <t>CN0Q</t>
        </is>
      </c>
      <c r="D707" s="16" t="inlineStr">
        <is>
          <t>EE 苏州比斯特购物村</t>
        </is>
      </c>
      <c r="E707" s="16" t="n">
        <v>4</v>
      </c>
      <c r="F707" s="16" t="inlineStr">
        <is>
          <t>奥特莱斯</t>
        </is>
      </c>
      <c r="G707" s="16" t="inlineStr">
        <is>
          <t>EEOWG25B04</t>
        </is>
      </c>
      <c r="H707" s="16" t="n">
        <v>999</v>
      </c>
      <c r="I707" s="16" t="n">
        <v>1299</v>
      </c>
      <c r="J707" s="17" t="inlineStr">
        <is>
          <t>########</t>
        </is>
      </c>
      <c r="K707" s="16" t="inlineStr">
        <is>
          <t>(39)Ivory</t>
        </is>
      </c>
      <c r="L707" s="16" t="inlineStr">
        <is>
          <t>营业中</t>
        </is>
      </c>
      <c r="M707" s="16" t="inlineStr">
        <is>
          <t>EEOWG25B0439170</t>
        </is>
      </c>
      <c r="N707" s="16">
        <f>LEFT(M707,12)</f>
        <v/>
      </c>
      <c r="O707" s="16" t="inlineStr">
        <is>
          <t>EEOWG25B04, (39)Ivory, (170)170</t>
        </is>
      </c>
      <c r="P707" s="16" t="n">
        <v>999</v>
      </c>
      <c r="Q707" s="16" t="n">
        <v>1299</v>
      </c>
      <c r="R707" s="16" t="n"/>
      <c r="S707" s="16" t="n"/>
      <c r="T707" s="16" t="n">
        <v>2</v>
      </c>
    </row>
    <row r="708" s="103">
      <c r="A708" s="16" t="inlineStr">
        <is>
          <t>B331</t>
        </is>
      </c>
      <c r="B708" s="16" t="inlineStr">
        <is>
          <t>上海区域</t>
        </is>
      </c>
      <c r="C708" s="16" t="inlineStr">
        <is>
          <t>CN0Q</t>
        </is>
      </c>
      <c r="D708" s="16" t="inlineStr">
        <is>
          <t>EE 苏州比斯特购物村</t>
        </is>
      </c>
      <c r="E708" s="16" t="n">
        <v>4</v>
      </c>
      <c r="F708" s="16" t="inlineStr">
        <is>
          <t>奥特莱斯</t>
        </is>
      </c>
      <c r="G708" s="16" t="inlineStr">
        <is>
          <t>EEOWG25B05</t>
        </is>
      </c>
      <c r="H708" s="16" t="n">
        <v>1299</v>
      </c>
      <c r="I708" s="16" t="n">
        <v>1599</v>
      </c>
      <c r="J708" s="17" t="inlineStr">
        <is>
          <t>########</t>
        </is>
      </c>
      <c r="K708" s="16" t="inlineStr">
        <is>
          <t>(99)MIX</t>
        </is>
      </c>
      <c r="L708" s="16" t="inlineStr">
        <is>
          <t>营业中</t>
        </is>
      </c>
      <c r="M708" s="16" t="inlineStr">
        <is>
          <t>EEOWG25B0599160</t>
        </is>
      </c>
      <c r="N708" s="16">
        <f>LEFT(M708,12)</f>
        <v/>
      </c>
      <c r="O708" s="16" t="inlineStr">
        <is>
          <t>EEOWG25B05, (99)MIX, (160)160</t>
        </is>
      </c>
      <c r="P708" s="16" t="n">
        <v>1299</v>
      </c>
      <c r="Q708" s="16" t="n">
        <v>1599</v>
      </c>
      <c r="R708" s="16" t="n">
        <v>1</v>
      </c>
      <c r="S708" s="18" t="n">
        <v>1019</v>
      </c>
      <c r="T708" s="16" t="n">
        <v>1</v>
      </c>
    </row>
    <row r="709" s="103">
      <c r="A709" s="16" t="inlineStr">
        <is>
          <t>B331</t>
        </is>
      </c>
      <c r="B709" s="16" t="inlineStr">
        <is>
          <t>上海区域</t>
        </is>
      </c>
      <c r="C709" s="16" t="inlineStr">
        <is>
          <t>CN0Q</t>
        </is>
      </c>
      <c r="D709" s="16" t="inlineStr">
        <is>
          <t>EE 苏州比斯特购物村</t>
        </is>
      </c>
      <c r="E709" s="16" t="n">
        <v>4</v>
      </c>
      <c r="F709" s="16" t="inlineStr">
        <is>
          <t>奥特莱斯</t>
        </is>
      </c>
      <c r="G709" s="16" t="inlineStr">
        <is>
          <t>EEOWG25B05</t>
        </is>
      </c>
      <c r="H709" s="16" t="n">
        <v>1299</v>
      </c>
      <c r="I709" s="16" t="n">
        <v>1599</v>
      </c>
      <c r="J709" s="17" t="inlineStr">
        <is>
          <t>########</t>
        </is>
      </c>
      <c r="K709" s="16" t="inlineStr">
        <is>
          <t>(99)MIX</t>
        </is>
      </c>
      <c r="L709" s="16" t="inlineStr">
        <is>
          <t>营业中</t>
        </is>
      </c>
      <c r="M709" s="16" t="inlineStr">
        <is>
          <t>EEOWG25B0599165</t>
        </is>
      </c>
      <c r="N709" s="16">
        <f>LEFT(M709,12)</f>
        <v/>
      </c>
      <c r="O709" s="16" t="inlineStr">
        <is>
          <t>EEOWG25B05, (99)MIX, (165)165</t>
        </is>
      </c>
      <c r="P709" s="16" t="n">
        <v>1299</v>
      </c>
      <c r="Q709" s="16" t="n">
        <v>1599</v>
      </c>
      <c r="R709" s="16" t="n"/>
      <c r="S709" s="16" t="n"/>
      <c r="T709" s="16" t="n">
        <v>2</v>
      </c>
    </row>
    <row r="710" s="103">
      <c r="A710" s="16" t="inlineStr">
        <is>
          <t>B331</t>
        </is>
      </c>
      <c r="B710" s="16" t="inlineStr">
        <is>
          <t>上海区域</t>
        </is>
      </c>
      <c r="C710" s="16" t="inlineStr">
        <is>
          <t>CN0Q</t>
        </is>
      </c>
      <c r="D710" s="16" t="inlineStr">
        <is>
          <t>EE 苏州比斯特购物村</t>
        </is>
      </c>
      <c r="E710" s="16" t="n">
        <v>4</v>
      </c>
      <c r="F710" s="16" t="inlineStr">
        <is>
          <t>奥特莱斯</t>
        </is>
      </c>
      <c r="G710" s="16" t="inlineStr">
        <is>
          <t>EEOWG25B05</t>
        </is>
      </c>
      <c r="H710" s="16" t="n">
        <v>1299</v>
      </c>
      <c r="I710" s="16" t="n">
        <v>1599</v>
      </c>
      <c r="J710" s="17" t="inlineStr">
        <is>
          <t>########</t>
        </is>
      </c>
      <c r="K710" s="16" t="inlineStr">
        <is>
          <t>(99)MIX</t>
        </is>
      </c>
      <c r="L710" s="16" t="inlineStr">
        <is>
          <t>营业中</t>
        </is>
      </c>
      <c r="M710" s="16" t="inlineStr">
        <is>
          <t>EEOWG25B0599170</t>
        </is>
      </c>
      <c r="N710" s="16">
        <f>LEFT(M710,12)</f>
        <v/>
      </c>
      <c r="O710" s="16" t="inlineStr">
        <is>
          <t>EEOWG25B05, (99)MIX, (170)170</t>
        </is>
      </c>
      <c r="P710" s="16" t="n">
        <v>1299</v>
      </c>
      <c r="Q710" s="16" t="n">
        <v>1599</v>
      </c>
      <c r="R710" s="16" t="n">
        <v>1</v>
      </c>
      <c r="S710" s="18" t="n">
        <v>1047</v>
      </c>
      <c r="T710" s="16" t="n">
        <v>0</v>
      </c>
    </row>
    <row r="711" s="103">
      <c r="A711" s="16" t="inlineStr">
        <is>
          <t>B331</t>
        </is>
      </c>
      <c r="B711" s="16" t="inlineStr">
        <is>
          <t>上海区域</t>
        </is>
      </c>
      <c r="C711" s="16" t="inlineStr">
        <is>
          <t>CN0Q</t>
        </is>
      </c>
      <c r="D711" s="16" t="inlineStr">
        <is>
          <t>EE 苏州比斯特购物村</t>
        </is>
      </c>
      <c r="E711" s="16" t="n">
        <v>4</v>
      </c>
      <c r="F711" s="16" t="inlineStr">
        <is>
          <t>奥特莱斯</t>
        </is>
      </c>
      <c r="G711" s="16" t="inlineStr">
        <is>
          <t>EEOWG25B07</t>
        </is>
      </c>
      <c r="H711" s="16" t="n">
        <v>1299</v>
      </c>
      <c r="I711" s="16" t="n">
        <v>1299</v>
      </c>
      <c r="J711" s="17" t="inlineStr">
        <is>
          <t>########</t>
        </is>
      </c>
      <c r="K711" s="16" t="inlineStr">
        <is>
          <t>(99)MIX</t>
        </is>
      </c>
      <c r="L711" s="16" t="inlineStr">
        <is>
          <t>营业中</t>
        </is>
      </c>
      <c r="M711" s="16" t="inlineStr">
        <is>
          <t>EEOWG25B0799160</t>
        </is>
      </c>
      <c r="N711" s="16">
        <f>LEFT(M711,12)</f>
        <v/>
      </c>
      <c r="O711" s="16" t="inlineStr">
        <is>
          <t>EEOWG25B07, (99)MIX, (160)160</t>
        </is>
      </c>
      <c r="P711" s="16" t="n">
        <v>1299</v>
      </c>
      <c r="Q711" s="16" t="n">
        <v>1299</v>
      </c>
      <c r="R711" s="16" t="n">
        <v>1</v>
      </c>
      <c r="S711" s="16" t="n">
        <v>820</v>
      </c>
      <c r="T711" s="16" t="n">
        <v>0</v>
      </c>
    </row>
    <row r="712" s="103">
      <c r="A712" s="16" t="inlineStr">
        <is>
          <t>B331</t>
        </is>
      </c>
      <c r="B712" s="16" t="inlineStr">
        <is>
          <t>上海区域</t>
        </is>
      </c>
      <c r="C712" s="16" t="inlineStr">
        <is>
          <t>CN0Q</t>
        </is>
      </c>
      <c r="D712" s="16" t="inlineStr">
        <is>
          <t>EE 苏州比斯特购物村</t>
        </is>
      </c>
      <c r="E712" s="16" t="n">
        <v>4</v>
      </c>
      <c r="F712" s="16" t="inlineStr">
        <is>
          <t>奥特莱斯</t>
        </is>
      </c>
      <c r="G712" s="16" t="inlineStr">
        <is>
          <t>EEOWG25B07</t>
        </is>
      </c>
      <c r="H712" s="16" t="n">
        <v>1299</v>
      </c>
      <c r="I712" s="16" t="n">
        <v>1299</v>
      </c>
      <c r="J712" s="17" t="inlineStr">
        <is>
          <t>########</t>
        </is>
      </c>
      <c r="K712" s="16" t="inlineStr">
        <is>
          <t>(99)MIX</t>
        </is>
      </c>
      <c r="L712" s="16" t="inlineStr">
        <is>
          <t>营业中</t>
        </is>
      </c>
      <c r="M712" s="16" t="inlineStr">
        <is>
          <t>EEOWG25B0799165</t>
        </is>
      </c>
      <c r="N712" s="16">
        <f>LEFT(M712,12)</f>
        <v/>
      </c>
      <c r="O712" s="16" t="inlineStr">
        <is>
          <t>EEOWG25B07, (99)MIX, (165)165</t>
        </is>
      </c>
      <c r="P712" s="16" t="n">
        <v>1299</v>
      </c>
      <c r="Q712" s="16" t="n">
        <v>1299</v>
      </c>
      <c r="R712" s="16" t="n"/>
      <c r="S712" s="16" t="n"/>
      <c r="T712" s="16" t="n">
        <v>1</v>
      </c>
    </row>
    <row r="713" s="103">
      <c r="A713" s="16" t="inlineStr">
        <is>
          <t>B331</t>
        </is>
      </c>
      <c r="B713" s="16" t="inlineStr">
        <is>
          <t>上海区域</t>
        </is>
      </c>
      <c r="C713" s="16" t="inlineStr">
        <is>
          <t>CN0Q</t>
        </is>
      </c>
      <c r="D713" s="16" t="inlineStr">
        <is>
          <t>EE 苏州比斯特购物村</t>
        </is>
      </c>
      <c r="E713" s="16" t="n">
        <v>4</v>
      </c>
      <c r="F713" s="16" t="inlineStr">
        <is>
          <t>奥特莱斯</t>
        </is>
      </c>
      <c r="G713" s="16" t="inlineStr">
        <is>
          <t>EEOWG25B07</t>
        </is>
      </c>
      <c r="H713" s="16" t="n">
        <v>1299</v>
      </c>
      <c r="I713" s="16" t="n">
        <v>1299</v>
      </c>
      <c r="J713" s="17" t="inlineStr">
        <is>
          <t>########</t>
        </is>
      </c>
      <c r="K713" s="16" t="inlineStr">
        <is>
          <t>(99)MIX</t>
        </is>
      </c>
      <c r="L713" s="16" t="inlineStr">
        <is>
          <t>营业中</t>
        </is>
      </c>
      <c r="M713" s="16" t="inlineStr">
        <is>
          <t>EEOWG25B0799170</t>
        </is>
      </c>
      <c r="N713" s="16">
        <f>LEFT(M713,12)</f>
        <v/>
      </c>
      <c r="O713" s="16" t="inlineStr">
        <is>
          <t>EEOWG25B07, (99)MIX, (170)170</t>
        </is>
      </c>
      <c r="P713" s="16" t="n">
        <v>1299</v>
      </c>
      <c r="Q713" s="16" t="n">
        <v>1299</v>
      </c>
      <c r="R713" s="16" t="n">
        <v>2</v>
      </c>
      <c r="S713" s="16" t="n">
        <v>839</v>
      </c>
      <c r="T713" s="16" t="n">
        <v>1</v>
      </c>
    </row>
    <row r="714" s="103">
      <c r="A714" s="16" t="inlineStr">
        <is>
          <t>B331</t>
        </is>
      </c>
      <c r="B714" s="16" t="inlineStr">
        <is>
          <t>上海区域</t>
        </is>
      </c>
      <c r="C714" s="16" t="inlineStr">
        <is>
          <t>CN0Q</t>
        </is>
      </c>
      <c r="D714" s="16" t="inlineStr">
        <is>
          <t>EE 苏州比斯特购物村</t>
        </is>
      </c>
      <c r="E714" s="16" t="n">
        <v>4</v>
      </c>
      <c r="F714" s="16" t="inlineStr">
        <is>
          <t>奥特莱斯</t>
        </is>
      </c>
      <c r="G714" s="16" t="inlineStr">
        <is>
          <t>EEOWG25B09</t>
        </is>
      </c>
      <c r="H714" s="16" t="n">
        <v>1299</v>
      </c>
      <c r="I714" s="16" t="n">
        <v>1299</v>
      </c>
      <c r="J714" s="17" t="inlineStr">
        <is>
          <t>########</t>
        </is>
      </c>
      <c r="K714" s="16" t="inlineStr">
        <is>
          <t>(59)Navy</t>
        </is>
      </c>
      <c r="L714" s="16" t="inlineStr">
        <is>
          <t>营业中</t>
        </is>
      </c>
      <c r="M714" s="16" t="inlineStr">
        <is>
          <t>EEOWG25B0959160</t>
        </is>
      </c>
      <c r="N714" s="16">
        <f>LEFT(M714,12)</f>
        <v/>
      </c>
      <c r="O714" s="16" t="inlineStr">
        <is>
          <t>EEOWG25B09, (59)Navy, (160)160</t>
        </is>
      </c>
      <c r="P714" s="16" t="n">
        <v>1299</v>
      </c>
      <c r="Q714" s="16" t="n">
        <v>1299</v>
      </c>
      <c r="R714" s="16" t="n"/>
      <c r="S714" s="16" t="n"/>
      <c r="T714" s="16" t="n">
        <v>3</v>
      </c>
    </row>
    <row r="715" s="103">
      <c r="A715" s="16" t="inlineStr">
        <is>
          <t>B331</t>
        </is>
      </c>
      <c r="B715" s="16" t="inlineStr">
        <is>
          <t>上海区域</t>
        </is>
      </c>
      <c r="C715" s="16" t="inlineStr">
        <is>
          <t>CN0Q</t>
        </is>
      </c>
      <c r="D715" s="16" t="inlineStr">
        <is>
          <t>EE 苏州比斯特购物村</t>
        </is>
      </c>
      <c r="E715" s="16" t="n">
        <v>4</v>
      </c>
      <c r="F715" s="16" t="inlineStr">
        <is>
          <t>奥特莱斯</t>
        </is>
      </c>
      <c r="G715" s="16" t="inlineStr">
        <is>
          <t>EEOWG25B09</t>
        </is>
      </c>
      <c r="H715" s="16" t="n">
        <v>1299</v>
      </c>
      <c r="I715" s="16" t="n">
        <v>1299</v>
      </c>
      <c r="J715" s="17" t="inlineStr">
        <is>
          <t>########</t>
        </is>
      </c>
      <c r="K715" s="16" t="inlineStr">
        <is>
          <t>(59)Navy</t>
        </is>
      </c>
      <c r="L715" s="16" t="inlineStr">
        <is>
          <t>营业中</t>
        </is>
      </c>
      <c r="M715" s="16" t="inlineStr">
        <is>
          <t>EEOWG25B0959165</t>
        </is>
      </c>
      <c r="N715" s="16">
        <f>LEFT(M715,12)</f>
        <v/>
      </c>
      <c r="O715" s="16" t="inlineStr">
        <is>
          <t>EEOWG25B09, (59)Navy, (165)165</t>
        </is>
      </c>
      <c r="P715" s="16" t="n">
        <v>1299</v>
      </c>
      <c r="Q715" s="16" t="n">
        <v>1299</v>
      </c>
      <c r="R715" s="16" t="n"/>
      <c r="S715" s="16" t="n"/>
      <c r="T715" s="16" t="n">
        <v>3</v>
      </c>
    </row>
    <row r="716" s="103">
      <c r="A716" s="16" t="inlineStr">
        <is>
          <t>B331</t>
        </is>
      </c>
      <c r="B716" s="16" t="inlineStr">
        <is>
          <t>上海区域</t>
        </is>
      </c>
      <c r="C716" s="16" t="inlineStr">
        <is>
          <t>CN0Q</t>
        </is>
      </c>
      <c r="D716" s="16" t="inlineStr">
        <is>
          <t>EE 苏州比斯特购物村</t>
        </is>
      </c>
      <c r="E716" s="16" t="n">
        <v>4</v>
      </c>
      <c r="F716" s="16" t="inlineStr">
        <is>
          <t>奥特莱斯</t>
        </is>
      </c>
      <c r="G716" s="16" t="inlineStr">
        <is>
          <t>EEOWG25B09</t>
        </is>
      </c>
      <c r="H716" s="16" t="n">
        <v>1299</v>
      </c>
      <c r="I716" s="16" t="n">
        <v>1299</v>
      </c>
      <c r="J716" s="17" t="inlineStr">
        <is>
          <t>########</t>
        </is>
      </c>
      <c r="K716" s="16" t="inlineStr">
        <is>
          <t>(59)Navy</t>
        </is>
      </c>
      <c r="L716" s="16" t="inlineStr">
        <is>
          <t>营业中</t>
        </is>
      </c>
      <c r="M716" s="16" t="inlineStr">
        <is>
          <t>EEOWG25B0959170</t>
        </is>
      </c>
      <c r="N716" s="16">
        <f>LEFT(M716,12)</f>
        <v/>
      </c>
      <c r="O716" s="16" t="inlineStr">
        <is>
          <t>EEOWG25B09, (59)Navy, (170)170</t>
        </is>
      </c>
      <c r="P716" s="16" t="n">
        <v>1299</v>
      </c>
      <c r="Q716" s="16" t="n">
        <v>1299</v>
      </c>
      <c r="R716" s="16" t="n"/>
      <c r="S716" s="16" t="n"/>
      <c r="T716" s="16" t="n">
        <v>1</v>
      </c>
    </row>
    <row r="717" s="103">
      <c r="A717" s="16" t="inlineStr">
        <is>
          <t>B331</t>
        </is>
      </c>
      <c r="B717" s="16" t="inlineStr">
        <is>
          <t>上海区域</t>
        </is>
      </c>
      <c r="C717" s="16" t="inlineStr">
        <is>
          <t>CN0Q</t>
        </is>
      </c>
      <c r="D717" s="16" t="inlineStr">
        <is>
          <t>EE 苏州比斯特购物村</t>
        </is>
      </c>
      <c r="E717" s="16" t="n">
        <v>4</v>
      </c>
      <c r="F717" s="16" t="inlineStr">
        <is>
          <t>奥特莱斯</t>
        </is>
      </c>
      <c r="G717" s="16" t="inlineStr">
        <is>
          <t>EEOWG25B10</t>
        </is>
      </c>
      <c r="H717" s="16" t="n">
        <v>1299</v>
      </c>
      <c r="I717" s="16" t="n">
        <v>1299</v>
      </c>
      <c r="J717" s="17" t="n">
        <v>46149</v>
      </c>
      <c r="K717" s="16" t="inlineStr">
        <is>
          <t>(32)Mustard Yellow</t>
        </is>
      </c>
      <c r="L717" s="16" t="inlineStr">
        <is>
          <t>营业中</t>
        </is>
      </c>
      <c r="M717" s="16" t="inlineStr">
        <is>
          <t>EEOWG25B1032160</t>
        </is>
      </c>
      <c r="N717" s="16">
        <f>LEFT(M717,12)</f>
        <v/>
      </c>
      <c r="O717" s="16" t="inlineStr">
        <is>
          <t>EEOWG25B10, (32)Mustard Yellow, (160)160</t>
        </is>
      </c>
      <c r="P717" s="16" t="n">
        <v>1299</v>
      </c>
      <c r="Q717" s="16" t="n">
        <v>1299</v>
      </c>
      <c r="R717" s="16" t="n"/>
      <c r="S717" s="16" t="n"/>
      <c r="T717" s="16" t="n">
        <v>3</v>
      </c>
    </row>
    <row r="718" s="103">
      <c r="A718" s="16" t="inlineStr">
        <is>
          <t>B331</t>
        </is>
      </c>
      <c r="B718" s="16" t="inlineStr">
        <is>
          <t>上海区域</t>
        </is>
      </c>
      <c r="C718" s="16" t="inlineStr">
        <is>
          <t>CN0Q</t>
        </is>
      </c>
      <c r="D718" s="16" t="inlineStr">
        <is>
          <t>EE 苏州比斯特购物村</t>
        </is>
      </c>
      <c r="E718" s="16" t="n">
        <v>4</v>
      </c>
      <c r="F718" s="16" t="inlineStr">
        <is>
          <t>奥特莱斯</t>
        </is>
      </c>
      <c r="G718" s="16" t="inlineStr">
        <is>
          <t>EEOWG25B10</t>
        </is>
      </c>
      <c r="H718" s="16" t="n">
        <v>1299</v>
      </c>
      <c r="I718" s="16" t="n">
        <v>1299</v>
      </c>
      <c r="J718" s="17" t="n">
        <v>46149</v>
      </c>
      <c r="K718" s="16" t="inlineStr">
        <is>
          <t>(32)Mustard Yellow</t>
        </is>
      </c>
      <c r="L718" s="16" t="inlineStr">
        <is>
          <t>营业中</t>
        </is>
      </c>
      <c r="M718" s="16" t="inlineStr">
        <is>
          <t>EEOWG25B1032165</t>
        </is>
      </c>
      <c r="N718" s="16">
        <f>LEFT(M718,12)</f>
        <v/>
      </c>
      <c r="O718" s="16" t="inlineStr">
        <is>
          <t>EEOWG25B10, (32)Mustard Yellow, (165)165</t>
        </is>
      </c>
      <c r="P718" s="16" t="n">
        <v>1299</v>
      </c>
      <c r="Q718" s="16" t="n">
        <v>1299</v>
      </c>
      <c r="R718" s="16" t="n"/>
      <c r="S718" s="16" t="n"/>
      <c r="T718" s="16" t="n">
        <v>3</v>
      </c>
    </row>
    <row r="719" s="103">
      <c r="A719" s="16" t="inlineStr">
        <is>
          <t>B331</t>
        </is>
      </c>
      <c r="B719" s="16" t="inlineStr">
        <is>
          <t>上海区域</t>
        </is>
      </c>
      <c r="C719" s="16" t="inlineStr">
        <is>
          <t>CN0Q</t>
        </is>
      </c>
      <c r="D719" s="16" t="inlineStr">
        <is>
          <t>EE 苏州比斯特购物村</t>
        </is>
      </c>
      <c r="E719" s="16" t="n">
        <v>4</v>
      </c>
      <c r="F719" s="16" t="inlineStr">
        <is>
          <t>奥特莱斯</t>
        </is>
      </c>
      <c r="G719" s="16" t="inlineStr">
        <is>
          <t>EEOWG25B10</t>
        </is>
      </c>
      <c r="H719" s="16" t="n">
        <v>1299</v>
      </c>
      <c r="I719" s="16" t="n">
        <v>1299</v>
      </c>
      <c r="J719" s="17" t="n">
        <v>46149</v>
      </c>
      <c r="K719" s="16" t="inlineStr">
        <is>
          <t>(32)Mustard Yellow</t>
        </is>
      </c>
      <c r="L719" s="16" t="inlineStr">
        <is>
          <t>营业中</t>
        </is>
      </c>
      <c r="M719" s="16" t="inlineStr">
        <is>
          <t>EEOWG25B1032170</t>
        </is>
      </c>
      <c r="N719" s="16">
        <f>LEFT(M719,12)</f>
        <v/>
      </c>
      <c r="O719" s="16" t="inlineStr">
        <is>
          <t>EEOWG25B10, (32)Mustard Yellow, (170)170</t>
        </is>
      </c>
      <c r="P719" s="16" t="n">
        <v>1299</v>
      </c>
      <c r="Q719" s="16" t="n">
        <v>1299</v>
      </c>
      <c r="R719" s="16" t="n">
        <v>1</v>
      </c>
      <c r="S719" s="16" t="n">
        <v>827</v>
      </c>
      <c r="T719" s="16" t="n">
        <v>1</v>
      </c>
    </row>
    <row r="720" s="103">
      <c r="A720" s="16" t="inlineStr">
        <is>
          <t>B331</t>
        </is>
      </c>
      <c r="B720" s="16" t="inlineStr">
        <is>
          <t>上海区域</t>
        </is>
      </c>
      <c r="C720" s="16" t="inlineStr">
        <is>
          <t>CN0Q</t>
        </is>
      </c>
      <c r="D720" s="16" t="inlineStr">
        <is>
          <t>EE 苏州比斯特购物村</t>
        </is>
      </c>
      <c r="E720" s="16" t="n">
        <v>4</v>
      </c>
      <c r="F720" s="16" t="inlineStr">
        <is>
          <t>奥特莱斯</t>
        </is>
      </c>
      <c r="G720" s="16" t="inlineStr">
        <is>
          <t>EEOWG25B11</t>
        </is>
      </c>
      <c r="H720" s="16" t="n">
        <v>1299</v>
      </c>
      <c r="I720" s="16" t="n">
        <v>999</v>
      </c>
      <c r="J720" s="17" t="inlineStr">
        <is>
          <t>########</t>
        </is>
      </c>
      <c r="K720" s="16" t="inlineStr">
        <is>
          <t>(18)M/Grey</t>
        </is>
      </c>
      <c r="L720" s="16" t="inlineStr">
        <is>
          <t>营业中</t>
        </is>
      </c>
      <c r="M720" s="16" t="inlineStr">
        <is>
          <t>EEOWG25B1118160</t>
        </is>
      </c>
      <c r="N720" s="16">
        <f>LEFT(M720,12)</f>
        <v/>
      </c>
      <c r="O720" s="16" t="inlineStr">
        <is>
          <t>EEOWG25B11, (18)M/Grey, (160)160</t>
        </is>
      </c>
      <c r="P720" s="16" t="n">
        <v>1299</v>
      </c>
      <c r="Q720" s="16" t="n">
        <v>999</v>
      </c>
      <c r="R720" s="16" t="n"/>
      <c r="S720" s="16" t="n"/>
      <c r="T720" s="16" t="n">
        <v>1</v>
      </c>
    </row>
    <row r="721" s="103">
      <c r="A721" s="16" t="inlineStr">
        <is>
          <t>B331</t>
        </is>
      </c>
      <c r="B721" s="16" t="inlineStr">
        <is>
          <t>上海区域</t>
        </is>
      </c>
      <c r="C721" s="16" t="inlineStr">
        <is>
          <t>CN0Q</t>
        </is>
      </c>
      <c r="D721" s="16" t="inlineStr">
        <is>
          <t>EE 苏州比斯特购物村</t>
        </is>
      </c>
      <c r="E721" s="16" t="n">
        <v>4</v>
      </c>
      <c r="F721" s="16" t="inlineStr">
        <is>
          <t>奥特莱斯</t>
        </is>
      </c>
      <c r="G721" s="16" t="inlineStr">
        <is>
          <t>EEOWG25B11</t>
        </is>
      </c>
      <c r="H721" s="16" t="n">
        <v>1299</v>
      </c>
      <c r="I721" s="16" t="n">
        <v>999</v>
      </c>
      <c r="J721" s="17" t="inlineStr">
        <is>
          <t>########</t>
        </is>
      </c>
      <c r="K721" s="16" t="inlineStr">
        <is>
          <t>(18)M/Grey</t>
        </is>
      </c>
      <c r="L721" s="16" t="inlineStr">
        <is>
          <t>营业中</t>
        </is>
      </c>
      <c r="M721" s="16" t="inlineStr">
        <is>
          <t>EEOWG25B1118165</t>
        </is>
      </c>
      <c r="N721" s="16">
        <f>LEFT(M721,12)</f>
        <v/>
      </c>
      <c r="O721" s="16" t="inlineStr">
        <is>
          <t>EEOWG25B11, (18)M/Grey, (165)165</t>
        </is>
      </c>
      <c r="P721" s="16" t="n">
        <v>1299</v>
      </c>
      <c r="Q721" s="16" t="n">
        <v>999</v>
      </c>
      <c r="R721" s="16" t="n"/>
      <c r="S721" s="16" t="n"/>
      <c r="T721" s="16" t="n">
        <v>1</v>
      </c>
    </row>
    <row r="722" s="103">
      <c r="A722" s="16" t="inlineStr">
        <is>
          <t>B331</t>
        </is>
      </c>
      <c r="B722" s="16" t="inlineStr">
        <is>
          <t>上海区域</t>
        </is>
      </c>
      <c r="C722" s="16" t="inlineStr">
        <is>
          <t>CN0Q</t>
        </is>
      </c>
      <c r="D722" s="16" t="inlineStr">
        <is>
          <t>EE 苏州比斯特购物村</t>
        </is>
      </c>
      <c r="E722" s="16" t="n">
        <v>4</v>
      </c>
      <c r="F722" s="16" t="inlineStr">
        <is>
          <t>奥特莱斯</t>
        </is>
      </c>
      <c r="G722" s="16" t="inlineStr">
        <is>
          <t>EEOWG25B11</t>
        </is>
      </c>
      <c r="H722" s="16" t="n">
        <v>1299</v>
      </c>
      <c r="I722" s="16" t="n">
        <v>999</v>
      </c>
      <c r="J722" s="17" t="inlineStr">
        <is>
          <t>########</t>
        </is>
      </c>
      <c r="K722" s="16" t="inlineStr">
        <is>
          <t>(18)M/Grey</t>
        </is>
      </c>
      <c r="L722" s="16" t="inlineStr">
        <is>
          <t>营业中</t>
        </is>
      </c>
      <c r="M722" s="16" t="inlineStr">
        <is>
          <t>EEOWG25B1118170</t>
        </is>
      </c>
      <c r="N722" s="16">
        <f>LEFT(M722,12)</f>
        <v/>
      </c>
      <c r="O722" s="16" t="inlineStr">
        <is>
          <t>EEOWG25B11, (18)M/Grey, (170)170</t>
        </is>
      </c>
      <c r="P722" s="16" t="n">
        <v>1299</v>
      </c>
      <c r="Q722" s="16" t="n">
        <v>999</v>
      </c>
      <c r="R722" s="16" t="n"/>
      <c r="S722" s="16" t="n"/>
      <c r="T722" s="16" t="n">
        <v>1</v>
      </c>
    </row>
    <row r="723" s="103">
      <c r="A723" s="16" t="inlineStr">
        <is>
          <t>B331</t>
        </is>
      </c>
      <c r="B723" s="16" t="inlineStr">
        <is>
          <t>上海区域</t>
        </is>
      </c>
      <c r="C723" s="16" t="inlineStr">
        <is>
          <t>CN0Q</t>
        </is>
      </c>
      <c r="D723" s="16" t="inlineStr">
        <is>
          <t>EE 苏州比斯特购物村</t>
        </is>
      </c>
      <c r="E723" s="16" t="n">
        <v>4</v>
      </c>
      <c r="F723" s="16" t="inlineStr">
        <is>
          <t>奥特莱斯</t>
        </is>
      </c>
      <c r="G723" s="16" t="inlineStr">
        <is>
          <t>EEOWG25B11</t>
        </is>
      </c>
      <c r="H723" s="16" t="n">
        <v>1299</v>
      </c>
      <c r="I723" s="16" t="n">
        <v>999</v>
      </c>
      <c r="J723" s="17" t="inlineStr">
        <is>
          <t>########</t>
        </is>
      </c>
      <c r="K723" s="16" t="inlineStr">
        <is>
          <t>(39)Ivory</t>
        </is>
      </c>
      <c r="L723" s="16" t="inlineStr">
        <is>
          <t>营业中</t>
        </is>
      </c>
      <c r="M723" s="16" t="inlineStr">
        <is>
          <t>EEOWG25B1139160</t>
        </is>
      </c>
      <c r="N723" s="16">
        <f>LEFT(M723,12)</f>
        <v/>
      </c>
      <c r="O723" s="16" t="inlineStr">
        <is>
          <t>EEOWG25B11, (39)Ivory, (160)160</t>
        </is>
      </c>
      <c r="P723" s="16" t="n">
        <v>1299</v>
      </c>
      <c r="Q723" s="16" t="n">
        <v>999</v>
      </c>
      <c r="R723" s="16" t="n"/>
      <c r="S723" s="16" t="n"/>
      <c r="T723" s="16" t="n">
        <v>2</v>
      </c>
    </row>
    <row r="724" s="103">
      <c r="A724" s="16" t="inlineStr">
        <is>
          <t>B331</t>
        </is>
      </c>
      <c r="B724" s="16" t="inlineStr">
        <is>
          <t>上海区域</t>
        </is>
      </c>
      <c r="C724" s="16" t="inlineStr">
        <is>
          <t>CN0Q</t>
        </is>
      </c>
      <c r="D724" s="16" t="inlineStr">
        <is>
          <t>EE 苏州比斯特购物村</t>
        </is>
      </c>
      <c r="E724" s="16" t="n">
        <v>4</v>
      </c>
      <c r="F724" s="16" t="inlineStr">
        <is>
          <t>奥特莱斯</t>
        </is>
      </c>
      <c r="G724" s="16" t="inlineStr">
        <is>
          <t>EEOWG25B11</t>
        </is>
      </c>
      <c r="H724" s="16" t="n">
        <v>1299</v>
      </c>
      <c r="I724" s="16" t="n">
        <v>999</v>
      </c>
      <c r="J724" s="17" t="inlineStr">
        <is>
          <t>########</t>
        </is>
      </c>
      <c r="K724" s="16" t="inlineStr">
        <is>
          <t>(39)Ivory</t>
        </is>
      </c>
      <c r="L724" s="16" t="inlineStr">
        <is>
          <t>营业中</t>
        </is>
      </c>
      <c r="M724" s="16" t="inlineStr">
        <is>
          <t>EEOWG25B1139165</t>
        </is>
      </c>
      <c r="N724" s="16">
        <f>LEFT(M724,12)</f>
        <v/>
      </c>
      <c r="O724" s="16" t="inlineStr">
        <is>
          <t>EEOWG25B11, (39)Ivory, (165)165</t>
        </is>
      </c>
      <c r="P724" s="16" t="n">
        <v>1299</v>
      </c>
      <c r="Q724" s="16" t="n">
        <v>999</v>
      </c>
      <c r="R724" s="16" t="n">
        <v>1</v>
      </c>
      <c r="S724" s="16" t="n">
        <v>699</v>
      </c>
      <c r="T724" s="16" t="n">
        <v>1</v>
      </c>
    </row>
    <row r="725" s="103">
      <c r="A725" s="16" t="inlineStr">
        <is>
          <t>B331</t>
        </is>
      </c>
      <c r="B725" s="16" t="inlineStr">
        <is>
          <t>上海区域</t>
        </is>
      </c>
      <c r="C725" s="16" t="inlineStr">
        <is>
          <t>CN0Q</t>
        </is>
      </c>
      <c r="D725" s="16" t="inlineStr">
        <is>
          <t>EE 苏州比斯特购物村</t>
        </is>
      </c>
      <c r="E725" s="16" t="n">
        <v>4</v>
      </c>
      <c r="F725" s="16" t="inlineStr">
        <is>
          <t>奥特莱斯</t>
        </is>
      </c>
      <c r="G725" s="16" t="inlineStr">
        <is>
          <t>EEOWG25B11</t>
        </is>
      </c>
      <c r="H725" s="16" t="n">
        <v>1299</v>
      </c>
      <c r="I725" s="16" t="n">
        <v>999</v>
      </c>
      <c r="J725" s="17" t="inlineStr">
        <is>
          <t>########</t>
        </is>
      </c>
      <c r="K725" s="16" t="inlineStr">
        <is>
          <t>(39)Ivory</t>
        </is>
      </c>
      <c r="L725" s="16" t="inlineStr">
        <is>
          <t>营业中</t>
        </is>
      </c>
      <c r="M725" s="16" t="inlineStr">
        <is>
          <t>EEOWG25B1139170</t>
        </is>
      </c>
      <c r="N725" s="16">
        <f>LEFT(M725,12)</f>
        <v/>
      </c>
      <c r="O725" s="16" t="inlineStr">
        <is>
          <t>EEOWG25B11, (39)Ivory, (170)170</t>
        </is>
      </c>
      <c r="P725" s="16" t="n">
        <v>1299</v>
      </c>
      <c r="Q725" s="16" t="n">
        <v>999</v>
      </c>
      <c r="R725" s="16" t="n">
        <v>1</v>
      </c>
      <c r="S725" s="16" t="n"/>
      <c r="T725" s="16" t="n">
        <v>2</v>
      </c>
    </row>
    <row r="726" s="103">
      <c r="A726" s="16" t="inlineStr">
        <is>
          <t>B331</t>
        </is>
      </c>
      <c r="B726" s="16" t="inlineStr">
        <is>
          <t>上海区域</t>
        </is>
      </c>
      <c r="C726" s="16" t="inlineStr">
        <is>
          <t>CN0Q</t>
        </is>
      </c>
      <c r="D726" s="16" t="inlineStr">
        <is>
          <t>EE 苏州比斯特购物村</t>
        </is>
      </c>
      <c r="E726" s="16" t="n">
        <v>4</v>
      </c>
      <c r="F726" s="16" t="inlineStr">
        <is>
          <t>奥特莱斯</t>
        </is>
      </c>
      <c r="G726" s="16" t="inlineStr">
        <is>
          <t>EEOWG25B12</t>
        </is>
      </c>
      <c r="H726" s="16" t="n">
        <v>1299</v>
      </c>
      <c r="I726" s="16" t="n">
        <v>1299</v>
      </c>
      <c r="J726" s="17" t="inlineStr">
        <is>
          <t>########</t>
        </is>
      </c>
      <c r="K726" s="16" t="inlineStr">
        <is>
          <t>(31)L/Yellow</t>
        </is>
      </c>
      <c r="L726" s="16" t="inlineStr">
        <is>
          <t>营业中</t>
        </is>
      </c>
      <c r="M726" s="16" t="inlineStr">
        <is>
          <t>EEOWG25B1231160</t>
        </is>
      </c>
      <c r="N726" s="16">
        <f>LEFT(M726,12)</f>
        <v/>
      </c>
      <c r="O726" s="16" t="inlineStr">
        <is>
          <t>EEOWG25B12, (31)L/Yellow, (160)160</t>
        </is>
      </c>
      <c r="P726" s="16" t="n">
        <v>1299</v>
      </c>
      <c r="Q726" s="16" t="n">
        <v>1299</v>
      </c>
      <c r="R726" s="16" t="n">
        <v>1</v>
      </c>
      <c r="S726" s="16" t="n">
        <v>825</v>
      </c>
      <c r="T726" s="16" t="n">
        <v>1</v>
      </c>
    </row>
    <row r="727" s="103">
      <c r="A727" s="16" t="inlineStr">
        <is>
          <t>B331</t>
        </is>
      </c>
      <c r="B727" s="16" t="inlineStr">
        <is>
          <t>上海区域</t>
        </is>
      </c>
      <c r="C727" s="16" t="inlineStr">
        <is>
          <t>CN0Q</t>
        </is>
      </c>
      <c r="D727" s="16" t="inlineStr">
        <is>
          <t>EE 苏州比斯特购物村</t>
        </is>
      </c>
      <c r="E727" s="16" t="n">
        <v>4</v>
      </c>
      <c r="F727" s="16" t="inlineStr">
        <is>
          <t>奥特莱斯</t>
        </is>
      </c>
      <c r="G727" s="16" t="inlineStr">
        <is>
          <t>EEOWG25B12</t>
        </is>
      </c>
      <c r="H727" s="16" t="n">
        <v>1299</v>
      </c>
      <c r="I727" s="16" t="n">
        <v>1299</v>
      </c>
      <c r="J727" s="17" t="inlineStr">
        <is>
          <t>########</t>
        </is>
      </c>
      <c r="K727" s="16" t="inlineStr">
        <is>
          <t>(31)L/Yellow</t>
        </is>
      </c>
      <c r="L727" s="16" t="inlineStr">
        <is>
          <t>营业中</t>
        </is>
      </c>
      <c r="M727" s="16" t="inlineStr">
        <is>
          <t>EEOWG25B1231165</t>
        </is>
      </c>
      <c r="N727" s="16">
        <f>LEFT(M727,12)</f>
        <v/>
      </c>
      <c r="O727" s="16" t="inlineStr">
        <is>
          <t>EEOWG25B12, (31)L/Yellow, (165)165</t>
        </is>
      </c>
      <c r="P727" s="16" t="n">
        <v>1299</v>
      </c>
      <c r="Q727" s="16" t="n">
        <v>1299</v>
      </c>
      <c r="R727" s="16" t="n">
        <v>1</v>
      </c>
      <c r="S727" s="16" t="n">
        <v>847</v>
      </c>
      <c r="T727" s="16" t="n">
        <v>1</v>
      </c>
    </row>
    <row r="728" s="103">
      <c r="A728" s="16" t="inlineStr">
        <is>
          <t>B331</t>
        </is>
      </c>
      <c r="B728" s="16" t="inlineStr">
        <is>
          <t>上海区域</t>
        </is>
      </c>
      <c r="C728" s="16" t="inlineStr">
        <is>
          <t>CN0Q</t>
        </is>
      </c>
      <c r="D728" s="16" t="inlineStr">
        <is>
          <t>EE 苏州比斯特购物村</t>
        </is>
      </c>
      <c r="E728" s="16" t="n">
        <v>4</v>
      </c>
      <c r="F728" s="16" t="inlineStr">
        <is>
          <t>奥特莱斯</t>
        </is>
      </c>
      <c r="G728" s="16" t="inlineStr">
        <is>
          <t>EEOWG25B12</t>
        </is>
      </c>
      <c r="H728" s="16" t="n">
        <v>1299</v>
      </c>
      <c r="I728" s="16" t="n">
        <v>1299</v>
      </c>
      <c r="J728" s="17" t="inlineStr">
        <is>
          <t>########</t>
        </is>
      </c>
      <c r="K728" s="16" t="inlineStr">
        <is>
          <t>(31)L/Yellow</t>
        </is>
      </c>
      <c r="L728" s="16" t="inlineStr">
        <is>
          <t>营业中</t>
        </is>
      </c>
      <c r="M728" s="16" t="inlineStr">
        <is>
          <t>EEOWG25B1231170</t>
        </is>
      </c>
      <c r="N728" s="16">
        <f>LEFT(M728,12)</f>
        <v/>
      </c>
      <c r="O728" s="16" t="inlineStr">
        <is>
          <t>EEOWG25B12, (31)L/Yellow, (170)170</t>
        </is>
      </c>
      <c r="P728" s="16" t="n">
        <v>1299</v>
      </c>
      <c r="Q728" s="16" t="n">
        <v>1299</v>
      </c>
      <c r="R728" s="16" t="n"/>
      <c r="S728" s="16" t="n"/>
      <c r="T728" s="16" t="n">
        <v>1</v>
      </c>
    </row>
    <row r="729" s="103">
      <c r="A729" s="16" t="inlineStr">
        <is>
          <t>B331</t>
        </is>
      </c>
      <c r="B729" s="16" t="inlineStr">
        <is>
          <t>上海区域</t>
        </is>
      </c>
      <c r="C729" s="16" t="inlineStr">
        <is>
          <t>CN0Q</t>
        </is>
      </c>
      <c r="D729" s="16" t="inlineStr">
        <is>
          <t>EE 苏州比斯特购物村</t>
        </is>
      </c>
      <c r="E729" s="16" t="n">
        <v>4</v>
      </c>
      <c r="F729" s="16" t="inlineStr">
        <is>
          <t>奥特莱斯</t>
        </is>
      </c>
      <c r="G729" s="16" t="inlineStr">
        <is>
          <t>EEOWG25B13</t>
        </is>
      </c>
      <c r="H729" s="16" t="n">
        <v>1299</v>
      </c>
      <c r="I729" s="16" t="n">
        <v>1299</v>
      </c>
      <c r="J729" s="17" t="n">
        <v>46176</v>
      </c>
      <c r="K729" s="16" t="inlineStr">
        <is>
          <t>(32)Mustard Yellow</t>
        </is>
      </c>
      <c r="L729" s="16" t="inlineStr">
        <is>
          <t>营业中</t>
        </is>
      </c>
      <c r="M729" s="16" t="inlineStr">
        <is>
          <t>EEOWG25B1332160</t>
        </is>
      </c>
      <c r="N729" s="16">
        <f>LEFT(M729,12)</f>
        <v/>
      </c>
      <c r="O729" s="16" t="inlineStr">
        <is>
          <t>EEOWG25B13, (32)Mustard Yellow, (160)160</t>
        </is>
      </c>
      <c r="P729" s="16" t="n">
        <v>1299</v>
      </c>
      <c r="Q729" s="16" t="n">
        <v>1299</v>
      </c>
      <c r="R729" s="16" t="n">
        <v>3</v>
      </c>
      <c r="S729" s="18" t="n">
        <v>2071</v>
      </c>
      <c r="T729" s="16" t="n">
        <v>3</v>
      </c>
    </row>
    <row r="730" s="103">
      <c r="A730" s="16" t="inlineStr">
        <is>
          <t>B331</t>
        </is>
      </c>
      <c r="B730" s="16" t="inlineStr">
        <is>
          <t>上海区域</t>
        </is>
      </c>
      <c r="C730" s="16" t="inlineStr">
        <is>
          <t>CN0Q</t>
        </is>
      </c>
      <c r="D730" s="16" t="inlineStr">
        <is>
          <t>EE 苏州比斯特购物村</t>
        </is>
      </c>
      <c r="E730" s="16" t="n">
        <v>4</v>
      </c>
      <c r="F730" s="16" t="inlineStr">
        <is>
          <t>奥特莱斯</t>
        </is>
      </c>
      <c r="G730" s="16" t="inlineStr">
        <is>
          <t>EEOWG25B13</t>
        </is>
      </c>
      <c r="H730" s="16" t="n">
        <v>1299</v>
      </c>
      <c r="I730" s="16" t="n">
        <v>1299</v>
      </c>
      <c r="J730" s="17" t="n">
        <v>46176</v>
      </c>
      <c r="K730" s="16" t="inlineStr">
        <is>
          <t>(32)Mustard Yellow</t>
        </is>
      </c>
      <c r="L730" s="16" t="inlineStr">
        <is>
          <t>营业中</t>
        </is>
      </c>
      <c r="M730" s="16" t="inlineStr">
        <is>
          <t>EEOWG25B1332165</t>
        </is>
      </c>
      <c r="N730" s="16">
        <f>LEFT(M730,12)</f>
        <v/>
      </c>
      <c r="O730" s="16" t="inlineStr">
        <is>
          <t>EEOWG25B13, (32)Mustard Yellow, (165)165</t>
        </is>
      </c>
      <c r="P730" s="16" t="n">
        <v>1299</v>
      </c>
      <c r="Q730" s="16" t="n">
        <v>1299</v>
      </c>
      <c r="R730" s="16" t="n">
        <v>1</v>
      </c>
      <c r="S730" s="16" t="n">
        <v>825</v>
      </c>
      <c r="T730" s="16" t="n">
        <v>5</v>
      </c>
    </row>
    <row r="731" s="103">
      <c r="A731" s="16" t="inlineStr">
        <is>
          <t>B331</t>
        </is>
      </c>
      <c r="B731" s="16" t="inlineStr">
        <is>
          <t>上海区域</t>
        </is>
      </c>
      <c r="C731" s="16" t="inlineStr">
        <is>
          <t>CN0Q</t>
        </is>
      </c>
      <c r="D731" s="16" t="inlineStr">
        <is>
          <t>EE 苏州比斯特购物村</t>
        </is>
      </c>
      <c r="E731" s="16" t="n">
        <v>4</v>
      </c>
      <c r="F731" s="16" t="inlineStr">
        <is>
          <t>奥特莱斯</t>
        </is>
      </c>
      <c r="G731" s="16" t="inlineStr">
        <is>
          <t>EEOWG25B13</t>
        </is>
      </c>
      <c r="H731" s="16" t="n">
        <v>1299</v>
      </c>
      <c r="I731" s="16" t="n">
        <v>1299</v>
      </c>
      <c r="J731" s="17" t="n">
        <v>46176</v>
      </c>
      <c r="K731" s="16" t="inlineStr">
        <is>
          <t>(32)Mustard Yellow</t>
        </is>
      </c>
      <c r="L731" s="16" t="inlineStr">
        <is>
          <t>营业中</t>
        </is>
      </c>
      <c r="M731" s="16" t="inlineStr">
        <is>
          <t>EEOWG25B1332170</t>
        </is>
      </c>
      <c r="N731" s="16">
        <f>LEFT(M731,12)</f>
        <v/>
      </c>
      <c r="O731" s="16" t="inlineStr">
        <is>
          <t>EEOWG25B13, (32)Mustard Yellow, (170)170</t>
        </is>
      </c>
      <c r="P731" s="16" t="n">
        <v>1299</v>
      </c>
      <c r="Q731" s="16" t="n">
        <v>1299</v>
      </c>
      <c r="R731" s="16" t="n"/>
      <c r="S731" s="16" t="n"/>
      <c r="T731" s="16" t="n">
        <v>3</v>
      </c>
    </row>
    <row r="732" s="103">
      <c r="A732" s="16" t="inlineStr">
        <is>
          <t>B331</t>
        </is>
      </c>
      <c r="B732" s="16" t="inlineStr">
        <is>
          <t>上海区域</t>
        </is>
      </c>
      <c r="C732" s="16" t="inlineStr">
        <is>
          <t>CN0Q</t>
        </is>
      </c>
      <c r="D732" s="16" t="inlineStr">
        <is>
          <t>EE 苏州比斯特购物村</t>
        </is>
      </c>
      <c r="E732" s="16" t="n">
        <v>4</v>
      </c>
      <c r="F732" s="16" t="inlineStr">
        <is>
          <t>奥特莱斯</t>
        </is>
      </c>
      <c r="G732" s="16" t="inlineStr">
        <is>
          <t>EEOWG25B13</t>
        </is>
      </c>
      <c r="H732" s="16" t="n">
        <v>1299</v>
      </c>
      <c r="I732" s="16" t="n">
        <v>1299</v>
      </c>
      <c r="J732" s="17" t="n">
        <v>46176</v>
      </c>
      <c r="K732" s="16" t="inlineStr">
        <is>
          <t>(51)L/Blue</t>
        </is>
      </c>
      <c r="L732" s="16" t="inlineStr">
        <is>
          <t>营业中</t>
        </is>
      </c>
      <c r="M732" s="16" t="inlineStr">
        <is>
          <t>EEOWG25B1351160</t>
        </is>
      </c>
      <c r="N732" s="16">
        <f>LEFT(M732,12)</f>
        <v/>
      </c>
      <c r="O732" s="16" t="inlineStr">
        <is>
          <t>EEOWG25B13, (51)L/Blue, (160)160</t>
        </is>
      </c>
      <c r="P732" s="16" t="n">
        <v>1299</v>
      </c>
      <c r="Q732" s="16" t="n">
        <v>1299</v>
      </c>
      <c r="R732" s="16" t="n">
        <v>2</v>
      </c>
      <c r="S732" s="18" t="n">
        <v>1740</v>
      </c>
      <c r="T732" s="16" t="n">
        <v>4</v>
      </c>
    </row>
    <row r="733" s="103">
      <c r="A733" s="16" t="inlineStr">
        <is>
          <t>B331</t>
        </is>
      </c>
      <c r="B733" s="16" t="inlineStr">
        <is>
          <t>上海区域</t>
        </is>
      </c>
      <c r="C733" s="16" t="inlineStr">
        <is>
          <t>CN0Q</t>
        </is>
      </c>
      <c r="D733" s="16" t="inlineStr">
        <is>
          <t>EE 苏州比斯特购物村</t>
        </is>
      </c>
      <c r="E733" s="16" t="n">
        <v>4</v>
      </c>
      <c r="F733" s="16" t="inlineStr">
        <is>
          <t>奥特莱斯</t>
        </is>
      </c>
      <c r="G733" s="16" t="inlineStr">
        <is>
          <t>EEOWG25B13</t>
        </is>
      </c>
      <c r="H733" s="16" t="n">
        <v>1299</v>
      </c>
      <c r="I733" s="16" t="n">
        <v>1299</v>
      </c>
      <c r="J733" s="17" t="n">
        <v>46176</v>
      </c>
      <c r="K733" s="16" t="inlineStr">
        <is>
          <t>(51)L/Blue</t>
        </is>
      </c>
      <c r="L733" s="16" t="inlineStr">
        <is>
          <t>营业中</t>
        </is>
      </c>
      <c r="M733" s="16" t="inlineStr">
        <is>
          <t>EEOWG25B1351165</t>
        </is>
      </c>
      <c r="N733" s="16">
        <f>LEFT(M733,12)</f>
        <v/>
      </c>
      <c r="O733" s="16" t="inlineStr">
        <is>
          <t>EEOWG25B13, (51)L/Blue, (165)165</t>
        </is>
      </c>
      <c r="P733" s="16" t="n">
        <v>1299</v>
      </c>
      <c r="Q733" s="16" t="n">
        <v>1299</v>
      </c>
      <c r="R733" s="16" t="n">
        <v>2</v>
      </c>
      <c r="S733" s="18" t="n">
        <v>1743</v>
      </c>
      <c r="T733" s="16" t="n">
        <v>4</v>
      </c>
    </row>
    <row r="734" s="103">
      <c r="A734" s="16" t="inlineStr">
        <is>
          <t>B331</t>
        </is>
      </c>
      <c r="B734" s="16" t="inlineStr">
        <is>
          <t>上海区域</t>
        </is>
      </c>
      <c r="C734" s="16" t="inlineStr">
        <is>
          <t>CN0Q</t>
        </is>
      </c>
      <c r="D734" s="16" t="inlineStr">
        <is>
          <t>EE 苏州比斯特购物村</t>
        </is>
      </c>
      <c r="E734" s="16" t="n">
        <v>4</v>
      </c>
      <c r="F734" s="16" t="inlineStr">
        <is>
          <t>奥特莱斯</t>
        </is>
      </c>
      <c r="G734" s="16" t="inlineStr">
        <is>
          <t>EEOWG25B13</t>
        </is>
      </c>
      <c r="H734" s="16" t="n">
        <v>1299</v>
      </c>
      <c r="I734" s="16" t="n">
        <v>1299</v>
      </c>
      <c r="J734" s="17" t="n">
        <v>46176</v>
      </c>
      <c r="K734" s="16" t="inlineStr">
        <is>
          <t>(51)L/Blue</t>
        </is>
      </c>
      <c r="L734" s="16" t="inlineStr">
        <is>
          <t>营业中</t>
        </is>
      </c>
      <c r="M734" s="16" t="inlineStr">
        <is>
          <t>EEOWG25B1351170</t>
        </is>
      </c>
      <c r="N734" s="16">
        <f>LEFT(M734,12)</f>
        <v/>
      </c>
      <c r="O734" s="16" t="inlineStr">
        <is>
          <t>EEOWG25B13, (51)L/Blue, (170)170</t>
        </is>
      </c>
      <c r="P734" s="16" t="n">
        <v>1299</v>
      </c>
      <c r="Q734" s="16" t="n">
        <v>1299</v>
      </c>
      <c r="R734" s="16" t="n"/>
      <c r="S734" s="16" t="n"/>
      <c r="T734" s="16" t="n">
        <v>3</v>
      </c>
    </row>
    <row r="735" s="103">
      <c r="A735" s="16" t="inlineStr">
        <is>
          <t>B331</t>
        </is>
      </c>
      <c r="B735" s="16" t="inlineStr">
        <is>
          <t>上海区域</t>
        </is>
      </c>
      <c r="C735" s="16" t="inlineStr">
        <is>
          <t>CN0Q</t>
        </is>
      </c>
      <c r="D735" s="16" t="inlineStr">
        <is>
          <t>EE 苏州比斯特购物村</t>
        </is>
      </c>
      <c r="E735" s="16" t="n">
        <v>4</v>
      </c>
      <c r="F735" s="16" t="inlineStr">
        <is>
          <t>奥特莱斯</t>
        </is>
      </c>
      <c r="G735" s="16" t="inlineStr">
        <is>
          <t>EEOWG25E01</t>
        </is>
      </c>
      <c r="H735" s="16" t="n">
        <v>999</v>
      </c>
      <c r="I735" s="16" t="n">
        <v>999</v>
      </c>
      <c r="J735" s="17" t="inlineStr">
        <is>
          <t>########</t>
        </is>
      </c>
      <c r="K735" s="16" t="inlineStr">
        <is>
          <t>(19)BLACK</t>
        </is>
      </c>
      <c r="L735" s="16" t="inlineStr">
        <is>
          <t>营业中</t>
        </is>
      </c>
      <c r="M735" s="16" t="inlineStr">
        <is>
          <t>EEOWG25E0119160</t>
        </is>
      </c>
      <c r="N735" s="16">
        <f>LEFT(M735,12)</f>
        <v/>
      </c>
      <c r="O735" s="16" t="inlineStr">
        <is>
          <t>EEOWG25E01, (19)BLACK, (160)160</t>
        </is>
      </c>
      <c r="P735" s="16" t="n">
        <v>999</v>
      </c>
      <c r="Q735" s="16" t="n">
        <v>999</v>
      </c>
      <c r="R735" s="16" t="n">
        <v>1</v>
      </c>
      <c r="S735" s="16" t="n"/>
      <c r="T735" s="16" t="n">
        <v>0</v>
      </c>
    </row>
    <row r="736" s="103">
      <c r="A736" s="16" t="inlineStr">
        <is>
          <t>B331</t>
        </is>
      </c>
      <c r="B736" s="16" t="inlineStr">
        <is>
          <t>上海区域</t>
        </is>
      </c>
      <c r="C736" s="16" t="inlineStr">
        <is>
          <t>CN0Q</t>
        </is>
      </c>
      <c r="D736" s="16" t="inlineStr">
        <is>
          <t>EE 苏州比斯特购物村</t>
        </is>
      </c>
      <c r="E736" s="16" t="n">
        <v>4</v>
      </c>
      <c r="F736" s="16" t="inlineStr">
        <is>
          <t>奥特莱斯</t>
        </is>
      </c>
      <c r="G736" s="16" t="inlineStr">
        <is>
          <t>EEOWG25E01</t>
        </is>
      </c>
      <c r="H736" s="16" t="n">
        <v>999</v>
      </c>
      <c r="I736" s="16" t="n">
        <v>999</v>
      </c>
      <c r="J736" s="17" t="inlineStr">
        <is>
          <t>########</t>
        </is>
      </c>
      <c r="K736" s="16" t="inlineStr">
        <is>
          <t>(19)BLACK</t>
        </is>
      </c>
      <c r="L736" s="16" t="inlineStr">
        <is>
          <t>营业中</t>
        </is>
      </c>
      <c r="M736" s="16" t="inlineStr">
        <is>
          <t>EEOWG25E0119165</t>
        </is>
      </c>
      <c r="N736" s="16">
        <f>LEFT(M736,12)</f>
        <v/>
      </c>
      <c r="O736" s="16" t="inlineStr">
        <is>
          <t>EEOWG25E01, (19)BLACK, (165)165</t>
        </is>
      </c>
      <c r="P736" s="16" t="n">
        <v>999</v>
      </c>
      <c r="Q736" s="16" t="n">
        <v>999</v>
      </c>
      <c r="R736" s="16" t="n">
        <v>5</v>
      </c>
      <c r="S736" s="18" t="n">
        <v>1906</v>
      </c>
      <c r="T736" s="16" t="n">
        <v>3</v>
      </c>
    </row>
    <row r="737" s="103">
      <c r="A737" s="16" t="inlineStr">
        <is>
          <t>B331</t>
        </is>
      </c>
      <c r="B737" s="16" t="inlineStr">
        <is>
          <t>上海区域</t>
        </is>
      </c>
      <c r="C737" s="16" t="inlineStr">
        <is>
          <t>CN0Q</t>
        </is>
      </c>
      <c r="D737" s="16" t="inlineStr">
        <is>
          <t>EE 苏州比斯特购物村</t>
        </is>
      </c>
      <c r="E737" s="16" t="n">
        <v>4</v>
      </c>
      <c r="F737" s="16" t="inlineStr">
        <is>
          <t>奥特莱斯</t>
        </is>
      </c>
      <c r="G737" s="16" t="inlineStr">
        <is>
          <t>EEOWG25E01</t>
        </is>
      </c>
      <c r="H737" s="16" t="n">
        <v>999</v>
      </c>
      <c r="I737" s="16" t="n">
        <v>999</v>
      </c>
      <c r="J737" s="17" t="inlineStr">
        <is>
          <t>########</t>
        </is>
      </c>
      <c r="K737" s="16" t="inlineStr">
        <is>
          <t>(19)BLACK</t>
        </is>
      </c>
      <c r="L737" s="16" t="inlineStr">
        <is>
          <t>营业中</t>
        </is>
      </c>
      <c r="M737" s="16" t="inlineStr">
        <is>
          <t>EEOWG25E0119170</t>
        </is>
      </c>
      <c r="N737" s="16">
        <f>LEFT(M737,12)</f>
        <v/>
      </c>
      <c r="O737" s="16" t="inlineStr">
        <is>
          <t>EEOWG25E01, (19)BLACK, (170)170</t>
        </is>
      </c>
      <c r="P737" s="16" t="n">
        <v>999</v>
      </c>
      <c r="Q737" s="16" t="n">
        <v>999</v>
      </c>
      <c r="R737" s="16" t="n">
        <v>2</v>
      </c>
      <c r="S737" s="16" t="n"/>
      <c r="T737" s="16" t="n">
        <v>0</v>
      </c>
    </row>
    <row r="738" s="103">
      <c r="A738" s="16" t="inlineStr">
        <is>
          <t>B331</t>
        </is>
      </c>
      <c r="B738" s="16" t="inlineStr">
        <is>
          <t>上海区域</t>
        </is>
      </c>
      <c r="C738" s="16" t="inlineStr">
        <is>
          <t>CN0Q</t>
        </is>
      </c>
      <c r="D738" s="16" t="inlineStr">
        <is>
          <t>EE 苏州比斯特购物村</t>
        </is>
      </c>
      <c r="E738" s="16" t="n">
        <v>4</v>
      </c>
      <c r="F738" s="16" t="inlineStr">
        <is>
          <t>奥特莱斯</t>
        </is>
      </c>
      <c r="G738" s="16" t="inlineStr">
        <is>
          <t>EEOWG25E01</t>
        </is>
      </c>
      <c r="H738" s="16" t="n">
        <v>999</v>
      </c>
      <c r="I738" s="16" t="n">
        <v>999</v>
      </c>
      <c r="J738" s="17" t="inlineStr">
        <is>
          <t>########</t>
        </is>
      </c>
      <c r="K738" s="16" t="inlineStr">
        <is>
          <t>(39)Ivory</t>
        </is>
      </c>
      <c r="L738" s="16" t="inlineStr">
        <is>
          <t>营业中</t>
        </is>
      </c>
      <c r="M738" s="16" t="inlineStr">
        <is>
          <t>EEOWG25E0139160</t>
        </is>
      </c>
      <c r="N738" s="16">
        <f>LEFT(M738,12)</f>
        <v/>
      </c>
      <c r="O738" s="16" t="inlineStr">
        <is>
          <t>EEOWG25E01, (39)Ivory, (160)160</t>
        </is>
      </c>
      <c r="P738" s="16" t="n">
        <v>999</v>
      </c>
      <c r="Q738" s="16" t="n">
        <v>999</v>
      </c>
      <c r="R738" s="16" t="n">
        <v>1</v>
      </c>
      <c r="S738" s="16" t="n"/>
      <c r="T738" s="16" t="n">
        <v>1</v>
      </c>
    </row>
    <row r="739" s="103">
      <c r="A739" s="16" t="inlineStr">
        <is>
          <t>B331</t>
        </is>
      </c>
      <c r="B739" s="16" t="inlineStr">
        <is>
          <t>上海区域</t>
        </is>
      </c>
      <c r="C739" s="16" t="inlineStr">
        <is>
          <t>CN0Q</t>
        </is>
      </c>
      <c r="D739" s="16" t="inlineStr">
        <is>
          <t>EE 苏州比斯特购物村</t>
        </is>
      </c>
      <c r="E739" s="16" t="n">
        <v>4</v>
      </c>
      <c r="F739" s="16" t="inlineStr">
        <is>
          <t>奥特莱斯</t>
        </is>
      </c>
      <c r="G739" s="16" t="inlineStr">
        <is>
          <t>EEOWG25E01</t>
        </is>
      </c>
      <c r="H739" s="16" t="n">
        <v>999</v>
      </c>
      <c r="I739" s="16" t="n">
        <v>999</v>
      </c>
      <c r="J739" s="17" t="inlineStr">
        <is>
          <t>########</t>
        </is>
      </c>
      <c r="K739" s="16" t="inlineStr">
        <is>
          <t>(39)Ivory</t>
        </is>
      </c>
      <c r="L739" s="16" t="inlineStr">
        <is>
          <t>营业中</t>
        </is>
      </c>
      <c r="M739" s="16" t="inlineStr">
        <is>
          <t>EEOWG25E0139165</t>
        </is>
      </c>
      <c r="N739" s="16">
        <f>LEFT(M739,12)</f>
        <v/>
      </c>
      <c r="O739" s="16" t="inlineStr">
        <is>
          <t>EEOWG25E01, (39)Ivory, (165)165</t>
        </is>
      </c>
      <c r="P739" s="16" t="n">
        <v>999</v>
      </c>
      <c r="Q739" s="16" t="n">
        <v>999</v>
      </c>
      <c r="R739" s="16" t="n">
        <v>3</v>
      </c>
      <c r="S739" s="18" t="n">
        <v>1921</v>
      </c>
      <c r="T739" s="16" t="n">
        <v>1</v>
      </c>
    </row>
    <row r="740" s="103">
      <c r="A740" s="16" t="inlineStr">
        <is>
          <t>B331</t>
        </is>
      </c>
      <c r="B740" s="16" t="inlineStr">
        <is>
          <t>上海区域</t>
        </is>
      </c>
      <c r="C740" s="16" t="inlineStr">
        <is>
          <t>CN0Q</t>
        </is>
      </c>
      <c r="D740" s="16" t="inlineStr">
        <is>
          <t>EE 苏州比斯特购物村</t>
        </is>
      </c>
      <c r="E740" s="16" t="n">
        <v>4</v>
      </c>
      <c r="F740" s="16" t="inlineStr">
        <is>
          <t>奥特莱斯</t>
        </is>
      </c>
      <c r="G740" s="16" t="inlineStr">
        <is>
          <t>EEOWG25E01</t>
        </is>
      </c>
      <c r="H740" s="16" t="n">
        <v>999</v>
      </c>
      <c r="I740" s="16" t="n">
        <v>999</v>
      </c>
      <c r="J740" s="17" t="inlineStr">
        <is>
          <t>########</t>
        </is>
      </c>
      <c r="K740" s="16" t="inlineStr">
        <is>
          <t>(39)Ivory</t>
        </is>
      </c>
      <c r="L740" s="16" t="inlineStr">
        <is>
          <t>营业中</t>
        </is>
      </c>
      <c r="M740" s="16" t="inlineStr">
        <is>
          <t>EEOWG25E0139170</t>
        </is>
      </c>
      <c r="N740" s="16">
        <f>LEFT(M740,12)</f>
        <v/>
      </c>
      <c r="O740" s="16" t="inlineStr">
        <is>
          <t>EEOWG25E01, (39)Ivory, (170)170</t>
        </is>
      </c>
      <c r="P740" s="16" t="n">
        <v>999</v>
      </c>
      <c r="Q740" s="16" t="n">
        <v>999</v>
      </c>
      <c r="R740" s="16" t="n">
        <v>1</v>
      </c>
      <c r="S740" s="16" t="n"/>
      <c r="T740" s="16" t="n">
        <v>1</v>
      </c>
    </row>
    <row r="741" s="103">
      <c r="A741" s="16" t="inlineStr">
        <is>
          <t>B331</t>
        </is>
      </c>
      <c r="B741" s="16" t="inlineStr">
        <is>
          <t>上海区域</t>
        </is>
      </c>
      <c r="C741" s="16" t="inlineStr">
        <is>
          <t>CN0Q</t>
        </is>
      </c>
      <c r="D741" s="16" t="inlineStr">
        <is>
          <t>EE 苏州比斯特购物村</t>
        </is>
      </c>
      <c r="E741" s="16" t="n">
        <v>4</v>
      </c>
      <c r="F741" s="16" t="inlineStr">
        <is>
          <t>奥特莱斯</t>
        </is>
      </c>
      <c r="G741" s="16" t="inlineStr">
        <is>
          <t>EEOWG25E02</t>
        </is>
      </c>
      <c r="H741" s="16" t="n">
        <v>1299</v>
      </c>
      <c r="I741" s="16" t="n">
        <v>999</v>
      </c>
      <c r="J741" s="17" t="inlineStr">
        <is>
          <t>########</t>
        </is>
      </c>
      <c r="K741" s="16" t="inlineStr">
        <is>
          <t>(39)Ivory</t>
        </is>
      </c>
      <c r="L741" s="16" t="inlineStr">
        <is>
          <t>营业中</t>
        </is>
      </c>
      <c r="M741" s="16" t="inlineStr">
        <is>
          <t>EEOWG25E0239160</t>
        </is>
      </c>
      <c r="N741" s="16">
        <f>LEFT(M741,12)</f>
        <v/>
      </c>
      <c r="O741" s="16" t="inlineStr">
        <is>
          <t>EEOWG25E02, (39)Ivory, (160)160</t>
        </is>
      </c>
      <c r="P741" s="16" t="n">
        <v>1299</v>
      </c>
      <c r="Q741" s="16" t="n">
        <v>999</v>
      </c>
      <c r="R741" s="16" t="n"/>
      <c r="S741" s="16" t="n"/>
      <c r="T741" s="16" t="n">
        <v>4</v>
      </c>
    </row>
    <row r="742" s="103">
      <c r="A742" s="16" t="inlineStr">
        <is>
          <t>B331</t>
        </is>
      </c>
      <c r="B742" s="16" t="inlineStr">
        <is>
          <t>上海区域</t>
        </is>
      </c>
      <c r="C742" s="16" t="inlineStr">
        <is>
          <t>CN0Q</t>
        </is>
      </c>
      <c r="D742" s="16" t="inlineStr">
        <is>
          <t>EE 苏州比斯特购物村</t>
        </is>
      </c>
      <c r="E742" s="16" t="n">
        <v>4</v>
      </c>
      <c r="F742" s="16" t="inlineStr">
        <is>
          <t>奥特莱斯</t>
        </is>
      </c>
      <c r="G742" s="16" t="inlineStr">
        <is>
          <t>EEOWG25E02</t>
        </is>
      </c>
      <c r="H742" s="16" t="n">
        <v>1299</v>
      </c>
      <c r="I742" s="16" t="n">
        <v>999</v>
      </c>
      <c r="J742" s="17" t="inlineStr">
        <is>
          <t>########</t>
        </is>
      </c>
      <c r="K742" s="16" t="inlineStr">
        <is>
          <t>(39)Ivory</t>
        </is>
      </c>
      <c r="L742" s="16" t="inlineStr">
        <is>
          <t>营业中</t>
        </is>
      </c>
      <c r="M742" s="16" t="inlineStr">
        <is>
          <t>EEOWG25E0239165</t>
        </is>
      </c>
      <c r="N742" s="16">
        <f>LEFT(M742,12)</f>
        <v/>
      </c>
      <c r="O742" s="16" t="inlineStr">
        <is>
          <t>EEOWG25E02, (39)Ivory, (165)165</t>
        </is>
      </c>
      <c r="P742" s="16" t="n">
        <v>1299</v>
      </c>
      <c r="Q742" s="16" t="n">
        <v>999</v>
      </c>
      <c r="R742" s="16" t="n"/>
      <c r="S742" s="16" t="n"/>
      <c r="T742" s="16" t="n">
        <v>4</v>
      </c>
    </row>
    <row r="743" s="103">
      <c r="A743" s="16" t="inlineStr">
        <is>
          <t>B331</t>
        </is>
      </c>
      <c r="B743" s="16" t="inlineStr">
        <is>
          <t>上海区域</t>
        </is>
      </c>
      <c r="C743" s="16" t="inlineStr">
        <is>
          <t>CN0Q</t>
        </is>
      </c>
      <c r="D743" s="16" t="inlineStr">
        <is>
          <t>EE 苏州比斯特购物村</t>
        </is>
      </c>
      <c r="E743" s="16" t="n">
        <v>4</v>
      </c>
      <c r="F743" s="16" t="inlineStr">
        <is>
          <t>奥特莱斯</t>
        </is>
      </c>
      <c r="G743" s="16" t="inlineStr">
        <is>
          <t>EEOWG25E02</t>
        </is>
      </c>
      <c r="H743" s="16" t="n">
        <v>1299</v>
      </c>
      <c r="I743" s="16" t="n">
        <v>999</v>
      </c>
      <c r="J743" s="17" t="inlineStr">
        <is>
          <t>########</t>
        </is>
      </c>
      <c r="K743" s="16" t="inlineStr">
        <is>
          <t>(39)Ivory</t>
        </is>
      </c>
      <c r="L743" s="16" t="inlineStr">
        <is>
          <t>营业中</t>
        </is>
      </c>
      <c r="M743" s="16" t="inlineStr">
        <is>
          <t>EEOWG25E0239170</t>
        </is>
      </c>
      <c r="N743" s="16">
        <f>LEFT(M743,12)</f>
        <v/>
      </c>
      <c r="O743" s="16" t="inlineStr">
        <is>
          <t>EEOWG25E02, (39)Ivory, (170)170</t>
        </is>
      </c>
      <c r="P743" s="16" t="n">
        <v>1299</v>
      </c>
      <c r="Q743" s="16" t="n">
        <v>999</v>
      </c>
      <c r="R743" s="16" t="n"/>
      <c r="S743" s="16" t="n"/>
      <c r="T743" s="16" t="n">
        <v>2</v>
      </c>
    </row>
    <row r="744" s="103">
      <c r="A744" s="16" t="inlineStr">
        <is>
          <t>B331</t>
        </is>
      </c>
      <c r="B744" s="16" t="inlineStr">
        <is>
          <t>上海区域</t>
        </is>
      </c>
      <c r="C744" s="16" t="inlineStr">
        <is>
          <t>CN0Q</t>
        </is>
      </c>
      <c r="D744" s="16" t="inlineStr">
        <is>
          <t>EE 苏州比斯特购物村</t>
        </is>
      </c>
      <c r="E744" s="16" t="n">
        <v>4</v>
      </c>
      <c r="F744" s="16" t="inlineStr">
        <is>
          <t>奥特莱斯</t>
        </is>
      </c>
      <c r="G744" s="16" t="inlineStr">
        <is>
          <t>EEOWG25E02</t>
        </is>
      </c>
      <c r="H744" s="16" t="n">
        <v>1299</v>
      </c>
      <c r="I744" s="16" t="n">
        <v>999</v>
      </c>
      <c r="J744" s="17" t="inlineStr">
        <is>
          <t>########</t>
        </is>
      </c>
      <c r="K744" s="16" t="inlineStr">
        <is>
          <t>(59)Navy</t>
        </is>
      </c>
      <c r="L744" s="16" t="inlineStr">
        <is>
          <t>营业中</t>
        </is>
      </c>
      <c r="M744" s="16" t="inlineStr">
        <is>
          <t>EEOWG25E0259160</t>
        </is>
      </c>
      <c r="N744" s="16">
        <f>LEFT(M744,12)</f>
        <v/>
      </c>
      <c r="O744" s="16" t="inlineStr">
        <is>
          <t>EEOWG25E02, (59)Navy, (160)160</t>
        </is>
      </c>
      <c r="P744" s="16" t="n">
        <v>1299</v>
      </c>
      <c r="Q744" s="16" t="n">
        <v>999</v>
      </c>
      <c r="R744" s="16" t="n">
        <v>2</v>
      </c>
      <c r="S744" s="18" t="n">
        <v>1273</v>
      </c>
      <c r="T744" s="16" t="n">
        <v>2</v>
      </c>
    </row>
    <row r="745" s="103">
      <c r="A745" s="16" t="inlineStr">
        <is>
          <t>B331</t>
        </is>
      </c>
      <c r="B745" s="16" t="inlineStr">
        <is>
          <t>上海区域</t>
        </is>
      </c>
      <c r="C745" s="16" t="inlineStr">
        <is>
          <t>CN0Q</t>
        </is>
      </c>
      <c r="D745" s="16" t="inlineStr">
        <is>
          <t>EE 苏州比斯特购物村</t>
        </is>
      </c>
      <c r="E745" s="16" t="n">
        <v>4</v>
      </c>
      <c r="F745" s="16" t="inlineStr">
        <is>
          <t>奥特莱斯</t>
        </is>
      </c>
      <c r="G745" s="16" t="inlineStr">
        <is>
          <t>EEOWG25E02</t>
        </is>
      </c>
      <c r="H745" s="16" t="n">
        <v>1299</v>
      </c>
      <c r="I745" s="16" t="n">
        <v>999</v>
      </c>
      <c r="J745" s="17" t="inlineStr">
        <is>
          <t>########</t>
        </is>
      </c>
      <c r="K745" s="16" t="inlineStr">
        <is>
          <t>(59)Navy</t>
        </is>
      </c>
      <c r="L745" s="16" t="inlineStr">
        <is>
          <t>营业中</t>
        </is>
      </c>
      <c r="M745" s="16" t="inlineStr">
        <is>
          <t>EEOWG25E0259165</t>
        </is>
      </c>
      <c r="N745" s="16">
        <f>LEFT(M745,12)</f>
        <v/>
      </c>
      <c r="O745" s="16" t="inlineStr">
        <is>
          <t>EEOWG25E02, (59)Navy, (165)165</t>
        </is>
      </c>
      <c r="P745" s="16" t="n">
        <v>1299</v>
      </c>
      <c r="Q745" s="16" t="n">
        <v>999</v>
      </c>
      <c r="R745" s="16" t="n"/>
      <c r="S745" s="16" t="n"/>
      <c r="T745" s="16" t="n">
        <v>4</v>
      </c>
    </row>
    <row r="746" s="103">
      <c r="A746" s="16" t="inlineStr">
        <is>
          <t>B331</t>
        </is>
      </c>
      <c r="B746" s="16" t="inlineStr">
        <is>
          <t>上海区域</t>
        </is>
      </c>
      <c r="C746" s="16" t="inlineStr">
        <is>
          <t>CN0Q</t>
        </is>
      </c>
      <c r="D746" s="16" t="inlineStr">
        <is>
          <t>EE 苏州比斯特购物村</t>
        </is>
      </c>
      <c r="E746" s="16" t="n">
        <v>4</v>
      </c>
      <c r="F746" s="16" t="inlineStr">
        <is>
          <t>奥特莱斯</t>
        </is>
      </c>
      <c r="G746" s="16" t="inlineStr">
        <is>
          <t>EEOWG25E02</t>
        </is>
      </c>
      <c r="H746" s="16" t="n">
        <v>1299</v>
      </c>
      <c r="I746" s="16" t="n">
        <v>999</v>
      </c>
      <c r="J746" s="17" t="inlineStr">
        <is>
          <t>########</t>
        </is>
      </c>
      <c r="K746" s="16" t="inlineStr">
        <is>
          <t>(59)Navy</t>
        </is>
      </c>
      <c r="L746" s="16" t="inlineStr">
        <is>
          <t>营业中</t>
        </is>
      </c>
      <c r="M746" s="16" t="inlineStr">
        <is>
          <t>EEOWG25E0259170</t>
        </is>
      </c>
      <c r="N746" s="16">
        <f>LEFT(M746,12)</f>
        <v/>
      </c>
      <c r="O746" s="16" t="inlineStr">
        <is>
          <t>EEOWG25E02, (59)Navy, (170)170</t>
        </is>
      </c>
      <c r="P746" s="16" t="n">
        <v>1299</v>
      </c>
      <c r="Q746" s="16" t="n">
        <v>999</v>
      </c>
      <c r="R746" s="16" t="n">
        <v>2</v>
      </c>
      <c r="S746" s="18" t="n">
        <v>1267</v>
      </c>
      <c r="T746" s="16" t="n">
        <v>0</v>
      </c>
    </row>
    <row r="747" s="103">
      <c r="A747" s="16" t="inlineStr">
        <is>
          <t>B331</t>
        </is>
      </c>
      <c r="B747" s="16" t="inlineStr">
        <is>
          <t>上海区域</t>
        </is>
      </c>
      <c r="C747" s="16" t="inlineStr">
        <is>
          <t>CN0Q</t>
        </is>
      </c>
      <c r="D747" s="16" t="inlineStr">
        <is>
          <t>EE 苏州比斯特购物村</t>
        </is>
      </c>
      <c r="E747" s="16" t="n">
        <v>4</v>
      </c>
      <c r="F747" s="16" t="inlineStr">
        <is>
          <t>奥特莱斯</t>
        </is>
      </c>
      <c r="G747" s="16" t="inlineStr">
        <is>
          <t>EEOWG25Q91</t>
        </is>
      </c>
      <c r="H747" s="16" t="n">
        <v>1299</v>
      </c>
      <c r="I747" s="16" t="n">
        <v>1299</v>
      </c>
      <c r="J747" s="17" t="inlineStr">
        <is>
          <t>########</t>
        </is>
      </c>
      <c r="K747" s="16" t="inlineStr">
        <is>
          <t>(19)BLACK</t>
        </is>
      </c>
      <c r="L747" s="16" t="inlineStr">
        <is>
          <t>营业中</t>
        </is>
      </c>
      <c r="M747" s="16" t="inlineStr">
        <is>
          <t>EEOWG25Q9119160</t>
        </is>
      </c>
      <c r="N747" s="16">
        <f>LEFT(M747,12)</f>
        <v/>
      </c>
      <c r="O747" s="16" t="inlineStr">
        <is>
          <t>EEOWG25Q91, (19)BLACK, (160)160</t>
        </is>
      </c>
      <c r="P747" s="16" t="n">
        <v>1299</v>
      </c>
      <c r="Q747" s="16" t="n">
        <v>1299</v>
      </c>
      <c r="R747" s="16" t="n"/>
      <c r="S747" s="16" t="n"/>
      <c r="T747" s="16" t="n">
        <v>5</v>
      </c>
    </row>
    <row r="748" s="103">
      <c r="A748" s="16" t="inlineStr">
        <is>
          <t>B331</t>
        </is>
      </c>
      <c r="B748" s="16" t="inlineStr">
        <is>
          <t>上海区域</t>
        </is>
      </c>
      <c r="C748" s="16" t="inlineStr">
        <is>
          <t>CN0Q</t>
        </is>
      </c>
      <c r="D748" s="16" t="inlineStr">
        <is>
          <t>EE 苏州比斯特购物村</t>
        </is>
      </c>
      <c r="E748" s="16" t="n">
        <v>4</v>
      </c>
      <c r="F748" s="16" t="inlineStr">
        <is>
          <t>奥特莱斯</t>
        </is>
      </c>
      <c r="G748" s="16" t="inlineStr">
        <is>
          <t>EEOWG25Q91</t>
        </is>
      </c>
      <c r="H748" s="16" t="n">
        <v>1299</v>
      </c>
      <c r="I748" s="16" t="n">
        <v>1299</v>
      </c>
      <c r="J748" s="17" t="inlineStr">
        <is>
          <t>########</t>
        </is>
      </c>
      <c r="K748" s="16" t="inlineStr">
        <is>
          <t>(19)BLACK</t>
        </is>
      </c>
      <c r="L748" s="16" t="inlineStr">
        <is>
          <t>营业中</t>
        </is>
      </c>
      <c r="M748" s="16" t="inlineStr">
        <is>
          <t>EEOWG25Q9119165</t>
        </is>
      </c>
      <c r="N748" s="16">
        <f>LEFT(M748,12)</f>
        <v/>
      </c>
      <c r="O748" s="16" t="inlineStr">
        <is>
          <t>EEOWG25Q91, (19)BLACK, (165)165</t>
        </is>
      </c>
      <c r="P748" s="16" t="n">
        <v>1299</v>
      </c>
      <c r="Q748" s="16" t="n">
        <v>1299</v>
      </c>
      <c r="R748" s="16" t="n"/>
      <c r="S748" s="16" t="n"/>
      <c r="T748" s="16" t="n">
        <v>5</v>
      </c>
    </row>
    <row r="749" s="103">
      <c r="A749" s="16" t="inlineStr">
        <is>
          <t>B331</t>
        </is>
      </c>
      <c r="B749" s="16" t="inlineStr">
        <is>
          <t>上海区域</t>
        </is>
      </c>
      <c r="C749" s="16" t="inlineStr">
        <is>
          <t>CN0Q</t>
        </is>
      </c>
      <c r="D749" s="16" t="inlineStr">
        <is>
          <t>EE 苏州比斯特购物村</t>
        </is>
      </c>
      <c r="E749" s="16" t="n">
        <v>4</v>
      </c>
      <c r="F749" s="16" t="inlineStr">
        <is>
          <t>奥特莱斯</t>
        </is>
      </c>
      <c r="G749" s="16" t="inlineStr">
        <is>
          <t>EEOWG25Q91</t>
        </is>
      </c>
      <c r="H749" s="16" t="n">
        <v>1299</v>
      </c>
      <c r="I749" s="16" t="n">
        <v>1299</v>
      </c>
      <c r="J749" s="17" t="inlineStr">
        <is>
          <t>########</t>
        </is>
      </c>
      <c r="K749" s="16" t="inlineStr">
        <is>
          <t>(19)BLACK</t>
        </is>
      </c>
      <c r="L749" s="16" t="inlineStr">
        <is>
          <t>营业中</t>
        </is>
      </c>
      <c r="M749" s="16" t="inlineStr">
        <is>
          <t>EEOWG25Q9119170</t>
        </is>
      </c>
      <c r="N749" s="16">
        <f>LEFT(M749,12)</f>
        <v/>
      </c>
      <c r="O749" s="16" t="inlineStr">
        <is>
          <t>EEOWG25Q91, (19)BLACK, (170)170</t>
        </is>
      </c>
      <c r="P749" s="16" t="n">
        <v>1299</v>
      </c>
      <c r="Q749" s="16" t="n">
        <v>1299</v>
      </c>
      <c r="R749" s="16" t="n"/>
      <c r="S749" s="16" t="n"/>
      <c r="T749" s="16" t="n">
        <v>2</v>
      </c>
    </row>
    <row r="750" s="103">
      <c r="A750" s="16" t="inlineStr">
        <is>
          <t>B331</t>
        </is>
      </c>
      <c r="B750" s="16" t="inlineStr">
        <is>
          <t>上海区域</t>
        </is>
      </c>
      <c r="C750" s="16" t="inlineStr">
        <is>
          <t>CN0Q</t>
        </is>
      </c>
      <c r="D750" s="16" t="inlineStr">
        <is>
          <t>EE 苏州比斯特购物村</t>
        </is>
      </c>
      <c r="E750" s="16" t="n">
        <v>4</v>
      </c>
      <c r="F750" s="16" t="inlineStr">
        <is>
          <t>奥特莱斯</t>
        </is>
      </c>
      <c r="G750" s="16" t="inlineStr">
        <is>
          <t>EEOWG25Q91</t>
        </is>
      </c>
      <c r="H750" s="16" t="n">
        <v>1299</v>
      </c>
      <c r="I750" s="16" t="n">
        <v>1299</v>
      </c>
      <c r="J750" s="17" t="inlineStr">
        <is>
          <t>########</t>
        </is>
      </c>
      <c r="K750" s="16" t="inlineStr">
        <is>
          <t>(79)Olive Green</t>
        </is>
      </c>
      <c r="L750" s="16" t="inlineStr">
        <is>
          <t>营业中</t>
        </is>
      </c>
      <c r="M750" s="16" t="inlineStr">
        <is>
          <t>EEOWG25Q9179160</t>
        </is>
      </c>
      <c r="N750" s="16">
        <f>LEFT(M750,12)</f>
        <v/>
      </c>
      <c r="O750" s="16" t="inlineStr">
        <is>
          <t>EEOWG25Q91, (79)Olive Green, (160)160</t>
        </is>
      </c>
      <c r="P750" s="16" t="n">
        <v>1299</v>
      </c>
      <c r="Q750" s="16" t="n">
        <v>1299</v>
      </c>
      <c r="R750" s="16" t="n"/>
      <c r="S750" s="16" t="n"/>
      <c r="T750" s="16" t="n">
        <v>5</v>
      </c>
    </row>
    <row r="751" s="103">
      <c r="A751" s="16" t="inlineStr">
        <is>
          <t>B331</t>
        </is>
      </c>
      <c r="B751" s="16" t="inlineStr">
        <is>
          <t>上海区域</t>
        </is>
      </c>
      <c r="C751" s="16" t="inlineStr">
        <is>
          <t>CN0Q</t>
        </is>
      </c>
      <c r="D751" s="16" t="inlineStr">
        <is>
          <t>EE 苏州比斯特购物村</t>
        </is>
      </c>
      <c r="E751" s="16" t="n">
        <v>4</v>
      </c>
      <c r="F751" s="16" t="inlineStr">
        <is>
          <t>奥特莱斯</t>
        </is>
      </c>
      <c r="G751" s="16" t="inlineStr">
        <is>
          <t>EEOWG25Q91</t>
        </is>
      </c>
      <c r="H751" s="16" t="n">
        <v>1299</v>
      </c>
      <c r="I751" s="16" t="n">
        <v>1299</v>
      </c>
      <c r="J751" s="17" t="inlineStr">
        <is>
          <t>########</t>
        </is>
      </c>
      <c r="K751" s="16" t="inlineStr">
        <is>
          <t>(79)Olive Green</t>
        </is>
      </c>
      <c r="L751" s="16" t="inlineStr">
        <is>
          <t>营业中</t>
        </is>
      </c>
      <c r="M751" s="16" t="inlineStr">
        <is>
          <t>EEOWG25Q9179165</t>
        </is>
      </c>
      <c r="N751" s="16">
        <f>LEFT(M751,12)</f>
        <v/>
      </c>
      <c r="O751" s="16" t="inlineStr">
        <is>
          <t>EEOWG25Q91, (79)Olive Green, (165)165</t>
        </is>
      </c>
      <c r="P751" s="16" t="n">
        <v>1299</v>
      </c>
      <c r="Q751" s="16" t="n">
        <v>1299</v>
      </c>
      <c r="R751" s="16" t="n"/>
      <c r="S751" s="16" t="n"/>
      <c r="T751" s="16" t="n">
        <v>5</v>
      </c>
    </row>
    <row r="752" s="103">
      <c r="A752" s="16" t="inlineStr">
        <is>
          <t>B331</t>
        </is>
      </c>
      <c r="B752" s="16" t="inlineStr">
        <is>
          <t>上海区域</t>
        </is>
      </c>
      <c r="C752" s="16" t="inlineStr">
        <is>
          <t>CN0Q</t>
        </is>
      </c>
      <c r="D752" s="16" t="inlineStr">
        <is>
          <t>EE 苏州比斯特购物村</t>
        </is>
      </c>
      <c r="E752" s="16" t="n">
        <v>4</v>
      </c>
      <c r="F752" s="16" t="inlineStr">
        <is>
          <t>奥特莱斯</t>
        </is>
      </c>
      <c r="G752" s="16" t="inlineStr">
        <is>
          <t>EEOWG25Q91</t>
        </is>
      </c>
      <c r="H752" s="16" t="n">
        <v>1299</v>
      </c>
      <c r="I752" s="16" t="n">
        <v>1299</v>
      </c>
      <c r="J752" s="17" t="inlineStr">
        <is>
          <t>########</t>
        </is>
      </c>
      <c r="K752" s="16" t="inlineStr">
        <is>
          <t>(79)Olive Green</t>
        </is>
      </c>
      <c r="L752" s="16" t="inlineStr">
        <is>
          <t>营业中</t>
        </is>
      </c>
      <c r="M752" s="16" t="inlineStr">
        <is>
          <t>EEOWG25Q9179170</t>
        </is>
      </c>
      <c r="N752" s="16">
        <f>LEFT(M752,12)</f>
        <v/>
      </c>
      <c r="O752" s="16" t="inlineStr">
        <is>
          <t>EEOWG25Q91, (79)Olive Green, (170)170</t>
        </is>
      </c>
      <c r="P752" s="16" t="n">
        <v>1299</v>
      </c>
      <c r="Q752" s="16" t="n">
        <v>1299</v>
      </c>
      <c r="R752" s="16" t="n"/>
      <c r="S752" s="16" t="n"/>
      <c r="T752" s="16" t="n">
        <v>2</v>
      </c>
    </row>
    <row r="753" s="103">
      <c r="A753" s="16" t="inlineStr">
        <is>
          <t>B331</t>
        </is>
      </c>
      <c r="B753" s="16" t="inlineStr">
        <is>
          <t>上海区域</t>
        </is>
      </c>
      <c r="C753" s="16" t="inlineStr">
        <is>
          <t>CN0Q</t>
        </is>
      </c>
      <c r="D753" s="16" t="inlineStr">
        <is>
          <t>EE 苏州比斯特购物村</t>
        </is>
      </c>
      <c r="E753" s="16" t="n">
        <v>4</v>
      </c>
      <c r="F753" s="16" t="inlineStr">
        <is>
          <t>奥特莱斯</t>
        </is>
      </c>
      <c r="G753" s="16" t="inlineStr">
        <is>
          <t>EEOWG25Q92</t>
        </is>
      </c>
      <c r="H753" s="16" t="n">
        <v>1299</v>
      </c>
      <c r="I753" s="16" t="n">
        <v>1299</v>
      </c>
      <c r="J753" s="17" t="inlineStr">
        <is>
          <t>########</t>
        </is>
      </c>
      <c r="K753" s="16" t="inlineStr">
        <is>
          <t>(31)L/Yellow</t>
        </is>
      </c>
      <c r="L753" s="16" t="inlineStr">
        <is>
          <t>营业中</t>
        </is>
      </c>
      <c r="M753" s="16" t="inlineStr">
        <is>
          <t>EEOWG25Q9231160</t>
        </is>
      </c>
      <c r="N753" s="16">
        <f>LEFT(M753,12)</f>
        <v/>
      </c>
      <c r="O753" s="16" t="inlineStr">
        <is>
          <t>EEOWG25Q92, (31)L/Yellow, (160)160</t>
        </is>
      </c>
      <c r="P753" s="16" t="n">
        <v>1299</v>
      </c>
      <c r="Q753" s="16" t="n">
        <v>1299</v>
      </c>
      <c r="R753" s="16" t="n">
        <v>5</v>
      </c>
      <c r="S753" s="18" t="n">
        <v>4198</v>
      </c>
      <c r="T753" s="16" t="n">
        <v>0</v>
      </c>
    </row>
    <row r="754" s="103">
      <c r="A754" s="16" t="inlineStr">
        <is>
          <t>B331</t>
        </is>
      </c>
      <c r="B754" s="16" t="inlineStr">
        <is>
          <t>上海区域</t>
        </is>
      </c>
      <c r="C754" s="16" t="inlineStr">
        <is>
          <t>CN0Q</t>
        </is>
      </c>
      <c r="D754" s="16" t="inlineStr">
        <is>
          <t>EE 苏州比斯特购物村</t>
        </is>
      </c>
      <c r="E754" s="16" t="n">
        <v>4</v>
      </c>
      <c r="F754" s="16" t="inlineStr">
        <is>
          <t>奥特莱斯</t>
        </is>
      </c>
      <c r="G754" s="16" t="inlineStr">
        <is>
          <t>EEOWG25Q92</t>
        </is>
      </c>
      <c r="H754" s="16" t="n">
        <v>1299</v>
      </c>
      <c r="I754" s="16" t="n">
        <v>1299</v>
      </c>
      <c r="J754" s="17" t="inlineStr">
        <is>
          <t>########</t>
        </is>
      </c>
      <c r="K754" s="16" t="inlineStr">
        <is>
          <t>(31)L/Yellow</t>
        </is>
      </c>
      <c r="L754" s="16" t="inlineStr">
        <is>
          <t>营业中</t>
        </is>
      </c>
      <c r="M754" s="16" t="inlineStr">
        <is>
          <t>EEOWG25Q9231165</t>
        </is>
      </c>
      <c r="N754" s="16">
        <f>LEFT(M754,12)</f>
        <v/>
      </c>
      <c r="O754" s="16" t="inlineStr">
        <is>
          <t>EEOWG25Q92, (31)L/Yellow, (165)165</t>
        </is>
      </c>
      <c r="P754" s="16" t="n">
        <v>1299</v>
      </c>
      <c r="Q754" s="16" t="n">
        <v>1299</v>
      </c>
      <c r="R754" s="16" t="n">
        <v>3</v>
      </c>
      <c r="S754" s="18" t="n">
        <v>2107</v>
      </c>
      <c r="T754" s="16" t="n">
        <v>1</v>
      </c>
    </row>
    <row r="755" s="103">
      <c r="A755" s="16" t="inlineStr">
        <is>
          <t>B331</t>
        </is>
      </c>
      <c r="B755" s="16" t="inlineStr">
        <is>
          <t>上海区域</t>
        </is>
      </c>
      <c r="C755" s="16" t="inlineStr">
        <is>
          <t>CN0Q</t>
        </is>
      </c>
      <c r="D755" s="16" t="inlineStr">
        <is>
          <t>EE 苏州比斯特购物村</t>
        </is>
      </c>
      <c r="E755" s="16" t="n">
        <v>4</v>
      </c>
      <c r="F755" s="16" t="inlineStr">
        <is>
          <t>奥特莱斯</t>
        </is>
      </c>
      <c r="G755" s="16" t="inlineStr">
        <is>
          <t>EEOWG25Q92</t>
        </is>
      </c>
      <c r="H755" s="16" t="n">
        <v>1299</v>
      </c>
      <c r="I755" s="16" t="n">
        <v>1299</v>
      </c>
      <c r="J755" s="17" t="inlineStr">
        <is>
          <t>########</t>
        </is>
      </c>
      <c r="K755" s="16" t="inlineStr">
        <is>
          <t>(31)L/Yellow</t>
        </is>
      </c>
      <c r="L755" s="16" t="inlineStr">
        <is>
          <t>营业中</t>
        </is>
      </c>
      <c r="M755" s="16" t="inlineStr">
        <is>
          <t>EEOWG25Q9231170</t>
        </is>
      </c>
      <c r="N755" s="16">
        <f>LEFT(M755,12)</f>
        <v/>
      </c>
      <c r="O755" s="16" t="inlineStr">
        <is>
          <t>EEOWG25Q92, (31)L/Yellow, (170)170</t>
        </is>
      </c>
      <c r="P755" s="16" t="n">
        <v>1299</v>
      </c>
      <c r="Q755" s="16" t="n">
        <v>1299</v>
      </c>
      <c r="R755" s="16" t="n">
        <v>1</v>
      </c>
      <c r="S755" s="16" t="n">
        <v>820</v>
      </c>
      <c r="T755" s="16" t="n">
        <v>2</v>
      </c>
    </row>
    <row r="756" s="103">
      <c r="A756" s="16" t="inlineStr">
        <is>
          <t>B331</t>
        </is>
      </c>
      <c r="B756" s="16" t="inlineStr">
        <is>
          <t>上海区域</t>
        </is>
      </c>
      <c r="C756" s="16" t="inlineStr">
        <is>
          <t>CN0Q</t>
        </is>
      </c>
      <c r="D756" s="16" t="inlineStr">
        <is>
          <t>EE 苏州比斯特购物村</t>
        </is>
      </c>
      <c r="E756" s="16" t="n">
        <v>4</v>
      </c>
      <c r="F756" s="16" t="inlineStr">
        <is>
          <t>奥特莱斯</t>
        </is>
      </c>
      <c r="G756" s="16" t="inlineStr">
        <is>
          <t>EEOWG25Q92</t>
        </is>
      </c>
      <c r="H756" s="16" t="n">
        <v>1299</v>
      </c>
      <c r="I756" s="16" t="n">
        <v>1299</v>
      </c>
      <c r="J756" s="17" t="inlineStr">
        <is>
          <t>########</t>
        </is>
      </c>
      <c r="K756" s="16" t="inlineStr">
        <is>
          <t>(85)Brown</t>
        </is>
      </c>
      <c r="L756" s="16" t="inlineStr">
        <is>
          <t>营业中</t>
        </is>
      </c>
      <c r="M756" s="16" t="inlineStr">
        <is>
          <t>EEOWG25Q9285160</t>
        </is>
      </c>
      <c r="N756" s="16">
        <f>LEFT(M756,12)</f>
        <v/>
      </c>
      <c r="O756" s="16" t="inlineStr">
        <is>
          <t>EEOWG25Q92, (85)Brown, (160)160</t>
        </is>
      </c>
      <c r="P756" s="16" t="n">
        <v>1299</v>
      </c>
      <c r="Q756" s="16" t="n">
        <v>1299</v>
      </c>
      <c r="R756" s="16" t="n">
        <v>4</v>
      </c>
      <c r="S756" s="18" t="n">
        <v>3425</v>
      </c>
      <c r="T756" s="16" t="n">
        <v>0</v>
      </c>
    </row>
    <row r="757" s="103">
      <c r="A757" s="16" t="inlineStr">
        <is>
          <t>B331</t>
        </is>
      </c>
      <c r="B757" s="16" t="inlineStr">
        <is>
          <t>上海区域</t>
        </is>
      </c>
      <c r="C757" s="16" t="inlineStr">
        <is>
          <t>CN0Q</t>
        </is>
      </c>
      <c r="D757" s="16" t="inlineStr">
        <is>
          <t>EE 苏州比斯特购物村</t>
        </is>
      </c>
      <c r="E757" s="16" t="n">
        <v>4</v>
      </c>
      <c r="F757" s="16" t="inlineStr">
        <is>
          <t>奥特莱斯</t>
        </is>
      </c>
      <c r="G757" s="16" t="inlineStr">
        <is>
          <t>EEOWG25Q92</t>
        </is>
      </c>
      <c r="H757" s="16" t="n">
        <v>1299</v>
      </c>
      <c r="I757" s="16" t="n">
        <v>1299</v>
      </c>
      <c r="J757" s="17" t="inlineStr">
        <is>
          <t>########</t>
        </is>
      </c>
      <c r="K757" s="16" t="inlineStr">
        <is>
          <t>(85)Brown</t>
        </is>
      </c>
      <c r="L757" s="16" t="inlineStr">
        <is>
          <t>营业中</t>
        </is>
      </c>
      <c r="M757" s="16" t="inlineStr">
        <is>
          <t>EEOWG25Q9285165</t>
        </is>
      </c>
      <c r="N757" s="16">
        <f>LEFT(M757,12)</f>
        <v/>
      </c>
      <c r="O757" s="16" t="inlineStr">
        <is>
          <t>EEOWG25Q92, (85)Brown, (165)165</t>
        </is>
      </c>
      <c r="P757" s="16" t="n">
        <v>1299</v>
      </c>
      <c r="Q757" s="16" t="n">
        <v>1299</v>
      </c>
      <c r="R757" s="16" t="n">
        <v>1</v>
      </c>
      <c r="S757" s="16" t="n">
        <v>827</v>
      </c>
      <c r="T757" s="16" t="n">
        <v>3</v>
      </c>
    </row>
    <row r="758" s="103">
      <c r="A758" s="16" t="inlineStr">
        <is>
          <t>B331</t>
        </is>
      </c>
      <c r="B758" s="16" t="inlineStr">
        <is>
          <t>上海区域</t>
        </is>
      </c>
      <c r="C758" s="16" t="inlineStr">
        <is>
          <t>CN0Q</t>
        </is>
      </c>
      <c r="D758" s="16" t="inlineStr">
        <is>
          <t>EE 苏州比斯特购物村</t>
        </is>
      </c>
      <c r="E758" s="16" t="n">
        <v>4</v>
      </c>
      <c r="F758" s="16" t="inlineStr">
        <is>
          <t>奥特莱斯</t>
        </is>
      </c>
      <c r="G758" s="16" t="inlineStr">
        <is>
          <t>EEOWG25Q92</t>
        </is>
      </c>
      <c r="H758" s="16" t="n">
        <v>1299</v>
      </c>
      <c r="I758" s="16" t="n">
        <v>1299</v>
      </c>
      <c r="J758" s="17" t="inlineStr">
        <is>
          <t>########</t>
        </is>
      </c>
      <c r="K758" s="16" t="inlineStr">
        <is>
          <t>(85)Brown</t>
        </is>
      </c>
      <c r="L758" s="16" t="inlineStr">
        <is>
          <t>营业中</t>
        </is>
      </c>
      <c r="M758" s="16" t="inlineStr">
        <is>
          <t>EEOWG25Q9285170</t>
        </is>
      </c>
      <c r="N758" s="16">
        <f>LEFT(M758,12)</f>
        <v/>
      </c>
      <c r="O758" s="16" t="inlineStr">
        <is>
          <t>EEOWG25Q92, (85)Brown, (170)170</t>
        </is>
      </c>
      <c r="P758" s="16" t="n">
        <v>1299</v>
      </c>
      <c r="Q758" s="16" t="n">
        <v>1299</v>
      </c>
      <c r="R758" s="16" t="n">
        <v>1</v>
      </c>
      <c r="S758" s="16" t="n">
        <v>853</v>
      </c>
      <c r="T758" s="16" t="n">
        <v>1</v>
      </c>
    </row>
    <row r="759" s="103">
      <c r="A759" s="16" t="inlineStr">
        <is>
          <t>B331</t>
        </is>
      </c>
      <c r="B759" s="16" t="inlineStr">
        <is>
          <t>上海区域</t>
        </is>
      </c>
      <c r="C759" s="16" t="inlineStr">
        <is>
          <t>CN0Q</t>
        </is>
      </c>
      <c r="D759" s="16" t="inlineStr">
        <is>
          <t>EE 苏州比斯特购物村</t>
        </is>
      </c>
      <c r="E759" s="16" t="n">
        <v>4</v>
      </c>
      <c r="F759" s="16" t="inlineStr">
        <is>
          <t>奥特莱斯</t>
        </is>
      </c>
      <c r="G759" s="16" t="inlineStr">
        <is>
          <t>EEOWG26B01</t>
        </is>
      </c>
      <c r="H759" s="16" t="n">
        <v>1299</v>
      </c>
      <c r="I759" s="16" t="n">
        <v>1299</v>
      </c>
      <c r="J759" s="17" t="inlineStr">
        <is>
          <t>########</t>
        </is>
      </c>
      <c r="K759" s="16" t="inlineStr">
        <is>
          <t>(99)MIX</t>
        </is>
      </c>
      <c r="L759" s="16" t="inlineStr">
        <is>
          <t>营业中</t>
        </is>
      </c>
      <c r="M759" s="16" t="inlineStr">
        <is>
          <t>EEOWG26B0199160</t>
        </is>
      </c>
      <c r="N759" s="16">
        <f>LEFT(M759,12)</f>
        <v/>
      </c>
      <c r="O759" s="16" t="inlineStr">
        <is>
          <t>EEOWG26B01, (99)MIX, (160)160</t>
        </is>
      </c>
      <c r="P759" s="16" t="n">
        <v>1299</v>
      </c>
      <c r="Q759" s="16" t="n">
        <v>1299</v>
      </c>
      <c r="R759" s="16" t="n">
        <v>2</v>
      </c>
      <c r="S759" s="18" t="n">
        <v>1735</v>
      </c>
      <c r="T759" s="16" t="n">
        <v>10</v>
      </c>
    </row>
    <row r="760" s="103">
      <c r="A760" s="16" t="inlineStr">
        <is>
          <t>B331</t>
        </is>
      </c>
      <c r="B760" s="16" t="inlineStr">
        <is>
          <t>上海区域</t>
        </is>
      </c>
      <c r="C760" s="16" t="inlineStr">
        <is>
          <t>CN0Q</t>
        </is>
      </c>
      <c r="D760" s="16" t="inlineStr">
        <is>
          <t>EE 苏州比斯特购物村</t>
        </is>
      </c>
      <c r="E760" s="16" t="n">
        <v>4</v>
      </c>
      <c r="F760" s="16" t="inlineStr">
        <is>
          <t>奥特莱斯</t>
        </is>
      </c>
      <c r="G760" s="16" t="inlineStr">
        <is>
          <t>EEOWG26B01</t>
        </is>
      </c>
      <c r="H760" s="16" t="n">
        <v>1299</v>
      </c>
      <c r="I760" s="16" t="n">
        <v>1299</v>
      </c>
      <c r="J760" s="17" t="inlineStr">
        <is>
          <t>########</t>
        </is>
      </c>
      <c r="K760" s="16" t="inlineStr">
        <is>
          <t>(99)MIX</t>
        </is>
      </c>
      <c r="L760" s="16" t="inlineStr">
        <is>
          <t>营业中</t>
        </is>
      </c>
      <c r="M760" s="16" t="inlineStr">
        <is>
          <t>EEOWG26B0199165</t>
        </is>
      </c>
      <c r="N760" s="16">
        <f>LEFT(M760,12)</f>
        <v/>
      </c>
      <c r="O760" s="16" t="inlineStr">
        <is>
          <t>EEOWG26B01, (99)MIX, (165)165</t>
        </is>
      </c>
      <c r="P760" s="16" t="n">
        <v>1299</v>
      </c>
      <c r="Q760" s="16" t="n">
        <v>1299</v>
      </c>
      <c r="R760" s="16" t="n">
        <v>1</v>
      </c>
      <c r="S760" s="16" t="n">
        <v>820</v>
      </c>
      <c r="T760" s="16" t="n">
        <v>10</v>
      </c>
    </row>
    <row r="761" s="103">
      <c r="A761" s="16" t="inlineStr">
        <is>
          <t>B331</t>
        </is>
      </c>
      <c r="B761" s="16" t="inlineStr">
        <is>
          <t>上海区域</t>
        </is>
      </c>
      <c r="C761" s="16" t="inlineStr">
        <is>
          <t>CN0Q</t>
        </is>
      </c>
      <c r="D761" s="16" t="inlineStr">
        <is>
          <t>EE 苏州比斯特购物村</t>
        </is>
      </c>
      <c r="E761" s="16" t="n">
        <v>4</v>
      </c>
      <c r="F761" s="16" t="inlineStr">
        <is>
          <t>奥特莱斯</t>
        </is>
      </c>
      <c r="G761" s="16" t="inlineStr">
        <is>
          <t>EEOWG26B01</t>
        </is>
      </c>
      <c r="H761" s="16" t="n">
        <v>1299</v>
      </c>
      <c r="I761" s="16" t="n">
        <v>1299</v>
      </c>
      <c r="J761" s="17" t="inlineStr">
        <is>
          <t>########</t>
        </is>
      </c>
      <c r="K761" s="16" t="inlineStr">
        <is>
          <t>(99)MIX</t>
        </is>
      </c>
      <c r="L761" s="16" t="inlineStr">
        <is>
          <t>营业中</t>
        </is>
      </c>
      <c r="M761" s="16" t="inlineStr">
        <is>
          <t>EEOWG26B0199170</t>
        </is>
      </c>
      <c r="N761" s="16">
        <f>LEFT(M761,12)</f>
        <v/>
      </c>
      <c r="O761" s="16" t="inlineStr">
        <is>
          <t>EEOWG26B01, (99)MIX, (170)170</t>
        </is>
      </c>
      <c r="P761" s="16" t="n">
        <v>1299</v>
      </c>
      <c r="Q761" s="16" t="n">
        <v>1299</v>
      </c>
      <c r="R761" s="16" t="n">
        <v>1</v>
      </c>
      <c r="S761" s="16" t="n">
        <v>909</v>
      </c>
      <c r="T761" s="16" t="n">
        <v>5</v>
      </c>
    </row>
    <row r="762" s="103">
      <c r="A762" s="16" t="inlineStr">
        <is>
          <t>B331</t>
        </is>
      </c>
      <c r="B762" s="16" t="inlineStr">
        <is>
          <t>上海区域</t>
        </is>
      </c>
      <c r="C762" s="16" t="inlineStr">
        <is>
          <t>CN0Q</t>
        </is>
      </c>
      <c r="D762" s="16" t="inlineStr">
        <is>
          <t>EE 苏州比斯特购物村</t>
        </is>
      </c>
      <c r="E762" s="16" t="n">
        <v>4</v>
      </c>
      <c r="F762" s="16" t="inlineStr">
        <is>
          <t>奥特莱斯</t>
        </is>
      </c>
      <c r="G762" s="16" t="inlineStr">
        <is>
          <t>EEOWG26B03</t>
        </is>
      </c>
      <c r="H762" s="16" t="n">
        <v>1299</v>
      </c>
      <c r="I762" s="16" t="n">
        <v>1299</v>
      </c>
      <c r="J762" s="17" t="inlineStr">
        <is>
          <t>########</t>
        </is>
      </c>
      <c r="K762" s="16" t="inlineStr">
        <is>
          <t>(51)L/Blue</t>
        </is>
      </c>
      <c r="L762" s="16" t="inlineStr">
        <is>
          <t>营业中</t>
        </is>
      </c>
      <c r="M762" s="16" t="inlineStr">
        <is>
          <t>EEOWG26B0351160</t>
        </is>
      </c>
      <c r="N762" s="16">
        <f>LEFT(M762,12)</f>
        <v/>
      </c>
      <c r="O762" s="16" t="inlineStr">
        <is>
          <t>EEOWG26B03, (51)L/Blue, (160)160</t>
        </is>
      </c>
      <c r="P762" s="16" t="n">
        <v>1299</v>
      </c>
      <c r="Q762" s="16" t="n">
        <v>1299</v>
      </c>
      <c r="R762" s="16" t="n"/>
      <c r="S762" s="16" t="n"/>
      <c r="T762" s="16" t="n">
        <v>4</v>
      </c>
    </row>
    <row r="763" s="103">
      <c r="A763" s="16" t="inlineStr">
        <is>
          <t>B331</t>
        </is>
      </c>
      <c r="B763" s="16" t="inlineStr">
        <is>
          <t>上海区域</t>
        </is>
      </c>
      <c r="C763" s="16" t="inlineStr">
        <is>
          <t>CN0Q</t>
        </is>
      </c>
      <c r="D763" s="16" t="inlineStr">
        <is>
          <t>EE 苏州比斯特购物村</t>
        </is>
      </c>
      <c r="E763" s="16" t="n">
        <v>4</v>
      </c>
      <c r="F763" s="16" t="inlineStr">
        <is>
          <t>奥特莱斯</t>
        </is>
      </c>
      <c r="G763" s="16" t="inlineStr">
        <is>
          <t>EEOWG26B03</t>
        </is>
      </c>
      <c r="H763" s="16" t="n">
        <v>1299</v>
      </c>
      <c r="I763" s="16" t="n">
        <v>1299</v>
      </c>
      <c r="J763" s="17" t="inlineStr">
        <is>
          <t>########</t>
        </is>
      </c>
      <c r="K763" s="16" t="inlineStr">
        <is>
          <t>(51)L/Blue</t>
        </is>
      </c>
      <c r="L763" s="16" t="inlineStr">
        <is>
          <t>营业中</t>
        </is>
      </c>
      <c r="M763" s="16" t="inlineStr">
        <is>
          <t>EEOWG26B0351165</t>
        </is>
      </c>
      <c r="N763" s="16">
        <f>LEFT(M763,12)</f>
        <v/>
      </c>
      <c r="O763" s="16" t="inlineStr">
        <is>
          <t>EEOWG26B03, (51)L/Blue, (165)165</t>
        </is>
      </c>
      <c r="P763" s="16" t="n">
        <v>1299</v>
      </c>
      <c r="Q763" s="16" t="n">
        <v>1299</v>
      </c>
      <c r="R763" s="16" t="n"/>
      <c r="S763" s="16" t="n"/>
      <c r="T763" s="16" t="n">
        <v>4</v>
      </c>
    </row>
    <row r="764" s="103">
      <c r="A764" s="16" t="inlineStr">
        <is>
          <t>B331</t>
        </is>
      </c>
      <c r="B764" s="16" t="inlineStr">
        <is>
          <t>上海区域</t>
        </is>
      </c>
      <c r="C764" s="16" t="inlineStr">
        <is>
          <t>CN0Q</t>
        </is>
      </c>
      <c r="D764" s="16" t="inlineStr">
        <is>
          <t>EE 苏州比斯特购物村</t>
        </is>
      </c>
      <c r="E764" s="16" t="n">
        <v>4</v>
      </c>
      <c r="F764" s="16" t="inlineStr">
        <is>
          <t>奥特莱斯</t>
        </is>
      </c>
      <c r="G764" s="16" t="inlineStr">
        <is>
          <t>EEOWG26B03</t>
        </is>
      </c>
      <c r="H764" s="16" t="n">
        <v>1299</v>
      </c>
      <c r="I764" s="16" t="n">
        <v>1299</v>
      </c>
      <c r="J764" s="17" t="inlineStr">
        <is>
          <t>########</t>
        </is>
      </c>
      <c r="K764" s="16" t="inlineStr">
        <is>
          <t>(51)L/Blue</t>
        </is>
      </c>
      <c r="L764" s="16" t="inlineStr">
        <is>
          <t>营业中</t>
        </is>
      </c>
      <c r="M764" s="16" t="inlineStr">
        <is>
          <t>EEOWG26B0351170</t>
        </is>
      </c>
      <c r="N764" s="16">
        <f>LEFT(M764,12)</f>
        <v/>
      </c>
      <c r="O764" s="16" t="inlineStr">
        <is>
          <t>EEOWG26B03, (51)L/Blue, (170)170</t>
        </is>
      </c>
      <c r="P764" s="16" t="n">
        <v>1299</v>
      </c>
      <c r="Q764" s="16" t="n">
        <v>1299</v>
      </c>
      <c r="R764" s="16" t="n">
        <v>1</v>
      </c>
      <c r="S764" s="16" t="n">
        <v>909</v>
      </c>
      <c r="T764" s="16" t="n">
        <v>1</v>
      </c>
    </row>
    <row r="765" s="103">
      <c r="A765" s="16" t="inlineStr">
        <is>
          <t>B331</t>
        </is>
      </c>
      <c r="B765" s="16" t="inlineStr">
        <is>
          <t>上海区域</t>
        </is>
      </c>
      <c r="C765" s="16" t="inlineStr">
        <is>
          <t>CN0Q</t>
        </is>
      </c>
      <c r="D765" s="16" t="inlineStr">
        <is>
          <t>EE 苏州比斯特购物村</t>
        </is>
      </c>
      <c r="E765" s="16" t="n">
        <v>4</v>
      </c>
      <c r="F765" s="16" t="inlineStr">
        <is>
          <t>奥特莱斯</t>
        </is>
      </c>
      <c r="G765" s="16" t="inlineStr">
        <is>
          <t>EEOWG64S02</t>
        </is>
      </c>
      <c r="H765" s="16" t="n">
        <v>999</v>
      </c>
      <c r="I765" s="16" t="n">
        <v>999</v>
      </c>
      <c r="J765" s="17" t="inlineStr">
        <is>
          <t>########</t>
        </is>
      </c>
      <c r="K765" s="16" t="inlineStr">
        <is>
          <t>(26)L/Pink</t>
        </is>
      </c>
      <c r="L765" s="16" t="inlineStr">
        <is>
          <t>营业中</t>
        </is>
      </c>
      <c r="M765" s="16" t="inlineStr">
        <is>
          <t>EEOWG64S0226160</t>
        </is>
      </c>
      <c r="N765" s="16">
        <f>LEFT(M765,12)</f>
        <v/>
      </c>
      <c r="O765" s="16" t="inlineStr">
        <is>
          <t>EEOWG64S02, (26)L/Pink, (160)160</t>
        </is>
      </c>
      <c r="P765" s="16" t="n">
        <v>999</v>
      </c>
      <c r="Q765" s="16" t="n">
        <v>999</v>
      </c>
      <c r="R765" s="16" t="n">
        <v>5</v>
      </c>
      <c r="S765" s="18" t="n">
        <v>1846</v>
      </c>
      <c r="T765" s="16" t="n">
        <v>7</v>
      </c>
    </row>
    <row r="766" s="103">
      <c r="A766" s="16" t="inlineStr">
        <is>
          <t>B331</t>
        </is>
      </c>
      <c r="B766" s="16" t="inlineStr">
        <is>
          <t>上海区域</t>
        </is>
      </c>
      <c r="C766" s="16" t="inlineStr">
        <is>
          <t>CN0Q</t>
        </is>
      </c>
      <c r="D766" s="16" t="inlineStr">
        <is>
          <t>EE 苏州比斯特购物村</t>
        </is>
      </c>
      <c r="E766" s="16" t="n">
        <v>4</v>
      </c>
      <c r="F766" s="16" t="inlineStr">
        <is>
          <t>奥特莱斯</t>
        </is>
      </c>
      <c r="G766" s="16" t="inlineStr">
        <is>
          <t>EEOWG64S02</t>
        </is>
      </c>
      <c r="H766" s="16" t="n">
        <v>999</v>
      </c>
      <c r="I766" s="16" t="n">
        <v>999</v>
      </c>
      <c r="J766" s="17" t="inlineStr">
        <is>
          <t>########</t>
        </is>
      </c>
      <c r="K766" s="16" t="inlineStr">
        <is>
          <t>(26)L/Pink</t>
        </is>
      </c>
      <c r="L766" s="16" t="inlineStr">
        <is>
          <t>营业中</t>
        </is>
      </c>
      <c r="M766" s="16" t="inlineStr">
        <is>
          <t>EEOWG64S0226165</t>
        </is>
      </c>
      <c r="N766" s="16">
        <f>LEFT(M766,12)</f>
        <v/>
      </c>
      <c r="O766" s="16" t="inlineStr">
        <is>
          <t>EEOWG64S02, (26)L/Pink, (165)165</t>
        </is>
      </c>
      <c r="P766" s="16" t="n">
        <v>999</v>
      </c>
      <c r="Q766" s="16" t="n">
        <v>999</v>
      </c>
      <c r="R766" s="16" t="n">
        <v>0</v>
      </c>
      <c r="S766" s="16" t="n">
        <v>-999</v>
      </c>
      <c r="T766" s="16" t="n">
        <v>4</v>
      </c>
    </row>
    <row r="767" s="103">
      <c r="A767" s="16" t="inlineStr">
        <is>
          <t>B331</t>
        </is>
      </c>
      <c r="B767" s="16" t="inlineStr">
        <is>
          <t>上海区域</t>
        </is>
      </c>
      <c r="C767" s="16" t="inlineStr">
        <is>
          <t>CN0Q</t>
        </is>
      </c>
      <c r="D767" s="16" t="inlineStr">
        <is>
          <t>EE 苏州比斯特购物村</t>
        </is>
      </c>
      <c r="E767" s="16" t="n">
        <v>4</v>
      </c>
      <c r="F767" s="16" t="inlineStr">
        <is>
          <t>奥特莱斯</t>
        </is>
      </c>
      <c r="G767" s="16" t="inlineStr">
        <is>
          <t>EEOWG64S02</t>
        </is>
      </c>
      <c r="H767" s="16" t="n">
        <v>999</v>
      </c>
      <c r="I767" s="16" t="n">
        <v>999</v>
      </c>
      <c r="J767" s="17" t="inlineStr">
        <is>
          <t>########</t>
        </is>
      </c>
      <c r="K767" s="16" t="inlineStr">
        <is>
          <t>(26)L/Pink</t>
        </is>
      </c>
      <c r="L767" s="16" t="inlineStr">
        <is>
          <t>营业中</t>
        </is>
      </c>
      <c r="M767" s="16" t="inlineStr">
        <is>
          <t>EEOWG64S0226170</t>
        </is>
      </c>
      <c r="N767" s="16">
        <f>LEFT(M767,12)</f>
        <v/>
      </c>
      <c r="O767" s="16" t="inlineStr">
        <is>
          <t>EEOWG64S02, (26)L/Pink, (170)170</t>
        </is>
      </c>
      <c r="P767" s="16" t="n">
        <v>999</v>
      </c>
      <c r="Q767" s="16" t="n">
        <v>999</v>
      </c>
      <c r="R767" s="16" t="n">
        <v>1</v>
      </c>
      <c r="S767" s="16" t="n">
        <v>500</v>
      </c>
      <c r="T767" s="16" t="n">
        <v>2</v>
      </c>
    </row>
    <row r="768" s="103">
      <c r="A768" s="16" t="inlineStr">
        <is>
          <t>B331</t>
        </is>
      </c>
      <c r="B768" s="16" t="inlineStr">
        <is>
          <t>上海区域</t>
        </is>
      </c>
      <c r="C768" s="16" t="inlineStr">
        <is>
          <t>CN0Q</t>
        </is>
      </c>
      <c r="D768" s="16" t="inlineStr">
        <is>
          <t>EE 苏州比斯特购物村</t>
        </is>
      </c>
      <c r="E768" s="16" t="n">
        <v>4</v>
      </c>
      <c r="F768" s="16" t="inlineStr">
        <is>
          <t>奥特莱斯</t>
        </is>
      </c>
      <c r="G768" s="16" t="inlineStr">
        <is>
          <t>EEOWG64S02</t>
        </is>
      </c>
      <c r="H768" s="16" t="n">
        <v>999</v>
      </c>
      <c r="I768" s="16" t="n">
        <v>999</v>
      </c>
      <c r="J768" s="17" t="inlineStr">
        <is>
          <t>########</t>
        </is>
      </c>
      <c r="K768" s="16" t="inlineStr">
        <is>
          <t>(39)Ivory</t>
        </is>
      </c>
      <c r="L768" s="16" t="inlineStr">
        <is>
          <t>营业中</t>
        </is>
      </c>
      <c r="M768" s="16" t="inlineStr">
        <is>
          <t>EEOWG64S0239160</t>
        </is>
      </c>
      <c r="N768" s="16">
        <f>LEFT(M768,12)</f>
        <v/>
      </c>
      <c r="O768" s="16" t="inlineStr">
        <is>
          <t>EEOWG64S02, (39)Ivory, (160)160</t>
        </is>
      </c>
      <c r="P768" s="16" t="n">
        <v>999</v>
      </c>
      <c r="Q768" s="16" t="n">
        <v>999</v>
      </c>
      <c r="R768" s="16" t="n">
        <v>20</v>
      </c>
      <c r="S768" s="18" t="n">
        <v>9162</v>
      </c>
      <c r="T768" s="16" t="n">
        <v>1</v>
      </c>
    </row>
    <row r="769" s="103">
      <c r="A769" s="16" t="inlineStr">
        <is>
          <t>B331</t>
        </is>
      </c>
      <c r="B769" s="16" t="inlineStr">
        <is>
          <t>上海区域</t>
        </is>
      </c>
      <c r="C769" s="16" t="inlineStr">
        <is>
          <t>CN0Q</t>
        </is>
      </c>
      <c r="D769" s="16" t="inlineStr">
        <is>
          <t>EE 苏州比斯特购物村</t>
        </is>
      </c>
      <c r="E769" s="16" t="n">
        <v>4</v>
      </c>
      <c r="F769" s="16" t="inlineStr">
        <is>
          <t>奥特莱斯</t>
        </is>
      </c>
      <c r="G769" s="16" t="inlineStr">
        <is>
          <t>EEOWG64S02</t>
        </is>
      </c>
      <c r="H769" s="16" t="n">
        <v>999</v>
      </c>
      <c r="I769" s="16" t="n">
        <v>999</v>
      </c>
      <c r="J769" s="17" t="inlineStr">
        <is>
          <t>########</t>
        </is>
      </c>
      <c r="K769" s="16" t="inlineStr">
        <is>
          <t>(39)Ivory</t>
        </is>
      </c>
      <c r="L769" s="16" t="inlineStr">
        <is>
          <t>营业中</t>
        </is>
      </c>
      <c r="M769" s="16" t="inlineStr">
        <is>
          <t>EEOWG64S0239165</t>
        </is>
      </c>
      <c r="N769" s="16">
        <f>LEFT(M769,12)</f>
        <v/>
      </c>
      <c r="O769" s="16" t="inlineStr">
        <is>
          <t>EEOWG64S02, (39)Ivory, (165)165</t>
        </is>
      </c>
      <c r="P769" s="16" t="n">
        <v>999</v>
      </c>
      <c r="Q769" s="16" t="n">
        <v>999</v>
      </c>
      <c r="R769" s="16" t="n">
        <v>14</v>
      </c>
      <c r="S769" s="18" t="n">
        <v>3608</v>
      </c>
      <c r="T769" s="16" t="n">
        <v>4</v>
      </c>
    </row>
    <row r="770" s="103">
      <c r="A770" s="16" t="inlineStr">
        <is>
          <t>B331</t>
        </is>
      </c>
      <c r="B770" s="16" t="inlineStr">
        <is>
          <t>上海区域</t>
        </is>
      </c>
      <c r="C770" s="16" t="inlineStr">
        <is>
          <t>CN0Q</t>
        </is>
      </c>
      <c r="D770" s="16" t="inlineStr">
        <is>
          <t>EE 苏州比斯特购物村</t>
        </is>
      </c>
      <c r="E770" s="16" t="n">
        <v>4</v>
      </c>
      <c r="F770" s="16" t="inlineStr">
        <is>
          <t>奥特莱斯</t>
        </is>
      </c>
      <c r="G770" s="16" t="inlineStr">
        <is>
          <t>EEOWG64S02</t>
        </is>
      </c>
      <c r="H770" s="16" t="n">
        <v>999</v>
      </c>
      <c r="I770" s="16" t="n">
        <v>999</v>
      </c>
      <c r="J770" s="17" t="inlineStr">
        <is>
          <t>########</t>
        </is>
      </c>
      <c r="K770" s="16" t="inlineStr">
        <is>
          <t>(39)Ivory</t>
        </is>
      </c>
      <c r="L770" s="16" t="inlineStr">
        <is>
          <t>营业中</t>
        </is>
      </c>
      <c r="M770" s="16" t="inlineStr">
        <is>
          <t>EEOWG64S0239170</t>
        </is>
      </c>
      <c r="N770" s="16">
        <f>LEFT(M770,12)</f>
        <v/>
      </c>
      <c r="O770" s="16" t="inlineStr">
        <is>
          <t>EEOWG64S02, (39)Ivory, (170)170</t>
        </is>
      </c>
      <c r="P770" s="16" t="n">
        <v>999</v>
      </c>
      <c r="Q770" s="16" t="n">
        <v>999</v>
      </c>
      <c r="R770" s="16" t="n">
        <v>3</v>
      </c>
      <c r="S770" s="16" t="n">
        <v>461</v>
      </c>
      <c r="T770" s="16" t="n">
        <v>5</v>
      </c>
    </row>
    <row r="771" s="103">
      <c r="A771" s="16" t="inlineStr">
        <is>
          <t>B331</t>
        </is>
      </c>
      <c r="B771" s="16" t="inlineStr">
        <is>
          <t>上海区域</t>
        </is>
      </c>
      <c r="C771" s="16" t="inlineStr">
        <is>
          <t>CN0Q</t>
        </is>
      </c>
      <c r="D771" s="16" t="inlineStr">
        <is>
          <t>EE 苏州比斯特购物村</t>
        </is>
      </c>
      <c r="E771" s="16" t="n">
        <v>4</v>
      </c>
      <c r="F771" s="16" t="inlineStr">
        <is>
          <t>奥特莱斯</t>
        </is>
      </c>
      <c r="G771" s="16" t="inlineStr">
        <is>
          <t>EERAF23E01</t>
        </is>
      </c>
      <c r="H771" s="16" t="n">
        <v>299</v>
      </c>
      <c r="I771" s="16" t="n">
        <v>299</v>
      </c>
      <c r="J771" s="17" t="n">
        <v>45659</v>
      </c>
      <c r="K771" s="16" t="inlineStr">
        <is>
          <t>(15)Grey</t>
        </is>
      </c>
      <c r="L771" s="16" t="inlineStr">
        <is>
          <t>营业中</t>
        </is>
      </c>
      <c r="M771" s="16" t="inlineStr">
        <is>
          <t>EERAF23E0115160</t>
        </is>
      </c>
      <c r="N771" s="16">
        <f>LEFT(M771,12)</f>
        <v/>
      </c>
      <c r="O771" s="16" t="inlineStr">
        <is>
          <t>EERAF23E01, (15)Grey, (160)160</t>
        </is>
      </c>
      <c r="P771" s="16" t="n">
        <v>299</v>
      </c>
      <c r="Q771" s="16" t="n">
        <v>299</v>
      </c>
      <c r="R771" s="16" t="n">
        <v>1</v>
      </c>
      <c r="S771" s="16" t="n">
        <v>135</v>
      </c>
      <c r="T771" s="16" t="n">
        <v>0</v>
      </c>
    </row>
    <row r="772" s="103">
      <c r="A772" s="16" t="inlineStr">
        <is>
          <t>B331</t>
        </is>
      </c>
      <c r="B772" s="16" t="inlineStr">
        <is>
          <t>上海区域</t>
        </is>
      </c>
      <c r="C772" s="16" t="inlineStr">
        <is>
          <t>CN0Q</t>
        </is>
      </c>
      <c r="D772" s="16" t="inlineStr">
        <is>
          <t>EE 苏州比斯特购物村</t>
        </is>
      </c>
      <c r="E772" s="16" t="n">
        <v>4</v>
      </c>
      <c r="F772" s="16" t="inlineStr">
        <is>
          <t>奥特莱斯</t>
        </is>
      </c>
      <c r="G772" s="16" t="inlineStr">
        <is>
          <t>EERAF23E01</t>
        </is>
      </c>
      <c r="H772" s="16" t="n">
        <v>299</v>
      </c>
      <c r="I772" s="16" t="n">
        <v>299</v>
      </c>
      <c r="J772" s="17" t="n">
        <v>45659</v>
      </c>
      <c r="K772" s="16" t="inlineStr">
        <is>
          <t>(15)Grey</t>
        </is>
      </c>
      <c r="L772" s="16" t="inlineStr">
        <is>
          <t>营业中</t>
        </is>
      </c>
      <c r="M772" s="16" t="inlineStr">
        <is>
          <t>EERAF23E0115165</t>
        </is>
      </c>
      <c r="N772" s="16">
        <f>LEFT(M772,12)</f>
        <v/>
      </c>
      <c r="O772" s="16" t="inlineStr">
        <is>
          <t>EERAF23E01, (15)Grey, (165)165</t>
        </is>
      </c>
      <c r="P772" s="16" t="n">
        <v>299</v>
      </c>
      <c r="Q772" s="16" t="n">
        <v>299</v>
      </c>
      <c r="R772" s="16" t="n">
        <v>2</v>
      </c>
      <c r="S772" s="16" t="n">
        <v>285</v>
      </c>
      <c r="T772" s="16" t="n">
        <v>0</v>
      </c>
    </row>
    <row r="773" s="103">
      <c r="A773" s="16" t="inlineStr">
        <is>
          <t>B331</t>
        </is>
      </c>
      <c r="B773" s="16" t="inlineStr">
        <is>
          <t>上海区域</t>
        </is>
      </c>
      <c r="C773" s="16" t="inlineStr">
        <is>
          <t>CN0Q</t>
        </is>
      </c>
      <c r="D773" s="16" t="inlineStr">
        <is>
          <t>EE 苏州比斯特购物村</t>
        </is>
      </c>
      <c r="E773" s="16" t="n">
        <v>4</v>
      </c>
      <c r="F773" s="16" t="inlineStr">
        <is>
          <t>奥特莱斯</t>
        </is>
      </c>
      <c r="G773" s="16" t="inlineStr">
        <is>
          <t>EERAF23E01</t>
        </is>
      </c>
      <c r="H773" s="16" t="n">
        <v>299</v>
      </c>
      <c r="I773" s="16" t="n">
        <v>299</v>
      </c>
      <c r="J773" s="17" t="n">
        <v>45659</v>
      </c>
      <c r="K773" s="16" t="inlineStr">
        <is>
          <t>(39)Ivory</t>
        </is>
      </c>
      <c r="L773" s="16" t="inlineStr">
        <is>
          <t>营业中</t>
        </is>
      </c>
      <c r="M773" s="16" t="inlineStr">
        <is>
          <t>EERAF23E0139160</t>
        </is>
      </c>
      <c r="N773" s="16">
        <f>LEFT(M773,12)</f>
        <v/>
      </c>
      <c r="O773" s="16" t="inlineStr">
        <is>
          <t>EERAF23E01, (39)Ivory, (160)160</t>
        </is>
      </c>
      <c r="P773" s="16" t="n">
        <v>299</v>
      </c>
      <c r="Q773" s="16" t="n">
        <v>299</v>
      </c>
      <c r="R773" s="16" t="n">
        <v>1</v>
      </c>
      <c r="S773" s="16" t="n">
        <v>150</v>
      </c>
      <c r="T773" s="16" t="n">
        <v>0</v>
      </c>
    </row>
    <row r="774" s="103">
      <c r="A774" s="16" t="inlineStr">
        <is>
          <t>B331</t>
        </is>
      </c>
      <c r="B774" s="16" t="inlineStr">
        <is>
          <t>上海区域</t>
        </is>
      </c>
      <c r="C774" s="16" t="inlineStr">
        <is>
          <t>CN0Q</t>
        </is>
      </c>
      <c r="D774" s="16" t="inlineStr">
        <is>
          <t>EE 苏州比斯特购物村</t>
        </is>
      </c>
      <c r="E774" s="16" t="n">
        <v>4</v>
      </c>
      <c r="F774" s="16" t="inlineStr">
        <is>
          <t>奥特莱斯</t>
        </is>
      </c>
      <c r="G774" s="16" t="inlineStr">
        <is>
          <t>EERAF23E01</t>
        </is>
      </c>
      <c r="H774" s="16" t="n">
        <v>299</v>
      </c>
      <c r="I774" s="16" t="n">
        <v>299</v>
      </c>
      <c r="J774" s="17" t="n">
        <v>45659</v>
      </c>
      <c r="K774" s="16" t="inlineStr">
        <is>
          <t>(39)Ivory</t>
        </is>
      </c>
      <c r="L774" s="16" t="inlineStr">
        <is>
          <t>营业中</t>
        </is>
      </c>
      <c r="M774" s="16" t="inlineStr">
        <is>
          <t>EERAF23E0139170</t>
        </is>
      </c>
      <c r="N774" s="16">
        <f>LEFT(M774,12)</f>
        <v/>
      </c>
      <c r="O774" s="16" t="inlineStr">
        <is>
          <t>EERAF23E01, (39)Ivory, (170)170</t>
        </is>
      </c>
      <c r="P774" s="16" t="n">
        <v>299</v>
      </c>
      <c r="Q774" s="16" t="n">
        <v>299</v>
      </c>
      <c r="R774" s="16" t="n">
        <v>1</v>
      </c>
      <c r="S774" s="16" t="n">
        <v>150</v>
      </c>
      <c r="T774" s="16" t="n">
        <v>0</v>
      </c>
    </row>
    <row r="775" s="103">
      <c r="A775" s="16" t="inlineStr">
        <is>
          <t>B331</t>
        </is>
      </c>
      <c r="B775" s="16" t="inlineStr">
        <is>
          <t>上海区域</t>
        </is>
      </c>
      <c r="C775" s="16" t="inlineStr">
        <is>
          <t>CN0Q</t>
        </is>
      </c>
      <c r="D775" s="16" t="inlineStr">
        <is>
          <t>EE 苏州比斯特购物村</t>
        </is>
      </c>
      <c r="E775" s="16" t="n">
        <v>4</v>
      </c>
      <c r="F775" s="16" t="inlineStr">
        <is>
          <t>奥特莱斯</t>
        </is>
      </c>
      <c r="G775" s="16" t="inlineStr">
        <is>
          <t>EERAF23E01</t>
        </is>
      </c>
      <c r="H775" s="16" t="n">
        <v>299</v>
      </c>
      <c r="I775" s="16" t="n">
        <v>299</v>
      </c>
      <c r="J775" s="17" t="n">
        <v>45659</v>
      </c>
      <c r="K775" s="16" t="inlineStr">
        <is>
          <t>(84)Mint</t>
        </is>
      </c>
      <c r="L775" s="16" t="inlineStr">
        <is>
          <t>营业中</t>
        </is>
      </c>
      <c r="M775" s="16" t="inlineStr">
        <is>
          <t>EERAF23E0184165</t>
        </is>
      </c>
      <c r="N775" s="16">
        <f>LEFT(M775,12)</f>
        <v/>
      </c>
      <c r="O775" s="16" t="inlineStr">
        <is>
          <t>EERAF23E01, (84)Mint, (165)165</t>
        </is>
      </c>
      <c r="P775" s="16" t="n">
        <v>299</v>
      </c>
      <c r="Q775" s="16" t="n">
        <v>299</v>
      </c>
      <c r="R775" s="16" t="n">
        <v>1</v>
      </c>
      <c r="S775" s="16" t="n">
        <v>135</v>
      </c>
      <c r="T775" s="16" t="n">
        <v>0</v>
      </c>
    </row>
    <row r="776" s="103">
      <c r="A776" s="16" t="inlineStr">
        <is>
          <t>B331</t>
        </is>
      </c>
      <c r="B776" s="16" t="inlineStr">
        <is>
          <t>上海区域</t>
        </is>
      </c>
      <c r="C776" s="16" t="inlineStr">
        <is>
          <t>CN0Q</t>
        </is>
      </c>
      <c r="D776" s="16" t="inlineStr">
        <is>
          <t>EE 苏州比斯特购物村</t>
        </is>
      </c>
      <c r="E776" s="16" t="n">
        <v>4</v>
      </c>
      <c r="F776" s="16" t="inlineStr">
        <is>
          <t>奥特莱斯</t>
        </is>
      </c>
      <c r="G776" s="16" t="inlineStr">
        <is>
          <t>EERAF23E02</t>
        </is>
      </c>
      <c r="H776" s="16" t="n">
        <v>299</v>
      </c>
      <c r="I776" s="16" t="n">
        <v>299</v>
      </c>
      <c r="J776" s="17" t="n">
        <v>45659</v>
      </c>
      <c r="K776" s="16" t="inlineStr">
        <is>
          <t>(15)Grey</t>
        </is>
      </c>
      <c r="L776" s="16" t="inlineStr">
        <is>
          <t>营业中</t>
        </is>
      </c>
      <c r="M776" s="16" t="inlineStr">
        <is>
          <t>EERAF23E0215165</t>
        </is>
      </c>
      <c r="N776" s="16">
        <f>LEFT(M776,12)</f>
        <v/>
      </c>
      <c r="O776" s="16" t="inlineStr">
        <is>
          <t>EERAF23E02, (15)Grey, (165)165</t>
        </is>
      </c>
      <c r="P776" s="16" t="n">
        <v>299</v>
      </c>
      <c r="Q776" s="16" t="n">
        <v>299</v>
      </c>
      <c r="R776" s="16" t="n">
        <v>1</v>
      </c>
      <c r="S776" s="16" t="n">
        <v>135</v>
      </c>
      <c r="T776" s="16" t="n">
        <v>0</v>
      </c>
    </row>
    <row r="777" s="103">
      <c r="A777" s="16" t="inlineStr">
        <is>
          <t>B331</t>
        </is>
      </c>
      <c r="B777" s="16" t="inlineStr">
        <is>
          <t>上海区域</t>
        </is>
      </c>
      <c r="C777" s="16" t="inlineStr">
        <is>
          <t>CN0Q</t>
        </is>
      </c>
      <c r="D777" s="16" t="inlineStr">
        <is>
          <t>EE 苏州比斯特购物村</t>
        </is>
      </c>
      <c r="E777" s="16" t="n">
        <v>4</v>
      </c>
      <c r="F777" s="16" t="inlineStr">
        <is>
          <t>奥特莱斯</t>
        </is>
      </c>
      <c r="G777" s="16" t="inlineStr">
        <is>
          <t>EERAF23E02</t>
        </is>
      </c>
      <c r="H777" s="16" t="n">
        <v>299</v>
      </c>
      <c r="I777" s="16" t="n">
        <v>299</v>
      </c>
      <c r="J777" s="17" t="n">
        <v>45659</v>
      </c>
      <c r="K777" s="16" t="inlineStr">
        <is>
          <t>(15)Grey</t>
        </is>
      </c>
      <c r="L777" s="16" t="inlineStr">
        <is>
          <t>营业中</t>
        </is>
      </c>
      <c r="M777" s="16" t="inlineStr">
        <is>
          <t>EERAF23E0215170</t>
        </is>
      </c>
      <c r="N777" s="16">
        <f>LEFT(M777,12)</f>
        <v/>
      </c>
      <c r="O777" s="16" t="inlineStr">
        <is>
          <t>EERAF23E02, (15)Grey, (170)170</t>
        </is>
      </c>
      <c r="P777" s="16" t="n">
        <v>299</v>
      </c>
      <c r="Q777" s="16" t="n">
        <v>299</v>
      </c>
      <c r="R777" s="16" t="n">
        <v>1</v>
      </c>
      <c r="S777" s="16" t="n">
        <v>135</v>
      </c>
      <c r="T777" s="16" t="n">
        <v>0</v>
      </c>
    </row>
    <row r="778" s="103">
      <c r="A778" s="16" t="inlineStr">
        <is>
          <t>B331</t>
        </is>
      </c>
      <c r="B778" s="16" t="inlineStr">
        <is>
          <t>上海区域</t>
        </is>
      </c>
      <c r="C778" s="16" t="inlineStr">
        <is>
          <t>CN0Q</t>
        </is>
      </c>
      <c r="D778" s="16" t="inlineStr">
        <is>
          <t>EE 苏州比斯特购物村</t>
        </is>
      </c>
      <c r="E778" s="16" t="n">
        <v>4</v>
      </c>
      <c r="F778" s="16" t="inlineStr">
        <is>
          <t>奥特莱斯</t>
        </is>
      </c>
      <c r="G778" s="16" t="inlineStr">
        <is>
          <t>EERAF23E02</t>
        </is>
      </c>
      <c r="H778" s="16" t="n">
        <v>299</v>
      </c>
      <c r="I778" s="16" t="n">
        <v>299</v>
      </c>
      <c r="J778" s="17" t="n">
        <v>45659</v>
      </c>
      <c r="K778" s="16" t="inlineStr">
        <is>
          <t>(39)Ivory</t>
        </is>
      </c>
      <c r="L778" s="16" t="inlineStr">
        <is>
          <t>营业中</t>
        </is>
      </c>
      <c r="M778" s="16" t="inlineStr">
        <is>
          <t>EERAF23E0239160</t>
        </is>
      </c>
      <c r="N778" s="16">
        <f>LEFT(M778,12)</f>
        <v/>
      </c>
      <c r="O778" s="16" t="inlineStr">
        <is>
          <t>EERAF23E02, (39)Ivory, (160)160</t>
        </is>
      </c>
      <c r="P778" s="16" t="n">
        <v>299</v>
      </c>
      <c r="Q778" s="16" t="n">
        <v>299</v>
      </c>
      <c r="R778" s="16" t="n">
        <v>1</v>
      </c>
      <c r="S778" s="16" t="n">
        <v>150</v>
      </c>
      <c r="T778" s="16" t="n">
        <v>0</v>
      </c>
    </row>
    <row r="779" s="103">
      <c r="A779" s="16" t="inlineStr">
        <is>
          <t>B331</t>
        </is>
      </c>
      <c r="B779" s="16" t="inlineStr">
        <is>
          <t>上海区域</t>
        </is>
      </c>
      <c r="C779" s="16" t="inlineStr">
        <is>
          <t>CN0Q</t>
        </is>
      </c>
      <c r="D779" s="16" t="inlineStr">
        <is>
          <t>EE 苏州比斯特购物村</t>
        </is>
      </c>
      <c r="E779" s="16" t="n">
        <v>4</v>
      </c>
      <c r="F779" s="16" t="inlineStr">
        <is>
          <t>奥特莱斯</t>
        </is>
      </c>
      <c r="G779" s="16" t="inlineStr">
        <is>
          <t>EERAF23E02</t>
        </is>
      </c>
      <c r="H779" s="16" t="n">
        <v>299</v>
      </c>
      <c r="I779" s="16" t="n">
        <v>299</v>
      </c>
      <c r="J779" s="17" t="n">
        <v>45659</v>
      </c>
      <c r="K779" s="16" t="inlineStr">
        <is>
          <t>(39)Ivory</t>
        </is>
      </c>
      <c r="L779" s="16" t="inlineStr">
        <is>
          <t>营业中</t>
        </is>
      </c>
      <c r="M779" s="16" t="inlineStr">
        <is>
          <t>EERAF23E0239170</t>
        </is>
      </c>
      <c r="N779" s="16">
        <f>LEFT(M779,12)</f>
        <v/>
      </c>
      <c r="O779" s="16" t="inlineStr">
        <is>
          <t>EERAF23E02, (39)Ivory, (170)170</t>
        </is>
      </c>
      <c r="P779" s="16" t="n">
        <v>299</v>
      </c>
      <c r="Q779" s="16" t="n">
        <v>299</v>
      </c>
      <c r="R779" s="16" t="n">
        <v>1</v>
      </c>
      <c r="S779" s="16" t="n">
        <v>135</v>
      </c>
      <c r="T779" s="16" t="n">
        <v>0</v>
      </c>
    </row>
    <row r="780" s="103">
      <c r="A780" s="16" t="inlineStr">
        <is>
          <t>B331</t>
        </is>
      </c>
      <c r="B780" s="16" t="inlineStr">
        <is>
          <t>上海区域</t>
        </is>
      </c>
      <c r="C780" s="16" t="inlineStr">
        <is>
          <t>CN0Q</t>
        </is>
      </c>
      <c r="D780" s="16" t="inlineStr">
        <is>
          <t>EE 苏州比斯特购物村</t>
        </is>
      </c>
      <c r="E780" s="16" t="n">
        <v>4</v>
      </c>
      <c r="F780" s="16" t="inlineStr">
        <is>
          <t>奥特莱斯</t>
        </is>
      </c>
      <c r="G780" s="16" t="inlineStr">
        <is>
          <t>EERAF23Q92</t>
        </is>
      </c>
      <c r="H780" s="16" t="n">
        <v>399</v>
      </c>
      <c r="I780" s="16" t="n">
        <v>399</v>
      </c>
      <c r="J780" s="17" t="inlineStr">
        <is>
          <t>########</t>
        </is>
      </c>
      <c r="K780" s="16" t="inlineStr">
        <is>
          <t>(39)Ivory</t>
        </is>
      </c>
      <c r="L780" s="16" t="inlineStr">
        <is>
          <t>营业中</t>
        </is>
      </c>
      <c r="M780" s="16" t="inlineStr">
        <is>
          <t>EERAF23Q9239165</t>
        </is>
      </c>
      <c r="N780" s="16">
        <f>LEFT(M780,12)</f>
        <v/>
      </c>
      <c r="O780" s="16" t="inlineStr">
        <is>
          <t>EERAF23Q92, (39)Ivory, (165)165</t>
        </is>
      </c>
      <c r="P780" s="16" t="n">
        <v>399</v>
      </c>
      <c r="Q780" s="16" t="n">
        <v>399</v>
      </c>
      <c r="R780" s="16" t="n">
        <v>3</v>
      </c>
      <c r="S780" s="16" t="n"/>
      <c r="T780" s="16" t="n">
        <v>0</v>
      </c>
    </row>
    <row r="781" s="103">
      <c r="A781" s="16" t="inlineStr">
        <is>
          <t>B331</t>
        </is>
      </c>
      <c r="B781" s="16" t="inlineStr">
        <is>
          <t>上海区域</t>
        </is>
      </c>
      <c r="C781" s="16" t="inlineStr">
        <is>
          <t>CN0Q</t>
        </is>
      </c>
      <c r="D781" s="16" t="inlineStr">
        <is>
          <t>EE 苏州比斯特购物村</t>
        </is>
      </c>
      <c r="E781" s="16" t="n">
        <v>4</v>
      </c>
      <c r="F781" s="16" t="inlineStr">
        <is>
          <t>奥特莱斯</t>
        </is>
      </c>
      <c r="G781" s="16" t="inlineStr">
        <is>
          <t>EERAF23Q92</t>
        </is>
      </c>
      <c r="H781" s="16" t="n">
        <v>399</v>
      </c>
      <c r="I781" s="16" t="n">
        <v>399</v>
      </c>
      <c r="J781" s="17" t="inlineStr">
        <is>
          <t>########</t>
        </is>
      </c>
      <c r="K781" s="16" t="inlineStr">
        <is>
          <t>(39)Ivory</t>
        </is>
      </c>
      <c r="L781" s="16" t="inlineStr">
        <is>
          <t>营业中</t>
        </is>
      </c>
      <c r="M781" s="16" t="inlineStr">
        <is>
          <t>EERAF23Q9239170</t>
        </is>
      </c>
      <c r="N781" s="16">
        <f>LEFT(M781,12)</f>
        <v/>
      </c>
      <c r="O781" s="16" t="inlineStr">
        <is>
          <t>EERAF23Q92, (39)Ivory, (170)170</t>
        </is>
      </c>
      <c r="P781" s="16" t="n">
        <v>399</v>
      </c>
      <c r="Q781" s="16" t="n">
        <v>399</v>
      </c>
      <c r="R781" s="16" t="n">
        <v>2</v>
      </c>
      <c r="S781" s="16" t="n"/>
      <c r="T781" s="16" t="n">
        <v>0</v>
      </c>
    </row>
    <row r="782" s="103">
      <c r="A782" s="16" t="inlineStr">
        <is>
          <t>B331</t>
        </is>
      </c>
      <c r="B782" s="16" t="inlineStr">
        <is>
          <t>上海区域</t>
        </is>
      </c>
      <c r="C782" s="16" t="inlineStr">
        <is>
          <t>CN0Q</t>
        </is>
      </c>
      <c r="D782" s="16" t="inlineStr">
        <is>
          <t>EE 苏州比斯特购物村</t>
        </is>
      </c>
      <c r="E782" s="16" t="n">
        <v>4</v>
      </c>
      <c r="F782" s="16" t="inlineStr">
        <is>
          <t>奥特莱斯</t>
        </is>
      </c>
      <c r="G782" s="16" t="inlineStr">
        <is>
          <t>EERAF37M02</t>
        </is>
      </c>
      <c r="H782" s="16" t="n">
        <v>499</v>
      </c>
      <c r="I782" s="16" t="n">
        <v>399</v>
      </c>
      <c r="J782" s="17" t="inlineStr">
        <is>
          <t>########</t>
        </is>
      </c>
      <c r="K782" s="16" t="inlineStr">
        <is>
          <t>(17)D/Grey</t>
        </is>
      </c>
      <c r="L782" s="16" t="inlineStr">
        <is>
          <t>营业中</t>
        </is>
      </c>
      <c r="M782" s="16" t="inlineStr">
        <is>
          <t>EERAF37M0217160</t>
        </is>
      </c>
      <c r="N782" s="16">
        <f>LEFT(M782,12)</f>
        <v/>
      </c>
      <c r="O782" s="16" t="inlineStr">
        <is>
          <t>EERAF37M02, (17)D/Grey, (160)160</t>
        </is>
      </c>
      <c r="P782" s="16" t="n">
        <v>499</v>
      </c>
      <c r="Q782" s="16" t="n">
        <v>399</v>
      </c>
      <c r="R782" s="16" t="n"/>
      <c r="S782" s="16" t="n"/>
      <c r="T782" s="16" t="n">
        <v>3</v>
      </c>
    </row>
    <row r="783" s="103">
      <c r="A783" s="16" t="inlineStr">
        <is>
          <t>B331</t>
        </is>
      </c>
      <c r="B783" s="16" t="inlineStr">
        <is>
          <t>上海区域</t>
        </is>
      </c>
      <c r="C783" s="16" t="inlineStr">
        <is>
          <t>CN0Q</t>
        </is>
      </c>
      <c r="D783" s="16" t="inlineStr">
        <is>
          <t>EE 苏州比斯特购物村</t>
        </is>
      </c>
      <c r="E783" s="16" t="n">
        <v>4</v>
      </c>
      <c r="F783" s="16" t="inlineStr">
        <is>
          <t>奥特莱斯</t>
        </is>
      </c>
      <c r="G783" s="16" t="inlineStr">
        <is>
          <t>EERAF37M02</t>
        </is>
      </c>
      <c r="H783" s="16" t="n">
        <v>499</v>
      </c>
      <c r="I783" s="16" t="n">
        <v>399</v>
      </c>
      <c r="J783" s="17" t="inlineStr">
        <is>
          <t>########</t>
        </is>
      </c>
      <c r="K783" s="16" t="inlineStr">
        <is>
          <t>(17)D/Grey</t>
        </is>
      </c>
      <c r="L783" s="16" t="inlineStr">
        <is>
          <t>营业中</t>
        </is>
      </c>
      <c r="M783" s="16" t="inlineStr">
        <is>
          <t>EERAF37M0217165</t>
        </is>
      </c>
      <c r="N783" s="16">
        <f>LEFT(M783,12)</f>
        <v/>
      </c>
      <c r="O783" s="16" t="inlineStr">
        <is>
          <t>EERAF37M02, (17)D/Grey, (165)165</t>
        </is>
      </c>
      <c r="P783" s="16" t="n">
        <v>499</v>
      </c>
      <c r="Q783" s="16" t="n">
        <v>399</v>
      </c>
      <c r="R783" s="16" t="n"/>
      <c r="S783" s="16" t="n"/>
      <c r="T783" s="16" t="n">
        <v>2</v>
      </c>
    </row>
    <row r="784" s="103">
      <c r="A784" s="16" t="inlineStr">
        <is>
          <t>B331</t>
        </is>
      </c>
      <c r="B784" s="16" t="inlineStr">
        <is>
          <t>上海区域</t>
        </is>
      </c>
      <c r="C784" s="16" t="inlineStr">
        <is>
          <t>CN0Q</t>
        </is>
      </c>
      <c r="D784" s="16" t="inlineStr">
        <is>
          <t>EE 苏州比斯特购物村</t>
        </is>
      </c>
      <c r="E784" s="16" t="n">
        <v>4</v>
      </c>
      <c r="F784" s="16" t="inlineStr">
        <is>
          <t>奥特莱斯</t>
        </is>
      </c>
      <c r="G784" s="16" t="inlineStr">
        <is>
          <t>EERAF37M02</t>
        </is>
      </c>
      <c r="H784" s="16" t="n">
        <v>499</v>
      </c>
      <c r="I784" s="16" t="n">
        <v>399</v>
      </c>
      <c r="J784" s="17" t="inlineStr">
        <is>
          <t>########</t>
        </is>
      </c>
      <c r="K784" s="16" t="inlineStr">
        <is>
          <t>(17)D/Grey</t>
        </is>
      </c>
      <c r="L784" s="16" t="inlineStr">
        <is>
          <t>营业中</t>
        </is>
      </c>
      <c r="M784" s="16" t="inlineStr">
        <is>
          <t>EERAF37M0217170</t>
        </is>
      </c>
      <c r="N784" s="16">
        <f>LEFT(M784,12)</f>
        <v/>
      </c>
      <c r="O784" s="16" t="inlineStr">
        <is>
          <t>EERAF37M02, (17)D/Grey, (170)170</t>
        </is>
      </c>
      <c r="P784" s="16" t="n">
        <v>499</v>
      </c>
      <c r="Q784" s="16" t="n">
        <v>399</v>
      </c>
      <c r="R784" s="16" t="n"/>
      <c r="S784" s="16" t="n"/>
      <c r="T784" s="16" t="n">
        <v>1</v>
      </c>
    </row>
    <row r="785" s="103">
      <c r="A785" s="16" t="inlineStr">
        <is>
          <t>B331</t>
        </is>
      </c>
      <c r="B785" s="16" t="inlineStr">
        <is>
          <t>上海区域</t>
        </is>
      </c>
      <c r="C785" s="16" t="inlineStr">
        <is>
          <t>CN0Q</t>
        </is>
      </c>
      <c r="D785" s="16" t="inlineStr">
        <is>
          <t>EE 苏州比斯特购物村</t>
        </is>
      </c>
      <c r="E785" s="16" t="n">
        <v>4</v>
      </c>
      <c r="F785" s="16" t="inlineStr">
        <is>
          <t>奥特莱斯</t>
        </is>
      </c>
      <c r="G785" s="16" t="inlineStr">
        <is>
          <t>EERAF37M02</t>
        </is>
      </c>
      <c r="H785" s="16" t="n">
        <v>499</v>
      </c>
      <c r="I785" s="16" t="n">
        <v>399</v>
      </c>
      <c r="J785" s="17" t="inlineStr">
        <is>
          <t>########</t>
        </is>
      </c>
      <c r="K785" s="16" t="inlineStr">
        <is>
          <t>(27)D/Pink</t>
        </is>
      </c>
      <c r="L785" s="16" t="inlineStr">
        <is>
          <t>营业中</t>
        </is>
      </c>
      <c r="M785" s="16" t="inlineStr">
        <is>
          <t>EERAF37M0227160</t>
        </is>
      </c>
      <c r="N785" s="16">
        <f>LEFT(M785,12)</f>
        <v/>
      </c>
      <c r="O785" s="16" t="inlineStr">
        <is>
          <t>EERAF37M02, (27)D/Pink, (160)160</t>
        </is>
      </c>
      <c r="P785" s="16" t="n">
        <v>499</v>
      </c>
      <c r="Q785" s="16" t="n">
        <v>399</v>
      </c>
      <c r="R785" s="16" t="n"/>
      <c r="S785" s="16" t="n"/>
      <c r="T785" s="16" t="n">
        <v>4</v>
      </c>
    </row>
    <row r="786" s="103">
      <c r="A786" s="16" t="inlineStr">
        <is>
          <t>B331</t>
        </is>
      </c>
      <c r="B786" s="16" t="inlineStr">
        <is>
          <t>上海区域</t>
        </is>
      </c>
      <c r="C786" s="16" t="inlineStr">
        <is>
          <t>CN0Q</t>
        </is>
      </c>
      <c r="D786" s="16" t="inlineStr">
        <is>
          <t>EE 苏州比斯特购物村</t>
        </is>
      </c>
      <c r="E786" s="16" t="n">
        <v>4</v>
      </c>
      <c r="F786" s="16" t="inlineStr">
        <is>
          <t>奥特莱斯</t>
        </is>
      </c>
      <c r="G786" s="16" t="inlineStr">
        <is>
          <t>EERAF37M02</t>
        </is>
      </c>
      <c r="H786" s="16" t="n">
        <v>499</v>
      </c>
      <c r="I786" s="16" t="n">
        <v>399</v>
      </c>
      <c r="J786" s="17" t="inlineStr">
        <is>
          <t>########</t>
        </is>
      </c>
      <c r="K786" s="16" t="inlineStr">
        <is>
          <t>(27)D/Pink</t>
        </is>
      </c>
      <c r="L786" s="16" t="inlineStr">
        <is>
          <t>营业中</t>
        </is>
      </c>
      <c r="M786" s="16" t="inlineStr">
        <is>
          <t>EERAF37M0227165</t>
        </is>
      </c>
      <c r="N786" s="16">
        <f>LEFT(M786,12)</f>
        <v/>
      </c>
      <c r="O786" s="16" t="inlineStr">
        <is>
          <t>EERAF37M02, (27)D/Pink, (165)165</t>
        </is>
      </c>
      <c r="P786" s="16" t="n">
        <v>499</v>
      </c>
      <c r="Q786" s="16" t="n">
        <v>399</v>
      </c>
      <c r="R786" s="16" t="n"/>
      <c r="S786" s="16" t="n"/>
      <c r="T786" s="16" t="n">
        <v>1</v>
      </c>
    </row>
    <row r="787" s="103">
      <c r="A787" s="16" t="inlineStr">
        <is>
          <t>B331</t>
        </is>
      </c>
      <c r="B787" s="16" t="inlineStr">
        <is>
          <t>上海区域</t>
        </is>
      </c>
      <c r="C787" s="16" t="inlineStr">
        <is>
          <t>CN0Q</t>
        </is>
      </c>
      <c r="D787" s="16" t="inlineStr">
        <is>
          <t>EE 苏州比斯特购物村</t>
        </is>
      </c>
      <c r="E787" s="16" t="n">
        <v>4</v>
      </c>
      <c r="F787" s="16" t="inlineStr">
        <is>
          <t>奥特莱斯</t>
        </is>
      </c>
      <c r="G787" s="16" t="inlineStr">
        <is>
          <t>EERAF37M02</t>
        </is>
      </c>
      <c r="H787" s="16" t="n">
        <v>499</v>
      </c>
      <c r="I787" s="16" t="n">
        <v>399</v>
      </c>
      <c r="J787" s="17" t="inlineStr">
        <is>
          <t>########</t>
        </is>
      </c>
      <c r="K787" s="16" t="inlineStr">
        <is>
          <t>(27)D/Pink</t>
        </is>
      </c>
      <c r="L787" s="16" t="inlineStr">
        <is>
          <t>营业中</t>
        </is>
      </c>
      <c r="M787" s="16" t="inlineStr">
        <is>
          <t>EERAF37M0227170</t>
        </is>
      </c>
      <c r="N787" s="16">
        <f>LEFT(M787,12)</f>
        <v/>
      </c>
      <c r="O787" s="16" t="inlineStr">
        <is>
          <t>EERAF37M02, (27)D/Pink, (170)170</t>
        </is>
      </c>
      <c r="P787" s="16" t="n">
        <v>499</v>
      </c>
      <c r="Q787" s="16" t="n">
        <v>399</v>
      </c>
      <c r="R787" s="16" t="n"/>
      <c r="S787" s="16" t="n"/>
      <c r="T787" s="16" t="n">
        <v>1</v>
      </c>
    </row>
    <row r="788" s="103">
      <c r="A788" s="16" t="inlineStr">
        <is>
          <t>B331</t>
        </is>
      </c>
      <c r="B788" s="16" t="inlineStr">
        <is>
          <t>上海区域</t>
        </is>
      </c>
      <c r="C788" s="16" t="inlineStr">
        <is>
          <t>CN0Q</t>
        </is>
      </c>
      <c r="D788" s="16" t="inlineStr">
        <is>
          <t>EE 苏州比斯特购物村</t>
        </is>
      </c>
      <c r="E788" s="16" t="n">
        <v>4</v>
      </c>
      <c r="F788" s="16" t="inlineStr">
        <is>
          <t>奥特莱斯</t>
        </is>
      </c>
      <c r="G788" s="16" t="inlineStr">
        <is>
          <t>EERAF37N51</t>
        </is>
      </c>
      <c r="H788" s="16" t="n">
        <v>499</v>
      </c>
      <c r="I788" s="16" t="n">
        <v>499</v>
      </c>
      <c r="J788" s="17" t="inlineStr">
        <is>
          <t>########</t>
        </is>
      </c>
      <c r="K788" s="16" t="inlineStr">
        <is>
          <t>(17)D/Grey</t>
        </is>
      </c>
      <c r="L788" s="16" t="inlineStr">
        <is>
          <t>营业中</t>
        </is>
      </c>
      <c r="M788" s="16" t="inlineStr">
        <is>
          <t>EERAF37N5117160</t>
        </is>
      </c>
      <c r="N788" s="16">
        <f>LEFT(M788,12)</f>
        <v/>
      </c>
      <c r="O788" s="16" t="inlineStr">
        <is>
          <t>EERAF37N51, (17)D/Grey, (160)160</t>
        </is>
      </c>
      <c r="P788" s="16" t="n">
        <v>499</v>
      </c>
      <c r="Q788" s="16" t="n">
        <v>499</v>
      </c>
      <c r="R788" s="16" t="n"/>
      <c r="S788" s="16" t="n"/>
      <c r="T788" s="16" t="n">
        <v>2</v>
      </c>
    </row>
    <row r="789" s="103">
      <c r="A789" s="16" t="inlineStr">
        <is>
          <t>B331</t>
        </is>
      </c>
      <c r="B789" s="16" t="inlineStr">
        <is>
          <t>上海区域</t>
        </is>
      </c>
      <c r="C789" s="16" t="inlineStr">
        <is>
          <t>CN0Q</t>
        </is>
      </c>
      <c r="D789" s="16" t="inlineStr">
        <is>
          <t>EE 苏州比斯特购物村</t>
        </is>
      </c>
      <c r="E789" s="16" t="n">
        <v>4</v>
      </c>
      <c r="F789" s="16" t="inlineStr">
        <is>
          <t>奥特莱斯</t>
        </is>
      </c>
      <c r="G789" s="16" t="inlineStr">
        <is>
          <t>EERAF37N51</t>
        </is>
      </c>
      <c r="H789" s="16" t="n">
        <v>499</v>
      </c>
      <c r="I789" s="16" t="n">
        <v>499</v>
      </c>
      <c r="J789" s="17" t="inlineStr">
        <is>
          <t>########</t>
        </is>
      </c>
      <c r="K789" s="16" t="inlineStr">
        <is>
          <t>(17)D/Grey</t>
        </is>
      </c>
      <c r="L789" s="16" t="inlineStr">
        <is>
          <t>营业中</t>
        </is>
      </c>
      <c r="M789" s="16" t="inlineStr">
        <is>
          <t>EERAF37N5117165</t>
        </is>
      </c>
      <c r="N789" s="16">
        <f>LEFT(M789,12)</f>
        <v/>
      </c>
      <c r="O789" s="16" t="inlineStr">
        <is>
          <t>EERAF37N51, (17)D/Grey, (165)165</t>
        </is>
      </c>
      <c r="P789" s="16" t="n">
        <v>499</v>
      </c>
      <c r="Q789" s="16" t="n">
        <v>499</v>
      </c>
      <c r="R789" s="16" t="n"/>
      <c r="S789" s="16" t="n"/>
      <c r="T789" s="16" t="n">
        <v>3</v>
      </c>
    </row>
    <row r="790" s="103">
      <c r="A790" s="16" t="inlineStr">
        <is>
          <t>B331</t>
        </is>
      </c>
      <c r="B790" s="16" t="inlineStr">
        <is>
          <t>上海区域</t>
        </is>
      </c>
      <c r="C790" s="16" t="inlineStr">
        <is>
          <t>CN0Q</t>
        </is>
      </c>
      <c r="D790" s="16" t="inlineStr">
        <is>
          <t>EE 苏州比斯特购物村</t>
        </is>
      </c>
      <c r="E790" s="16" t="n">
        <v>4</v>
      </c>
      <c r="F790" s="16" t="inlineStr">
        <is>
          <t>奥特莱斯</t>
        </is>
      </c>
      <c r="G790" s="16" t="inlineStr">
        <is>
          <t>EERAF37N51</t>
        </is>
      </c>
      <c r="H790" s="16" t="n">
        <v>499</v>
      </c>
      <c r="I790" s="16" t="n">
        <v>499</v>
      </c>
      <c r="J790" s="17" t="inlineStr">
        <is>
          <t>########</t>
        </is>
      </c>
      <c r="K790" s="16" t="inlineStr">
        <is>
          <t>(17)D/Grey</t>
        </is>
      </c>
      <c r="L790" s="16" t="inlineStr">
        <is>
          <t>营业中</t>
        </is>
      </c>
      <c r="M790" s="16" t="inlineStr">
        <is>
          <t>EERAF37N5117170</t>
        </is>
      </c>
      <c r="N790" s="16">
        <f>LEFT(M790,12)</f>
        <v/>
      </c>
      <c r="O790" s="16" t="inlineStr">
        <is>
          <t>EERAF37N51, (17)D/Grey, (170)170</t>
        </is>
      </c>
      <c r="P790" s="16" t="n">
        <v>499</v>
      </c>
      <c r="Q790" s="16" t="n">
        <v>499</v>
      </c>
      <c r="R790" s="16" t="n"/>
      <c r="S790" s="16" t="n"/>
      <c r="T790" s="16" t="n">
        <v>2</v>
      </c>
    </row>
    <row r="791" s="103">
      <c r="A791" s="16" t="inlineStr">
        <is>
          <t>B331</t>
        </is>
      </c>
      <c r="B791" s="16" t="inlineStr">
        <is>
          <t>上海区域</t>
        </is>
      </c>
      <c r="C791" s="16" t="inlineStr">
        <is>
          <t>CN0Q</t>
        </is>
      </c>
      <c r="D791" s="16" t="inlineStr">
        <is>
          <t>EE 苏州比斯特购物村</t>
        </is>
      </c>
      <c r="E791" s="16" t="n">
        <v>4</v>
      </c>
      <c r="F791" s="16" t="inlineStr">
        <is>
          <t>奥特莱斯</t>
        </is>
      </c>
      <c r="G791" s="16" t="inlineStr">
        <is>
          <t>EERAF37N51</t>
        </is>
      </c>
      <c r="H791" s="16" t="n">
        <v>499</v>
      </c>
      <c r="I791" s="16" t="n">
        <v>499</v>
      </c>
      <c r="J791" s="17" t="inlineStr">
        <is>
          <t>########</t>
        </is>
      </c>
      <c r="K791" s="16" t="inlineStr">
        <is>
          <t>(17)D/Grey</t>
        </is>
      </c>
      <c r="L791" s="16" t="inlineStr">
        <is>
          <t>营业中</t>
        </is>
      </c>
      <c r="M791" s="16" t="inlineStr">
        <is>
          <t>EERAF37N5117175</t>
        </is>
      </c>
      <c r="N791" s="16">
        <f>LEFT(M791,12)</f>
        <v/>
      </c>
      <c r="O791" s="16" t="inlineStr">
        <is>
          <t>EERAF37N51, (17)D/Grey, (175)175</t>
        </is>
      </c>
      <c r="P791" s="16" t="n">
        <v>499</v>
      </c>
      <c r="Q791" s="16" t="n">
        <v>499</v>
      </c>
      <c r="R791" s="16" t="n"/>
      <c r="S791" s="16" t="n"/>
      <c r="T791" s="16" t="n">
        <v>2</v>
      </c>
    </row>
    <row r="792" s="103">
      <c r="A792" s="16" t="inlineStr">
        <is>
          <t>B331</t>
        </is>
      </c>
      <c r="B792" s="16" t="inlineStr">
        <is>
          <t>上海区域</t>
        </is>
      </c>
      <c r="C792" s="16" t="inlineStr">
        <is>
          <t>CN0Q</t>
        </is>
      </c>
      <c r="D792" s="16" t="inlineStr">
        <is>
          <t>EE 苏州比斯特购物村</t>
        </is>
      </c>
      <c r="E792" s="16" t="n">
        <v>4</v>
      </c>
      <c r="F792" s="16" t="inlineStr">
        <is>
          <t>奥特莱斯</t>
        </is>
      </c>
      <c r="G792" s="16" t="inlineStr">
        <is>
          <t>EERAF37N52</t>
        </is>
      </c>
      <c r="H792" s="16" t="n">
        <v>299</v>
      </c>
      <c r="I792" s="16" t="n">
        <v>299</v>
      </c>
      <c r="J792" s="17" t="inlineStr">
        <is>
          <t>########</t>
        </is>
      </c>
      <c r="K792" s="16" t="inlineStr">
        <is>
          <t>(39)Ivory</t>
        </is>
      </c>
      <c r="L792" s="16" t="inlineStr">
        <is>
          <t>营业中</t>
        </is>
      </c>
      <c r="M792" s="16" t="inlineStr">
        <is>
          <t>EERAF37N5239160</t>
        </is>
      </c>
      <c r="N792" s="16">
        <f>LEFT(M792,12)</f>
        <v/>
      </c>
      <c r="O792" s="16" t="inlineStr">
        <is>
          <t>EERAF37N52, (39)Ivory, (160)160</t>
        </is>
      </c>
      <c r="P792" s="16" t="n">
        <v>299</v>
      </c>
      <c r="Q792" s="16" t="n">
        <v>299</v>
      </c>
      <c r="R792" s="16" t="n"/>
      <c r="S792" s="16" t="n"/>
      <c r="T792" s="16" t="n">
        <v>1</v>
      </c>
    </row>
    <row r="793" s="103">
      <c r="A793" s="16" t="inlineStr">
        <is>
          <t>B331</t>
        </is>
      </c>
      <c r="B793" s="16" t="inlineStr">
        <is>
          <t>上海区域</t>
        </is>
      </c>
      <c r="C793" s="16" t="inlineStr">
        <is>
          <t>CN0Q</t>
        </is>
      </c>
      <c r="D793" s="16" t="inlineStr">
        <is>
          <t>EE 苏州比斯特购物村</t>
        </is>
      </c>
      <c r="E793" s="16" t="n">
        <v>4</v>
      </c>
      <c r="F793" s="16" t="inlineStr">
        <is>
          <t>奥特莱斯</t>
        </is>
      </c>
      <c r="G793" s="16" t="inlineStr">
        <is>
          <t>EERAF37N52</t>
        </is>
      </c>
      <c r="H793" s="16" t="n">
        <v>299</v>
      </c>
      <c r="I793" s="16" t="n">
        <v>299</v>
      </c>
      <c r="J793" s="17" t="inlineStr">
        <is>
          <t>########</t>
        </is>
      </c>
      <c r="K793" s="16" t="inlineStr">
        <is>
          <t>(39)Ivory</t>
        </is>
      </c>
      <c r="L793" s="16" t="inlineStr">
        <is>
          <t>营业中</t>
        </is>
      </c>
      <c r="M793" s="16" t="inlineStr">
        <is>
          <t>EERAF37N5239165</t>
        </is>
      </c>
      <c r="N793" s="16">
        <f>LEFT(M793,12)</f>
        <v/>
      </c>
      <c r="O793" s="16" t="inlineStr">
        <is>
          <t>EERAF37N52, (39)Ivory, (165)165</t>
        </is>
      </c>
      <c r="P793" s="16" t="n">
        <v>299</v>
      </c>
      <c r="Q793" s="16" t="n">
        <v>299</v>
      </c>
      <c r="R793" s="16" t="n"/>
      <c r="S793" s="16" t="n"/>
      <c r="T793" s="16" t="n">
        <v>3</v>
      </c>
    </row>
    <row r="794" s="103">
      <c r="A794" s="16" t="inlineStr">
        <is>
          <t>B331</t>
        </is>
      </c>
      <c r="B794" s="16" t="inlineStr">
        <is>
          <t>上海区域</t>
        </is>
      </c>
      <c r="C794" s="16" t="inlineStr">
        <is>
          <t>CN0Q</t>
        </is>
      </c>
      <c r="D794" s="16" t="inlineStr">
        <is>
          <t>EE 苏州比斯特购物村</t>
        </is>
      </c>
      <c r="E794" s="16" t="n">
        <v>4</v>
      </c>
      <c r="F794" s="16" t="inlineStr">
        <is>
          <t>奥特莱斯</t>
        </is>
      </c>
      <c r="G794" s="16" t="inlineStr">
        <is>
          <t>EERAF37N52</t>
        </is>
      </c>
      <c r="H794" s="16" t="n">
        <v>299</v>
      </c>
      <c r="I794" s="16" t="n">
        <v>299</v>
      </c>
      <c r="J794" s="17" t="inlineStr">
        <is>
          <t>########</t>
        </is>
      </c>
      <c r="K794" s="16" t="inlineStr">
        <is>
          <t>(39)Ivory</t>
        </is>
      </c>
      <c r="L794" s="16" t="inlineStr">
        <is>
          <t>营业中</t>
        </is>
      </c>
      <c r="M794" s="16" t="inlineStr">
        <is>
          <t>EERAF37N5239170</t>
        </is>
      </c>
      <c r="N794" s="16">
        <f>LEFT(M794,12)</f>
        <v/>
      </c>
      <c r="O794" s="16" t="inlineStr">
        <is>
          <t>EERAF37N52, (39)Ivory, (170)170</t>
        </is>
      </c>
      <c r="P794" s="16" t="n">
        <v>299</v>
      </c>
      <c r="Q794" s="16" t="n">
        <v>299</v>
      </c>
      <c r="R794" s="16" t="n"/>
      <c r="S794" s="16" t="n"/>
      <c r="T794" s="16" t="n">
        <v>1</v>
      </c>
    </row>
    <row r="795" s="103">
      <c r="A795" s="16" t="inlineStr">
        <is>
          <t>B331</t>
        </is>
      </c>
      <c r="B795" s="16" t="inlineStr">
        <is>
          <t>上海区域</t>
        </is>
      </c>
      <c r="C795" s="16" t="inlineStr">
        <is>
          <t>CN0Q</t>
        </is>
      </c>
      <c r="D795" s="16" t="inlineStr">
        <is>
          <t>EE 苏州比斯特购物村</t>
        </is>
      </c>
      <c r="E795" s="16" t="n">
        <v>4</v>
      </c>
      <c r="F795" s="16" t="inlineStr">
        <is>
          <t>奥特莱斯</t>
        </is>
      </c>
      <c r="G795" s="16" t="inlineStr">
        <is>
          <t>EERAF37R31</t>
        </is>
      </c>
      <c r="H795" s="16" t="n">
        <v>299</v>
      </c>
      <c r="I795" s="16" t="n">
        <v>299</v>
      </c>
      <c r="J795" s="17" t="inlineStr">
        <is>
          <t>########</t>
        </is>
      </c>
      <c r="K795" s="16" t="inlineStr">
        <is>
          <t>(39)Ivory</t>
        </is>
      </c>
      <c r="L795" s="16" t="inlineStr">
        <is>
          <t>营业中</t>
        </is>
      </c>
      <c r="M795" s="16" t="inlineStr">
        <is>
          <t>EERAF37R3139160</t>
        </is>
      </c>
      <c r="N795" s="16">
        <f>LEFT(M795,12)</f>
        <v/>
      </c>
      <c r="O795" s="16" t="inlineStr">
        <is>
          <t>EERAF37R31, (39)Ivory, (160)160</t>
        </is>
      </c>
      <c r="P795" s="16" t="n">
        <v>299</v>
      </c>
      <c r="Q795" s="16" t="n">
        <v>299</v>
      </c>
      <c r="R795" s="16" t="n"/>
      <c r="S795" s="16" t="n"/>
      <c r="T795" s="16" t="n">
        <v>3</v>
      </c>
    </row>
    <row r="796" s="103">
      <c r="A796" s="16" t="inlineStr">
        <is>
          <t>B331</t>
        </is>
      </c>
      <c r="B796" s="16" t="inlineStr">
        <is>
          <t>上海区域</t>
        </is>
      </c>
      <c r="C796" s="16" t="inlineStr">
        <is>
          <t>CN0Q</t>
        </is>
      </c>
      <c r="D796" s="16" t="inlineStr">
        <is>
          <t>EE 苏州比斯特购物村</t>
        </is>
      </c>
      <c r="E796" s="16" t="n">
        <v>4</v>
      </c>
      <c r="F796" s="16" t="inlineStr">
        <is>
          <t>奥特莱斯</t>
        </is>
      </c>
      <c r="G796" s="16" t="inlineStr">
        <is>
          <t>EERAF37R31</t>
        </is>
      </c>
      <c r="H796" s="16" t="n">
        <v>299</v>
      </c>
      <c r="I796" s="16" t="n">
        <v>299</v>
      </c>
      <c r="J796" s="17" t="inlineStr">
        <is>
          <t>########</t>
        </is>
      </c>
      <c r="K796" s="16" t="inlineStr">
        <is>
          <t>(39)Ivory</t>
        </is>
      </c>
      <c r="L796" s="16" t="inlineStr">
        <is>
          <t>营业中</t>
        </is>
      </c>
      <c r="M796" s="16" t="inlineStr">
        <is>
          <t>EERAF37R3139165</t>
        </is>
      </c>
      <c r="N796" s="16">
        <f>LEFT(M796,12)</f>
        <v/>
      </c>
      <c r="O796" s="16" t="inlineStr">
        <is>
          <t>EERAF37R31, (39)Ivory, (165)165</t>
        </is>
      </c>
      <c r="P796" s="16" t="n">
        <v>299</v>
      </c>
      <c r="Q796" s="16" t="n">
        <v>299</v>
      </c>
      <c r="R796" s="16" t="n"/>
      <c r="S796" s="16" t="n"/>
      <c r="T796" s="16" t="n">
        <v>1</v>
      </c>
    </row>
    <row r="797" s="103">
      <c r="A797" s="16" t="inlineStr">
        <is>
          <t>B331</t>
        </is>
      </c>
      <c r="B797" s="16" t="inlineStr">
        <is>
          <t>上海区域</t>
        </is>
      </c>
      <c r="C797" s="16" t="inlineStr">
        <is>
          <t>CN0Q</t>
        </is>
      </c>
      <c r="D797" s="16" t="inlineStr">
        <is>
          <t>EE 苏州比斯特购物村</t>
        </is>
      </c>
      <c r="E797" s="16" t="n">
        <v>4</v>
      </c>
      <c r="F797" s="16" t="inlineStr">
        <is>
          <t>奥特莱斯</t>
        </is>
      </c>
      <c r="G797" s="16" t="inlineStr">
        <is>
          <t>EERAF37R31</t>
        </is>
      </c>
      <c r="H797" s="16" t="n">
        <v>299</v>
      </c>
      <c r="I797" s="16" t="n">
        <v>299</v>
      </c>
      <c r="J797" s="17" t="inlineStr">
        <is>
          <t>########</t>
        </is>
      </c>
      <c r="K797" s="16" t="inlineStr">
        <is>
          <t>(39)Ivory</t>
        </is>
      </c>
      <c r="L797" s="16" t="inlineStr">
        <is>
          <t>营业中</t>
        </is>
      </c>
      <c r="M797" s="16" t="inlineStr">
        <is>
          <t>EERAF37R3139170</t>
        </is>
      </c>
      <c r="N797" s="16">
        <f>LEFT(M797,12)</f>
        <v/>
      </c>
      <c r="O797" s="16" t="inlineStr">
        <is>
          <t>EERAF37R31, (39)Ivory, (170)170</t>
        </is>
      </c>
      <c r="P797" s="16" t="n">
        <v>299</v>
      </c>
      <c r="Q797" s="16" t="n">
        <v>299</v>
      </c>
      <c r="R797" s="16" t="n"/>
      <c r="S797" s="16" t="n"/>
      <c r="T797" s="16" t="n">
        <v>1</v>
      </c>
    </row>
    <row r="798" s="103">
      <c r="A798" s="16" t="inlineStr">
        <is>
          <t>B331</t>
        </is>
      </c>
      <c r="B798" s="16" t="inlineStr">
        <is>
          <t>上海区域</t>
        </is>
      </c>
      <c r="C798" s="16" t="inlineStr">
        <is>
          <t>CN0Q</t>
        </is>
      </c>
      <c r="D798" s="16" t="inlineStr">
        <is>
          <t>EE 苏州比斯特购物村</t>
        </is>
      </c>
      <c r="E798" s="16" t="n">
        <v>4</v>
      </c>
      <c r="F798" s="16" t="inlineStr">
        <is>
          <t>奥特莱斯</t>
        </is>
      </c>
      <c r="G798" s="16" t="inlineStr">
        <is>
          <t>EERAF37R32</t>
        </is>
      </c>
      <c r="H798" s="16" t="n">
        <v>299</v>
      </c>
      <c r="I798" s="16" t="n">
        <v>299</v>
      </c>
      <c r="J798" s="17" t="inlineStr">
        <is>
          <t>########</t>
        </is>
      </c>
      <c r="K798" s="16" t="inlineStr">
        <is>
          <t>(51)L/Blue</t>
        </is>
      </c>
      <c r="L798" s="16" t="inlineStr">
        <is>
          <t>营业中</t>
        </is>
      </c>
      <c r="M798" s="16" t="inlineStr">
        <is>
          <t>EERAF37R3251165</t>
        </is>
      </c>
      <c r="N798" s="16">
        <f>LEFT(M798,12)</f>
        <v/>
      </c>
      <c r="O798" s="16" t="inlineStr">
        <is>
          <t>EERAF37R32, (51)L/Blue, (165)165</t>
        </is>
      </c>
      <c r="P798" s="16" t="n">
        <v>299</v>
      </c>
      <c r="Q798" s="16" t="n">
        <v>299</v>
      </c>
      <c r="R798" s="16" t="n"/>
      <c r="S798" s="16" t="n"/>
      <c r="T798" s="16" t="n">
        <v>2</v>
      </c>
    </row>
    <row r="799" s="103">
      <c r="A799" s="16" t="inlineStr">
        <is>
          <t>B331</t>
        </is>
      </c>
      <c r="B799" s="16" t="inlineStr">
        <is>
          <t>上海区域</t>
        </is>
      </c>
      <c r="C799" s="16" t="inlineStr">
        <is>
          <t>CN0Q</t>
        </is>
      </c>
      <c r="D799" s="16" t="inlineStr">
        <is>
          <t>EE 苏州比斯特购物村</t>
        </is>
      </c>
      <c r="E799" s="16" t="n">
        <v>4</v>
      </c>
      <c r="F799" s="16" t="inlineStr">
        <is>
          <t>奥特莱斯</t>
        </is>
      </c>
      <c r="G799" s="16" t="inlineStr">
        <is>
          <t>EERAF37R32</t>
        </is>
      </c>
      <c r="H799" s="16" t="n">
        <v>299</v>
      </c>
      <c r="I799" s="16" t="n">
        <v>299</v>
      </c>
      <c r="J799" s="17" t="inlineStr">
        <is>
          <t>########</t>
        </is>
      </c>
      <c r="K799" s="16" t="inlineStr">
        <is>
          <t>(51)L/Blue</t>
        </is>
      </c>
      <c r="L799" s="16" t="inlineStr">
        <is>
          <t>营业中</t>
        </is>
      </c>
      <c r="M799" s="16" t="inlineStr">
        <is>
          <t>EERAF37R3251170</t>
        </is>
      </c>
      <c r="N799" s="16">
        <f>LEFT(M799,12)</f>
        <v/>
      </c>
      <c r="O799" s="16" t="inlineStr">
        <is>
          <t>EERAF37R32, (51)L/Blue, (170)170</t>
        </is>
      </c>
      <c r="P799" s="16" t="n">
        <v>299</v>
      </c>
      <c r="Q799" s="16" t="n">
        <v>299</v>
      </c>
      <c r="R799" s="16" t="n"/>
      <c r="S799" s="16" t="n"/>
      <c r="T799" s="16" t="n">
        <v>2</v>
      </c>
    </row>
    <row r="800" s="103">
      <c r="A800" s="16" t="inlineStr">
        <is>
          <t>B331</t>
        </is>
      </c>
      <c r="B800" s="16" t="inlineStr">
        <is>
          <t>上海区域</t>
        </is>
      </c>
      <c r="C800" s="16" t="inlineStr">
        <is>
          <t>CN0Q</t>
        </is>
      </c>
      <c r="D800" s="16" t="inlineStr">
        <is>
          <t>EE 苏州比斯特购物村</t>
        </is>
      </c>
      <c r="E800" s="16" t="n">
        <v>4</v>
      </c>
      <c r="F800" s="16" t="inlineStr">
        <is>
          <t>奥特莱斯</t>
        </is>
      </c>
      <c r="G800" s="16" t="inlineStr">
        <is>
          <t>EERAF37R32</t>
        </is>
      </c>
      <c r="H800" s="16" t="n">
        <v>299</v>
      </c>
      <c r="I800" s="16" t="n">
        <v>299</v>
      </c>
      <c r="J800" s="17" t="inlineStr">
        <is>
          <t>########</t>
        </is>
      </c>
      <c r="K800" s="16" t="inlineStr">
        <is>
          <t>(51)L/Blue</t>
        </is>
      </c>
      <c r="L800" s="16" t="inlineStr">
        <is>
          <t>营业中</t>
        </is>
      </c>
      <c r="M800" s="16" t="inlineStr">
        <is>
          <t>EERAF37R3251175</t>
        </is>
      </c>
      <c r="N800" s="16">
        <f>LEFT(M800,12)</f>
        <v/>
      </c>
      <c r="O800" s="16" t="inlineStr">
        <is>
          <t>EERAF37R32, (51)L/Blue, (175)175</t>
        </is>
      </c>
      <c r="P800" s="16" t="n">
        <v>299</v>
      </c>
      <c r="Q800" s="16" t="n">
        <v>299</v>
      </c>
      <c r="R800" s="16" t="n"/>
      <c r="S800" s="16" t="n"/>
      <c r="T800" s="16" t="n">
        <v>1</v>
      </c>
    </row>
    <row r="801" s="103">
      <c r="A801" s="16" t="inlineStr">
        <is>
          <t>B331</t>
        </is>
      </c>
      <c r="B801" s="16" t="inlineStr">
        <is>
          <t>上海区域</t>
        </is>
      </c>
      <c r="C801" s="16" t="inlineStr">
        <is>
          <t>CN0Q</t>
        </is>
      </c>
      <c r="D801" s="16" t="inlineStr">
        <is>
          <t>EE 苏州比斯特购物村</t>
        </is>
      </c>
      <c r="E801" s="16" t="n">
        <v>4</v>
      </c>
      <c r="F801" s="16" t="inlineStr">
        <is>
          <t>奥特莱斯</t>
        </is>
      </c>
      <c r="G801" s="16" t="inlineStr">
        <is>
          <t>EERAF37R33</t>
        </is>
      </c>
      <c r="H801" s="16" t="n">
        <v>499</v>
      </c>
      <c r="I801" s="16" t="n">
        <v>399</v>
      </c>
      <c r="J801" s="17" t="inlineStr">
        <is>
          <t>########</t>
        </is>
      </c>
      <c r="K801" s="16" t="inlineStr">
        <is>
          <t>(02)M/NAVY</t>
        </is>
      </c>
      <c r="L801" s="16" t="inlineStr">
        <is>
          <t>营业中</t>
        </is>
      </c>
      <c r="M801" s="16" t="inlineStr">
        <is>
          <t>EERAF37R3302160</t>
        </is>
      </c>
      <c r="N801" s="16">
        <f>LEFT(M801,12)</f>
        <v/>
      </c>
      <c r="O801" s="16" t="inlineStr">
        <is>
          <t>EERAF37R33, (02)M/NAVY, (160)160</t>
        </is>
      </c>
      <c r="P801" s="16" t="n">
        <v>499</v>
      </c>
      <c r="Q801" s="16" t="n">
        <v>399</v>
      </c>
      <c r="R801" s="16" t="n"/>
      <c r="S801" s="16" t="n"/>
      <c r="T801" s="16" t="n">
        <v>2</v>
      </c>
    </row>
    <row r="802" s="103">
      <c r="A802" s="16" t="inlineStr">
        <is>
          <t>B331</t>
        </is>
      </c>
      <c r="B802" s="16" t="inlineStr">
        <is>
          <t>上海区域</t>
        </is>
      </c>
      <c r="C802" s="16" t="inlineStr">
        <is>
          <t>CN0Q</t>
        </is>
      </c>
      <c r="D802" s="16" t="inlineStr">
        <is>
          <t>EE 苏州比斯特购物村</t>
        </is>
      </c>
      <c r="E802" s="16" t="n">
        <v>4</v>
      </c>
      <c r="F802" s="16" t="inlineStr">
        <is>
          <t>奥特莱斯</t>
        </is>
      </c>
      <c r="G802" s="16" t="inlineStr">
        <is>
          <t>EERAF37R33</t>
        </is>
      </c>
      <c r="H802" s="16" t="n">
        <v>499</v>
      </c>
      <c r="I802" s="16" t="n">
        <v>399</v>
      </c>
      <c r="J802" s="17" t="inlineStr">
        <is>
          <t>########</t>
        </is>
      </c>
      <c r="K802" s="16" t="inlineStr">
        <is>
          <t>(02)M/NAVY</t>
        </is>
      </c>
      <c r="L802" s="16" t="inlineStr">
        <is>
          <t>营业中</t>
        </is>
      </c>
      <c r="M802" s="16" t="inlineStr">
        <is>
          <t>EERAF37R3302165</t>
        </is>
      </c>
      <c r="N802" s="16">
        <f>LEFT(M802,12)</f>
        <v/>
      </c>
      <c r="O802" s="16" t="inlineStr">
        <is>
          <t>EERAF37R33, (02)M/NAVY, (165)165</t>
        </is>
      </c>
      <c r="P802" s="16" t="n">
        <v>499</v>
      </c>
      <c r="Q802" s="16" t="n">
        <v>399</v>
      </c>
      <c r="R802" s="16" t="n"/>
      <c r="S802" s="16" t="n"/>
      <c r="T802" s="16" t="n">
        <v>2</v>
      </c>
    </row>
    <row r="803" s="103">
      <c r="A803" s="16" t="inlineStr">
        <is>
          <t>B331</t>
        </is>
      </c>
      <c r="B803" s="16" t="inlineStr">
        <is>
          <t>上海区域</t>
        </is>
      </c>
      <c r="C803" s="16" t="inlineStr">
        <is>
          <t>CN0Q</t>
        </is>
      </c>
      <c r="D803" s="16" t="inlineStr">
        <is>
          <t>EE 苏州比斯特购物村</t>
        </is>
      </c>
      <c r="E803" s="16" t="n">
        <v>4</v>
      </c>
      <c r="F803" s="16" t="inlineStr">
        <is>
          <t>奥特莱斯</t>
        </is>
      </c>
      <c r="G803" s="16" t="inlineStr">
        <is>
          <t>EERAF37R33</t>
        </is>
      </c>
      <c r="H803" s="16" t="n">
        <v>499</v>
      </c>
      <c r="I803" s="16" t="n">
        <v>399</v>
      </c>
      <c r="J803" s="17" t="inlineStr">
        <is>
          <t>########</t>
        </is>
      </c>
      <c r="K803" s="16" t="inlineStr">
        <is>
          <t>(02)M/NAVY</t>
        </is>
      </c>
      <c r="L803" s="16" t="inlineStr">
        <is>
          <t>营业中</t>
        </is>
      </c>
      <c r="M803" s="16" t="inlineStr">
        <is>
          <t>EERAF37R3302170</t>
        </is>
      </c>
      <c r="N803" s="16">
        <f>LEFT(M803,12)</f>
        <v/>
      </c>
      <c r="O803" s="16" t="inlineStr">
        <is>
          <t>EERAF37R33, (02)M/NAVY, (170)170</t>
        </is>
      </c>
      <c r="P803" s="16" t="n">
        <v>499</v>
      </c>
      <c r="Q803" s="16" t="n">
        <v>399</v>
      </c>
      <c r="R803" s="16" t="n"/>
      <c r="S803" s="16" t="n"/>
      <c r="T803" s="16" t="n">
        <v>2</v>
      </c>
    </row>
    <row r="804" s="103">
      <c r="A804" s="16" t="inlineStr">
        <is>
          <t>B331</t>
        </is>
      </c>
      <c r="B804" s="16" t="inlineStr">
        <is>
          <t>上海区域</t>
        </is>
      </c>
      <c r="C804" s="16" t="inlineStr">
        <is>
          <t>CN0Q</t>
        </is>
      </c>
      <c r="D804" s="16" t="inlineStr">
        <is>
          <t>EE 苏州比斯特购物村</t>
        </is>
      </c>
      <c r="E804" s="16" t="n">
        <v>4</v>
      </c>
      <c r="F804" s="16" t="inlineStr">
        <is>
          <t>奥特莱斯</t>
        </is>
      </c>
      <c r="G804" s="16" t="inlineStr">
        <is>
          <t>EERAF37R33</t>
        </is>
      </c>
      <c r="H804" s="16" t="n">
        <v>499</v>
      </c>
      <c r="I804" s="16" t="n">
        <v>399</v>
      </c>
      <c r="J804" s="17" t="inlineStr">
        <is>
          <t>########</t>
        </is>
      </c>
      <c r="K804" s="16" t="inlineStr">
        <is>
          <t>(10)White</t>
        </is>
      </c>
      <c r="L804" s="16" t="inlineStr">
        <is>
          <t>营业中</t>
        </is>
      </c>
      <c r="M804" s="16" t="inlineStr">
        <is>
          <t>EERAF37R3310160</t>
        </is>
      </c>
      <c r="N804" s="16">
        <f>LEFT(M804,12)</f>
        <v/>
      </c>
      <c r="O804" s="16" t="inlineStr">
        <is>
          <t>EERAF37R33, (10)White, (160)160</t>
        </is>
      </c>
      <c r="P804" s="16" t="n">
        <v>499</v>
      </c>
      <c r="Q804" s="16" t="n">
        <v>399</v>
      </c>
      <c r="R804" s="16" t="n"/>
      <c r="S804" s="16" t="n"/>
      <c r="T804" s="16" t="n">
        <v>2</v>
      </c>
    </row>
    <row r="805" s="103">
      <c r="A805" s="16" t="inlineStr">
        <is>
          <t>B331</t>
        </is>
      </c>
      <c r="B805" s="16" t="inlineStr">
        <is>
          <t>上海区域</t>
        </is>
      </c>
      <c r="C805" s="16" t="inlineStr">
        <is>
          <t>CN0Q</t>
        </is>
      </c>
      <c r="D805" s="16" t="inlineStr">
        <is>
          <t>EE 苏州比斯特购物村</t>
        </is>
      </c>
      <c r="E805" s="16" t="n">
        <v>4</v>
      </c>
      <c r="F805" s="16" t="inlineStr">
        <is>
          <t>奥特莱斯</t>
        </is>
      </c>
      <c r="G805" s="16" t="inlineStr">
        <is>
          <t>EERAF37R33</t>
        </is>
      </c>
      <c r="H805" s="16" t="n">
        <v>499</v>
      </c>
      <c r="I805" s="16" t="n">
        <v>399</v>
      </c>
      <c r="J805" s="17" t="inlineStr">
        <is>
          <t>########</t>
        </is>
      </c>
      <c r="K805" s="16" t="inlineStr">
        <is>
          <t>(10)White</t>
        </is>
      </c>
      <c r="L805" s="16" t="inlineStr">
        <is>
          <t>营业中</t>
        </is>
      </c>
      <c r="M805" s="16" t="inlineStr">
        <is>
          <t>EERAF37R3310165</t>
        </is>
      </c>
      <c r="N805" s="16">
        <f>LEFT(M805,12)</f>
        <v/>
      </c>
      <c r="O805" s="16" t="inlineStr">
        <is>
          <t>EERAF37R33, (10)White, (165)165</t>
        </is>
      </c>
      <c r="P805" s="16" t="n">
        <v>499</v>
      </c>
      <c r="Q805" s="16" t="n">
        <v>399</v>
      </c>
      <c r="R805" s="16" t="n"/>
      <c r="S805" s="16" t="n"/>
      <c r="T805" s="16" t="n">
        <v>2</v>
      </c>
    </row>
    <row r="806" s="103">
      <c r="A806" s="16" t="inlineStr">
        <is>
          <t>B331</t>
        </is>
      </c>
      <c r="B806" s="16" t="inlineStr">
        <is>
          <t>上海区域</t>
        </is>
      </c>
      <c r="C806" s="16" t="inlineStr">
        <is>
          <t>CN0Q</t>
        </is>
      </c>
      <c r="D806" s="16" t="inlineStr">
        <is>
          <t>EE 苏州比斯特购物村</t>
        </is>
      </c>
      <c r="E806" s="16" t="n">
        <v>4</v>
      </c>
      <c r="F806" s="16" t="inlineStr">
        <is>
          <t>奥特莱斯</t>
        </is>
      </c>
      <c r="G806" s="16" t="inlineStr">
        <is>
          <t>EERAF37R33</t>
        </is>
      </c>
      <c r="H806" s="16" t="n">
        <v>499</v>
      </c>
      <c r="I806" s="16" t="n">
        <v>399</v>
      </c>
      <c r="J806" s="17" t="inlineStr">
        <is>
          <t>########</t>
        </is>
      </c>
      <c r="K806" s="16" t="inlineStr">
        <is>
          <t>(10)White</t>
        </is>
      </c>
      <c r="L806" s="16" t="inlineStr">
        <is>
          <t>营业中</t>
        </is>
      </c>
      <c r="M806" s="16" t="inlineStr">
        <is>
          <t>EERAF37R3310170</t>
        </is>
      </c>
      <c r="N806" s="16">
        <f>LEFT(M806,12)</f>
        <v/>
      </c>
      <c r="O806" s="16" t="inlineStr">
        <is>
          <t>EERAF37R33, (10)White, (170)170</t>
        </is>
      </c>
      <c r="P806" s="16" t="n">
        <v>499</v>
      </c>
      <c r="Q806" s="16" t="n">
        <v>399</v>
      </c>
      <c r="R806" s="16" t="n"/>
      <c r="S806" s="16" t="n"/>
      <c r="T806" s="16" t="n">
        <v>1</v>
      </c>
    </row>
    <row r="807" s="103">
      <c r="A807" s="16" t="inlineStr">
        <is>
          <t>B331</t>
        </is>
      </c>
      <c r="B807" s="16" t="inlineStr">
        <is>
          <t>上海区域</t>
        </is>
      </c>
      <c r="C807" s="16" t="inlineStr">
        <is>
          <t>CN0Q</t>
        </is>
      </c>
      <c r="D807" s="16" t="inlineStr">
        <is>
          <t>EE 苏州比斯特购物村</t>
        </is>
      </c>
      <c r="E807" s="16" t="n">
        <v>4</v>
      </c>
      <c r="F807" s="16" t="inlineStr">
        <is>
          <t>奥特莱斯</t>
        </is>
      </c>
      <c r="G807" s="16" t="inlineStr">
        <is>
          <t>EERAF37R35</t>
        </is>
      </c>
      <c r="H807" s="16" t="n">
        <v>399</v>
      </c>
      <c r="I807" s="16" t="n">
        <v>399</v>
      </c>
      <c r="J807" s="17" t="inlineStr">
        <is>
          <t>########</t>
        </is>
      </c>
      <c r="K807" s="16" t="inlineStr">
        <is>
          <t>(16)L/Grey</t>
        </is>
      </c>
      <c r="L807" s="16" t="inlineStr">
        <is>
          <t>营业中</t>
        </is>
      </c>
      <c r="M807" s="16" t="inlineStr">
        <is>
          <t>EERAF37R3516165</t>
        </is>
      </c>
      <c r="N807" s="16">
        <f>LEFT(M807,12)</f>
        <v/>
      </c>
      <c r="O807" s="16" t="inlineStr">
        <is>
          <t>EERAF37R35, (16)L/Grey, (165)165</t>
        </is>
      </c>
      <c r="P807" s="16" t="n">
        <v>399</v>
      </c>
      <c r="Q807" s="16" t="n">
        <v>399</v>
      </c>
      <c r="R807" s="16" t="n"/>
      <c r="S807" s="16" t="n"/>
      <c r="T807" s="16" t="n">
        <v>2</v>
      </c>
    </row>
    <row r="808" s="103">
      <c r="A808" s="16" t="inlineStr">
        <is>
          <t>B331</t>
        </is>
      </c>
      <c r="B808" s="16" t="inlineStr">
        <is>
          <t>上海区域</t>
        </is>
      </c>
      <c r="C808" s="16" t="inlineStr">
        <is>
          <t>CN0Q</t>
        </is>
      </c>
      <c r="D808" s="16" t="inlineStr">
        <is>
          <t>EE 苏州比斯特购物村</t>
        </is>
      </c>
      <c r="E808" s="16" t="n">
        <v>4</v>
      </c>
      <c r="F808" s="16" t="inlineStr">
        <is>
          <t>奥特莱斯</t>
        </is>
      </c>
      <c r="G808" s="16" t="inlineStr">
        <is>
          <t>EERAF37R35</t>
        </is>
      </c>
      <c r="H808" s="16" t="n">
        <v>399</v>
      </c>
      <c r="I808" s="16" t="n">
        <v>399</v>
      </c>
      <c r="J808" s="17" t="inlineStr">
        <is>
          <t>########</t>
        </is>
      </c>
      <c r="K808" s="16" t="inlineStr">
        <is>
          <t>(16)L/Grey</t>
        </is>
      </c>
      <c r="L808" s="16" t="inlineStr">
        <is>
          <t>营业中</t>
        </is>
      </c>
      <c r="M808" s="16" t="inlineStr">
        <is>
          <t>EERAF37R3516170</t>
        </is>
      </c>
      <c r="N808" s="16">
        <f>LEFT(M808,12)</f>
        <v/>
      </c>
      <c r="O808" s="16" t="inlineStr">
        <is>
          <t>EERAF37R35, (16)L/Grey, (170)170</t>
        </is>
      </c>
      <c r="P808" s="16" t="n">
        <v>399</v>
      </c>
      <c r="Q808" s="16" t="n">
        <v>399</v>
      </c>
      <c r="R808" s="16" t="n"/>
      <c r="S808" s="16" t="n"/>
      <c r="T808" s="16" t="n">
        <v>3</v>
      </c>
    </row>
    <row r="809" s="103">
      <c r="A809" s="16" t="inlineStr">
        <is>
          <t>B331</t>
        </is>
      </c>
      <c r="B809" s="16" t="inlineStr">
        <is>
          <t>上海区域</t>
        </is>
      </c>
      <c r="C809" s="16" t="inlineStr">
        <is>
          <t>CN0Q</t>
        </is>
      </c>
      <c r="D809" s="16" t="inlineStr">
        <is>
          <t>EE 苏州比斯特购物村</t>
        </is>
      </c>
      <c r="E809" s="16" t="n">
        <v>4</v>
      </c>
      <c r="F809" s="16" t="inlineStr">
        <is>
          <t>奥特莱斯</t>
        </is>
      </c>
      <c r="G809" s="16" t="inlineStr">
        <is>
          <t>EERAF37R35</t>
        </is>
      </c>
      <c r="H809" s="16" t="n">
        <v>399</v>
      </c>
      <c r="I809" s="16" t="n">
        <v>399</v>
      </c>
      <c r="J809" s="17" t="inlineStr">
        <is>
          <t>########</t>
        </is>
      </c>
      <c r="K809" s="16" t="inlineStr">
        <is>
          <t>(39)Ivory</t>
        </is>
      </c>
      <c r="L809" s="16" t="inlineStr">
        <is>
          <t>营业中</t>
        </is>
      </c>
      <c r="M809" s="16" t="inlineStr">
        <is>
          <t>EERAF37R3539160</t>
        </is>
      </c>
      <c r="N809" s="16">
        <f>LEFT(M809,12)</f>
        <v/>
      </c>
      <c r="O809" s="16" t="inlineStr">
        <is>
          <t>EERAF37R35, (39)Ivory, (160)160</t>
        </is>
      </c>
      <c r="P809" s="16" t="n">
        <v>399</v>
      </c>
      <c r="Q809" s="16" t="n">
        <v>399</v>
      </c>
      <c r="R809" s="16" t="n"/>
      <c r="S809" s="16" t="n"/>
      <c r="T809" s="16" t="n">
        <v>2</v>
      </c>
    </row>
    <row r="810" s="103">
      <c r="A810" s="16" t="inlineStr">
        <is>
          <t>B331</t>
        </is>
      </c>
      <c r="B810" s="16" t="inlineStr">
        <is>
          <t>上海区域</t>
        </is>
      </c>
      <c r="C810" s="16" t="inlineStr">
        <is>
          <t>CN0Q</t>
        </is>
      </c>
      <c r="D810" s="16" t="inlineStr">
        <is>
          <t>EE 苏州比斯特购物村</t>
        </is>
      </c>
      <c r="E810" s="16" t="n">
        <v>4</v>
      </c>
      <c r="F810" s="16" t="inlineStr">
        <is>
          <t>奥特莱斯</t>
        </is>
      </c>
      <c r="G810" s="16" t="inlineStr">
        <is>
          <t>EERAF37R35</t>
        </is>
      </c>
      <c r="H810" s="16" t="n">
        <v>399</v>
      </c>
      <c r="I810" s="16" t="n">
        <v>399</v>
      </c>
      <c r="J810" s="17" t="inlineStr">
        <is>
          <t>########</t>
        </is>
      </c>
      <c r="K810" s="16" t="inlineStr">
        <is>
          <t>(39)Ivory</t>
        </is>
      </c>
      <c r="L810" s="16" t="inlineStr">
        <is>
          <t>营业中</t>
        </is>
      </c>
      <c r="M810" s="16" t="inlineStr">
        <is>
          <t>EERAF37R3539165</t>
        </is>
      </c>
      <c r="N810" s="16">
        <f>LEFT(M810,12)</f>
        <v/>
      </c>
      <c r="O810" s="16" t="inlineStr">
        <is>
          <t>EERAF37R35, (39)Ivory, (165)165</t>
        </is>
      </c>
      <c r="P810" s="16" t="n">
        <v>399</v>
      </c>
      <c r="Q810" s="16" t="n">
        <v>399</v>
      </c>
      <c r="R810" s="16" t="n"/>
      <c r="S810" s="16" t="n"/>
      <c r="T810" s="16" t="n">
        <v>3</v>
      </c>
    </row>
    <row r="811" s="103">
      <c r="A811" s="16" t="inlineStr">
        <is>
          <t>B331</t>
        </is>
      </c>
      <c r="B811" s="16" t="inlineStr">
        <is>
          <t>上海区域</t>
        </is>
      </c>
      <c r="C811" s="16" t="inlineStr">
        <is>
          <t>CN0Q</t>
        </is>
      </c>
      <c r="D811" s="16" t="inlineStr">
        <is>
          <t>EE 苏州比斯特购物村</t>
        </is>
      </c>
      <c r="E811" s="16" t="n">
        <v>4</v>
      </c>
      <c r="F811" s="16" t="inlineStr">
        <is>
          <t>奥特莱斯</t>
        </is>
      </c>
      <c r="G811" s="16" t="inlineStr">
        <is>
          <t>EERAF37R35</t>
        </is>
      </c>
      <c r="H811" s="16" t="n">
        <v>399</v>
      </c>
      <c r="I811" s="16" t="n">
        <v>399</v>
      </c>
      <c r="J811" s="17" t="inlineStr">
        <is>
          <t>########</t>
        </is>
      </c>
      <c r="K811" s="16" t="inlineStr">
        <is>
          <t>(39)Ivory</t>
        </is>
      </c>
      <c r="L811" s="16" t="inlineStr">
        <is>
          <t>营业中</t>
        </is>
      </c>
      <c r="M811" s="16" t="inlineStr">
        <is>
          <t>EERAF37R3539170</t>
        </is>
      </c>
      <c r="N811" s="16">
        <f>LEFT(M811,12)</f>
        <v/>
      </c>
      <c r="O811" s="16" t="inlineStr">
        <is>
          <t>EERAF37R35, (39)Ivory, (170)170</t>
        </is>
      </c>
      <c r="P811" s="16" t="n">
        <v>399</v>
      </c>
      <c r="Q811" s="16" t="n">
        <v>399</v>
      </c>
      <c r="R811" s="16" t="n"/>
      <c r="S811" s="16" t="n"/>
      <c r="T811" s="16" t="n">
        <v>3</v>
      </c>
    </row>
    <row r="812" s="103">
      <c r="A812" s="16" t="inlineStr">
        <is>
          <t>B331</t>
        </is>
      </c>
      <c r="B812" s="16" t="inlineStr">
        <is>
          <t>上海区域</t>
        </is>
      </c>
      <c r="C812" s="16" t="inlineStr">
        <is>
          <t>CN0Q</t>
        </is>
      </c>
      <c r="D812" s="16" t="inlineStr">
        <is>
          <t>EE 苏州比斯特购物村</t>
        </is>
      </c>
      <c r="E812" s="16" t="n">
        <v>4</v>
      </c>
      <c r="F812" s="16" t="inlineStr">
        <is>
          <t>奥特莱斯</t>
        </is>
      </c>
      <c r="G812" s="16" t="inlineStr">
        <is>
          <t>EERAG12E1G</t>
        </is>
      </c>
      <c r="H812" s="16" t="n">
        <v>599</v>
      </c>
      <c r="I812" s="16" t="n">
        <v>599</v>
      </c>
      <c r="J812" s="17" t="n">
        <v>46024</v>
      </c>
      <c r="K812" s="16" t="inlineStr">
        <is>
          <t>(99)MIX</t>
        </is>
      </c>
      <c r="L812" s="16" t="inlineStr">
        <is>
          <t>营业中</t>
        </is>
      </c>
      <c r="M812" s="16" t="inlineStr">
        <is>
          <t>EERAG12E1G99170</t>
        </is>
      </c>
      <c r="N812" s="16">
        <f>LEFT(M812,12)</f>
        <v/>
      </c>
      <c r="O812" s="16" t="inlineStr">
        <is>
          <t>EERAG12E1G, (99)MIX, (170)170</t>
        </is>
      </c>
      <c r="P812" s="16" t="n">
        <v>599</v>
      </c>
      <c r="Q812" s="16" t="n">
        <v>599</v>
      </c>
      <c r="R812" s="16" t="n"/>
      <c r="S812" s="16" t="n"/>
      <c r="T812" s="16" t="n">
        <v>3</v>
      </c>
    </row>
    <row r="813" s="103">
      <c r="A813" s="16" t="inlineStr">
        <is>
          <t>B331</t>
        </is>
      </c>
      <c r="B813" s="16" t="inlineStr">
        <is>
          <t>上海区域</t>
        </is>
      </c>
      <c r="C813" s="16" t="inlineStr">
        <is>
          <t>CN0Q</t>
        </is>
      </c>
      <c r="D813" s="16" t="inlineStr">
        <is>
          <t>EE 苏州比斯特购物村</t>
        </is>
      </c>
      <c r="E813" s="16" t="n">
        <v>4</v>
      </c>
      <c r="F813" s="16" t="inlineStr">
        <is>
          <t>奥特莱斯</t>
        </is>
      </c>
      <c r="G813" s="16" t="inlineStr">
        <is>
          <t>EERAG12E1G</t>
        </is>
      </c>
      <c r="H813" s="16" t="n">
        <v>599</v>
      </c>
      <c r="I813" s="16" t="n">
        <v>599</v>
      </c>
      <c r="J813" s="17" t="n">
        <v>46024</v>
      </c>
      <c r="K813" s="16" t="inlineStr">
        <is>
          <t>(99)MIX</t>
        </is>
      </c>
      <c r="L813" s="16" t="inlineStr">
        <is>
          <t>营业中</t>
        </is>
      </c>
      <c r="M813" s="16" t="inlineStr">
        <is>
          <t>EERAG12E1G99175</t>
        </is>
      </c>
      <c r="N813" s="16">
        <f>LEFT(M813,12)</f>
        <v/>
      </c>
      <c r="O813" s="16" t="inlineStr">
        <is>
          <t>EERAG12E1G, (99)MIX, (175)175</t>
        </is>
      </c>
      <c r="P813" s="16" t="n">
        <v>599</v>
      </c>
      <c r="Q813" s="16" t="n">
        <v>599</v>
      </c>
      <c r="R813" s="16" t="n">
        <v>3</v>
      </c>
      <c r="S813" s="16" t="n">
        <v>271</v>
      </c>
      <c r="T813" s="16" t="n">
        <v>0</v>
      </c>
    </row>
    <row r="814" s="103">
      <c r="A814" s="16" t="inlineStr">
        <is>
          <t>B331</t>
        </is>
      </c>
      <c r="B814" s="16" t="inlineStr">
        <is>
          <t>上海区域</t>
        </is>
      </c>
      <c r="C814" s="16" t="inlineStr">
        <is>
          <t>CN0Q</t>
        </is>
      </c>
      <c r="D814" s="16" t="inlineStr">
        <is>
          <t>EE 苏州比斯特购物村</t>
        </is>
      </c>
      <c r="E814" s="16" t="n">
        <v>4</v>
      </c>
      <c r="F814" s="16" t="inlineStr">
        <is>
          <t>奥特莱斯</t>
        </is>
      </c>
      <c r="G814" s="16" t="inlineStr">
        <is>
          <t>EERAG12E1G</t>
        </is>
      </c>
      <c r="H814" s="16" t="n">
        <v>599</v>
      </c>
      <c r="I814" s="16" t="n">
        <v>599</v>
      </c>
      <c r="J814" s="17" t="n">
        <v>46024</v>
      </c>
      <c r="K814" s="16" t="inlineStr">
        <is>
          <t>(99)MIX</t>
        </is>
      </c>
      <c r="L814" s="16" t="inlineStr">
        <is>
          <t>营业中</t>
        </is>
      </c>
      <c r="M814" s="16" t="inlineStr">
        <is>
          <t>EERAG12E1G99180</t>
        </is>
      </c>
      <c r="N814" s="16">
        <f>LEFT(M814,12)</f>
        <v/>
      </c>
      <c r="O814" s="16" t="inlineStr">
        <is>
          <t>EERAG12E1G, (99)MIX, (180)180</t>
        </is>
      </c>
      <c r="P814" s="16" t="n">
        <v>599</v>
      </c>
      <c r="Q814" s="16" t="n">
        <v>599</v>
      </c>
      <c r="R814" s="16" t="n">
        <v>3</v>
      </c>
      <c r="S814" s="16" t="n">
        <v>545</v>
      </c>
      <c r="T814" s="16" t="n">
        <v>0</v>
      </c>
    </row>
    <row r="815" s="103">
      <c r="A815" s="16" t="inlineStr">
        <is>
          <t>B331</t>
        </is>
      </c>
      <c r="B815" s="16" t="inlineStr">
        <is>
          <t>上海区域</t>
        </is>
      </c>
      <c r="C815" s="16" t="inlineStr">
        <is>
          <t>CN0Q</t>
        </is>
      </c>
      <c r="D815" s="16" t="inlineStr">
        <is>
          <t>EE 苏州比斯特购物村</t>
        </is>
      </c>
      <c r="E815" s="16" t="n">
        <v>4</v>
      </c>
      <c r="F815" s="16" t="inlineStr">
        <is>
          <t>奥特莱斯</t>
        </is>
      </c>
      <c r="G815" s="16" t="inlineStr">
        <is>
          <t>EERAG12E1G</t>
        </is>
      </c>
      <c r="H815" s="16" t="n">
        <v>599</v>
      </c>
      <c r="I815" s="16" t="n">
        <v>599</v>
      </c>
      <c r="J815" s="17" t="n">
        <v>46024</v>
      </c>
      <c r="K815" s="16" t="inlineStr">
        <is>
          <t>(99)MIX</t>
        </is>
      </c>
      <c r="L815" s="16" t="inlineStr">
        <is>
          <t>营业中</t>
        </is>
      </c>
      <c r="M815" s="16" t="inlineStr">
        <is>
          <t>EERAG12E1G99185</t>
        </is>
      </c>
      <c r="N815" s="16">
        <f>LEFT(M815,12)</f>
        <v/>
      </c>
      <c r="O815" s="16" t="inlineStr">
        <is>
          <t>EERAG12E1G, (99)MIX, (185)185</t>
        </is>
      </c>
      <c r="P815" s="16" t="n">
        <v>599</v>
      </c>
      <c r="Q815" s="16" t="n">
        <v>599</v>
      </c>
      <c r="R815" s="16" t="n"/>
      <c r="S815" s="16" t="n"/>
      <c r="T815" s="16" t="n">
        <v>1</v>
      </c>
    </row>
    <row r="816" s="103">
      <c r="A816" s="16" t="inlineStr">
        <is>
          <t>B331</t>
        </is>
      </c>
      <c r="B816" s="16" t="inlineStr">
        <is>
          <t>上海区域</t>
        </is>
      </c>
      <c r="C816" s="16" t="inlineStr">
        <is>
          <t>CN0Q</t>
        </is>
      </c>
      <c r="D816" s="16" t="inlineStr">
        <is>
          <t>EE 苏州比斯特购物村</t>
        </is>
      </c>
      <c r="E816" s="16" t="n">
        <v>4</v>
      </c>
      <c r="F816" s="16" t="inlineStr">
        <is>
          <t>奥特莱斯</t>
        </is>
      </c>
      <c r="G816" s="16" t="inlineStr">
        <is>
          <t>EERAG12E2G</t>
        </is>
      </c>
      <c r="H816" s="16" t="n">
        <v>399</v>
      </c>
      <c r="I816" s="16" t="n">
        <v>399</v>
      </c>
      <c r="J816" s="17" t="n">
        <v>46024</v>
      </c>
      <c r="K816" s="16" t="inlineStr">
        <is>
          <t>(15)Grey</t>
        </is>
      </c>
      <c r="L816" s="16" t="inlineStr">
        <is>
          <t>营业中</t>
        </is>
      </c>
      <c r="M816" s="16" t="inlineStr">
        <is>
          <t>EERAG12E2G15170</t>
        </is>
      </c>
      <c r="N816" s="16">
        <f>LEFT(M816,12)</f>
        <v/>
      </c>
      <c r="O816" s="16" t="inlineStr">
        <is>
          <t>EERAG12E2G, (15)Grey, (170)170</t>
        </is>
      </c>
      <c r="P816" s="16" t="n">
        <v>399</v>
      </c>
      <c r="Q816" s="16" t="n">
        <v>399</v>
      </c>
      <c r="R816" s="16" t="n">
        <v>1</v>
      </c>
      <c r="S816" s="16" t="n">
        <v>182</v>
      </c>
      <c r="T816" s="16" t="n">
        <v>2</v>
      </c>
    </row>
    <row r="817" s="103">
      <c r="A817" s="16" t="inlineStr">
        <is>
          <t>B331</t>
        </is>
      </c>
      <c r="B817" s="16" t="inlineStr">
        <is>
          <t>上海区域</t>
        </is>
      </c>
      <c r="C817" s="16" t="inlineStr">
        <is>
          <t>CN0Q</t>
        </is>
      </c>
      <c r="D817" s="16" t="inlineStr">
        <is>
          <t>EE 苏州比斯特购物村</t>
        </is>
      </c>
      <c r="E817" s="16" t="n">
        <v>4</v>
      </c>
      <c r="F817" s="16" t="inlineStr">
        <is>
          <t>奥特莱斯</t>
        </is>
      </c>
      <c r="G817" s="16" t="inlineStr">
        <is>
          <t>EERAG12E2G</t>
        </is>
      </c>
      <c r="H817" s="16" t="n">
        <v>399</v>
      </c>
      <c r="I817" s="16" t="n">
        <v>399</v>
      </c>
      <c r="J817" s="17" t="n">
        <v>46024</v>
      </c>
      <c r="K817" s="16" t="inlineStr">
        <is>
          <t>(15)Grey</t>
        </is>
      </c>
      <c r="L817" s="16" t="inlineStr">
        <is>
          <t>营业中</t>
        </is>
      </c>
      <c r="M817" s="16" t="inlineStr">
        <is>
          <t>EERAG12E2G15175</t>
        </is>
      </c>
      <c r="N817" s="16">
        <f>LEFT(M817,12)</f>
        <v/>
      </c>
      <c r="O817" s="16" t="inlineStr">
        <is>
          <t>EERAG12E2G, (15)Grey, (175)175</t>
        </is>
      </c>
      <c r="P817" s="16" t="n">
        <v>399</v>
      </c>
      <c r="Q817" s="16" t="n">
        <v>399</v>
      </c>
      <c r="R817" s="16" t="n">
        <v>3</v>
      </c>
      <c r="S817" s="16" t="n">
        <v>363</v>
      </c>
      <c r="T817" s="16" t="n">
        <v>0</v>
      </c>
    </row>
    <row r="818" s="103">
      <c r="A818" s="16" t="inlineStr">
        <is>
          <t>B331</t>
        </is>
      </c>
      <c r="B818" s="16" t="inlineStr">
        <is>
          <t>上海区域</t>
        </is>
      </c>
      <c r="C818" s="16" t="inlineStr">
        <is>
          <t>CN0Q</t>
        </is>
      </c>
      <c r="D818" s="16" t="inlineStr">
        <is>
          <t>EE 苏州比斯特购物村</t>
        </is>
      </c>
      <c r="E818" s="16" t="n">
        <v>4</v>
      </c>
      <c r="F818" s="16" t="inlineStr">
        <is>
          <t>奥特莱斯</t>
        </is>
      </c>
      <c r="G818" s="16" t="inlineStr">
        <is>
          <t>EERAG12E2G</t>
        </is>
      </c>
      <c r="H818" s="16" t="n">
        <v>399</v>
      </c>
      <c r="I818" s="16" t="n">
        <v>399</v>
      </c>
      <c r="J818" s="17" t="n">
        <v>46024</v>
      </c>
      <c r="K818" s="16" t="inlineStr">
        <is>
          <t>(15)Grey</t>
        </is>
      </c>
      <c r="L818" s="16" t="inlineStr">
        <is>
          <t>营业中</t>
        </is>
      </c>
      <c r="M818" s="16" t="inlineStr">
        <is>
          <t>EERAG12E2G15180</t>
        </is>
      </c>
      <c r="N818" s="16">
        <f>LEFT(M818,12)</f>
        <v/>
      </c>
      <c r="O818" s="16" t="inlineStr">
        <is>
          <t>EERAG12E2G, (15)Grey, (180)180</t>
        </is>
      </c>
      <c r="P818" s="16" t="n">
        <v>399</v>
      </c>
      <c r="Q818" s="16" t="n">
        <v>399</v>
      </c>
      <c r="R818" s="16" t="n">
        <v>1</v>
      </c>
      <c r="S818" s="16" t="n"/>
      <c r="T818" s="16" t="n">
        <v>2</v>
      </c>
    </row>
    <row r="819" s="103">
      <c r="A819" s="16" t="inlineStr">
        <is>
          <t>B331</t>
        </is>
      </c>
      <c r="B819" s="16" t="inlineStr">
        <is>
          <t>上海区域</t>
        </is>
      </c>
      <c r="C819" s="16" t="inlineStr">
        <is>
          <t>CN0Q</t>
        </is>
      </c>
      <c r="D819" s="16" t="inlineStr">
        <is>
          <t>EE 苏州比斯特购物村</t>
        </is>
      </c>
      <c r="E819" s="16" t="n">
        <v>4</v>
      </c>
      <c r="F819" s="16" t="inlineStr">
        <is>
          <t>奥特莱斯</t>
        </is>
      </c>
      <c r="G819" s="16" t="inlineStr">
        <is>
          <t>EERAG12E2G</t>
        </is>
      </c>
      <c r="H819" s="16" t="n">
        <v>399</v>
      </c>
      <c r="I819" s="16" t="n">
        <v>399</v>
      </c>
      <c r="J819" s="17" t="n">
        <v>46024</v>
      </c>
      <c r="K819" s="16" t="inlineStr">
        <is>
          <t>(15)Grey</t>
        </is>
      </c>
      <c r="L819" s="16" t="inlineStr">
        <is>
          <t>营业中</t>
        </is>
      </c>
      <c r="M819" s="16" t="inlineStr">
        <is>
          <t>EERAG12E2G15185</t>
        </is>
      </c>
      <c r="N819" s="16">
        <f>LEFT(M819,12)</f>
        <v/>
      </c>
      <c r="O819" s="16" t="inlineStr">
        <is>
          <t>EERAG12E2G, (15)Grey, (185)185</t>
        </is>
      </c>
      <c r="P819" s="16" t="n">
        <v>399</v>
      </c>
      <c r="Q819" s="16" t="n">
        <v>399</v>
      </c>
      <c r="R819" s="16" t="n"/>
      <c r="S819" s="16" t="n"/>
      <c r="T819" s="16" t="n">
        <v>3</v>
      </c>
    </row>
    <row r="820" s="103">
      <c r="A820" s="16" t="inlineStr">
        <is>
          <t>B331</t>
        </is>
      </c>
      <c r="B820" s="16" t="inlineStr">
        <is>
          <t>上海区域</t>
        </is>
      </c>
      <c r="C820" s="16" t="inlineStr">
        <is>
          <t>CN0Q</t>
        </is>
      </c>
      <c r="D820" s="16" t="inlineStr">
        <is>
          <t>EE 苏州比斯特购物村</t>
        </is>
      </c>
      <c r="E820" s="16" t="n">
        <v>4</v>
      </c>
      <c r="F820" s="16" t="inlineStr">
        <is>
          <t>奥特莱斯</t>
        </is>
      </c>
      <c r="G820" s="16" t="inlineStr">
        <is>
          <t>EERAG12E2G</t>
        </is>
      </c>
      <c r="H820" s="16" t="n">
        <v>399</v>
      </c>
      <c r="I820" s="16" t="n">
        <v>399</v>
      </c>
      <c r="J820" s="17" t="n">
        <v>46024</v>
      </c>
      <c r="K820" s="16" t="inlineStr">
        <is>
          <t>(59)Navy</t>
        </is>
      </c>
      <c r="L820" s="16" t="inlineStr">
        <is>
          <t>营业中</t>
        </is>
      </c>
      <c r="M820" s="16" t="inlineStr">
        <is>
          <t>EERAG12E2G59170</t>
        </is>
      </c>
      <c r="N820" s="16">
        <f>LEFT(M820,12)</f>
        <v/>
      </c>
      <c r="O820" s="16" t="inlineStr">
        <is>
          <t>EERAG12E2G, (59)Navy, (170)170</t>
        </is>
      </c>
      <c r="P820" s="16" t="n">
        <v>399</v>
      </c>
      <c r="Q820" s="16" t="n">
        <v>399</v>
      </c>
      <c r="R820" s="16" t="n"/>
      <c r="S820" s="16" t="n"/>
      <c r="T820" s="16" t="n">
        <v>2</v>
      </c>
    </row>
    <row r="821" s="103">
      <c r="A821" s="16" t="inlineStr">
        <is>
          <t>B331</t>
        </is>
      </c>
      <c r="B821" s="16" t="inlineStr">
        <is>
          <t>上海区域</t>
        </is>
      </c>
      <c r="C821" s="16" t="inlineStr">
        <is>
          <t>CN0Q</t>
        </is>
      </c>
      <c r="D821" s="16" t="inlineStr">
        <is>
          <t>EE 苏州比斯特购物村</t>
        </is>
      </c>
      <c r="E821" s="16" t="n">
        <v>4</v>
      </c>
      <c r="F821" s="16" t="inlineStr">
        <is>
          <t>奥特莱斯</t>
        </is>
      </c>
      <c r="G821" s="16" t="inlineStr">
        <is>
          <t>EERAG12E2G</t>
        </is>
      </c>
      <c r="H821" s="16" t="n">
        <v>399</v>
      </c>
      <c r="I821" s="16" t="n">
        <v>399</v>
      </c>
      <c r="J821" s="17" t="n">
        <v>46024</v>
      </c>
      <c r="K821" s="16" t="inlineStr">
        <is>
          <t>(59)Navy</t>
        </is>
      </c>
      <c r="L821" s="16" t="inlineStr">
        <is>
          <t>营业中</t>
        </is>
      </c>
      <c r="M821" s="16" t="inlineStr">
        <is>
          <t>EERAG12E2G59175</t>
        </is>
      </c>
      <c r="N821" s="16">
        <f>LEFT(M821,12)</f>
        <v/>
      </c>
      <c r="O821" s="16" t="inlineStr">
        <is>
          <t>EERAG12E2G, (59)Navy, (175)175</t>
        </is>
      </c>
      <c r="P821" s="16" t="n">
        <v>399</v>
      </c>
      <c r="Q821" s="16" t="n">
        <v>399</v>
      </c>
      <c r="R821" s="16" t="n">
        <v>1</v>
      </c>
      <c r="S821" s="16" t="n">
        <v>180</v>
      </c>
      <c r="T821" s="16" t="n">
        <v>1</v>
      </c>
    </row>
    <row r="822" s="103">
      <c r="A822" s="16" t="inlineStr">
        <is>
          <t>B331</t>
        </is>
      </c>
      <c r="B822" s="16" t="inlineStr">
        <is>
          <t>上海区域</t>
        </is>
      </c>
      <c r="C822" s="16" t="inlineStr">
        <is>
          <t>CN0Q</t>
        </is>
      </c>
      <c r="D822" s="16" t="inlineStr">
        <is>
          <t>EE 苏州比斯特购物村</t>
        </is>
      </c>
      <c r="E822" s="16" t="n">
        <v>4</v>
      </c>
      <c r="F822" s="16" t="inlineStr">
        <is>
          <t>奥特莱斯</t>
        </is>
      </c>
      <c r="G822" s="16" t="inlineStr">
        <is>
          <t>EERAG12E2G</t>
        </is>
      </c>
      <c r="H822" s="16" t="n">
        <v>399</v>
      </c>
      <c r="I822" s="16" t="n">
        <v>399</v>
      </c>
      <c r="J822" s="17" t="n">
        <v>46024</v>
      </c>
      <c r="K822" s="16" t="inlineStr">
        <is>
          <t>(59)Navy</t>
        </is>
      </c>
      <c r="L822" s="16" t="inlineStr">
        <is>
          <t>营业中</t>
        </is>
      </c>
      <c r="M822" s="16" t="inlineStr">
        <is>
          <t>EERAG12E2G59180</t>
        </is>
      </c>
      <c r="N822" s="16">
        <f>LEFT(M822,12)</f>
        <v/>
      </c>
      <c r="O822" s="16" t="inlineStr">
        <is>
          <t>EERAG12E2G, (59)Navy, (180)180</t>
        </is>
      </c>
      <c r="P822" s="16" t="n">
        <v>399</v>
      </c>
      <c r="Q822" s="16" t="n">
        <v>399</v>
      </c>
      <c r="R822" s="16" t="n"/>
      <c r="S822" s="16" t="n"/>
      <c r="T822" s="16" t="n">
        <v>3</v>
      </c>
    </row>
    <row r="823" s="103">
      <c r="A823" s="16" t="inlineStr">
        <is>
          <t>B331</t>
        </is>
      </c>
      <c r="B823" s="16" t="inlineStr">
        <is>
          <t>上海区域</t>
        </is>
      </c>
      <c r="C823" s="16" t="inlineStr">
        <is>
          <t>CN0Q</t>
        </is>
      </c>
      <c r="D823" s="16" t="inlineStr">
        <is>
          <t>EE 苏州比斯特购物村</t>
        </is>
      </c>
      <c r="E823" s="16" t="n">
        <v>4</v>
      </c>
      <c r="F823" s="16" t="inlineStr">
        <is>
          <t>奥特莱斯</t>
        </is>
      </c>
      <c r="G823" s="16" t="inlineStr">
        <is>
          <t>EERAG12E2G</t>
        </is>
      </c>
      <c r="H823" s="16" t="n">
        <v>399</v>
      </c>
      <c r="I823" s="16" t="n">
        <v>399</v>
      </c>
      <c r="J823" s="17" t="n">
        <v>46024</v>
      </c>
      <c r="K823" s="16" t="inlineStr">
        <is>
          <t>(59)Navy</t>
        </is>
      </c>
      <c r="L823" s="16" t="inlineStr">
        <is>
          <t>营业中</t>
        </is>
      </c>
      <c r="M823" s="16" t="inlineStr">
        <is>
          <t>EERAG12E2G59185</t>
        </is>
      </c>
      <c r="N823" s="16">
        <f>LEFT(M823,12)</f>
        <v/>
      </c>
      <c r="O823" s="16" t="inlineStr">
        <is>
          <t>EERAG12E2G, (59)Navy, (185)185</t>
        </is>
      </c>
      <c r="P823" s="16" t="n">
        <v>399</v>
      </c>
      <c r="Q823" s="16" t="n">
        <v>399</v>
      </c>
      <c r="R823" s="16" t="n"/>
      <c r="S823" s="16" t="n"/>
      <c r="T823" s="16" t="n">
        <v>1</v>
      </c>
    </row>
    <row r="824" s="103">
      <c r="A824" s="16" t="inlineStr">
        <is>
          <t>B331</t>
        </is>
      </c>
      <c r="B824" s="16" t="inlineStr">
        <is>
          <t>上海区域</t>
        </is>
      </c>
      <c r="C824" s="16" t="inlineStr">
        <is>
          <t>CN0Q</t>
        </is>
      </c>
      <c r="D824" s="16" t="inlineStr">
        <is>
          <t>EE 苏州比斯特购物村</t>
        </is>
      </c>
      <c r="E824" s="16" t="n">
        <v>4</v>
      </c>
      <c r="F824" s="16" t="inlineStr">
        <is>
          <t>奥特莱斯</t>
        </is>
      </c>
      <c r="G824" s="16" t="inlineStr">
        <is>
          <t>EERAG23B04</t>
        </is>
      </c>
      <c r="H824" s="16" t="n">
        <v>499</v>
      </c>
      <c r="I824" s="16" t="n">
        <v>599</v>
      </c>
      <c r="J824" s="17" t="inlineStr">
        <is>
          <t>########</t>
        </is>
      </c>
      <c r="K824" s="16" t="inlineStr">
        <is>
          <t>(39)Ivory</t>
        </is>
      </c>
      <c r="L824" s="16" t="inlineStr">
        <is>
          <t>营业中</t>
        </is>
      </c>
      <c r="M824" s="16" t="inlineStr">
        <is>
          <t>EERAG23B0439160</t>
        </is>
      </c>
      <c r="N824" s="16">
        <f>LEFT(M824,12)</f>
        <v/>
      </c>
      <c r="O824" s="16" t="inlineStr">
        <is>
          <t>EERAG23B04, (39)Ivory, (160)160</t>
        </is>
      </c>
      <c r="P824" s="16" t="n">
        <v>499</v>
      </c>
      <c r="Q824" s="16" t="n">
        <v>599</v>
      </c>
      <c r="R824" s="16" t="n">
        <v>1</v>
      </c>
      <c r="S824" s="16" t="n">
        <v>382</v>
      </c>
      <c r="T824" s="16" t="n">
        <v>4</v>
      </c>
    </row>
    <row r="825" s="103">
      <c r="A825" s="16" t="inlineStr">
        <is>
          <t>B331</t>
        </is>
      </c>
      <c r="B825" s="16" t="inlineStr">
        <is>
          <t>上海区域</t>
        </is>
      </c>
      <c r="C825" s="16" t="inlineStr">
        <is>
          <t>CN0Q</t>
        </is>
      </c>
      <c r="D825" s="16" t="inlineStr">
        <is>
          <t>EE 苏州比斯特购物村</t>
        </is>
      </c>
      <c r="E825" s="16" t="n">
        <v>4</v>
      </c>
      <c r="F825" s="16" t="inlineStr">
        <is>
          <t>奥特莱斯</t>
        </is>
      </c>
      <c r="G825" s="16" t="inlineStr">
        <is>
          <t>EERAG23B04</t>
        </is>
      </c>
      <c r="H825" s="16" t="n">
        <v>499</v>
      </c>
      <c r="I825" s="16" t="n">
        <v>599</v>
      </c>
      <c r="J825" s="17" t="inlineStr">
        <is>
          <t>########</t>
        </is>
      </c>
      <c r="K825" s="16" t="inlineStr">
        <is>
          <t>(39)Ivory</t>
        </is>
      </c>
      <c r="L825" s="16" t="inlineStr">
        <is>
          <t>营业中</t>
        </is>
      </c>
      <c r="M825" s="16" t="inlineStr">
        <is>
          <t>EERAG23B0439165</t>
        </is>
      </c>
      <c r="N825" s="16">
        <f>LEFT(M825,12)</f>
        <v/>
      </c>
      <c r="O825" s="16" t="inlineStr">
        <is>
          <t>EERAG23B04, (39)Ivory, (165)165</t>
        </is>
      </c>
      <c r="P825" s="16" t="n">
        <v>499</v>
      </c>
      <c r="Q825" s="16" t="n">
        <v>599</v>
      </c>
      <c r="R825" s="16" t="n">
        <v>3</v>
      </c>
      <c r="S825" s="18" t="n">
        <v>1188</v>
      </c>
      <c r="T825" s="16" t="n">
        <v>3</v>
      </c>
    </row>
    <row r="826" s="103">
      <c r="A826" s="16" t="inlineStr">
        <is>
          <t>B331</t>
        </is>
      </c>
      <c r="B826" s="16" t="inlineStr">
        <is>
          <t>上海区域</t>
        </is>
      </c>
      <c r="C826" s="16" t="inlineStr">
        <is>
          <t>CN0Q</t>
        </is>
      </c>
      <c r="D826" s="16" t="inlineStr">
        <is>
          <t>EE 苏州比斯特购物村</t>
        </is>
      </c>
      <c r="E826" s="16" t="n">
        <v>4</v>
      </c>
      <c r="F826" s="16" t="inlineStr">
        <is>
          <t>奥特莱斯</t>
        </is>
      </c>
      <c r="G826" s="16" t="inlineStr">
        <is>
          <t>EERAG23B04</t>
        </is>
      </c>
      <c r="H826" s="16" t="n">
        <v>499</v>
      </c>
      <c r="I826" s="16" t="n">
        <v>599</v>
      </c>
      <c r="J826" s="17" t="inlineStr">
        <is>
          <t>########</t>
        </is>
      </c>
      <c r="K826" s="16" t="inlineStr">
        <is>
          <t>(39)Ivory</t>
        </is>
      </c>
      <c r="L826" s="16" t="inlineStr">
        <is>
          <t>营业中</t>
        </is>
      </c>
      <c r="M826" s="16" t="inlineStr">
        <is>
          <t>EERAG23B0439170</t>
        </is>
      </c>
      <c r="N826" s="16">
        <f>LEFT(M826,12)</f>
        <v/>
      </c>
      <c r="O826" s="16" t="inlineStr">
        <is>
          <t>EERAG23B04, (39)Ivory, (170)170</t>
        </is>
      </c>
      <c r="P826" s="16" t="n">
        <v>499</v>
      </c>
      <c r="Q826" s="16" t="n">
        <v>599</v>
      </c>
      <c r="R826" s="16" t="n">
        <v>2</v>
      </c>
      <c r="S826" s="16" t="n">
        <v>560</v>
      </c>
      <c r="T826" s="16" t="n">
        <v>5</v>
      </c>
    </row>
    <row r="827" s="103">
      <c r="A827" s="16" t="inlineStr">
        <is>
          <t>B331</t>
        </is>
      </c>
      <c r="B827" s="16" t="inlineStr">
        <is>
          <t>上海区域</t>
        </is>
      </c>
      <c r="C827" s="16" t="inlineStr">
        <is>
          <t>CN0Q</t>
        </is>
      </c>
      <c r="D827" s="16" t="inlineStr">
        <is>
          <t>EE 苏州比斯特购物村</t>
        </is>
      </c>
      <c r="E827" s="16" t="n">
        <v>4</v>
      </c>
      <c r="F827" s="16" t="inlineStr">
        <is>
          <t>奥特莱斯</t>
        </is>
      </c>
      <c r="G827" s="16" t="inlineStr">
        <is>
          <t>EERAG23B04</t>
        </is>
      </c>
      <c r="H827" s="16" t="n">
        <v>499</v>
      </c>
      <c r="I827" s="16" t="n">
        <v>599</v>
      </c>
      <c r="J827" s="17" t="inlineStr">
        <is>
          <t>########</t>
        </is>
      </c>
      <c r="K827" s="16" t="inlineStr">
        <is>
          <t>(51)L/Blue</t>
        </is>
      </c>
      <c r="L827" s="16" t="inlineStr">
        <is>
          <t>营业中</t>
        </is>
      </c>
      <c r="M827" s="16" t="inlineStr">
        <is>
          <t>EERAG23B0451160</t>
        </is>
      </c>
      <c r="N827" s="16">
        <f>LEFT(M827,12)</f>
        <v/>
      </c>
      <c r="O827" s="16" t="inlineStr">
        <is>
          <t>EERAG23B04, (51)L/Blue, (160)160</t>
        </is>
      </c>
      <c r="P827" s="16" t="n">
        <v>499</v>
      </c>
      <c r="Q827" s="16" t="n">
        <v>599</v>
      </c>
      <c r="R827" s="16" t="n"/>
      <c r="S827" s="16" t="n"/>
      <c r="T827" s="16" t="n">
        <v>3</v>
      </c>
    </row>
    <row r="828" s="103">
      <c r="A828" s="16" t="inlineStr">
        <is>
          <t>B331</t>
        </is>
      </c>
      <c r="B828" s="16" t="inlineStr">
        <is>
          <t>上海区域</t>
        </is>
      </c>
      <c r="C828" s="16" t="inlineStr">
        <is>
          <t>CN0Q</t>
        </is>
      </c>
      <c r="D828" s="16" t="inlineStr">
        <is>
          <t>EE 苏州比斯特购物村</t>
        </is>
      </c>
      <c r="E828" s="16" t="n">
        <v>4</v>
      </c>
      <c r="F828" s="16" t="inlineStr">
        <is>
          <t>奥特莱斯</t>
        </is>
      </c>
      <c r="G828" s="16" t="inlineStr">
        <is>
          <t>EERAG23B04</t>
        </is>
      </c>
      <c r="H828" s="16" t="n">
        <v>499</v>
      </c>
      <c r="I828" s="16" t="n">
        <v>599</v>
      </c>
      <c r="J828" s="17" t="inlineStr">
        <is>
          <t>########</t>
        </is>
      </c>
      <c r="K828" s="16" t="inlineStr">
        <is>
          <t>(51)L/Blue</t>
        </is>
      </c>
      <c r="L828" s="16" t="inlineStr">
        <is>
          <t>营业中</t>
        </is>
      </c>
      <c r="M828" s="16" t="inlineStr">
        <is>
          <t>EERAG23B0451165</t>
        </is>
      </c>
      <c r="N828" s="16">
        <f>LEFT(M828,12)</f>
        <v/>
      </c>
      <c r="O828" s="16" t="inlineStr">
        <is>
          <t>EERAG23B04, (51)L/Blue, (165)165</t>
        </is>
      </c>
      <c r="P828" s="16" t="n">
        <v>499</v>
      </c>
      <c r="Q828" s="16" t="n">
        <v>599</v>
      </c>
      <c r="R828" s="16" t="n">
        <v>2</v>
      </c>
      <c r="S828" s="16" t="n">
        <v>807</v>
      </c>
      <c r="T828" s="16" t="n">
        <v>1</v>
      </c>
    </row>
    <row r="829" s="103">
      <c r="A829" s="16" t="inlineStr">
        <is>
          <t>B331</t>
        </is>
      </c>
      <c r="B829" s="16" t="inlineStr">
        <is>
          <t>上海区域</t>
        </is>
      </c>
      <c r="C829" s="16" t="inlineStr">
        <is>
          <t>CN0Q</t>
        </is>
      </c>
      <c r="D829" s="16" t="inlineStr">
        <is>
          <t>EE 苏州比斯特购物村</t>
        </is>
      </c>
      <c r="E829" s="16" t="n">
        <v>4</v>
      </c>
      <c r="F829" s="16" t="inlineStr">
        <is>
          <t>奥特莱斯</t>
        </is>
      </c>
      <c r="G829" s="16" t="inlineStr">
        <is>
          <t>EERAG23B04</t>
        </is>
      </c>
      <c r="H829" s="16" t="n">
        <v>499</v>
      </c>
      <c r="I829" s="16" t="n">
        <v>599</v>
      </c>
      <c r="J829" s="17" t="inlineStr">
        <is>
          <t>########</t>
        </is>
      </c>
      <c r="K829" s="16" t="inlineStr">
        <is>
          <t>(51)L/Blue</t>
        </is>
      </c>
      <c r="L829" s="16" t="inlineStr">
        <is>
          <t>营业中</t>
        </is>
      </c>
      <c r="M829" s="16" t="inlineStr">
        <is>
          <t>EERAG23B0451170</t>
        </is>
      </c>
      <c r="N829" s="16">
        <f>LEFT(M829,12)</f>
        <v/>
      </c>
      <c r="O829" s="16" t="inlineStr">
        <is>
          <t>EERAG23B04, (51)L/Blue, (170)170</t>
        </is>
      </c>
      <c r="P829" s="16" t="n">
        <v>499</v>
      </c>
      <c r="Q829" s="16" t="n">
        <v>599</v>
      </c>
      <c r="R829" s="16" t="n"/>
      <c r="S829" s="16" t="n"/>
      <c r="T829" s="16" t="n">
        <v>3</v>
      </c>
    </row>
    <row r="830" s="103">
      <c r="A830" s="16" t="inlineStr">
        <is>
          <t>B331</t>
        </is>
      </c>
      <c r="B830" s="16" t="inlineStr">
        <is>
          <t>上海区域</t>
        </is>
      </c>
      <c r="C830" s="16" t="inlineStr">
        <is>
          <t>CN0Q</t>
        </is>
      </c>
      <c r="D830" s="16" t="inlineStr">
        <is>
          <t>EE 苏州比斯特购物村</t>
        </is>
      </c>
      <c r="E830" s="16" t="n">
        <v>4</v>
      </c>
      <c r="F830" s="16" t="inlineStr">
        <is>
          <t>奥特莱斯</t>
        </is>
      </c>
      <c r="G830" s="16" t="inlineStr">
        <is>
          <t>EERAG23B1G</t>
        </is>
      </c>
      <c r="H830" s="16" t="n">
        <v>399</v>
      </c>
      <c r="I830" s="16" t="n">
        <v>399</v>
      </c>
      <c r="J830" s="17" t="inlineStr">
        <is>
          <t>########</t>
        </is>
      </c>
      <c r="K830" s="16" t="inlineStr">
        <is>
          <t>(10)White</t>
        </is>
      </c>
      <c r="L830" s="16" t="inlineStr">
        <is>
          <t>营业中</t>
        </is>
      </c>
      <c r="M830" s="16" t="inlineStr">
        <is>
          <t>EERAG23B1G10170</t>
        </is>
      </c>
      <c r="N830" s="16">
        <f>LEFT(M830,12)</f>
        <v/>
      </c>
      <c r="O830" s="16" t="inlineStr">
        <is>
          <t>EERAG23B1G, (10)White, (170)170</t>
        </is>
      </c>
      <c r="P830" s="16" t="n">
        <v>399</v>
      </c>
      <c r="Q830" s="16" t="n">
        <v>399</v>
      </c>
      <c r="R830" s="16" t="n">
        <v>2</v>
      </c>
      <c r="S830" s="16" t="n">
        <v>537</v>
      </c>
      <c r="T830" s="16" t="n">
        <v>2</v>
      </c>
    </row>
    <row r="831" s="103">
      <c r="A831" s="16" t="inlineStr">
        <is>
          <t>B331</t>
        </is>
      </c>
      <c r="B831" s="16" t="inlineStr">
        <is>
          <t>上海区域</t>
        </is>
      </c>
      <c r="C831" s="16" t="inlineStr">
        <is>
          <t>CN0Q</t>
        </is>
      </c>
      <c r="D831" s="16" t="inlineStr">
        <is>
          <t>EE 苏州比斯特购物村</t>
        </is>
      </c>
      <c r="E831" s="16" t="n">
        <v>4</v>
      </c>
      <c r="F831" s="16" t="inlineStr">
        <is>
          <t>奥特莱斯</t>
        </is>
      </c>
      <c r="G831" s="16" t="inlineStr">
        <is>
          <t>EERAG23B1G</t>
        </is>
      </c>
      <c r="H831" s="16" t="n">
        <v>399</v>
      </c>
      <c r="I831" s="16" t="n">
        <v>399</v>
      </c>
      <c r="J831" s="17" t="inlineStr">
        <is>
          <t>########</t>
        </is>
      </c>
      <c r="K831" s="16" t="inlineStr">
        <is>
          <t>(10)White</t>
        </is>
      </c>
      <c r="L831" s="16" t="inlineStr">
        <is>
          <t>营业中</t>
        </is>
      </c>
      <c r="M831" s="16" t="inlineStr">
        <is>
          <t>EERAG23B1G10175</t>
        </is>
      </c>
      <c r="N831" s="16">
        <f>LEFT(M831,12)</f>
        <v/>
      </c>
      <c r="O831" s="16" t="inlineStr">
        <is>
          <t>EERAG23B1G, (10)White, (175)175</t>
        </is>
      </c>
      <c r="P831" s="16" t="n">
        <v>399</v>
      </c>
      <c r="Q831" s="16" t="n">
        <v>399</v>
      </c>
      <c r="R831" s="16" t="n">
        <v>1</v>
      </c>
      <c r="S831" s="16" t="n"/>
      <c r="T831" s="16" t="n">
        <v>6</v>
      </c>
    </row>
    <row r="832" s="103">
      <c r="A832" s="16" t="inlineStr">
        <is>
          <t>B331</t>
        </is>
      </c>
      <c r="B832" s="16" t="inlineStr">
        <is>
          <t>上海区域</t>
        </is>
      </c>
      <c r="C832" s="16" t="inlineStr">
        <is>
          <t>CN0Q</t>
        </is>
      </c>
      <c r="D832" s="16" t="inlineStr">
        <is>
          <t>EE 苏州比斯特购物村</t>
        </is>
      </c>
      <c r="E832" s="16" t="n">
        <v>4</v>
      </c>
      <c r="F832" s="16" t="inlineStr">
        <is>
          <t>奥特莱斯</t>
        </is>
      </c>
      <c r="G832" s="16" t="inlineStr">
        <is>
          <t>EERAG23B1G</t>
        </is>
      </c>
      <c r="H832" s="16" t="n">
        <v>399</v>
      </c>
      <c r="I832" s="16" t="n">
        <v>399</v>
      </c>
      <c r="J832" s="17" t="inlineStr">
        <is>
          <t>########</t>
        </is>
      </c>
      <c r="K832" s="16" t="inlineStr">
        <is>
          <t>(10)White</t>
        </is>
      </c>
      <c r="L832" s="16" t="inlineStr">
        <is>
          <t>营业中</t>
        </is>
      </c>
      <c r="M832" s="16" t="inlineStr">
        <is>
          <t>EERAG23B1G10180</t>
        </is>
      </c>
      <c r="N832" s="16">
        <f>LEFT(M832,12)</f>
        <v/>
      </c>
      <c r="O832" s="16" t="inlineStr">
        <is>
          <t>EERAG23B1G, (10)White, (180)180</t>
        </is>
      </c>
      <c r="P832" s="16" t="n">
        <v>399</v>
      </c>
      <c r="Q832" s="16" t="n">
        <v>399</v>
      </c>
      <c r="R832" s="16" t="n"/>
      <c r="S832" s="16" t="n"/>
      <c r="T832" s="16" t="n">
        <v>6</v>
      </c>
    </row>
    <row r="833" s="103">
      <c r="A833" s="16" t="inlineStr">
        <is>
          <t>B331</t>
        </is>
      </c>
      <c r="B833" s="16" t="inlineStr">
        <is>
          <t>上海区域</t>
        </is>
      </c>
      <c r="C833" s="16" t="inlineStr">
        <is>
          <t>CN0Q</t>
        </is>
      </c>
      <c r="D833" s="16" t="inlineStr">
        <is>
          <t>EE 苏州比斯特购物村</t>
        </is>
      </c>
      <c r="E833" s="16" t="n">
        <v>4</v>
      </c>
      <c r="F833" s="16" t="inlineStr">
        <is>
          <t>奥特莱斯</t>
        </is>
      </c>
      <c r="G833" s="16" t="inlineStr">
        <is>
          <t>EERAG23B1G</t>
        </is>
      </c>
      <c r="H833" s="16" t="n">
        <v>399</v>
      </c>
      <c r="I833" s="16" t="n">
        <v>399</v>
      </c>
      <c r="J833" s="17" t="inlineStr">
        <is>
          <t>########</t>
        </is>
      </c>
      <c r="K833" s="16" t="inlineStr">
        <is>
          <t>(10)White</t>
        </is>
      </c>
      <c r="L833" s="16" t="inlineStr">
        <is>
          <t>营业中</t>
        </is>
      </c>
      <c r="M833" s="16" t="inlineStr">
        <is>
          <t>EERAG23B1G10185</t>
        </is>
      </c>
      <c r="N833" s="16">
        <f>LEFT(M833,12)</f>
        <v/>
      </c>
      <c r="O833" s="16" t="inlineStr">
        <is>
          <t>EERAG23B1G, (10)White, (185)185</t>
        </is>
      </c>
      <c r="P833" s="16" t="n">
        <v>399</v>
      </c>
      <c r="Q833" s="16" t="n">
        <v>399</v>
      </c>
      <c r="R833" s="16" t="n">
        <v>1</v>
      </c>
      <c r="S833" s="16" t="n"/>
      <c r="T833" s="16" t="n">
        <v>2</v>
      </c>
    </row>
    <row r="834" s="103">
      <c r="A834" s="16" t="inlineStr">
        <is>
          <t>B331</t>
        </is>
      </c>
      <c r="B834" s="16" t="inlineStr">
        <is>
          <t>上海区域</t>
        </is>
      </c>
      <c r="C834" s="16" t="inlineStr">
        <is>
          <t>CN0Q</t>
        </is>
      </c>
      <c r="D834" s="16" t="inlineStr">
        <is>
          <t>EE 苏州比斯特购物村</t>
        </is>
      </c>
      <c r="E834" s="16" t="n">
        <v>4</v>
      </c>
      <c r="F834" s="16" t="inlineStr">
        <is>
          <t>奥特莱斯</t>
        </is>
      </c>
      <c r="G834" s="16" t="inlineStr">
        <is>
          <t>EERAG23B1G</t>
        </is>
      </c>
      <c r="H834" s="16" t="n">
        <v>399</v>
      </c>
      <c r="I834" s="16" t="n">
        <v>399</v>
      </c>
      <c r="J834" s="17" t="inlineStr">
        <is>
          <t>########</t>
        </is>
      </c>
      <c r="K834" s="16" t="inlineStr">
        <is>
          <t>(59)Navy</t>
        </is>
      </c>
      <c r="L834" s="16" t="inlineStr">
        <is>
          <t>营业中</t>
        </is>
      </c>
      <c r="M834" s="16" t="inlineStr">
        <is>
          <t>EERAG23B1G59170</t>
        </is>
      </c>
      <c r="N834" s="16">
        <f>LEFT(M834,12)</f>
        <v/>
      </c>
      <c r="O834" s="16" t="inlineStr">
        <is>
          <t>EERAG23B1G, (59)Navy, (170)170</t>
        </is>
      </c>
      <c r="P834" s="16" t="n">
        <v>399</v>
      </c>
      <c r="Q834" s="16" t="n">
        <v>399</v>
      </c>
      <c r="R834" s="16" t="n"/>
      <c r="S834" s="16" t="n"/>
      <c r="T834" s="16" t="n">
        <v>2</v>
      </c>
    </row>
    <row r="835" s="103">
      <c r="A835" s="16" t="inlineStr">
        <is>
          <t>B331</t>
        </is>
      </c>
      <c r="B835" s="16" t="inlineStr">
        <is>
          <t>上海区域</t>
        </is>
      </c>
      <c r="C835" s="16" t="inlineStr">
        <is>
          <t>CN0Q</t>
        </is>
      </c>
      <c r="D835" s="16" t="inlineStr">
        <is>
          <t>EE 苏州比斯特购物村</t>
        </is>
      </c>
      <c r="E835" s="16" t="n">
        <v>4</v>
      </c>
      <c r="F835" s="16" t="inlineStr">
        <is>
          <t>奥特莱斯</t>
        </is>
      </c>
      <c r="G835" s="16" t="inlineStr">
        <is>
          <t>EERAG23B1G</t>
        </is>
      </c>
      <c r="H835" s="16" t="n">
        <v>399</v>
      </c>
      <c r="I835" s="16" t="n">
        <v>399</v>
      </c>
      <c r="J835" s="17" t="inlineStr">
        <is>
          <t>########</t>
        </is>
      </c>
      <c r="K835" s="16" t="inlineStr">
        <is>
          <t>(59)Navy</t>
        </is>
      </c>
      <c r="L835" s="16" t="inlineStr">
        <is>
          <t>营业中</t>
        </is>
      </c>
      <c r="M835" s="16" t="inlineStr">
        <is>
          <t>EERAG23B1G59175</t>
        </is>
      </c>
      <c r="N835" s="16">
        <f>LEFT(M835,12)</f>
        <v/>
      </c>
      <c r="O835" s="16" t="inlineStr">
        <is>
          <t>EERAG23B1G, (59)Navy, (175)175</t>
        </is>
      </c>
      <c r="P835" s="16" t="n">
        <v>399</v>
      </c>
      <c r="Q835" s="16" t="n">
        <v>399</v>
      </c>
      <c r="R835" s="16" t="n">
        <v>2</v>
      </c>
      <c r="S835" s="16" t="n">
        <v>559</v>
      </c>
      <c r="T835" s="16" t="n">
        <v>0</v>
      </c>
    </row>
    <row r="836" s="103">
      <c r="A836" s="16" t="inlineStr">
        <is>
          <t>B331</t>
        </is>
      </c>
      <c r="B836" s="16" t="inlineStr">
        <is>
          <t>上海区域</t>
        </is>
      </c>
      <c r="C836" s="16" t="inlineStr">
        <is>
          <t>CN0Q</t>
        </is>
      </c>
      <c r="D836" s="16" t="inlineStr">
        <is>
          <t>EE 苏州比斯特购物村</t>
        </is>
      </c>
      <c r="E836" s="16" t="n">
        <v>4</v>
      </c>
      <c r="F836" s="16" t="inlineStr">
        <is>
          <t>奥特莱斯</t>
        </is>
      </c>
      <c r="G836" s="16" t="inlineStr">
        <is>
          <t>EERAG23B1G</t>
        </is>
      </c>
      <c r="H836" s="16" t="n">
        <v>399</v>
      </c>
      <c r="I836" s="16" t="n">
        <v>399</v>
      </c>
      <c r="J836" s="17" t="inlineStr">
        <is>
          <t>########</t>
        </is>
      </c>
      <c r="K836" s="16" t="inlineStr">
        <is>
          <t>(59)Navy</t>
        </is>
      </c>
      <c r="L836" s="16" t="inlineStr">
        <is>
          <t>营业中</t>
        </is>
      </c>
      <c r="M836" s="16" t="inlineStr">
        <is>
          <t>EERAG23B1G59180</t>
        </is>
      </c>
      <c r="N836" s="16">
        <f>LEFT(M836,12)</f>
        <v/>
      </c>
      <c r="O836" s="16" t="inlineStr">
        <is>
          <t>EERAG23B1G, (59)Navy, (180)180</t>
        </is>
      </c>
      <c r="P836" s="16" t="n">
        <v>399</v>
      </c>
      <c r="Q836" s="16" t="n">
        <v>399</v>
      </c>
      <c r="R836" s="16" t="n">
        <v>1</v>
      </c>
      <c r="S836" s="16" t="n">
        <v>279</v>
      </c>
      <c r="T836" s="16" t="n">
        <v>1</v>
      </c>
    </row>
    <row r="837" s="103">
      <c r="A837" s="16" t="inlineStr">
        <is>
          <t>B331</t>
        </is>
      </c>
      <c r="B837" s="16" t="inlineStr">
        <is>
          <t>上海区域</t>
        </is>
      </c>
      <c r="C837" s="16" t="inlineStr">
        <is>
          <t>CN0Q</t>
        </is>
      </c>
      <c r="D837" s="16" t="inlineStr">
        <is>
          <t>EE 苏州比斯特购物村</t>
        </is>
      </c>
      <c r="E837" s="16" t="n">
        <v>4</v>
      </c>
      <c r="F837" s="16" t="inlineStr">
        <is>
          <t>奥特莱斯</t>
        </is>
      </c>
      <c r="G837" s="16" t="inlineStr">
        <is>
          <t>EERAG23B1G</t>
        </is>
      </c>
      <c r="H837" s="16" t="n">
        <v>399</v>
      </c>
      <c r="I837" s="16" t="n">
        <v>399</v>
      </c>
      <c r="J837" s="17" t="inlineStr">
        <is>
          <t>########</t>
        </is>
      </c>
      <c r="K837" s="16" t="inlineStr">
        <is>
          <t>(59)Navy</t>
        </is>
      </c>
      <c r="L837" s="16" t="inlineStr">
        <is>
          <t>营业中</t>
        </is>
      </c>
      <c r="M837" s="16" t="inlineStr">
        <is>
          <t>EERAG23B1G59185</t>
        </is>
      </c>
      <c r="N837" s="16">
        <f>LEFT(M837,12)</f>
        <v/>
      </c>
      <c r="O837" s="16" t="inlineStr">
        <is>
          <t>EERAG23B1G, (59)Navy, (185)185</t>
        </is>
      </c>
      <c r="P837" s="16" t="n">
        <v>399</v>
      </c>
      <c r="Q837" s="16" t="n">
        <v>399</v>
      </c>
      <c r="R837" s="16" t="n"/>
      <c r="S837" s="16" t="n"/>
      <c r="T837" s="16" t="n">
        <v>1</v>
      </c>
    </row>
    <row r="838" s="103">
      <c r="A838" s="16" t="inlineStr">
        <is>
          <t>B331</t>
        </is>
      </c>
      <c r="B838" s="16" t="inlineStr">
        <is>
          <t>上海区域</t>
        </is>
      </c>
      <c r="C838" s="16" t="inlineStr">
        <is>
          <t>CN0Q</t>
        </is>
      </c>
      <c r="D838" s="16" t="inlineStr">
        <is>
          <t>EE 苏州比斯特购物村</t>
        </is>
      </c>
      <c r="E838" s="16" t="n">
        <v>4</v>
      </c>
      <c r="F838" s="16" t="inlineStr">
        <is>
          <t>奥特莱斯</t>
        </is>
      </c>
      <c r="G838" s="16" t="inlineStr">
        <is>
          <t>EERAG23B2G</t>
        </is>
      </c>
      <c r="H838" s="16" t="n">
        <v>499</v>
      </c>
      <c r="I838" s="16" t="n">
        <v>499</v>
      </c>
      <c r="J838" s="17" t="n">
        <v>46024</v>
      </c>
      <c r="K838" s="16" t="inlineStr">
        <is>
          <t>(59)Navy</t>
        </is>
      </c>
      <c r="L838" s="16" t="inlineStr">
        <is>
          <t>营业中</t>
        </is>
      </c>
      <c r="M838" s="16" t="inlineStr">
        <is>
          <t>EERAG23B2G59170</t>
        </is>
      </c>
      <c r="N838" s="16">
        <f>LEFT(M838,12)</f>
        <v/>
      </c>
      <c r="O838" s="16" t="inlineStr">
        <is>
          <t>EERAG23B2G, (59)Navy, (170)170</t>
        </is>
      </c>
      <c r="P838" s="16" t="n">
        <v>499</v>
      </c>
      <c r="Q838" s="16" t="n">
        <v>499</v>
      </c>
      <c r="R838" s="16" t="n">
        <v>2</v>
      </c>
      <c r="S838" s="16" t="n">
        <v>323</v>
      </c>
      <c r="T838" s="16" t="n">
        <v>1</v>
      </c>
    </row>
    <row r="839" s="103">
      <c r="A839" s="16" t="inlineStr">
        <is>
          <t>B331</t>
        </is>
      </c>
      <c r="B839" s="16" t="inlineStr">
        <is>
          <t>上海区域</t>
        </is>
      </c>
      <c r="C839" s="16" t="inlineStr">
        <is>
          <t>CN0Q</t>
        </is>
      </c>
      <c r="D839" s="16" t="inlineStr">
        <is>
          <t>EE 苏州比斯特购物村</t>
        </is>
      </c>
      <c r="E839" s="16" t="n">
        <v>4</v>
      </c>
      <c r="F839" s="16" t="inlineStr">
        <is>
          <t>奥特莱斯</t>
        </is>
      </c>
      <c r="G839" s="16" t="inlineStr">
        <is>
          <t>EERAG23B2G</t>
        </is>
      </c>
      <c r="H839" s="16" t="n">
        <v>499</v>
      </c>
      <c r="I839" s="16" t="n">
        <v>499</v>
      </c>
      <c r="J839" s="17" t="n">
        <v>46024</v>
      </c>
      <c r="K839" s="16" t="inlineStr">
        <is>
          <t>(59)Navy</t>
        </is>
      </c>
      <c r="L839" s="16" t="inlineStr">
        <is>
          <t>营业中</t>
        </is>
      </c>
      <c r="M839" s="16" t="inlineStr">
        <is>
          <t>EERAG23B2G59175</t>
        </is>
      </c>
      <c r="N839" s="16">
        <f>LEFT(M839,12)</f>
        <v/>
      </c>
      <c r="O839" s="16" t="inlineStr">
        <is>
          <t>EERAG23B2G, (59)Navy, (175)175</t>
        </is>
      </c>
      <c r="P839" s="16" t="n">
        <v>499</v>
      </c>
      <c r="Q839" s="16" t="n">
        <v>499</v>
      </c>
      <c r="R839" s="16" t="n">
        <v>2</v>
      </c>
      <c r="S839" s="16" t="n">
        <v>322</v>
      </c>
      <c r="T839" s="16" t="n">
        <v>1</v>
      </c>
    </row>
    <row r="840" s="103">
      <c r="A840" s="16" t="inlineStr">
        <is>
          <t>B331</t>
        </is>
      </c>
      <c r="B840" s="16" t="inlineStr">
        <is>
          <t>上海区域</t>
        </is>
      </c>
      <c r="C840" s="16" t="inlineStr">
        <is>
          <t>CN0Q</t>
        </is>
      </c>
      <c r="D840" s="16" t="inlineStr">
        <is>
          <t>EE 苏州比斯特购物村</t>
        </is>
      </c>
      <c r="E840" s="16" t="n">
        <v>4</v>
      </c>
      <c r="F840" s="16" t="inlineStr">
        <is>
          <t>奥特莱斯</t>
        </is>
      </c>
      <c r="G840" s="16" t="inlineStr">
        <is>
          <t>EERAG23B2G</t>
        </is>
      </c>
      <c r="H840" s="16" t="n">
        <v>499</v>
      </c>
      <c r="I840" s="16" t="n">
        <v>499</v>
      </c>
      <c r="J840" s="17" t="n">
        <v>46024</v>
      </c>
      <c r="K840" s="16" t="inlineStr">
        <is>
          <t>(59)Navy</t>
        </is>
      </c>
      <c r="L840" s="16" t="inlineStr">
        <is>
          <t>营业中</t>
        </is>
      </c>
      <c r="M840" s="16" t="inlineStr">
        <is>
          <t>EERAG23B2G59180</t>
        </is>
      </c>
      <c r="N840" s="16">
        <f>LEFT(M840,12)</f>
        <v/>
      </c>
      <c r="O840" s="16" t="inlineStr">
        <is>
          <t>EERAG23B2G, (59)Navy, (180)180</t>
        </is>
      </c>
      <c r="P840" s="16" t="n">
        <v>499</v>
      </c>
      <c r="Q840" s="16" t="n">
        <v>499</v>
      </c>
      <c r="R840" s="16" t="n">
        <v>1</v>
      </c>
      <c r="S840" s="16" t="n">
        <v>322</v>
      </c>
      <c r="T840" s="16" t="n">
        <v>1</v>
      </c>
    </row>
    <row r="841" s="103">
      <c r="A841" s="16" t="inlineStr">
        <is>
          <t>B331</t>
        </is>
      </c>
      <c r="B841" s="16" t="inlineStr">
        <is>
          <t>上海区域</t>
        </is>
      </c>
      <c r="C841" s="16" t="inlineStr">
        <is>
          <t>CN0Q</t>
        </is>
      </c>
      <c r="D841" s="16" t="inlineStr">
        <is>
          <t>EE 苏州比斯特购物村</t>
        </is>
      </c>
      <c r="E841" s="16" t="n">
        <v>4</v>
      </c>
      <c r="F841" s="16" t="inlineStr">
        <is>
          <t>奥特莱斯</t>
        </is>
      </c>
      <c r="G841" s="16" t="inlineStr">
        <is>
          <t>EERAG23E01</t>
        </is>
      </c>
      <c r="H841" s="16" t="n">
        <v>399</v>
      </c>
      <c r="I841" s="16" t="n">
        <v>399</v>
      </c>
      <c r="J841" s="17" t="inlineStr">
        <is>
          <t>########</t>
        </is>
      </c>
      <c r="K841" s="16" t="inlineStr">
        <is>
          <t>(17)D/Grey</t>
        </is>
      </c>
      <c r="L841" s="16" t="inlineStr">
        <is>
          <t>营业中</t>
        </is>
      </c>
      <c r="M841" s="16" t="inlineStr">
        <is>
          <t>EERAG23E0117160</t>
        </is>
      </c>
      <c r="N841" s="16">
        <f>LEFT(M841,12)</f>
        <v/>
      </c>
      <c r="O841" s="16" t="inlineStr">
        <is>
          <t>EERAG23E01, (17)D/Grey, (160)160</t>
        </is>
      </c>
      <c r="P841" s="16" t="n">
        <v>399</v>
      </c>
      <c r="Q841" s="16" t="n">
        <v>399</v>
      </c>
      <c r="R841" s="16" t="n">
        <v>1</v>
      </c>
      <c r="S841" s="16" t="n">
        <v>252</v>
      </c>
      <c r="T841" s="16" t="n">
        <v>2</v>
      </c>
    </row>
    <row r="842" s="103">
      <c r="A842" s="16" t="inlineStr">
        <is>
          <t>B331</t>
        </is>
      </c>
      <c r="B842" s="16" t="inlineStr">
        <is>
          <t>上海区域</t>
        </is>
      </c>
      <c r="C842" s="16" t="inlineStr">
        <is>
          <t>CN0Q</t>
        </is>
      </c>
      <c r="D842" s="16" t="inlineStr">
        <is>
          <t>EE 苏州比斯特购物村</t>
        </is>
      </c>
      <c r="E842" s="16" t="n">
        <v>4</v>
      </c>
      <c r="F842" s="16" t="inlineStr">
        <is>
          <t>奥特莱斯</t>
        </is>
      </c>
      <c r="G842" s="16" t="inlineStr">
        <is>
          <t>EERAG23E01</t>
        </is>
      </c>
      <c r="H842" s="16" t="n">
        <v>399</v>
      </c>
      <c r="I842" s="16" t="n">
        <v>399</v>
      </c>
      <c r="J842" s="17" t="inlineStr">
        <is>
          <t>########</t>
        </is>
      </c>
      <c r="K842" s="16" t="inlineStr">
        <is>
          <t>(17)D/Grey</t>
        </is>
      </c>
      <c r="L842" s="16" t="inlineStr">
        <is>
          <t>营业中</t>
        </is>
      </c>
      <c r="M842" s="16" t="inlineStr">
        <is>
          <t>EERAG23E0117165</t>
        </is>
      </c>
      <c r="N842" s="16">
        <f>LEFT(M842,12)</f>
        <v/>
      </c>
      <c r="O842" s="16" t="inlineStr">
        <is>
          <t>EERAG23E01, (17)D/Grey, (165)165</t>
        </is>
      </c>
      <c r="P842" s="16" t="n">
        <v>399</v>
      </c>
      <c r="Q842" s="16" t="n">
        <v>399</v>
      </c>
      <c r="R842" s="16" t="n"/>
      <c r="S842" s="16" t="n"/>
      <c r="T842" s="16" t="n">
        <v>6</v>
      </c>
    </row>
    <row r="843" s="103">
      <c r="A843" s="16" t="inlineStr">
        <is>
          <t>B331</t>
        </is>
      </c>
      <c r="B843" s="16" t="inlineStr">
        <is>
          <t>上海区域</t>
        </is>
      </c>
      <c r="C843" s="16" t="inlineStr">
        <is>
          <t>CN0Q</t>
        </is>
      </c>
      <c r="D843" s="16" t="inlineStr">
        <is>
          <t>EE 苏州比斯特购物村</t>
        </is>
      </c>
      <c r="E843" s="16" t="n">
        <v>4</v>
      </c>
      <c r="F843" s="16" t="inlineStr">
        <is>
          <t>奥特莱斯</t>
        </is>
      </c>
      <c r="G843" s="16" t="inlineStr">
        <is>
          <t>EERAG23E01</t>
        </is>
      </c>
      <c r="H843" s="16" t="n">
        <v>399</v>
      </c>
      <c r="I843" s="16" t="n">
        <v>399</v>
      </c>
      <c r="J843" s="17" t="inlineStr">
        <is>
          <t>########</t>
        </is>
      </c>
      <c r="K843" s="16" t="inlineStr">
        <is>
          <t>(17)D/Grey</t>
        </is>
      </c>
      <c r="L843" s="16" t="inlineStr">
        <is>
          <t>营业中</t>
        </is>
      </c>
      <c r="M843" s="16" t="inlineStr">
        <is>
          <t>EERAG23E0117170</t>
        </is>
      </c>
      <c r="N843" s="16">
        <f>LEFT(M843,12)</f>
        <v/>
      </c>
      <c r="O843" s="16" t="inlineStr">
        <is>
          <t>EERAG23E01, (17)D/Grey, (170)170</t>
        </is>
      </c>
      <c r="P843" s="16" t="n">
        <v>399</v>
      </c>
      <c r="Q843" s="16" t="n">
        <v>399</v>
      </c>
      <c r="R843" s="16" t="n"/>
      <c r="S843" s="16" t="n"/>
      <c r="T843" s="16" t="n">
        <v>5</v>
      </c>
    </row>
    <row r="844" s="103">
      <c r="A844" s="16" t="inlineStr">
        <is>
          <t>B331</t>
        </is>
      </c>
      <c r="B844" s="16" t="inlineStr">
        <is>
          <t>上海区域</t>
        </is>
      </c>
      <c r="C844" s="16" t="inlineStr">
        <is>
          <t>CN0Q</t>
        </is>
      </c>
      <c r="D844" s="16" t="inlineStr">
        <is>
          <t>EE 苏州比斯特购物村</t>
        </is>
      </c>
      <c r="E844" s="16" t="n">
        <v>4</v>
      </c>
      <c r="F844" s="16" t="inlineStr">
        <is>
          <t>奥特莱斯</t>
        </is>
      </c>
      <c r="G844" s="16" t="inlineStr">
        <is>
          <t>EERAG23E01</t>
        </is>
      </c>
      <c r="H844" s="16" t="n">
        <v>399</v>
      </c>
      <c r="I844" s="16" t="n">
        <v>399</v>
      </c>
      <c r="J844" s="17" t="inlineStr">
        <is>
          <t>########</t>
        </is>
      </c>
      <c r="K844" s="16" t="inlineStr">
        <is>
          <t>(17)D/Grey</t>
        </is>
      </c>
      <c r="L844" s="16" t="inlineStr">
        <is>
          <t>营业中</t>
        </is>
      </c>
      <c r="M844" s="16" t="inlineStr">
        <is>
          <t>EERAG23E0117175</t>
        </is>
      </c>
      <c r="N844" s="16">
        <f>LEFT(M844,12)</f>
        <v/>
      </c>
      <c r="O844" s="16" t="inlineStr">
        <is>
          <t>EERAG23E01, (17)D/Grey, (175)175</t>
        </is>
      </c>
      <c r="P844" s="16" t="n">
        <v>399</v>
      </c>
      <c r="Q844" s="16" t="n">
        <v>399</v>
      </c>
      <c r="R844" s="16" t="n"/>
      <c r="S844" s="16" t="n"/>
      <c r="T844" s="16" t="n">
        <v>2</v>
      </c>
    </row>
    <row r="845" s="103">
      <c r="A845" s="16" t="inlineStr">
        <is>
          <t>B331</t>
        </is>
      </c>
      <c r="B845" s="16" t="inlineStr">
        <is>
          <t>上海区域</t>
        </is>
      </c>
      <c r="C845" s="16" t="inlineStr">
        <is>
          <t>CN0Q</t>
        </is>
      </c>
      <c r="D845" s="16" t="inlineStr">
        <is>
          <t>EE 苏州比斯特购物村</t>
        </is>
      </c>
      <c r="E845" s="16" t="n">
        <v>4</v>
      </c>
      <c r="F845" s="16" t="inlineStr">
        <is>
          <t>奥特莱斯</t>
        </is>
      </c>
      <c r="G845" s="16" t="inlineStr">
        <is>
          <t>EERAG23E01</t>
        </is>
      </c>
      <c r="H845" s="16" t="n">
        <v>399</v>
      </c>
      <c r="I845" s="16" t="n">
        <v>399</v>
      </c>
      <c r="J845" s="17" t="inlineStr">
        <is>
          <t>########</t>
        </is>
      </c>
      <c r="K845" s="16" t="inlineStr">
        <is>
          <t>(26)L/Pink</t>
        </is>
      </c>
      <c r="L845" s="16" t="inlineStr">
        <is>
          <t>营业中</t>
        </is>
      </c>
      <c r="M845" s="16" t="inlineStr">
        <is>
          <t>EERAG23E0126160</t>
        </is>
      </c>
      <c r="N845" s="16">
        <f>LEFT(M845,12)</f>
        <v/>
      </c>
      <c r="O845" s="16" t="inlineStr">
        <is>
          <t>EERAG23E01, (26)L/Pink, (160)160</t>
        </is>
      </c>
      <c r="P845" s="16" t="n">
        <v>399</v>
      </c>
      <c r="Q845" s="16" t="n">
        <v>399</v>
      </c>
      <c r="R845" s="16" t="n"/>
      <c r="S845" s="16" t="n"/>
      <c r="T845" s="16" t="n">
        <v>2</v>
      </c>
    </row>
    <row r="846" s="103">
      <c r="A846" s="16" t="inlineStr">
        <is>
          <t>B331</t>
        </is>
      </c>
      <c r="B846" s="16" t="inlineStr">
        <is>
          <t>上海区域</t>
        </is>
      </c>
      <c r="C846" s="16" t="inlineStr">
        <is>
          <t>CN0Q</t>
        </is>
      </c>
      <c r="D846" s="16" t="inlineStr">
        <is>
          <t>EE 苏州比斯特购物村</t>
        </is>
      </c>
      <c r="E846" s="16" t="n">
        <v>4</v>
      </c>
      <c r="F846" s="16" t="inlineStr">
        <is>
          <t>奥特莱斯</t>
        </is>
      </c>
      <c r="G846" s="16" t="inlineStr">
        <is>
          <t>EERAG23E01</t>
        </is>
      </c>
      <c r="H846" s="16" t="n">
        <v>399</v>
      </c>
      <c r="I846" s="16" t="n">
        <v>399</v>
      </c>
      <c r="J846" s="17" t="inlineStr">
        <is>
          <t>########</t>
        </is>
      </c>
      <c r="K846" s="16" t="inlineStr">
        <is>
          <t>(26)L/Pink</t>
        </is>
      </c>
      <c r="L846" s="16" t="inlineStr">
        <is>
          <t>营业中</t>
        </is>
      </c>
      <c r="M846" s="16" t="inlineStr">
        <is>
          <t>EERAG23E0126165</t>
        </is>
      </c>
      <c r="N846" s="16">
        <f>LEFT(M846,12)</f>
        <v/>
      </c>
      <c r="O846" s="16" t="inlineStr">
        <is>
          <t>EERAG23E01, (26)L/Pink, (165)165</t>
        </is>
      </c>
      <c r="P846" s="16" t="n">
        <v>399</v>
      </c>
      <c r="Q846" s="16" t="n">
        <v>399</v>
      </c>
      <c r="R846" s="16" t="n"/>
      <c r="S846" s="16" t="n"/>
      <c r="T846" s="16" t="n">
        <v>2</v>
      </c>
    </row>
    <row r="847" s="103">
      <c r="A847" s="16" t="inlineStr">
        <is>
          <t>B331</t>
        </is>
      </c>
      <c r="B847" s="16" t="inlineStr">
        <is>
          <t>上海区域</t>
        </is>
      </c>
      <c r="C847" s="16" t="inlineStr">
        <is>
          <t>CN0Q</t>
        </is>
      </c>
      <c r="D847" s="16" t="inlineStr">
        <is>
          <t>EE 苏州比斯特购物村</t>
        </is>
      </c>
      <c r="E847" s="16" t="n">
        <v>4</v>
      </c>
      <c r="F847" s="16" t="inlineStr">
        <is>
          <t>奥特莱斯</t>
        </is>
      </c>
      <c r="G847" s="16" t="inlineStr">
        <is>
          <t>EERAG23E01</t>
        </is>
      </c>
      <c r="H847" s="16" t="n">
        <v>399</v>
      </c>
      <c r="I847" s="16" t="n">
        <v>399</v>
      </c>
      <c r="J847" s="17" t="inlineStr">
        <is>
          <t>########</t>
        </is>
      </c>
      <c r="K847" s="16" t="inlineStr">
        <is>
          <t>(26)L/Pink</t>
        </is>
      </c>
      <c r="L847" s="16" t="inlineStr">
        <is>
          <t>营业中</t>
        </is>
      </c>
      <c r="M847" s="16" t="inlineStr">
        <is>
          <t>EERAG23E0126170</t>
        </is>
      </c>
      <c r="N847" s="16">
        <f>LEFT(M847,12)</f>
        <v/>
      </c>
      <c r="O847" s="16" t="inlineStr">
        <is>
          <t>EERAG23E01, (26)L/Pink, (170)170</t>
        </is>
      </c>
      <c r="P847" s="16" t="n">
        <v>399</v>
      </c>
      <c r="Q847" s="16" t="n">
        <v>399</v>
      </c>
      <c r="R847" s="16" t="n"/>
      <c r="S847" s="16" t="n"/>
      <c r="T847" s="16" t="n">
        <v>2</v>
      </c>
    </row>
    <row r="848" s="103">
      <c r="A848" s="16" t="inlineStr">
        <is>
          <t>B331</t>
        </is>
      </c>
      <c r="B848" s="16" t="inlineStr">
        <is>
          <t>上海区域</t>
        </is>
      </c>
      <c r="C848" s="16" t="inlineStr">
        <is>
          <t>CN0Q</t>
        </is>
      </c>
      <c r="D848" s="16" t="inlineStr">
        <is>
          <t>EE 苏州比斯特购物村</t>
        </is>
      </c>
      <c r="E848" s="16" t="n">
        <v>4</v>
      </c>
      <c r="F848" s="16" t="inlineStr">
        <is>
          <t>奥特莱斯</t>
        </is>
      </c>
      <c r="G848" s="16" t="inlineStr">
        <is>
          <t>EERAG23E01</t>
        </is>
      </c>
      <c r="H848" s="16" t="n">
        <v>399</v>
      </c>
      <c r="I848" s="16" t="n">
        <v>399</v>
      </c>
      <c r="J848" s="17" t="inlineStr">
        <is>
          <t>########</t>
        </is>
      </c>
      <c r="K848" s="16" t="inlineStr">
        <is>
          <t>(26)L/Pink</t>
        </is>
      </c>
      <c r="L848" s="16" t="inlineStr">
        <is>
          <t>营业中</t>
        </is>
      </c>
      <c r="M848" s="16" t="inlineStr">
        <is>
          <t>EERAG23E0126175</t>
        </is>
      </c>
      <c r="N848" s="16">
        <f>LEFT(M848,12)</f>
        <v/>
      </c>
      <c r="O848" s="16" t="inlineStr">
        <is>
          <t>EERAG23E01, (26)L/Pink, (175)175</t>
        </is>
      </c>
      <c r="P848" s="16" t="n">
        <v>399</v>
      </c>
      <c r="Q848" s="16" t="n">
        <v>399</v>
      </c>
      <c r="R848" s="16" t="n"/>
      <c r="S848" s="16" t="n"/>
      <c r="T848" s="16" t="n">
        <v>1</v>
      </c>
    </row>
    <row r="849" s="103">
      <c r="A849" s="16" t="inlineStr">
        <is>
          <t>B331</t>
        </is>
      </c>
      <c r="B849" s="16" t="inlineStr">
        <is>
          <t>上海区域</t>
        </is>
      </c>
      <c r="C849" s="16" t="inlineStr">
        <is>
          <t>CN0Q</t>
        </is>
      </c>
      <c r="D849" s="16" t="inlineStr">
        <is>
          <t>EE 苏州比斯特购物村</t>
        </is>
      </c>
      <c r="E849" s="16" t="n">
        <v>4</v>
      </c>
      <c r="F849" s="16" t="inlineStr">
        <is>
          <t>奥特莱斯</t>
        </is>
      </c>
      <c r="G849" s="16" t="inlineStr">
        <is>
          <t>EERAG23E01</t>
        </is>
      </c>
      <c r="H849" s="16" t="n">
        <v>399</v>
      </c>
      <c r="I849" s="16" t="n">
        <v>399</v>
      </c>
      <c r="J849" s="17" t="inlineStr">
        <is>
          <t>########</t>
        </is>
      </c>
      <c r="K849" s="16" t="inlineStr">
        <is>
          <t>(31)L/Yellow</t>
        </is>
      </c>
      <c r="L849" s="16" t="inlineStr">
        <is>
          <t>营业中</t>
        </is>
      </c>
      <c r="M849" s="16" t="inlineStr">
        <is>
          <t>EERAG23E0131160</t>
        </is>
      </c>
      <c r="N849" s="16">
        <f>LEFT(M849,12)</f>
        <v/>
      </c>
      <c r="O849" s="16" t="inlineStr">
        <is>
          <t>EERAG23E01, (31)L/Yellow, (160)160</t>
        </is>
      </c>
      <c r="P849" s="16" t="n">
        <v>399</v>
      </c>
      <c r="Q849" s="16" t="n">
        <v>399</v>
      </c>
      <c r="R849" s="16" t="n">
        <v>1</v>
      </c>
      <c r="S849" s="16" t="n"/>
      <c r="T849" s="16" t="n">
        <v>2</v>
      </c>
    </row>
    <row r="850" s="103">
      <c r="A850" s="16" t="inlineStr">
        <is>
          <t>B331</t>
        </is>
      </c>
      <c r="B850" s="16" t="inlineStr">
        <is>
          <t>上海区域</t>
        </is>
      </c>
      <c r="C850" s="16" t="inlineStr">
        <is>
          <t>CN0Q</t>
        </is>
      </c>
      <c r="D850" s="16" t="inlineStr">
        <is>
          <t>EE 苏州比斯特购物村</t>
        </is>
      </c>
      <c r="E850" s="16" t="n">
        <v>4</v>
      </c>
      <c r="F850" s="16" t="inlineStr">
        <is>
          <t>奥特莱斯</t>
        </is>
      </c>
      <c r="G850" s="16" t="inlineStr">
        <is>
          <t>EERAG23E01</t>
        </is>
      </c>
      <c r="H850" s="16" t="n">
        <v>399</v>
      </c>
      <c r="I850" s="16" t="n">
        <v>399</v>
      </c>
      <c r="J850" s="17" t="inlineStr">
        <is>
          <t>########</t>
        </is>
      </c>
      <c r="K850" s="16" t="inlineStr">
        <is>
          <t>(31)L/Yellow</t>
        </is>
      </c>
      <c r="L850" s="16" t="inlineStr">
        <is>
          <t>营业中</t>
        </is>
      </c>
      <c r="M850" s="16" t="inlineStr">
        <is>
          <t>EERAG23E0131165</t>
        </is>
      </c>
      <c r="N850" s="16">
        <f>LEFT(M850,12)</f>
        <v/>
      </c>
      <c r="O850" s="16" t="inlineStr">
        <is>
          <t>EERAG23E01, (31)L/Yellow, (165)165</t>
        </is>
      </c>
      <c r="P850" s="16" t="n">
        <v>399</v>
      </c>
      <c r="Q850" s="16" t="n">
        <v>399</v>
      </c>
      <c r="R850" s="16" t="n">
        <v>1</v>
      </c>
      <c r="S850" s="16" t="n">
        <v>256</v>
      </c>
      <c r="T850" s="16" t="n">
        <v>1</v>
      </c>
    </row>
    <row r="851" s="103">
      <c r="A851" s="16" t="inlineStr">
        <is>
          <t>B331</t>
        </is>
      </c>
      <c r="B851" s="16" t="inlineStr">
        <is>
          <t>上海区域</t>
        </is>
      </c>
      <c r="C851" s="16" t="inlineStr">
        <is>
          <t>CN0Q</t>
        </is>
      </c>
      <c r="D851" s="16" t="inlineStr">
        <is>
          <t>EE 苏州比斯特购物村</t>
        </is>
      </c>
      <c r="E851" s="16" t="n">
        <v>4</v>
      </c>
      <c r="F851" s="16" t="inlineStr">
        <is>
          <t>奥特莱斯</t>
        </is>
      </c>
      <c r="G851" s="16" t="inlineStr">
        <is>
          <t>EERAG23E01</t>
        </is>
      </c>
      <c r="H851" s="16" t="n">
        <v>399</v>
      </c>
      <c r="I851" s="16" t="n">
        <v>399</v>
      </c>
      <c r="J851" s="17" t="inlineStr">
        <is>
          <t>########</t>
        </is>
      </c>
      <c r="K851" s="16" t="inlineStr">
        <is>
          <t>(31)L/Yellow</t>
        </is>
      </c>
      <c r="L851" s="16" t="inlineStr">
        <is>
          <t>营业中</t>
        </is>
      </c>
      <c r="M851" s="16" t="inlineStr">
        <is>
          <t>EERAG23E0131170</t>
        </is>
      </c>
      <c r="N851" s="16">
        <f>LEFT(M851,12)</f>
        <v/>
      </c>
      <c r="O851" s="16" t="inlineStr">
        <is>
          <t>EERAG23E01, (31)L/Yellow, (170)170</t>
        </is>
      </c>
      <c r="P851" s="16" t="n">
        <v>399</v>
      </c>
      <c r="Q851" s="16" t="n">
        <v>399</v>
      </c>
      <c r="R851" s="16" t="n"/>
      <c r="S851" s="16" t="n"/>
      <c r="T851" s="16" t="n">
        <v>2</v>
      </c>
    </row>
    <row r="852" s="103">
      <c r="A852" s="16" t="inlineStr">
        <is>
          <t>B331</t>
        </is>
      </c>
      <c r="B852" s="16" t="inlineStr">
        <is>
          <t>上海区域</t>
        </is>
      </c>
      <c r="C852" s="16" t="inlineStr">
        <is>
          <t>CN0Q</t>
        </is>
      </c>
      <c r="D852" s="16" t="inlineStr">
        <is>
          <t>EE 苏州比斯特购物村</t>
        </is>
      </c>
      <c r="E852" s="16" t="n">
        <v>4</v>
      </c>
      <c r="F852" s="16" t="inlineStr">
        <is>
          <t>奥特莱斯</t>
        </is>
      </c>
      <c r="G852" s="16" t="inlineStr">
        <is>
          <t>EERAG23E01</t>
        </is>
      </c>
      <c r="H852" s="16" t="n">
        <v>399</v>
      </c>
      <c r="I852" s="16" t="n">
        <v>399</v>
      </c>
      <c r="J852" s="17" t="inlineStr">
        <is>
          <t>########</t>
        </is>
      </c>
      <c r="K852" s="16" t="inlineStr">
        <is>
          <t>(31)L/Yellow</t>
        </is>
      </c>
      <c r="L852" s="16" t="inlineStr">
        <is>
          <t>营业中</t>
        </is>
      </c>
      <c r="M852" s="16" t="inlineStr">
        <is>
          <t>EERAG23E0131175</t>
        </is>
      </c>
      <c r="N852" s="16">
        <f>LEFT(M852,12)</f>
        <v/>
      </c>
      <c r="O852" s="16" t="inlineStr">
        <is>
          <t>EERAG23E01, (31)L/Yellow, (175)175</t>
        </is>
      </c>
      <c r="P852" s="16" t="n">
        <v>399</v>
      </c>
      <c r="Q852" s="16" t="n">
        <v>399</v>
      </c>
      <c r="R852" s="16" t="n">
        <v>1</v>
      </c>
      <c r="S852" s="16" t="n">
        <v>256</v>
      </c>
      <c r="T852" s="16" t="n">
        <v>1</v>
      </c>
    </row>
    <row r="853" s="103">
      <c r="A853" s="16" t="inlineStr">
        <is>
          <t>B331</t>
        </is>
      </c>
      <c r="B853" s="16" t="inlineStr">
        <is>
          <t>上海区域</t>
        </is>
      </c>
      <c r="C853" s="16" t="inlineStr">
        <is>
          <t>CN0Q</t>
        </is>
      </c>
      <c r="D853" s="16" t="inlineStr">
        <is>
          <t>EE 苏州比斯特购物村</t>
        </is>
      </c>
      <c r="E853" s="16" t="n">
        <v>4</v>
      </c>
      <c r="F853" s="16" t="inlineStr">
        <is>
          <t>奥特莱斯</t>
        </is>
      </c>
      <c r="G853" s="16" t="inlineStr">
        <is>
          <t>EERAG23E01</t>
        </is>
      </c>
      <c r="H853" s="16" t="n">
        <v>399</v>
      </c>
      <c r="I853" s="16" t="n">
        <v>399</v>
      </c>
      <c r="J853" s="17" t="inlineStr">
        <is>
          <t>########</t>
        </is>
      </c>
      <c r="K853" s="16" t="inlineStr">
        <is>
          <t>(39)Ivory</t>
        </is>
      </c>
      <c r="L853" s="16" t="inlineStr">
        <is>
          <t>营业中</t>
        </is>
      </c>
      <c r="M853" s="16" t="inlineStr">
        <is>
          <t>EERAG23E0139160</t>
        </is>
      </c>
      <c r="N853" s="16">
        <f>LEFT(M853,12)</f>
        <v/>
      </c>
      <c r="O853" s="16" t="inlineStr">
        <is>
          <t>EERAG23E01, (39)Ivory, (160)160</t>
        </is>
      </c>
      <c r="P853" s="16" t="n">
        <v>399</v>
      </c>
      <c r="Q853" s="16" t="n">
        <v>399</v>
      </c>
      <c r="R853" s="16" t="n">
        <v>2</v>
      </c>
      <c r="S853" s="16" t="n">
        <v>536</v>
      </c>
      <c r="T853" s="16" t="n">
        <v>2</v>
      </c>
    </row>
    <row r="854" s="103">
      <c r="A854" s="16" t="inlineStr">
        <is>
          <t>B331</t>
        </is>
      </c>
      <c r="B854" s="16" t="inlineStr">
        <is>
          <t>上海区域</t>
        </is>
      </c>
      <c r="C854" s="16" t="inlineStr">
        <is>
          <t>CN0Q</t>
        </is>
      </c>
      <c r="D854" s="16" t="inlineStr">
        <is>
          <t>EE 苏州比斯特购物村</t>
        </is>
      </c>
      <c r="E854" s="16" t="n">
        <v>4</v>
      </c>
      <c r="F854" s="16" t="inlineStr">
        <is>
          <t>奥特莱斯</t>
        </is>
      </c>
      <c r="G854" s="16" t="inlineStr">
        <is>
          <t>EERAG23E01</t>
        </is>
      </c>
      <c r="H854" s="16" t="n">
        <v>399</v>
      </c>
      <c r="I854" s="16" t="n">
        <v>399</v>
      </c>
      <c r="J854" s="17" t="inlineStr">
        <is>
          <t>########</t>
        </is>
      </c>
      <c r="K854" s="16" t="inlineStr">
        <is>
          <t>(39)Ivory</t>
        </is>
      </c>
      <c r="L854" s="16" t="inlineStr">
        <is>
          <t>营业中</t>
        </is>
      </c>
      <c r="M854" s="16" t="inlineStr">
        <is>
          <t>EERAG23E0139165</t>
        </is>
      </c>
      <c r="N854" s="16">
        <f>LEFT(M854,12)</f>
        <v/>
      </c>
      <c r="O854" s="16" t="inlineStr">
        <is>
          <t>EERAG23E01, (39)Ivory, (165)165</t>
        </is>
      </c>
      <c r="P854" s="16" t="n">
        <v>399</v>
      </c>
      <c r="Q854" s="16" t="n">
        <v>399</v>
      </c>
      <c r="R854" s="16" t="n">
        <v>1</v>
      </c>
      <c r="S854" s="16" t="n">
        <v>252</v>
      </c>
      <c r="T854" s="16" t="n">
        <v>4</v>
      </c>
    </row>
    <row r="855" s="103">
      <c r="A855" s="16" t="inlineStr">
        <is>
          <t>B331</t>
        </is>
      </c>
      <c r="B855" s="16" t="inlineStr">
        <is>
          <t>上海区域</t>
        </is>
      </c>
      <c r="C855" s="16" t="inlineStr">
        <is>
          <t>CN0Q</t>
        </is>
      </c>
      <c r="D855" s="16" t="inlineStr">
        <is>
          <t>EE 苏州比斯特购物村</t>
        </is>
      </c>
      <c r="E855" s="16" t="n">
        <v>4</v>
      </c>
      <c r="F855" s="16" t="inlineStr">
        <is>
          <t>奥特莱斯</t>
        </is>
      </c>
      <c r="G855" s="16" t="inlineStr">
        <is>
          <t>EERAG23E01</t>
        </is>
      </c>
      <c r="H855" s="16" t="n">
        <v>399</v>
      </c>
      <c r="I855" s="16" t="n">
        <v>399</v>
      </c>
      <c r="J855" s="17" t="inlineStr">
        <is>
          <t>########</t>
        </is>
      </c>
      <c r="K855" s="16" t="inlineStr">
        <is>
          <t>(39)Ivory</t>
        </is>
      </c>
      <c r="L855" s="16" t="inlineStr">
        <is>
          <t>营业中</t>
        </is>
      </c>
      <c r="M855" s="16" t="inlineStr">
        <is>
          <t>EERAG23E0139170</t>
        </is>
      </c>
      <c r="N855" s="16">
        <f>LEFT(M855,12)</f>
        <v/>
      </c>
      <c r="O855" s="16" t="inlineStr">
        <is>
          <t>EERAG23E01, (39)Ivory, (170)170</t>
        </is>
      </c>
      <c r="P855" s="16" t="n">
        <v>399</v>
      </c>
      <c r="Q855" s="16" t="n">
        <v>399</v>
      </c>
      <c r="R855" s="16" t="n"/>
      <c r="S855" s="16" t="n"/>
      <c r="T855" s="16" t="n">
        <v>3</v>
      </c>
    </row>
    <row r="856" s="103">
      <c r="A856" s="16" t="inlineStr">
        <is>
          <t>B331</t>
        </is>
      </c>
      <c r="B856" s="16" t="inlineStr">
        <is>
          <t>上海区域</t>
        </is>
      </c>
      <c r="C856" s="16" t="inlineStr">
        <is>
          <t>CN0Q</t>
        </is>
      </c>
      <c r="D856" s="16" t="inlineStr">
        <is>
          <t>EE 苏州比斯特购物村</t>
        </is>
      </c>
      <c r="E856" s="16" t="n">
        <v>4</v>
      </c>
      <c r="F856" s="16" t="inlineStr">
        <is>
          <t>奥特莱斯</t>
        </is>
      </c>
      <c r="G856" s="16" t="inlineStr">
        <is>
          <t>EERAG23E01</t>
        </is>
      </c>
      <c r="H856" s="16" t="n">
        <v>399</v>
      </c>
      <c r="I856" s="16" t="n">
        <v>399</v>
      </c>
      <c r="J856" s="17" t="inlineStr">
        <is>
          <t>########</t>
        </is>
      </c>
      <c r="K856" s="16" t="inlineStr">
        <is>
          <t>(39)Ivory</t>
        </is>
      </c>
      <c r="L856" s="16" t="inlineStr">
        <is>
          <t>营业中</t>
        </is>
      </c>
      <c r="M856" s="16" t="inlineStr">
        <is>
          <t>EERAG23E0139175</t>
        </is>
      </c>
      <c r="N856" s="16">
        <f>LEFT(M856,12)</f>
        <v/>
      </c>
      <c r="O856" s="16" t="inlineStr">
        <is>
          <t>EERAG23E01, (39)Ivory, (175)175</t>
        </is>
      </c>
      <c r="P856" s="16" t="n">
        <v>399</v>
      </c>
      <c r="Q856" s="16" t="n">
        <v>399</v>
      </c>
      <c r="R856" s="16" t="n"/>
      <c r="S856" s="16" t="n"/>
      <c r="T856" s="16" t="n">
        <v>2</v>
      </c>
    </row>
    <row r="857" s="103">
      <c r="A857" s="16" t="inlineStr">
        <is>
          <t>B331</t>
        </is>
      </c>
      <c r="B857" s="16" t="inlineStr">
        <is>
          <t>上海区域</t>
        </is>
      </c>
      <c r="C857" s="16" t="inlineStr">
        <is>
          <t>CN0Q</t>
        </is>
      </c>
      <c r="D857" s="16" t="inlineStr">
        <is>
          <t>EE 苏州比斯特购物村</t>
        </is>
      </c>
      <c r="E857" s="16" t="n">
        <v>4</v>
      </c>
      <c r="F857" s="16" t="inlineStr">
        <is>
          <t>奥特莱斯</t>
        </is>
      </c>
      <c r="G857" s="16" t="inlineStr">
        <is>
          <t>EERAG23E01</t>
        </is>
      </c>
      <c r="H857" s="16" t="n">
        <v>399</v>
      </c>
      <c r="I857" s="16" t="n">
        <v>399</v>
      </c>
      <c r="J857" s="17" t="inlineStr">
        <is>
          <t>########</t>
        </is>
      </c>
      <c r="K857" s="16" t="inlineStr">
        <is>
          <t>(51)L/Blue</t>
        </is>
      </c>
      <c r="L857" s="16" t="inlineStr">
        <is>
          <t>营业中</t>
        </is>
      </c>
      <c r="M857" s="16" t="inlineStr">
        <is>
          <t>EERAG23E0151160</t>
        </is>
      </c>
      <c r="N857" s="16">
        <f>LEFT(M857,12)</f>
        <v/>
      </c>
      <c r="O857" s="16" t="inlineStr">
        <is>
          <t>EERAG23E01, (51)L/Blue, (160)160</t>
        </is>
      </c>
      <c r="P857" s="16" t="n">
        <v>399</v>
      </c>
      <c r="Q857" s="16" t="n">
        <v>399</v>
      </c>
      <c r="R857" s="16" t="n"/>
      <c r="S857" s="16" t="n"/>
      <c r="T857" s="16" t="n">
        <v>2</v>
      </c>
    </row>
    <row r="858" s="103">
      <c r="A858" s="16" t="inlineStr">
        <is>
          <t>B331</t>
        </is>
      </c>
      <c r="B858" s="16" t="inlineStr">
        <is>
          <t>上海区域</t>
        </is>
      </c>
      <c r="C858" s="16" t="inlineStr">
        <is>
          <t>CN0Q</t>
        </is>
      </c>
      <c r="D858" s="16" t="inlineStr">
        <is>
          <t>EE 苏州比斯特购物村</t>
        </is>
      </c>
      <c r="E858" s="16" t="n">
        <v>4</v>
      </c>
      <c r="F858" s="16" t="inlineStr">
        <is>
          <t>奥特莱斯</t>
        </is>
      </c>
      <c r="G858" s="16" t="inlineStr">
        <is>
          <t>EERAG23E01</t>
        </is>
      </c>
      <c r="H858" s="16" t="n">
        <v>399</v>
      </c>
      <c r="I858" s="16" t="n">
        <v>399</v>
      </c>
      <c r="J858" s="17" t="inlineStr">
        <is>
          <t>########</t>
        </is>
      </c>
      <c r="K858" s="16" t="inlineStr">
        <is>
          <t>(51)L/Blue</t>
        </is>
      </c>
      <c r="L858" s="16" t="inlineStr">
        <is>
          <t>营业中</t>
        </is>
      </c>
      <c r="M858" s="16" t="inlineStr">
        <is>
          <t>EERAG23E0151165</t>
        </is>
      </c>
      <c r="N858" s="16">
        <f>LEFT(M858,12)</f>
        <v/>
      </c>
      <c r="O858" s="16" t="inlineStr">
        <is>
          <t>EERAG23E01, (51)L/Blue, (165)165</t>
        </is>
      </c>
      <c r="P858" s="16" t="n">
        <v>399</v>
      </c>
      <c r="Q858" s="16" t="n">
        <v>399</v>
      </c>
      <c r="R858" s="16" t="n">
        <v>1</v>
      </c>
      <c r="S858" s="16" t="n">
        <v>253</v>
      </c>
      <c r="T858" s="16" t="n">
        <v>1</v>
      </c>
    </row>
    <row r="859" s="103">
      <c r="A859" s="16" t="inlineStr">
        <is>
          <t>B331</t>
        </is>
      </c>
      <c r="B859" s="16" t="inlineStr">
        <is>
          <t>上海区域</t>
        </is>
      </c>
      <c r="C859" s="16" t="inlineStr">
        <is>
          <t>CN0Q</t>
        </is>
      </c>
      <c r="D859" s="16" t="inlineStr">
        <is>
          <t>EE 苏州比斯特购物村</t>
        </is>
      </c>
      <c r="E859" s="16" t="n">
        <v>4</v>
      </c>
      <c r="F859" s="16" t="inlineStr">
        <is>
          <t>奥特莱斯</t>
        </is>
      </c>
      <c r="G859" s="16" t="inlineStr">
        <is>
          <t>EERAG23E01</t>
        </is>
      </c>
      <c r="H859" s="16" t="n">
        <v>399</v>
      </c>
      <c r="I859" s="16" t="n">
        <v>399</v>
      </c>
      <c r="J859" s="17" t="inlineStr">
        <is>
          <t>########</t>
        </is>
      </c>
      <c r="K859" s="16" t="inlineStr">
        <is>
          <t>(51)L/Blue</t>
        </is>
      </c>
      <c r="L859" s="16" t="inlineStr">
        <is>
          <t>营业中</t>
        </is>
      </c>
      <c r="M859" s="16" t="inlineStr">
        <is>
          <t>EERAG23E0151170</t>
        </is>
      </c>
      <c r="N859" s="16">
        <f>LEFT(M859,12)</f>
        <v/>
      </c>
      <c r="O859" s="16" t="inlineStr">
        <is>
          <t>EERAG23E01, (51)L/Blue, (170)170</t>
        </is>
      </c>
      <c r="P859" s="16" t="n">
        <v>399</v>
      </c>
      <c r="Q859" s="16" t="n">
        <v>399</v>
      </c>
      <c r="R859" s="16" t="n"/>
      <c r="S859" s="16" t="n"/>
      <c r="T859" s="16" t="n">
        <v>2</v>
      </c>
    </row>
    <row r="860" s="103">
      <c r="A860" s="16" t="inlineStr">
        <is>
          <t>B331</t>
        </is>
      </c>
      <c r="B860" s="16" t="inlineStr">
        <is>
          <t>上海区域</t>
        </is>
      </c>
      <c r="C860" s="16" t="inlineStr">
        <is>
          <t>CN0Q</t>
        </is>
      </c>
      <c r="D860" s="16" t="inlineStr">
        <is>
          <t>EE 苏州比斯特购物村</t>
        </is>
      </c>
      <c r="E860" s="16" t="n">
        <v>4</v>
      </c>
      <c r="F860" s="16" t="inlineStr">
        <is>
          <t>奥特莱斯</t>
        </is>
      </c>
      <c r="G860" s="16" t="inlineStr">
        <is>
          <t>EERAG23E01</t>
        </is>
      </c>
      <c r="H860" s="16" t="n">
        <v>399</v>
      </c>
      <c r="I860" s="16" t="n">
        <v>399</v>
      </c>
      <c r="J860" s="17" t="inlineStr">
        <is>
          <t>########</t>
        </is>
      </c>
      <c r="K860" s="16" t="inlineStr">
        <is>
          <t>(51)L/Blue</t>
        </is>
      </c>
      <c r="L860" s="16" t="inlineStr">
        <is>
          <t>营业中</t>
        </is>
      </c>
      <c r="M860" s="16" t="inlineStr">
        <is>
          <t>EERAG23E0151175</t>
        </is>
      </c>
      <c r="N860" s="16">
        <f>LEFT(M860,12)</f>
        <v/>
      </c>
      <c r="O860" s="16" t="inlineStr">
        <is>
          <t>EERAG23E01, (51)L/Blue, (175)175</t>
        </is>
      </c>
      <c r="P860" s="16" t="n">
        <v>399</v>
      </c>
      <c r="Q860" s="16" t="n">
        <v>399</v>
      </c>
      <c r="R860" s="16" t="n"/>
      <c r="S860" s="16" t="n"/>
      <c r="T860" s="16" t="n">
        <v>2</v>
      </c>
    </row>
    <row r="861" s="103">
      <c r="A861" s="16" t="inlineStr">
        <is>
          <t>B331</t>
        </is>
      </c>
      <c r="B861" s="16" t="inlineStr">
        <is>
          <t>上海区域</t>
        </is>
      </c>
      <c r="C861" s="16" t="inlineStr">
        <is>
          <t>CN0Q</t>
        </is>
      </c>
      <c r="D861" s="16" t="inlineStr">
        <is>
          <t>EE 苏州比斯特购物村</t>
        </is>
      </c>
      <c r="E861" s="16" t="n">
        <v>4</v>
      </c>
      <c r="F861" s="16" t="inlineStr">
        <is>
          <t>奥特莱斯</t>
        </is>
      </c>
      <c r="G861" s="16" t="inlineStr">
        <is>
          <t>EERAG23E02</t>
        </is>
      </c>
      <c r="H861" s="16" t="n">
        <v>399</v>
      </c>
      <c r="I861" s="16" t="n">
        <v>399</v>
      </c>
      <c r="J861" s="17" t="inlineStr">
        <is>
          <t>########</t>
        </is>
      </c>
      <c r="K861" s="16" t="inlineStr">
        <is>
          <t>(18)M/Grey</t>
        </is>
      </c>
      <c r="L861" s="16" t="inlineStr">
        <is>
          <t>营业中</t>
        </is>
      </c>
      <c r="M861" s="16" t="inlineStr">
        <is>
          <t>EERAG23E0218160</t>
        </is>
      </c>
      <c r="N861" s="16">
        <f>LEFT(M861,12)</f>
        <v/>
      </c>
      <c r="O861" s="16" t="inlineStr">
        <is>
          <t>EERAG23E02, (18)M/Grey, (160)160</t>
        </is>
      </c>
      <c r="P861" s="16" t="n">
        <v>399</v>
      </c>
      <c r="Q861" s="16" t="n">
        <v>399</v>
      </c>
      <c r="R861" s="16" t="n">
        <v>1</v>
      </c>
      <c r="S861" s="16" t="n"/>
      <c r="T861" s="16" t="n">
        <v>2</v>
      </c>
    </row>
    <row r="862" s="103">
      <c r="A862" s="16" t="inlineStr">
        <is>
          <t>B331</t>
        </is>
      </c>
      <c r="B862" s="16" t="inlineStr">
        <is>
          <t>上海区域</t>
        </is>
      </c>
      <c r="C862" s="16" t="inlineStr">
        <is>
          <t>CN0Q</t>
        </is>
      </c>
      <c r="D862" s="16" t="inlineStr">
        <is>
          <t>EE 苏州比斯特购物村</t>
        </is>
      </c>
      <c r="E862" s="16" t="n">
        <v>4</v>
      </c>
      <c r="F862" s="16" t="inlineStr">
        <is>
          <t>奥特莱斯</t>
        </is>
      </c>
      <c r="G862" s="16" t="inlineStr">
        <is>
          <t>EERAG23E02</t>
        </is>
      </c>
      <c r="H862" s="16" t="n">
        <v>399</v>
      </c>
      <c r="I862" s="16" t="n">
        <v>399</v>
      </c>
      <c r="J862" s="17" t="inlineStr">
        <is>
          <t>########</t>
        </is>
      </c>
      <c r="K862" s="16" t="inlineStr">
        <is>
          <t>(18)M/Grey</t>
        </is>
      </c>
      <c r="L862" s="16" t="inlineStr">
        <is>
          <t>营业中</t>
        </is>
      </c>
      <c r="M862" s="16" t="inlineStr">
        <is>
          <t>EERAG23E0218165</t>
        </is>
      </c>
      <c r="N862" s="16">
        <f>LEFT(M862,12)</f>
        <v/>
      </c>
      <c r="O862" s="16" t="inlineStr">
        <is>
          <t>EERAG23E02, (18)M/Grey, (165)165</t>
        </is>
      </c>
      <c r="P862" s="16" t="n">
        <v>399</v>
      </c>
      <c r="Q862" s="16" t="n">
        <v>399</v>
      </c>
      <c r="R862" s="16" t="n"/>
      <c r="S862" s="16" t="n"/>
      <c r="T862" s="16" t="n">
        <v>2</v>
      </c>
    </row>
    <row r="863" s="103">
      <c r="A863" s="16" t="inlineStr">
        <is>
          <t>B331</t>
        </is>
      </c>
      <c r="B863" s="16" t="inlineStr">
        <is>
          <t>上海区域</t>
        </is>
      </c>
      <c r="C863" s="16" t="inlineStr">
        <is>
          <t>CN0Q</t>
        </is>
      </c>
      <c r="D863" s="16" t="inlineStr">
        <is>
          <t>EE 苏州比斯特购物村</t>
        </is>
      </c>
      <c r="E863" s="16" t="n">
        <v>4</v>
      </c>
      <c r="F863" s="16" t="inlineStr">
        <is>
          <t>奥特莱斯</t>
        </is>
      </c>
      <c r="G863" s="16" t="inlineStr">
        <is>
          <t>EERAG23E02</t>
        </is>
      </c>
      <c r="H863" s="16" t="n">
        <v>399</v>
      </c>
      <c r="I863" s="16" t="n">
        <v>399</v>
      </c>
      <c r="J863" s="17" t="inlineStr">
        <is>
          <t>########</t>
        </is>
      </c>
      <c r="K863" s="16" t="inlineStr">
        <is>
          <t>(18)M/Grey</t>
        </is>
      </c>
      <c r="L863" s="16" t="inlineStr">
        <is>
          <t>营业中</t>
        </is>
      </c>
      <c r="M863" s="16" t="inlineStr">
        <is>
          <t>EERAG23E0218170</t>
        </is>
      </c>
      <c r="N863" s="16">
        <f>LEFT(M863,12)</f>
        <v/>
      </c>
      <c r="O863" s="16" t="inlineStr">
        <is>
          <t>EERAG23E02, (18)M/Grey, (170)170</t>
        </is>
      </c>
      <c r="P863" s="16" t="n">
        <v>399</v>
      </c>
      <c r="Q863" s="16" t="n">
        <v>399</v>
      </c>
      <c r="R863" s="16" t="n"/>
      <c r="S863" s="16" t="n"/>
      <c r="T863" s="16" t="n">
        <v>2</v>
      </c>
    </row>
    <row r="864" s="103">
      <c r="A864" s="16" t="inlineStr">
        <is>
          <t>B331</t>
        </is>
      </c>
      <c r="B864" s="16" t="inlineStr">
        <is>
          <t>上海区域</t>
        </is>
      </c>
      <c r="C864" s="16" t="inlineStr">
        <is>
          <t>CN0Q</t>
        </is>
      </c>
      <c r="D864" s="16" t="inlineStr">
        <is>
          <t>EE 苏州比斯特购物村</t>
        </is>
      </c>
      <c r="E864" s="16" t="n">
        <v>4</v>
      </c>
      <c r="F864" s="16" t="inlineStr">
        <is>
          <t>奥特莱斯</t>
        </is>
      </c>
      <c r="G864" s="16" t="inlineStr">
        <is>
          <t>EERAG23E02</t>
        </is>
      </c>
      <c r="H864" s="16" t="n">
        <v>399</v>
      </c>
      <c r="I864" s="16" t="n">
        <v>399</v>
      </c>
      <c r="J864" s="17" t="inlineStr">
        <is>
          <t>########</t>
        </is>
      </c>
      <c r="K864" s="16" t="inlineStr">
        <is>
          <t>(18)M/Grey</t>
        </is>
      </c>
      <c r="L864" s="16" t="inlineStr">
        <is>
          <t>营业中</t>
        </is>
      </c>
      <c r="M864" s="16" t="inlineStr">
        <is>
          <t>EERAG23E0218175</t>
        </is>
      </c>
      <c r="N864" s="16">
        <f>LEFT(M864,12)</f>
        <v/>
      </c>
      <c r="O864" s="16" t="inlineStr">
        <is>
          <t>EERAG23E02, (18)M/Grey, (175)175</t>
        </is>
      </c>
      <c r="P864" s="16" t="n">
        <v>399</v>
      </c>
      <c r="Q864" s="16" t="n">
        <v>399</v>
      </c>
      <c r="R864" s="16" t="n"/>
      <c r="S864" s="16" t="n"/>
      <c r="T864" s="16" t="n">
        <v>1</v>
      </c>
    </row>
    <row r="865" s="103">
      <c r="A865" s="16" t="inlineStr">
        <is>
          <t>B331</t>
        </is>
      </c>
      <c r="B865" s="16" t="inlineStr">
        <is>
          <t>上海区域</t>
        </is>
      </c>
      <c r="C865" s="16" t="inlineStr">
        <is>
          <t>CN0Q</t>
        </is>
      </c>
      <c r="D865" s="16" t="inlineStr">
        <is>
          <t>EE 苏州比斯特购物村</t>
        </is>
      </c>
      <c r="E865" s="16" t="n">
        <v>4</v>
      </c>
      <c r="F865" s="16" t="inlineStr">
        <is>
          <t>奥特莱斯</t>
        </is>
      </c>
      <c r="G865" s="16" t="inlineStr">
        <is>
          <t>EERAG23E02</t>
        </is>
      </c>
      <c r="H865" s="16" t="n">
        <v>399</v>
      </c>
      <c r="I865" s="16" t="n">
        <v>399</v>
      </c>
      <c r="J865" s="17" t="inlineStr">
        <is>
          <t>########</t>
        </is>
      </c>
      <c r="K865" s="16" t="inlineStr">
        <is>
          <t>(19)BLACK</t>
        </is>
      </c>
      <c r="L865" s="16" t="inlineStr">
        <is>
          <t>营业中</t>
        </is>
      </c>
      <c r="M865" s="16" t="inlineStr">
        <is>
          <t>EERAG23E0219160</t>
        </is>
      </c>
      <c r="N865" s="16">
        <f>LEFT(M865,12)</f>
        <v/>
      </c>
      <c r="O865" s="16" t="inlineStr">
        <is>
          <t>EERAG23E02, (19)BLACK, (160)160</t>
        </is>
      </c>
      <c r="P865" s="16" t="n">
        <v>399</v>
      </c>
      <c r="Q865" s="16" t="n">
        <v>399</v>
      </c>
      <c r="R865" s="16" t="n"/>
      <c r="S865" s="16" t="n"/>
      <c r="T865" s="16" t="n">
        <v>2</v>
      </c>
    </row>
    <row r="866" s="103">
      <c r="A866" s="16" t="inlineStr">
        <is>
          <t>B331</t>
        </is>
      </c>
      <c r="B866" s="16" t="inlineStr">
        <is>
          <t>上海区域</t>
        </is>
      </c>
      <c r="C866" s="16" t="inlineStr">
        <is>
          <t>CN0Q</t>
        </is>
      </c>
      <c r="D866" s="16" t="inlineStr">
        <is>
          <t>EE 苏州比斯特购物村</t>
        </is>
      </c>
      <c r="E866" s="16" t="n">
        <v>4</v>
      </c>
      <c r="F866" s="16" t="inlineStr">
        <is>
          <t>奥特莱斯</t>
        </is>
      </c>
      <c r="G866" s="16" t="inlineStr">
        <is>
          <t>EERAG23E02</t>
        </is>
      </c>
      <c r="H866" s="16" t="n">
        <v>399</v>
      </c>
      <c r="I866" s="16" t="n">
        <v>399</v>
      </c>
      <c r="J866" s="17" t="inlineStr">
        <is>
          <t>########</t>
        </is>
      </c>
      <c r="K866" s="16" t="inlineStr">
        <is>
          <t>(19)BLACK</t>
        </is>
      </c>
      <c r="L866" s="16" t="inlineStr">
        <is>
          <t>营业中</t>
        </is>
      </c>
      <c r="M866" s="16" t="inlineStr">
        <is>
          <t>EERAG23E0219165</t>
        </is>
      </c>
      <c r="N866" s="16">
        <f>LEFT(M866,12)</f>
        <v/>
      </c>
      <c r="O866" s="16" t="inlineStr">
        <is>
          <t>EERAG23E02, (19)BLACK, (165)165</t>
        </is>
      </c>
      <c r="P866" s="16" t="n">
        <v>399</v>
      </c>
      <c r="Q866" s="16" t="n">
        <v>399</v>
      </c>
      <c r="R866" s="16" t="n"/>
      <c r="S866" s="16" t="n"/>
      <c r="T866" s="16" t="n">
        <v>2</v>
      </c>
    </row>
    <row r="867" s="103">
      <c r="A867" s="16" t="inlineStr">
        <is>
          <t>B331</t>
        </is>
      </c>
      <c r="B867" s="16" t="inlineStr">
        <is>
          <t>上海区域</t>
        </is>
      </c>
      <c r="C867" s="16" t="inlineStr">
        <is>
          <t>CN0Q</t>
        </is>
      </c>
      <c r="D867" s="16" t="inlineStr">
        <is>
          <t>EE 苏州比斯特购物村</t>
        </is>
      </c>
      <c r="E867" s="16" t="n">
        <v>4</v>
      </c>
      <c r="F867" s="16" t="inlineStr">
        <is>
          <t>奥特莱斯</t>
        </is>
      </c>
      <c r="G867" s="16" t="inlineStr">
        <is>
          <t>EERAG23E02</t>
        </is>
      </c>
      <c r="H867" s="16" t="n">
        <v>399</v>
      </c>
      <c r="I867" s="16" t="n">
        <v>399</v>
      </c>
      <c r="J867" s="17" t="inlineStr">
        <is>
          <t>########</t>
        </is>
      </c>
      <c r="K867" s="16" t="inlineStr">
        <is>
          <t>(19)BLACK</t>
        </is>
      </c>
      <c r="L867" s="16" t="inlineStr">
        <is>
          <t>营业中</t>
        </is>
      </c>
      <c r="M867" s="16" t="inlineStr">
        <is>
          <t>EERAG23E0219170</t>
        </is>
      </c>
      <c r="N867" s="16">
        <f>LEFT(M867,12)</f>
        <v/>
      </c>
      <c r="O867" s="16" t="inlineStr">
        <is>
          <t>EERAG23E02, (19)BLACK, (170)170</t>
        </is>
      </c>
      <c r="P867" s="16" t="n">
        <v>399</v>
      </c>
      <c r="Q867" s="16" t="n">
        <v>399</v>
      </c>
      <c r="R867" s="16" t="n"/>
      <c r="S867" s="16" t="n"/>
      <c r="T867" s="16" t="n">
        <v>2</v>
      </c>
    </row>
    <row r="868" s="103">
      <c r="A868" s="16" t="inlineStr">
        <is>
          <t>B331</t>
        </is>
      </c>
      <c r="B868" s="16" t="inlineStr">
        <is>
          <t>上海区域</t>
        </is>
      </c>
      <c r="C868" s="16" t="inlineStr">
        <is>
          <t>CN0Q</t>
        </is>
      </c>
      <c r="D868" s="16" t="inlineStr">
        <is>
          <t>EE 苏州比斯特购物村</t>
        </is>
      </c>
      <c r="E868" s="16" t="n">
        <v>4</v>
      </c>
      <c r="F868" s="16" t="inlineStr">
        <is>
          <t>奥特莱斯</t>
        </is>
      </c>
      <c r="G868" s="16" t="inlineStr">
        <is>
          <t>EERAG23E02</t>
        </is>
      </c>
      <c r="H868" s="16" t="n">
        <v>399</v>
      </c>
      <c r="I868" s="16" t="n">
        <v>399</v>
      </c>
      <c r="J868" s="17" t="inlineStr">
        <is>
          <t>########</t>
        </is>
      </c>
      <c r="K868" s="16" t="inlineStr">
        <is>
          <t>(19)BLACK</t>
        </is>
      </c>
      <c r="L868" s="16" t="inlineStr">
        <is>
          <t>营业中</t>
        </is>
      </c>
      <c r="M868" s="16" t="inlineStr">
        <is>
          <t>EERAG23E0219175</t>
        </is>
      </c>
      <c r="N868" s="16">
        <f>LEFT(M868,12)</f>
        <v/>
      </c>
      <c r="O868" s="16" t="inlineStr">
        <is>
          <t>EERAG23E02, (19)BLACK, (175)175</t>
        </is>
      </c>
      <c r="P868" s="16" t="n">
        <v>399</v>
      </c>
      <c r="Q868" s="16" t="n">
        <v>399</v>
      </c>
      <c r="R868" s="16" t="n">
        <v>1</v>
      </c>
      <c r="S868" s="16" t="n"/>
      <c r="T868" s="16" t="n">
        <v>0</v>
      </c>
    </row>
    <row r="869" s="103">
      <c r="A869" s="16" t="inlineStr">
        <is>
          <t>B331</t>
        </is>
      </c>
      <c r="B869" s="16" t="inlineStr">
        <is>
          <t>上海区域</t>
        </is>
      </c>
      <c r="C869" s="16" t="inlineStr">
        <is>
          <t>CN0Q</t>
        </is>
      </c>
      <c r="D869" s="16" t="inlineStr">
        <is>
          <t>EE 苏州比斯特购物村</t>
        </is>
      </c>
      <c r="E869" s="16" t="n">
        <v>4</v>
      </c>
      <c r="F869" s="16" t="inlineStr">
        <is>
          <t>奥特莱斯</t>
        </is>
      </c>
      <c r="G869" s="16" t="inlineStr">
        <is>
          <t>EERAG23E02</t>
        </is>
      </c>
      <c r="H869" s="16" t="n">
        <v>399</v>
      </c>
      <c r="I869" s="16" t="n">
        <v>399</v>
      </c>
      <c r="J869" s="17" t="inlineStr">
        <is>
          <t>########</t>
        </is>
      </c>
      <c r="K869" s="16" t="inlineStr">
        <is>
          <t>(20)Red</t>
        </is>
      </c>
      <c r="L869" s="16" t="inlineStr">
        <is>
          <t>营业中</t>
        </is>
      </c>
      <c r="M869" s="16" t="inlineStr">
        <is>
          <t>EERAG23E0220160</t>
        </is>
      </c>
      <c r="N869" s="16">
        <f>LEFT(M869,12)</f>
        <v/>
      </c>
      <c r="O869" s="16" t="inlineStr">
        <is>
          <t>EERAG23E02, (20)Red, (160)160</t>
        </is>
      </c>
      <c r="P869" s="16" t="n">
        <v>399</v>
      </c>
      <c r="Q869" s="16" t="n">
        <v>399</v>
      </c>
      <c r="R869" s="16" t="n">
        <v>1</v>
      </c>
      <c r="S869" s="16" t="n">
        <v>279</v>
      </c>
      <c r="T869" s="16" t="n">
        <v>2</v>
      </c>
    </row>
    <row r="870" s="103">
      <c r="A870" s="16" t="inlineStr">
        <is>
          <t>B331</t>
        </is>
      </c>
      <c r="B870" s="16" t="inlineStr">
        <is>
          <t>上海区域</t>
        </is>
      </c>
      <c r="C870" s="16" t="inlineStr">
        <is>
          <t>CN0Q</t>
        </is>
      </c>
      <c r="D870" s="16" t="inlineStr">
        <is>
          <t>EE 苏州比斯特购物村</t>
        </is>
      </c>
      <c r="E870" s="16" t="n">
        <v>4</v>
      </c>
      <c r="F870" s="16" t="inlineStr">
        <is>
          <t>奥特莱斯</t>
        </is>
      </c>
      <c r="G870" s="16" t="inlineStr">
        <is>
          <t>EERAG23E02</t>
        </is>
      </c>
      <c r="H870" s="16" t="n">
        <v>399</v>
      </c>
      <c r="I870" s="16" t="n">
        <v>399</v>
      </c>
      <c r="J870" s="17" t="inlineStr">
        <is>
          <t>########</t>
        </is>
      </c>
      <c r="K870" s="16" t="inlineStr">
        <is>
          <t>(20)Red</t>
        </is>
      </c>
      <c r="L870" s="16" t="inlineStr">
        <is>
          <t>营业中</t>
        </is>
      </c>
      <c r="M870" s="16" t="inlineStr">
        <is>
          <t>EERAG23E0220165</t>
        </is>
      </c>
      <c r="N870" s="16">
        <f>LEFT(M870,12)</f>
        <v/>
      </c>
      <c r="O870" s="16" t="inlineStr">
        <is>
          <t>EERAG23E02, (20)Red, (165)165</t>
        </is>
      </c>
      <c r="P870" s="16" t="n">
        <v>399</v>
      </c>
      <c r="Q870" s="16" t="n">
        <v>399</v>
      </c>
      <c r="R870" s="16" t="n">
        <v>2</v>
      </c>
      <c r="S870" s="16" t="n">
        <v>559</v>
      </c>
      <c r="T870" s="16" t="n">
        <v>5</v>
      </c>
    </row>
    <row r="871" s="103">
      <c r="A871" s="16" t="inlineStr">
        <is>
          <t>B331</t>
        </is>
      </c>
      <c r="B871" s="16" t="inlineStr">
        <is>
          <t>上海区域</t>
        </is>
      </c>
      <c r="C871" s="16" t="inlineStr">
        <is>
          <t>CN0Q</t>
        </is>
      </c>
      <c r="D871" s="16" t="inlineStr">
        <is>
          <t>EE 苏州比斯特购物村</t>
        </is>
      </c>
      <c r="E871" s="16" t="n">
        <v>4</v>
      </c>
      <c r="F871" s="16" t="inlineStr">
        <is>
          <t>奥特莱斯</t>
        </is>
      </c>
      <c r="G871" s="16" t="inlineStr">
        <is>
          <t>EERAG23E02</t>
        </is>
      </c>
      <c r="H871" s="16" t="n">
        <v>399</v>
      </c>
      <c r="I871" s="16" t="n">
        <v>399</v>
      </c>
      <c r="J871" s="17" t="inlineStr">
        <is>
          <t>########</t>
        </is>
      </c>
      <c r="K871" s="16" t="inlineStr">
        <is>
          <t>(20)Red</t>
        </is>
      </c>
      <c r="L871" s="16" t="inlineStr">
        <is>
          <t>营业中</t>
        </is>
      </c>
      <c r="M871" s="16" t="inlineStr">
        <is>
          <t>EERAG23E0220170</t>
        </is>
      </c>
      <c r="N871" s="16">
        <f>LEFT(M871,12)</f>
        <v/>
      </c>
      <c r="O871" s="16" t="inlineStr">
        <is>
          <t>EERAG23E02, (20)Red, (170)170</t>
        </is>
      </c>
      <c r="P871" s="16" t="n">
        <v>399</v>
      </c>
      <c r="Q871" s="16" t="n">
        <v>399</v>
      </c>
      <c r="R871" s="16" t="n">
        <v>1</v>
      </c>
      <c r="S871" s="16" t="n"/>
      <c r="T871" s="16" t="n">
        <v>4</v>
      </c>
    </row>
    <row r="872" s="103">
      <c r="A872" s="16" t="inlineStr">
        <is>
          <t>B331</t>
        </is>
      </c>
      <c r="B872" s="16" t="inlineStr">
        <is>
          <t>上海区域</t>
        </is>
      </c>
      <c r="C872" s="16" t="inlineStr">
        <is>
          <t>CN0Q</t>
        </is>
      </c>
      <c r="D872" s="16" t="inlineStr">
        <is>
          <t>EE 苏州比斯特购物村</t>
        </is>
      </c>
      <c r="E872" s="16" t="n">
        <v>4</v>
      </c>
      <c r="F872" s="16" t="inlineStr">
        <is>
          <t>奥特莱斯</t>
        </is>
      </c>
      <c r="G872" s="16" t="inlineStr">
        <is>
          <t>EERAG23E02</t>
        </is>
      </c>
      <c r="H872" s="16" t="n">
        <v>399</v>
      </c>
      <c r="I872" s="16" t="n">
        <v>399</v>
      </c>
      <c r="J872" s="17" t="inlineStr">
        <is>
          <t>########</t>
        </is>
      </c>
      <c r="K872" s="16" t="inlineStr">
        <is>
          <t>(20)Red</t>
        </is>
      </c>
      <c r="L872" s="16" t="inlineStr">
        <is>
          <t>营业中</t>
        </is>
      </c>
      <c r="M872" s="16" t="inlineStr">
        <is>
          <t>EERAG23E0220175</t>
        </is>
      </c>
      <c r="N872" s="16">
        <f>LEFT(M872,12)</f>
        <v/>
      </c>
      <c r="O872" s="16" t="inlineStr">
        <is>
          <t>EERAG23E02, (20)Red, (175)175</t>
        </is>
      </c>
      <c r="P872" s="16" t="n">
        <v>399</v>
      </c>
      <c r="Q872" s="16" t="n">
        <v>399</v>
      </c>
      <c r="R872" s="16" t="n">
        <v>1</v>
      </c>
      <c r="S872" s="16" t="n">
        <v>259</v>
      </c>
      <c r="T872" s="16" t="n">
        <v>0</v>
      </c>
    </row>
    <row r="873" s="103">
      <c r="A873" s="16" t="inlineStr">
        <is>
          <t>B331</t>
        </is>
      </c>
      <c r="B873" s="16" t="inlineStr">
        <is>
          <t>上海区域</t>
        </is>
      </c>
      <c r="C873" s="16" t="inlineStr">
        <is>
          <t>CN0Q</t>
        </is>
      </c>
      <c r="D873" s="16" t="inlineStr">
        <is>
          <t>EE 苏州比斯特购物村</t>
        </is>
      </c>
      <c r="E873" s="16" t="n">
        <v>4</v>
      </c>
      <c r="F873" s="16" t="inlineStr">
        <is>
          <t>奥特莱斯</t>
        </is>
      </c>
      <c r="G873" s="16" t="inlineStr">
        <is>
          <t>EERAG23E02</t>
        </is>
      </c>
      <c r="H873" s="16" t="n">
        <v>399</v>
      </c>
      <c r="I873" s="16" t="n">
        <v>399</v>
      </c>
      <c r="J873" s="17" t="inlineStr">
        <is>
          <t>########</t>
        </is>
      </c>
      <c r="K873" s="16" t="inlineStr">
        <is>
          <t>(26)L/Pink</t>
        </is>
      </c>
      <c r="L873" s="16" t="inlineStr">
        <is>
          <t>营业中</t>
        </is>
      </c>
      <c r="M873" s="16" t="inlineStr">
        <is>
          <t>EERAG23E0226160</t>
        </is>
      </c>
      <c r="N873" s="16">
        <f>LEFT(M873,12)</f>
        <v/>
      </c>
      <c r="O873" s="16" t="inlineStr">
        <is>
          <t>EERAG23E02, (26)L/Pink, (160)160</t>
        </is>
      </c>
      <c r="P873" s="16" t="n">
        <v>399</v>
      </c>
      <c r="Q873" s="16" t="n">
        <v>399</v>
      </c>
      <c r="R873" s="16" t="n"/>
      <c r="S873" s="16" t="n"/>
      <c r="T873" s="16" t="n">
        <v>2</v>
      </c>
    </row>
    <row r="874" s="103">
      <c r="A874" s="16" t="inlineStr">
        <is>
          <t>B331</t>
        </is>
      </c>
      <c r="B874" s="16" t="inlineStr">
        <is>
          <t>上海区域</t>
        </is>
      </c>
      <c r="C874" s="16" t="inlineStr">
        <is>
          <t>CN0Q</t>
        </is>
      </c>
      <c r="D874" s="16" t="inlineStr">
        <is>
          <t>EE 苏州比斯特购物村</t>
        </is>
      </c>
      <c r="E874" s="16" t="n">
        <v>4</v>
      </c>
      <c r="F874" s="16" t="inlineStr">
        <is>
          <t>奥特莱斯</t>
        </is>
      </c>
      <c r="G874" s="16" t="inlineStr">
        <is>
          <t>EERAG23E02</t>
        </is>
      </c>
      <c r="H874" s="16" t="n">
        <v>399</v>
      </c>
      <c r="I874" s="16" t="n">
        <v>399</v>
      </c>
      <c r="J874" s="17" t="inlineStr">
        <is>
          <t>########</t>
        </is>
      </c>
      <c r="K874" s="16" t="inlineStr">
        <is>
          <t>(26)L/Pink</t>
        </is>
      </c>
      <c r="L874" s="16" t="inlineStr">
        <is>
          <t>营业中</t>
        </is>
      </c>
      <c r="M874" s="16" t="inlineStr">
        <is>
          <t>EERAG23E0226165</t>
        </is>
      </c>
      <c r="N874" s="16">
        <f>LEFT(M874,12)</f>
        <v/>
      </c>
      <c r="O874" s="16" t="inlineStr">
        <is>
          <t>EERAG23E02, (26)L/Pink, (165)165</t>
        </is>
      </c>
      <c r="P874" s="16" t="n">
        <v>399</v>
      </c>
      <c r="Q874" s="16" t="n">
        <v>399</v>
      </c>
      <c r="R874" s="16" t="n"/>
      <c r="S874" s="16" t="n"/>
      <c r="T874" s="16" t="n">
        <v>2</v>
      </c>
    </row>
    <row r="875" s="103">
      <c r="A875" s="16" t="inlineStr">
        <is>
          <t>B331</t>
        </is>
      </c>
      <c r="B875" s="16" t="inlineStr">
        <is>
          <t>上海区域</t>
        </is>
      </c>
      <c r="C875" s="16" t="inlineStr">
        <is>
          <t>CN0Q</t>
        </is>
      </c>
      <c r="D875" s="16" t="inlineStr">
        <is>
          <t>EE 苏州比斯特购物村</t>
        </is>
      </c>
      <c r="E875" s="16" t="n">
        <v>4</v>
      </c>
      <c r="F875" s="16" t="inlineStr">
        <is>
          <t>奥特莱斯</t>
        </is>
      </c>
      <c r="G875" s="16" t="inlineStr">
        <is>
          <t>EERAG23E02</t>
        </is>
      </c>
      <c r="H875" s="16" t="n">
        <v>399</v>
      </c>
      <c r="I875" s="16" t="n">
        <v>399</v>
      </c>
      <c r="J875" s="17" t="inlineStr">
        <is>
          <t>########</t>
        </is>
      </c>
      <c r="K875" s="16" t="inlineStr">
        <is>
          <t>(26)L/Pink</t>
        </is>
      </c>
      <c r="L875" s="16" t="inlineStr">
        <is>
          <t>营业中</t>
        </is>
      </c>
      <c r="M875" s="16" t="inlineStr">
        <is>
          <t>EERAG23E0226170</t>
        </is>
      </c>
      <c r="N875" s="16">
        <f>LEFT(M875,12)</f>
        <v/>
      </c>
      <c r="O875" s="16" t="inlineStr">
        <is>
          <t>EERAG23E02, (26)L/Pink, (170)170</t>
        </is>
      </c>
      <c r="P875" s="16" t="n">
        <v>399</v>
      </c>
      <c r="Q875" s="16" t="n">
        <v>399</v>
      </c>
      <c r="R875" s="16" t="n"/>
      <c r="S875" s="16" t="n"/>
      <c r="T875" s="16" t="n">
        <v>2</v>
      </c>
    </row>
    <row r="876" s="103">
      <c r="A876" s="16" t="inlineStr">
        <is>
          <t>B331</t>
        </is>
      </c>
      <c r="B876" s="16" t="inlineStr">
        <is>
          <t>上海区域</t>
        </is>
      </c>
      <c r="C876" s="16" t="inlineStr">
        <is>
          <t>CN0Q</t>
        </is>
      </c>
      <c r="D876" s="16" t="inlineStr">
        <is>
          <t>EE 苏州比斯特购物村</t>
        </is>
      </c>
      <c r="E876" s="16" t="n">
        <v>4</v>
      </c>
      <c r="F876" s="16" t="inlineStr">
        <is>
          <t>奥特莱斯</t>
        </is>
      </c>
      <c r="G876" s="16" t="inlineStr">
        <is>
          <t>EERAG23E02</t>
        </is>
      </c>
      <c r="H876" s="16" t="n">
        <v>399</v>
      </c>
      <c r="I876" s="16" t="n">
        <v>399</v>
      </c>
      <c r="J876" s="17" t="inlineStr">
        <is>
          <t>########</t>
        </is>
      </c>
      <c r="K876" s="16" t="inlineStr">
        <is>
          <t>(26)L/Pink</t>
        </is>
      </c>
      <c r="L876" s="16" t="inlineStr">
        <is>
          <t>营业中</t>
        </is>
      </c>
      <c r="M876" s="16" t="inlineStr">
        <is>
          <t>EERAG23E0226175</t>
        </is>
      </c>
      <c r="N876" s="16">
        <f>LEFT(M876,12)</f>
        <v/>
      </c>
      <c r="O876" s="16" t="inlineStr">
        <is>
          <t>EERAG23E02, (26)L/Pink, (175)175</t>
        </is>
      </c>
      <c r="P876" s="16" t="n">
        <v>399</v>
      </c>
      <c r="Q876" s="16" t="n">
        <v>399</v>
      </c>
      <c r="R876" s="16" t="n"/>
      <c r="S876" s="16" t="n"/>
      <c r="T876" s="16" t="n">
        <v>2</v>
      </c>
    </row>
    <row r="877" s="103">
      <c r="A877" s="16" t="inlineStr">
        <is>
          <t>B331</t>
        </is>
      </c>
      <c r="B877" s="16" t="inlineStr">
        <is>
          <t>上海区域</t>
        </is>
      </c>
      <c r="C877" s="16" t="inlineStr">
        <is>
          <t>CN0Q</t>
        </is>
      </c>
      <c r="D877" s="16" t="inlineStr">
        <is>
          <t>EE 苏州比斯特购物村</t>
        </is>
      </c>
      <c r="E877" s="16" t="n">
        <v>4</v>
      </c>
      <c r="F877" s="16" t="inlineStr">
        <is>
          <t>奥特莱斯</t>
        </is>
      </c>
      <c r="G877" s="16" t="inlineStr">
        <is>
          <t>EERAG23E02</t>
        </is>
      </c>
      <c r="H877" s="16" t="n">
        <v>399</v>
      </c>
      <c r="I877" s="16" t="n">
        <v>399</v>
      </c>
      <c r="J877" s="17" t="inlineStr">
        <is>
          <t>########</t>
        </is>
      </c>
      <c r="K877" s="16" t="inlineStr">
        <is>
          <t>(39)Ivory</t>
        </is>
      </c>
      <c r="L877" s="16" t="inlineStr">
        <is>
          <t>营业中</t>
        </is>
      </c>
      <c r="M877" s="16" t="inlineStr">
        <is>
          <t>EERAG23E0239160</t>
        </is>
      </c>
      <c r="N877" s="16">
        <f>LEFT(M877,12)</f>
        <v/>
      </c>
      <c r="O877" s="16" t="inlineStr">
        <is>
          <t>EERAG23E02, (39)Ivory, (160)160</t>
        </is>
      </c>
      <c r="P877" s="16" t="n">
        <v>399</v>
      </c>
      <c r="Q877" s="16" t="n">
        <v>399</v>
      </c>
      <c r="R877" s="16" t="n">
        <v>2</v>
      </c>
      <c r="S877" s="16" t="n">
        <v>279</v>
      </c>
      <c r="T877" s="16" t="n">
        <v>2</v>
      </c>
    </row>
    <row r="878" s="103">
      <c r="A878" s="16" t="inlineStr">
        <is>
          <t>B331</t>
        </is>
      </c>
      <c r="B878" s="16" t="inlineStr">
        <is>
          <t>上海区域</t>
        </is>
      </c>
      <c r="C878" s="16" t="inlineStr">
        <is>
          <t>CN0Q</t>
        </is>
      </c>
      <c r="D878" s="16" t="inlineStr">
        <is>
          <t>EE 苏州比斯特购物村</t>
        </is>
      </c>
      <c r="E878" s="16" t="n">
        <v>4</v>
      </c>
      <c r="F878" s="16" t="inlineStr">
        <is>
          <t>奥特莱斯</t>
        </is>
      </c>
      <c r="G878" s="16" t="inlineStr">
        <is>
          <t>EERAG23E02</t>
        </is>
      </c>
      <c r="H878" s="16" t="n">
        <v>399</v>
      </c>
      <c r="I878" s="16" t="n">
        <v>399</v>
      </c>
      <c r="J878" s="17" t="inlineStr">
        <is>
          <t>########</t>
        </is>
      </c>
      <c r="K878" s="16" t="inlineStr">
        <is>
          <t>(39)Ivory</t>
        </is>
      </c>
      <c r="L878" s="16" t="inlineStr">
        <is>
          <t>营业中</t>
        </is>
      </c>
      <c r="M878" s="16" t="inlineStr">
        <is>
          <t>EERAG23E0239165</t>
        </is>
      </c>
      <c r="N878" s="16">
        <f>LEFT(M878,12)</f>
        <v/>
      </c>
      <c r="O878" s="16" t="inlineStr">
        <is>
          <t>EERAG23E02, (39)Ivory, (165)165</t>
        </is>
      </c>
      <c r="P878" s="16" t="n">
        <v>399</v>
      </c>
      <c r="Q878" s="16" t="n">
        <v>399</v>
      </c>
      <c r="R878" s="16" t="n">
        <v>1</v>
      </c>
      <c r="S878" s="16" t="n"/>
      <c r="T878" s="16" t="n">
        <v>3</v>
      </c>
    </row>
    <row r="879" s="103">
      <c r="A879" s="16" t="inlineStr">
        <is>
          <t>B331</t>
        </is>
      </c>
      <c r="B879" s="16" t="inlineStr">
        <is>
          <t>上海区域</t>
        </is>
      </c>
      <c r="C879" s="16" t="inlineStr">
        <is>
          <t>CN0Q</t>
        </is>
      </c>
      <c r="D879" s="16" t="inlineStr">
        <is>
          <t>EE 苏州比斯特购物村</t>
        </is>
      </c>
      <c r="E879" s="16" t="n">
        <v>4</v>
      </c>
      <c r="F879" s="16" t="inlineStr">
        <is>
          <t>奥特莱斯</t>
        </is>
      </c>
      <c r="G879" s="16" t="inlineStr">
        <is>
          <t>EERAG23E02</t>
        </is>
      </c>
      <c r="H879" s="16" t="n">
        <v>399</v>
      </c>
      <c r="I879" s="16" t="n">
        <v>399</v>
      </c>
      <c r="J879" s="17" t="inlineStr">
        <is>
          <t>########</t>
        </is>
      </c>
      <c r="K879" s="16" t="inlineStr">
        <is>
          <t>(39)Ivory</t>
        </is>
      </c>
      <c r="L879" s="16" t="inlineStr">
        <is>
          <t>营业中</t>
        </is>
      </c>
      <c r="M879" s="16" t="inlineStr">
        <is>
          <t>EERAG23E0239170</t>
        </is>
      </c>
      <c r="N879" s="16">
        <f>LEFT(M879,12)</f>
        <v/>
      </c>
      <c r="O879" s="16" t="inlineStr">
        <is>
          <t>EERAG23E02, (39)Ivory, (170)170</t>
        </is>
      </c>
      <c r="P879" s="16" t="n">
        <v>399</v>
      </c>
      <c r="Q879" s="16" t="n">
        <v>399</v>
      </c>
      <c r="R879" s="16" t="n"/>
      <c r="S879" s="16" t="n"/>
      <c r="T879" s="16" t="n">
        <v>2</v>
      </c>
    </row>
    <row r="880" s="103">
      <c r="A880" s="16" t="inlineStr">
        <is>
          <t>B331</t>
        </is>
      </c>
      <c r="B880" s="16" t="inlineStr">
        <is>
          <t>上海区域</t>
        </is>
      </c>
      <c r="C880" s="16" t="inlineStr">
        <is>
          <t>CN0Q</t>
        </is>
      </c>
      <c r="D880" s="16" t="inlineStr">
        <is>
          <t>EE 苏州比斯特购物村</t>
        </is>
      </c>
      <c r="E880" s="16" t="n">
        <v>4</v>
      </c>
      <c r="F880" s="16" t="inlineStr">
        <is>
          <t>奥特莱斯</t>
        </is>
      </c>
      <c r="G880" s="16" t="inlineStr">
        <is>
          <t>EERAG23E02</t>
        </is>
      </c>
      <c r="H880" s="16" t="n">
        <v>399</v>
      </c>
      <c r="I880" s="16" t="n">
        <v>399</v>
      </c>
      <c r="J880" s="17" t="inlineStr">
        <is>
          <t>########</t>
        </is>
      </c>
      <c r="K880" s="16" t="inlineStr">
        <is>
          <t>(39)Ivory</t>
        </is>
      </c>
      <c r="L880" s="16" t="inlineStr">
        <is>
          <t>营业中</t>
        </is>
      </c>
      <c r="M880" s="16" t="inlineStr">
        <is>
          <t>EERAG23E0239175</t>
        </is>
      </c>
      <c r="N880" s="16">
        <f>LEFT(M880,12)</f>
        <v/>
      </c>
      <c r="O880" s="16" t="inlineStr">
        <is>
          <t>EERAG23E02, (39)Ivory, (175)175</t>
        </is>
      </c>
      <c r="P880" s="16" t="n">
        <v>399</v>
      </c>
      <c r="Q880" s="16" t="n">
        <v>399</v>
      </c>
      <c r="R880" s="16" t="n"/>
      <c r="S880" s="16" t="n"/>
      <c r="T880" s="16" t="n">
        <v>2</v>
      </c>
    </row>
    <row r="881" s="103">
      <c r="A881" s="16" t="inlineStr">
        <is>
          <t>B331</t>
        </is>
      </c>
      <c r="B881" s="16" t="inlineStr">
        <is>
          <t>上海区域</t>
        </is>
      </c>
      <c r="C881" s="16" t="inlineStr">
        <is>
          <t>CN0Q</t>
        </is>
      </c>
      <c r="D881" s="16" t="inlineStr">
        <is>
          <t>EE 苏州比斯特购物村</t>
        </is>
      </c>
      <c r="E881" s="16" t="n">
        <v>4</v>
      </c>
      <c r="F881" s="16" t="inlineStr">
        <is>
          <t>奥特莱斯</t>
        </is>
      </c>
      <c r="G881" s="16" t="inlineStr">
        <is>
          <t>EERAG24B05</t>
        </is>
      </c>
      <c r="H881" s="16" t="n">
        <v>499</v>
      </c>
      <c r="I881" s="16" t="n">
        <v>499</v>
      </c>
      <c r="J881" s="17" t="inlineStr">
        <is>
          <t>########</t>
        </is>
      </c>
      <c r="K881" s="16" t="inlineStr">
        <is>
          <t>(18)M/Grey</t>
        </is>
      </c>
      <c r="L881" s="16" t="inlineStr">
        <is>
          <t>营业中</t>
        </is>
      </c>
      <c r="M881" s="16" t="inlineStr">
        <is>
          <t>EERAG24B0518160</t>
        </is>
      </c>
      <c r="N881" s="16">
        <f>LEFT(M881,12)</f>
        <v/>
      </c>
      <c r="O881" s="16" t="inlineStr">
        <is>
          <t>EERAG24B05, (18)M/Grey, (160)160</t>
        </is>
      </c>
      <c r="P881" s="16" t="n">
        <v>499</v>
      </c>
      <c r="Q881" s="16" t="n">
        <v>499</v>
      </c>
      <c r="R881" s="16" t="n"/>
      <c r="S881" s="16" t="n"/>
      <c r="T881" s="16" t="n">
        <v>2</v>
      </c>
    </row>
    <row r="882" s="103">
      <c r="A882" s="16" t="inlineStr">
        <is>
          <t>B331</t>
        </is>
      </c>
      <c r="B882" s="16" t="inlineStr">
        <is>
          <t>上海区域</t>
        </is>
      </c>
      <c r="C882" s="16" t="inlineStr">
        <is>
          <t>CN0Q</t>
        </is>
      </c>
      <c r="D882" s="16" t="inlineStr">
        <is>
          <t>EE 苏州比斯特购物村</t>
        </is>
      </c>
      <c r="E882" s="16" t="n">
        <v>4</v>
      </c>
      <c r="F882" s="16" t="inlineStr">
        <is>
          <t>奥特莱斯</t>
        </is>
      </c>
      <c r="G882" s="16" t="inlineStr">
        <is>
          <t>EERAG24B05</t>
        </is>
      </c>
      <c r="H882" s="16" t="n">
        <v>499</v>
      </c>
      <c r="I882" s="16" t="n">
        <v>499</v>
      </c>
      <c r="J882" s="17" t="inlineStr">
        <is>
          <t>########</t>
        </is>
      </c>
      <c r="K882" s="16" t="inlineStr">
        <is>
          <t>(18)M/Grey</t>
        </is>
      </c>
      <c r="L882" s="16" t="inlineStr">
        <is>
          <t>营业中</t>
        </is>
      </c>
      <c r="M882" s="16" t="inlineStr">
        <is>
          <t>EERAG24B0518165</t>
        </is>
      </c>
      <c r="N882" s="16">
        <f>LEFT(M882,12)</f>
        <v/>
      </c>
      <c r="O882" s="16" t="inlineStr">
        <is>
          <t>EERAG24B05, (18)M/Grey, (165)165</t>
        </is>
      </c>
      <c r="P882" s="16" t="n">
        <v>499</v>
      </c>
      <c r="Q882" s="16" t="n">
        <v>499</v>
      </c>
      <c r="R882" s="16" t="n"/>
      <c r="S882" s="16" t="n"/>
      <c r="T882" s="16" t="n">
        <v>2</v>
      </c>
    </row>
    <row r="883" s="103">
      <c r="A883" s="16" t="inlineStr">
        <is>
          <t>B331</t>
        </is>
      </c>
      <c r="B883" s="16" t="inlineStr">
        <is>
          <t>上海区域</t>
        </is>
      </c>
      <c r="C883" s="16" t="inlineStr">
        <is>
          <t>CN0Q</t>
        </is>
      </c>
      <c r="D883" s="16" t="inlineStr">
        <is>
          <t>EE 苏州比斯特购物村</t>
        </is>
      </c>
      <c r="E883" s="16" t="n">
        <v>4</v>
      </c>
      <c r="F883" s="16" t="inlineStr">
        <is>
          <t>奥特莱斯</t>
        </is>
      </c>
      <c r="G883" s="16" t="inlineStr">
        <is>
          <t>EERAG24B05</t>
        </is>
      </c>
      <c r="H883" s="16" t="n">
        <v>499</v>
      </c>
      <c r="I883" s="16" t="n">
        <v>499</v>
      </c>
      <c r="J883" s="17" t="inlineStr">
        <is>
          <t>########</t>
        </is>
      </c>
      <c r="K883" s="16" t="inlineStr">
        <is>
          <t>(18)M/Grey</t>
        </is>
      </c>
      <c r="L883" s="16" t="inlineStr">
        <is>
          <t>营业中</t>
        </is>
      </c>
      <c r="M883" s="16" t="inlineStr">
        <is>
          <t>EERAG24B0518170</t>
        </is>
      </c>
      <c r="N883" s="16">
        <f>LEFT(M883,12)</f>
        <v/>
      </c>
      <c r="O883" s="16" t="inlineStr">
        <is>
          <t>EERAG24B05, (18)M/Grey, (170)170</t>
        </is>
      </c>
      <c r="P883" s="16" t="n">
        <v>499</v>
      </c>
      <c r="Q883" s="16" t="n">
        <v>499</v>
      </c>
      <c r="R883" s="16" t="n">
        <v>1</v>
      </c>
      <c r="S883" s="16" t="n">
        <v>349</v>
      </c>
      <c r="T883" s="16" t="n">
        <v>1</v>
      </c>
    </row>
    <row r="884" s="103">
      <c r="A884" s="16" t="inlineStr">
        <is>
          <t>B331</t>
        </is>
      </c>
      <c r="B884" s="16" t="inlineStr">
        <is>
          <t>上海区域</t>
        </is>
      </c>
      <c r="C884" s="16" t="inlineStr">
        <is>
          <t>CN0Q</t>
        </is>
      </c>
      <c r="D884" s="16" t="inlineStr">
        <is>
          <t>EE 苏州比斯特购物村</t>
        </is>
      </c>
      <c r="E884" s="16" t="n">
        <v>4</v>
      </c>
      <c r="F884" s="16" t="inlineStr">
        <is>
          <t>奥特莱斯</t>
        </is>
      </c>
      <c r="G884" s="16" t="inlineStr">
        <is>
          <t>EERAG24B05</t>
        </is>
      </c>
      <c r="H884" s="16" t="n">
        <v>499</v>
      </c>
      <c r="I884" s="16" t="n">
        <v>499</v>
      </c>
      <c r="J884" s="17" t="inlineStr">
        <is>
          <t>########</t>
        </is>
      </c>
      <c r="K884" s="16" t="inlineStr">
        <is>
          <t>(39)Ivory</t>
        </is>
      </c>
      <c r="L884" s="16" t="inlineStr">
        <is>
          <t>营业中</t>
        </is>
      </c>
      <c r="M884" s="16" t="inlineStr">
        <is>
          <t>EERAG24B0539160</t>
        </is>
      </c>
      <c r="N884" s="16">
        <f>LEFT(M884,12)</f>
        <v/>
      </c>
      <c r="O884" s="16" t="inlineStr">
        <is>
          <t>EERAG24B05, (39)Ivory, (160)160</t>
        </is>
      </c>
      <c r="P884" s="16" t="n">
        <v>499</v>
      </c>
      <c r="Q884" s="16" t="n">
        <v>499</v>
      </c>
      <c r="R884" s="16" t="n"/>
      <c r="S884" s="16" t="n"/>
      <c r="T884" s="16" t="n">
        <v>2</v>
      </c>
    </row>
    <row r="885" s="103">
      <c r="A885" s="16" t="inlineStr">
        <is>
          <t>B331</t>
        </is>
      </c>
      <c r="B885" s="16" t="inlineStr">
        <is>
          <t>上海区域</t>
        </is>
      </c>
      <c r="C885" s="16" t="inlineStr">
        <is>
          <t>CN0Q</t>
        </is>
      </c>
      <c r="D885" s="16" t="inlineStr">
        <is>
          <t>EE 苏州比斯特购物村</t>
        </is>
      </c>
      <c r="E885" s="16" t="n">
        <v>4</v>
      </c>
      <c r="F885" s="16" t="inlineStr">
        <is>
          <t>奥特莱斯</t>
        </is>
      </c>
      <c r="G885" s="16" t="inlineStr">
        <is>
          <t>EERAG24B05</t>
        </is>
      </c>
      <c r="H885" s="16" t="n">
        <v>499</v>
      </c>
      <c r="I885" s="16" t="n">
        <v>499</v>
      </c>
      <c r="J885" s="17" t="inlineStr">
        <is>
          <t>########</t>
        </is>
      </c>
      <c r="K885" s="16" t="inlineStr">
        <is>
          <t>(39)Ivory</t>
        </is>
      </c>
      <c r="L885" s="16" t="inlineStr">
        <is>
          <t>营业中</t>
        </is>
      </c>
      <c r="M885" s="16" t="inlineStr">
        <is>
          <t>EERAG24B0539165</t>
        </is>
      </c>
      <c r="N885" s="16">
        <f>LEFT(M885,12)</f>
        <v/>
      </c>
      <c r="O885" s="16" t="inlineStr">
        <is>
          <t>EERAG24B05, (39)Ivory, (165)165</t>
        </is>
      </c>
      <c r="P885" s="16" t="n">
        <v>499</v>
      </c>
      <c r="Q885" s="16" t="n">
        <v>499</v>
      </c>
      <c r="R885" s="16" t="n"/>
      <c r="S885" s="16" t="n"/>
      <c r="T885" s="16" t="n">
        <v>4</v>
      </c>
    </row>
    <row r="886" s="103">
      <c r="A886" s="16" t="inlineStr">
        <is>
          <t>B331</t>
        </is>
      </c>
      <c r="B886" s="16" t="inlineStr">
        <is>
          <t>上海区域</t>
        </is>
      </c>
      <c r="C886" s="16" t="inlineStr">
        <is>
          <t>CN0Q</t>
        </is>
      </c>
      <c r="D886" s="16" t="inlineStr">
        <is>
          <t>EE 苏州比斯特购物村</t>
        </is>
      </c>
      <c r="E886" s="16" t="n">
        <v>4</v>
      </c>
      <c r="F886" s="16" t="inlineStr">
        <is>
          <t>奥特莱斯</t>
        </is>
      </c>
      <c r="G886" s="16" t="inlineStr">
        <is>
          <t>EERAG24B05</t>
        </is>
      </c>
      <c r="H886" s="16" t="n">
        <v>499</v>
      </c>
      <c r="I886" s="16" t="n">
        <v>499</v>
      </c>
      <c r="J886" s="17" t="inlineStr">
        <is>
          <t>########</t>
        </is>
      </c>
      <c r="K886" s="16" t="inlineStr">
        <is>
          <t>(39)Ivory</t>
        </is>
      </c>
      <c r="L886" s="16" t="inlineStr">
        <is>
          <t>营业中</t>
        </is>
      </c>
      <c r="M886" s="16" t="inlineStr">
        <is>
          <t>EERAG24B0539170</t>
        </is>
      </c>
      <c r="N886" s="16">
        <f>LEFT(M886,12)</f>
        <v/>
      </c>
      <c r="O886" s="16" t="inlineStr">
        <is>
          <t>EERAG24B05, (39)Ivory, (170)170</t>
        </is>
      </c>
      <c r="P886" s="16" t="n">
        <v>499</v>
      </c>
      <c r="Q886" s="16" t="n">
        <v>499</v>
      </c>
      <c r="R886" s="16" t="n"/>
      <c r="S886" s="16" t="n"/>
      <c r="T886" s="16" t="n">
        <v>2</v>
      </c>
    </row>
    <row r="887" s="103">
      <c r="A887" s="16" t="inlineStr">
        <is>
          <t>B331</t>
        </is>
      </c>
      <c r="B887" s="16" t="inlineStr">
        <is>
          <t>上海区域</t>
        </is>
      </c>
      <c r="C887" s="16" t="inlineStr">
        <is>
          <t>CN0Q</t>
        </is>
      </c>
      <c r="D887" s="16" t="inlineStr">
        <is>
          <t>EE 苏州比斯特购物村</t>
        </is>
      </c>
      <c r="E887" s="16" t="n">
        <v>4</v>
      </c>
      <c r="F887" s="16" t="inlineStr">
        <is>
          <t>奥特莱斯</t>
        </is>
      </c>
      <c r="G887" s="16" t="inlineStr">
        <is>
          <t>EERAG24B06</t>
        </is>
      </c>
      <c r="H887" s="16" t="n">
        <v>499</v>
      </c>
      <c r="I887" s="16" t="n">
        <v>499</v>
      </c>
      <c r="J887" s="17" t="inlineStr">
        <is>
          <t>########</t>
        </is>
      </c>
      <c r="K887" s="16" t="inlineStr">
        <is>
          <t>(18)M/Grey</t>
        </is>
      </c>
      <c r="L887" s="16" t="inlineStr">
        <is>
          <t>营业中</t>
        </is>
      </c>
      <c r="M887" s="16" t="inlineStr">
        <is>
          <t>EERAG24B0618160</t>
        </is>
      </c>
      <c r="N887" s="16">
        <f>LEFT(M887,12)</f>
        <v/>
      </c>
      <c r="O887" s="16" t="inlineStr">
        <is>
          <t>EERAG24B06, (18)M/Grey, (160)160</t>
        </is>
      </c>
      <c r="P887" s="16" t="n">
        <v>499</v>
      </c>
      <c r="Q887" s="16" t="n">
        <v>499</v>
      </c>
      <c r="R887" s="16" t="n">
        <v>2</v>
      </c>
      <c r="S887" s="16" t="n">
        <v>639</v>
      </c>
      <c r="T887" s="16" t="n">
        <v>2</v>
      </c>
    </row>
    <row r="888" s="103">
      <c r="A888" s="16" t="inlineStr">
        <is>
          <t>B331</t>
        </is>
      </c>
      <c r="B888" s="16" t="inlineStr">
        <is>
          <t>上海区域</t>
        </is>
      </c>
      <c r="C888" s="16" t="inlineStr">
        <is>
          <t>CN0Q</t>
        </is>
      </c>
      <c r="D888" s="16" t="inlineStr">
        <is>
          <t>EE 苏州比斯特购物村</t>
        </is>
      </c>
      <c r="E888" s="16" t="n">
        <v>4</v>
      </c>
      <c r="F888" s="16" t="inlineStr">
        <is>
          <t>奥特莱斯</t>
        </is>
      </c>
      <c r="G888" s="16" t="inlineStr">
        <is>
          <t>EERAG24B06</t>
        </is>
      </c>
      <c r="H888" s="16" t="n">
        <v>499</v>
      </c>
      <c r="I888" s="16" t="n">
        <v>499</v>
      </c>
      <c r="J888" s="17" t="inlineStr">
        <is>
          <t>########</t>
        </is>
      </c>
      <c r="K888" s="16" t="inlineStr">
        <is>
          <t>(18)M/Grey</t>
        </is>
      </c>
      <c r="L888" s="16" t="inlineStr">
        <is>
          <t>营业中</t>
        </is>
      </c>
      <c r="M888" s="16" t="inlineStr">
        <is>
          <t>EERAG24B0618165</t>
        </is>
      </c>
      <c r="N888" s="16">
        <f>LEFT(M888,12)</f>
        <v/>
      </c>
      <c r="O888" s="16" t="inlineStr">
        <is>
          <t>EERAG24B06, (18)M/Grey, (165)165</t>
        </is>
      </c>
      <c r="P888" s="16" t="n">
        <v>499</v>
      </c>
      <c r="Q888" s="16" t="n">
        <v>499</v>
      </c>
      <c r="R888" s="16" t="n">
        <v>2</v>
      </c>
      <c r="S888" s="16" t="n"/>
      <c r="T888" s="16" t="n">
        <v>4</v>
      </c>
    </row>
    <row r="889" s="103">
      <c r="A889" s="16" t="inlineStr">
        <is>
          <t>B331</t>
        </is>
      </c>
      <c r="B889" s="16" t="inlineStr">
        <is>
          <t>上海区域</t>
        </is>
      </c>
      <c r="C889" s="16" t="inlineStr">
        <is>
          <t>CN0Q</t>
        </is>
      </c>
      <c r="D889" s="16" t="inlineStr">
        <is>
          <t>EE 苏州比斯特购物村</t>
        </is>
      </c>
      <c r="E889" s="16" t="n">
        <v>4</v>
      </c>
      <c r="F889" s="16" t="inlineStr">
        <is>
          <t>奥特莱斯</t>
        </is>
      </c>
      <c r="G889" s="16" t="inlineStr">
        <is>
          <t>EERAG24B06</t>
        </is>
      </c>
      <c r="H889" s="16" t="n">
        <v>499</v>
      </c>
      <c r="I889" s="16" t="n">
        <v>499</v>
      </c>
      <c r="J889" s="17" t="inlineStr">
        <is>
          <t>########</t>
        </is>
      </c>
      <c r="K889" s="16" t="inlineStr">
        <is>
          <t>(18)M/Grey</t>
        </is>
      </c>
      <c r="L889" s="16" t="inlineStr">
        <is>
          <t>营业中</t>
        </is>
      </c>
      <c r="M889" s="16" t="inlineStr">
        <is>
          <t>EERAG24B0618170</t>
        </is>
      </c>
      <c r="N889" s="16">
        <f>LEFT(M889,12)</f>
        <v/>
      </c>
      <c r="O889" s="16" t="inlineStr">
        <is>
          <t>EERAG24B06, (18)M/Grey, (170)170</t>
        </is>
      </c>
      <c r="P889" s="16" t="n">
        <v>499</v>
      </c>
      <c r="Q889" s="16" t="n">
        <v>499</v>
      </c>
      <c r="R889" s="16" t="n">
        <v>2</v>
      </c>
      <c r="S889" s="16" t="n">
        <v>328</v>
      </c>
      <c r="T889" s="16" t="n">
        <v>3</v>
      </c>
    </row>
    <row r="890" s="103">
      <c r="A890" s="16" t="inlineStr">
        <is>
          <t>B331</t>
        </is>
      </c>
      <c r="B890" s="16" t="inlineStr">
        <is>
          <t>上海区域</t>
        </is>
      </c>
      <c r="C890" s="16" t="inlineStr">
        <is>
          <t>CN0Q</t>
        </is>
      </c>
      <c r="D890" s="16" t="inlineStr">
        <is>
          <t>EE 苏州比斯特购物村</t>
        </is>
      </c>
      <c r="E890" s="16" t="n">
        <v>4</v>
      </c>
      <c r="F890" s="16" t="inlineStr">
        <is>
          <t>奥特莱斯</t>
        </is>
      </c>
      <c r="G890" s="16" t="inlineStr">
        <is>
          <t>EERAG24B06</t>
        </is>
      </c>
      <c r="H890" s="16" t="n">
        <v>499</v>
      </c>
      <c r="I890" s="16" t="n">
        <v>499</v>
      </c>
      <c r="J890" s="17" t="inlineStr">
        <is>
          <t>########</t>
        </is>
      </c>
      <c r="K890" s="16" t="inlineStr">
        <is>
          <t>(59)Navy</t>
        </is>
      </c>
      <c r="L890" s="16" t="inlineStr">
        <is>
          <t>营业中</t>
        </is>
      </c>
      <c r="M890" s="16" t="inlineStr">
        <is>
          <t>EERAG24B0659160</t>
        </is>
      </c>
      <c r="N890" s="16">
        <f>LEFT(M890,12)</f>
        <v/>
      </c>
      <c r="O890" s="16" t="inlineStr">
        <is>
          <t>EERAG24B06, (59)Navy, (160)160</t>
        </is>
      </c>
      <c r="P890" s="16" t="n">
        <v>499</v>
      </c>
      <c r="Q890" s="16" t="n">
        <v>499</v>
      </c>
      <c r="R890" s="16" t="n"/>
      <c r="S890" s="16" t="n"/>
      <c r="T890" s="16" t="n">
        <v>2</v>
      </c>
    </row>
    <row r="891" s="103">
      <c r="A891" s="16" t="inlineStr">
        <is>
          <t>B331</t>
        </is>
      </c>
      <c r="B891" s="16" t="inlineStr">
        <is>
          <t>上海区域</t>
        </is>
      </c>
      <c r="C891" s="16" t="inlineStr">
        <is>
          <t>CN0Q</t>
        </is>
      </c>
      <c r="D891" s="16" t="inlineStr">
        <is>
          <t>EE 苏州比斯特购物村</t>
        </is>
      </c>
      <c r="E891" s="16" t="n">
        <v>4</v>
      </c>
      <c r="F891" s="16" t="inlineStr">
        <is>
          <t>奥特莱斯</t>
        </is>
      </c>
      <c r="G891" s="16" t="inlineStr">
        <is>
          <t>EERAG24B06</t>
        </is>
      </c>
      <c r="H891" s="16" t="n">
        <v>499</v>
      </c>
      <c r="I891" s="16" t="n">
        <v>499</v>
      </c>
      <c r="J891" s="17" t="inlineStr">
        <is>
          <t>########</t>
        </is>
      </c>
      <c r="K891" s="16" t="inlineStr">
        <is>
          <t>(59)Navy</t>
        </is>
      </c>
      <c r="L891" s="16" t="inlineStr">
        <is>
          <t>营业中</t>
        </is>
      </c>
      <c r="M891" s="16" t="inlineStr">
        <is>
          <t>EERAG24B0659165</t>
        </is>
      </c>
      <c r="N891" s="16">
        <f>LEFT(M891,12)</f>
        <v/>
      </c>
      <c r="O891" s="16" t="inlineStr">
        <is>
          <t>EERAG24B06, (59)Navy, (165)165</t>
        </is>
      </c>
      <c r="P891" s="16" t="n">
        <v>499</v>
      </c>
      <c r="Q891" s="16" t="n">
        <v>499</v>
      </c>
      <c r="R891" s="16" t="n">
        <v>1</v>
      </c>
      <c r="S891" s="16" t="n"/>
      <c r="T891" s="16" t="n">
        <v>2</v>
      </c>
    </row>
    <row r="892" s="103">
      <c r="A892" s="16" t="inlineStr">
        <is>
          <t>B331</t>
        </is>
      </c>
      <c r="B892" s="16" t="inlineStr">
        <is>
          <t>上海区域</t>
        </is>
      </c>
      <c r="C892" s="16" t="inlineStr">
        <is>
          <t>CN0Q</t>
        </is>
      </c>
      <c r="D892" s="16" t="inlineStr">
        <is>
          <t>EE 苏州比斯特购物村</t>
        </is>
      </c>
      <c r="E892" s="16" t="n">
        <v>4</v>
      </c>
      <c r="F892" s="16" t="inlineStr">
        <is>
          <t>奥特莱斯</t>
        </is>
      </c>
      <c r="G892" s="16" t="inlineStr">
        <is>
          <t>EERAG24B06</t>
        </is>
      </c>
      <c r="H892" s="16" t="n">
        <v>499</v>
      </c>
      <c r="I892" s="16" t="n">
        <v>499</v>
      </c>
      <c r="J892" s="17" t="inlineStr">
        <is>
          <t>########</t>
        </is>
      </c>
      <c r="K892" s="16" t="inlineStr">
        <is>
          <t>(59)Navy</t>
        </is>
      </c>
      <c r="L892" s="16" t="inlineStr">
        <is>
          <t>营业中</t>
        </is>
      </c>
      <c r="M892" s="16" t="inlineStr">
        <is>
          <t>EERAG24B0659170</t>
        </is>
      </c>
      <c r="N892" s="16">
        <f>LEFT(M892,12)</f>
        <v/>
      </c>
      <c r="O892" s="16" t="inlineStr">
        <is>
          <t>EERAG24B06, (59)Navy, (170)170</t>
        </is>
      </c>
      <c r="P892" s="16" t="n">
        <v>499</v>
      </c>
      <c r="Q892" s="16" t="n">
        <v>499</v>
      </c>
      <c r="R892" s="16" t="n"/>
      <c r="S892" s="16" t="n"/>
      <c r="T892" s="16" t="n">
        <v>2</v>
      </c>
    </row>
    <row r="893" s="103">
      <c r="A893" s="16" t="inlineStr">
        <is>
          <t>B331</t>
        </is>
      </c>
      <c r="B893" s="16" t="inlineStr">
        <is>
          <t>上海区域</t>
        </is>
      </c>
      <c r="C893" s="16" t="inlineStr">
        <is>
          <t>CN0Q</t>
        </is>
      </c>
      <c r="D893" s="16" t="inlineStr">
        <is>
          <t>EE 苏州比斯特购物村</t>
        </is>
      </c>
      <c r="E893" s="16" t="n">
        <v>4</v>
      </c>
      <c r="F893" s="16" t="inlineStr">
        <is>
          <t>奥特莱斯</t>
        </is>
      </c>
      <c r="G893" s="16" t="inlineStr">
        <is>
          <t>EERAG24E01</t>
        </is>
      </c>
      <c r="H893" s="16" t="n">
        <v>399</v>
      </c>
      <c r="I893" s="16" t="n">
        <v>399</v>
      </c>
      <c r="J893" s="17" t="inlineStr">
        <is>
          <t>########</t>
        </is>
      </c>
      <c r="K893" s="16" t="inlineStr">
        <is>
          <t>(18)M/Grey</t>
        </is>
      </c>
      <c r="L893" s="16" t="inlineStr">
        <is>
          <t>营业中</t>
        </is>
      </c>
      <c r="M893" s="16" t="inlineStr">
        <is>
          <t>EERAG24E0118160</t>
        </is>
      </c>
      <c r="N893" s="16">
        <f>LEFT(M893,12)</f>
        <v/>
      </c>
      <c r="O893" s="16" t="inlineStr">
        <is>
          <t>EERAG24E01, (18)M/Grey, (160)160</t>
        </is>
      </c>
      <c r="P893" s="16" t="n">
        <v>399</v>
      </c>
      <c r="Q893" s="16" t="n">
        <v>399</v>
      </c>
      <c r="R893" s="16" t="n">
        <v>2</v>
      </c>
      <c r="S893" s="16" t="n">
        <v>507</v>
      </c>
      <c r="T893" s="16" t="n">
        <v>4</v>
      </c>
    </row>
    <row r="894" s="103">
      <c r="A894" s="16" t="inlineStr">
        <is>
          <t>B331</t>
        </is>
      </c>
      <c r="B894" s="16" t="inlineStr">
        <is>
          <t>上海区域</t>
        </is>
      </c>
      <c r="C894" s="16" t="inlineStr">
        <is>
          <t>CN0Q</t>
        </is>
      </c>
      <c r="D894" s="16" t="inlineStr">
        <is>
          <t>EE 苏州比斯特购物村</t>
        </is>
      </c>
      <c r="E894" s="16" t="n">
        <v>4</v>
      </c>
      <c r="F894" s="16" t="inlineStr">
        <is>
          <t>奥特莱斯</t>
        </is>
      </c>
      <c r="G894" s="16" t="inlineStr">
        <is>
          <t>EERAG24E01</t>
        </is>
      </c>
      <c r="H894" s="16" t="n">
        <v>399</v>
      </c>
      <c r="I894" s="16" t="n">
        <v>399</v>
      </c>
      <c r="J894" s="17" t="inlineStr">
        <is>
          <t>########</t>
        </is>
      </c>
      <c r="K894" s="16" t="inlineStr">
        <is>
          <t>(18)M/Grey</t>
        </is>
      </c>
      <c r="L894" s="16" t="inlineStr">
        <is>
          <t>营业中</t>
        </is>
      </c>
      <c r="M894" s="16" t="inlineStr">
        <is>
          <t>EERAG24E0118165</t>
        </is>
      </c>
      <c r="N894" s="16">
        <f>LEFT(M894,12)</f>
        <v/>
      </c>
      <c r="O894" s="16" t="inlineStr">
        <is>
          <t>EERAG24E01, (18)M/Grey, (165)165</t>
        </is>
      </c>
      <c r="P894" s="16" t="n">
        <v>399</v>
      </c>
      <c r="Q894" s="16" t="n">
        <v>399</v>
      </c>
      <c r="R894" s="16" t="n">
        <v>1</v>
      </c>
      <c r="S894" s="16" t="n">
        <v>252</v>
      </c>
      <c r="T894" s="16" t="n">
        <v>7</v>
      </c>
    </row>
    <row r="895" s="103">
      <c r="A895" s="16" t="inlineStr">
        <is>
          <t>B331</t>
        </is>
      </c>
      <c r="B895" s="16" t="inlineStr">
        <is>
          <t>上海区域</t>
        </is>
      </c>
      <c r="C895" s="16" t="inlineStr">
        <is>
          <t>CN0Q</t>
        </is>
      </c>
      <c r="D895" s="16" t="inlineStr">
        <is>
          <t>EE 苏州比斯特购物村</t>
        </is>
      </c>
      <c r="E895" s="16" t="n">
        <v>4</v>
      </c>
      <c r="F895" s="16" t="inlineStr">
        <is>
          <t>奥特莱斯</t>
        </is>
      </c>
      <c r="G895" s="16" t="inlineStr">
        <is>
          <t>EERAG24E01</t>
        </is>
      </c>
      <c r="H895" s="16" t="n">
        <v>399</v>
      </c>
      <c r="I895" s="16" t="n">
        <v>399</v>
      </c>
      <c r="J895" s="17" t="inlineStr">
        <is>
          <t>########</t>
        </is>
      </c>
      <c r="K895" s="16" t="inlineStr">
        <is>
          <t>(18)M/Grey</t>
        </is>
      </c>
      <c r="L895" s="16" t="inlineStr">
        <is>
          <t>营业中</t>
        </is>
      </c>
      <c r="M895" s="16" t="inlineStr">
        <is>
          <t>EERAG24E0118170</t>
        </is>
      </c>
      <c r="N895" s="16">
        <f>LEFT(M895,12)</f>
        <v/>
      </c>
      <c r="O895" s="16" t="inlineStr">
        <is>
          <t>EERAG24E01, (18)M/Grey, (170)170</t>
        </is>
      </c>
      <c r="P895" s="16" t="n">
        <v>399</v>
      </c>
      <c r="Q895" s="16" t="n">
        <v>399</v>
      </c>
      <c r="R895" s="16" t="n">
        <v>1</v>
      </c>
      <c r="S895" s="16" t="n"/>
      <c r="T895" s="16" t="n">
        <v>6</v>
      </c>
    </row>
    <row r="896" s="103">
      <c r="A896" s="16" t="inlineStr">
        <is>
          <t>B331</t>
        </is>
      </c>
      <c r="B896" s="16" t="inlineStr">
        <is>
          <t>上海区域</t>
        </is>
      </c>
      <c r="C896" s="16" t="inlineStr">
        <is>
          <t>CN0Q</t>
        </is>
      </c>
      <c r="D896" s="16" t="inlineStr">
        <is>
          <t>EE 苏州比斯特购物村</t>
        </is>
      </c>
      <c r="E896" s="16" t="n">
        <v>4</v>
      </c>
      <c r="F896" s="16" t="inlineStr">
        <is>
          <t>奥特莱斯</t>
        </is>
      </c>
      <c r="G896" s="16" t="inlineStr">
        <is>
          <t>EERAG24E01</t>
        </is>
      </c>
      <c r="H896" s="16" t="n">
        <v>399</v>
      </c>
      <c r="I896" s="16" t="n">
        <v>399</v>
      </c>
      <c r="J896" s="17" t="inlineStr">
        <is>
          <t>########</t>
        </is>
      </c>
      <c r="K896" s="16" t="inlineStr">
        <is>
          <t>(18)M/Grey</t>
        </is>
      </c>
      <c r="L896" s="16" t="inlineStr">
        <is>
          <t>营业中</t>
        </is>
      </c>
      <c r="M896" s="16" t="inlineStr">
        <is>
          <t>EERAG24E0118175</t>
        </is>
      </c>
      <c r="N896" s="16">
        <f>LEFT(M896,12)</f>
        <v/>
      </c>
      <c r="O896" s="16" t="inlineStr">
        <is>
          <t>EERAG24E01, (18)M/Grey, (175)175</t>
        </is>
      </c>
      <c r="P896" s="16" t="n">
        <v>399</v>
      </c>
      <c r="Q896" s="16" t="n">
        <v>399</v>
      </c>
      <c r="R896" s="16" t="n"/>
      <c r="S896" s="16" t="n"/>
      <c r="T896" s="16" t="n">
        <v>1</v>
      </c>
    </row>
    <row r="897" s="103">
      <c r="A897" s="16" t="inlineStr">
        <is>
          <t>B331</t>
        </is>
      </c>
      <c r="B897" s="16" t="inlineStr">
        <is>
          <t>上海区域</t>
        </is>
      </c>
      <c r="C897" s="16" t="inlineStr">
        <is>
          <t>CN0Q</t>
        </is>
      </c>
      <c r="D897" s="16" t="inlineStr">
        <is>
          <t>EE 苏州比斯特购物村</t>
        </is>
      </c>
      <c r="E897" s="16" t="n">
        <v>4</v>
      </c>
      <c r="F897" s="16" t="inlineStr">
        <is>
          <t>奥特莱斯</t>
        </is>
      </c>
      <c r="G897" s="16" t="inlineStr">
        <is>
          <t>EERAG24E01</t>
        </is>
      </c>
      <c r="H897" s="16" t="n">
        <v>399</v>
      </c>
      <c r="I897" s="16" t="n">
        <v>399</v>
      </c>
      <c r="J897" s="17" t="inlineStr">
        <is>
          <t>########</t>
        </is>
      </c>
      <c r="K897" s="16" t="inlineStr">
        <is>
          <t>(39)Ivory</t>
        </is>
      </c>
      <c r="L897" s="16" t="inlineStr">
        <is>
          <t>营业中</t>
        </is>
      </c>
      <c r="M897" s="16" t="inlineStr">
        <is>
          <t>EERAG24E0139160</t>
        </is>
      </c>
      <c r="N897" s="16">
        <f>LEFT(M897,12)</f>
        <v/>
      </c>
      <c r="O897" s="16" t="inlineStr">
        <is>
          <t>EERAG24E01, (39)Ivory, (160)160</t>
        </is>
      </c>
      <c r="P897" s="16" t="n">
        <v>399</v>
      </c>
      <c r="Q897" s="16" t="n">
        <v>399</v>
      </c>
      <c r="R897" s="16" t="n">
        <v>1</v>
      </c>
      <c r="S897" s="16" t="n">
        <v>256</v>
      </c>
      <c r="T897" s="16" t="n">
        <v>2</v>
      </c>
    </row>
    <row r="898" s="103">
      <c r="A898" s="16" t="inlineStr">
        <is>
          <t>B331</t>
        </is>
      </c>
      <c r="B898" s="16" t="inlineStr">
        <is>
          <t>上海区域</t>
        </is>
      </c>
      <c r="C898" s="16" t="inlineStr">
        <is>
          <t>CN0Q</t>
        </is>
      </c>
      <c r="D898" s="16" t="inlineStr">
        <is>
          <t>EE 苏州比斯特购物村</t>
        </is>
      </c>
      <c r="E898" s="16" t="n">
        <v>4</v>
      </c>
      <c r="F898" s="16" t="inlineStr">
        <is>
          <t>奥特莱斯</t>
        </is>
      </c>
      <c r="G898" s="16" t="inlineStr">
        <is>
          <t>EERAG24E01</t>
        </is>
      </c>
      <c r="H898" s="16" t="n">
        <v>399</v>
      </c>
      <c r="I898" s="16" t="n">
        <v>399</v>
      </c>
      <c r="J898" s="17" t="inlineStr">
        <is>
          <t>########</t>
        </is>
      </c>
      <c r="K898" s="16" t="inlineStr">
        <is>
          <t>(39)Ivory</t>
        </is>
      </c>
      <c r="L898" s="16" t="inlineStr">
        <is>
          <t>营业中</t>
        </is>
      </c>
      <c r="M898" s="16" t="inlineStr">
        <is>
          <t>EERAG24E0139165</t>
        </is>
      </c>
      <c r="N898" s="16">
        <f>LEFT(M898,12)</f>
        <v/>
      </c>
      <c r="O898" s="16" t="inlineStr">
        <is>
          <t>EERAG24E01, (39)Ivory, (165)165</t>
        </is>
      </c>
      <c r="P898" s="16" t="n">
        <v>399</v>
      </c>
      <c r="Q898" s="16" t="n">
        <v>399</v>
      </c>
      <c r="R898" s="16" t="n">
        <v>1</v>
      </c>
      <c r="S898" s="16" t="n">
        <v>258</v>
      </c>
      <c r="T898" s="16" t="n">
        <v>5</v>
      </c>
    </row>
    <row r="899" s="103">
      <c r="A899" s="16" t="inlineStr">
        <is>
          <t>B331</t>
        </is>
      </c>
      <c r="B899" s="16" t="inlineStr">
        <is>
          <t>上海区域</t>
        </is>
      </c>
      <c r="C899" s="16" t="inlineStr">
        <is>
          <t>CN0Q</t>
        </is>
      </c>
      <c r="D899" s="16" t="inlineStr">
        <is>
          <t>EE 苏州比斯特购物村</t>
        </is>
      </c>
      <c r="E899" s="16" t="n">
        <v>4</v>
      </c>
      <c r="F899" s="16" t="inlineStr">
        <is>
          <t>奥特莱斯</t>
        </is>
      </c>
      <c r="G899" s="16" t="inlineStr">
        <is>
          <t>EERAG24E01</t>
        </is>
      </c>
      <c r="H899" s="16" t="n">
        <v>399</v>
      </c>
      <c r="I899" s="16" t="n">
        <v>399</v>
      </c>
      <c r="J899" s="17" t="inlineStr">
        <is>
          <t>########</t>
        </is>
      </c>
      <c r="K899" s="16" t="inlineStr">
        <is>
          <t>(39)Ivory</t>
        </is>
      </c>
      <c r="L899" s="16" t="inlineStr">
        <is>
          <t>营业中</t>
        </is>
      </c>
      <c r="M899" s="16" t="inlineStr">
        <is>
          <t>EERAG24E0139170</t>
        </is>
      </c>
      <c r="N899" s="16">
        <f>LEFT(M899,12)</f>
        <v/>
      </c>
      <c r="O899" s="16" t="inlineStr">
        <is>
          <t>EERAG24E01, (39)Ivory, (170)170</t>
        </is>
      </c>
      <c r="P899" s="16" t="n">
        <v>399</v>
      </c>
      <c r="Q899" s="16" t="n">
        <v>399</v>
      </c>
      <c r="R899" s="16" t="n"/>
      <c r="S899" s="16" t="n"/>
      <c r="T899" s="16" t="n">
        <v>5</v>
      </c>
    </row>
    <row r="900" s="103">
      <c r="A900" s="16" t="inlineStr">
        <is>
          <t>B331</t>
        </is>
      </c>
      <c r="B900" s="16" t="inlineStr">
        <is>
          <t>上海区域</t>
        </is>
      </c>
      <c r="C900" s="16" t="inlineStr">
        <is>
          <t>CN0Q</t>
        </is>
      </c>
      <c r="D900" s="16" t="inlineStr">
        <is>
          <t>EE 苏州比斯特购物村</t>
        </is>
      </c>
      <c r="E900" s="16" t="n">
        <v>4</v>
      </c>
      <c r="F900" s="16" t="inlineStr">
        <is>
          <t>奥特莱斯</t>
        </is>
      </c>
      <c r="G900" s="16" t="inlineStr">
        <is>
          <t>EERAG24E01</t>
        </is>
      </c>
      <c r="H900" s="16" t="n">
        <v>399</v>
      </c>
      <c r="I900" s="16" t="n">
        <v>399</v>
      </c>
      <c r="J900" s="17" t="inlineStr">
        <is>
          <t>########</t>
        </is>
      </c>
      <c r="K900" s="16" t="inlineStr">
        <is>
          <t>(39)Ivory</t>
        </is>
      </c>
      <c r="L900" s="16" t="inlineStr">
        <is>
          <t>营业中</t>
        </is>
      </c>
      <c r="M900" s="16" t="inlineStr">
        <is>
          <t>EERAG24E0139175</t>
        </is>
      </c>
      <c r="N900" s="16">
        <f>LEFT(M900,12)</f>
        <v/>
      </c>
      <c r="O900" s="16" t="inlineStr">
        <is>
          <t>EERAG24E01, (39)Ivory, (175)175</t>
        </is>
      </c>
      <c r="P900" s="16" t="n">
        <v>399</v>
      </c>
      <c r="Q900" s="16" t="n">
        <v>399</v>
      </c>
      <c r="R900" s="16" t="n"/>
      <c r="S900" s="16" t="n"/>
      <c r="T900" s="16" t="n">
        <v>2</v>
      </c>
    </row>
    <row r="901" s="103">
      <c r="A901" s="16" t="inlineStr">
        <is>
          <t>B331</t>
        </is>
      </c>
      <c r="B901" s="16" t="inlineStr">
        <is>
          <t>上海区域</t>
        </is>
      </c>
      <c r="C901" s="16" t="inlineStr">
        <is>
          <t>CN0Q</t>
        </is>
      </c>
      <c r="D901" s="16" t="inlineStr">
        <is>
          <t>EE 苏州比斯特购物村</t>
        </is>
      </c>
      <c r="E901" s="16" t="n">
        <v>4</v>
      </c>
      <c r="F901" s="16" t="inlineStr">
        <is>
          <t>奥特莱斯</t>
        </is>
      </c>
      <c r="G901" s="16" t="inlineStr">
        <is>
          <t>EERAG24E01</t>
        </is>
      </c>
      <c r="H901" s="16" t="n">
        <v>399</v>
      </c>
      <c r="I901" s="16" t="n">
        <v>399</v>
      </c>
      <c r="J901" s="17" t="inlineStr">
        <is>
          <t>########</t>
        </is>
      </c>
      <c r="K901" s="16" t="inlineStr">
        <is>
          <t>(51)L/Blue</t>
        </is>
      </c>
      <c r="L901" s="16" t="inlineStr">
        <is>
          <t>营业中</t>
        </is>
      </c>
      <c r="M901" s="16" t="inlineStr">
        <is>
          <t>EERAG24E0151160</t>
        </is>
      </c>
      <c r="N901" s="16">
        <f>LEFT(M901,12)</f>
        <v/>
      </c>
      <c r="O901" s="16" t="inlineStr">
        <is>
          <t>EERAG24E01, (51)L/Blue, (160)160</t>
        </is>
      </c>
      <c r="P901" s="16" t="n">
        <v>399</v>
      </c>
      <c r="Q901" s="16" t="n">
        <v>399</v>
      </c>
      <c r="R901" s="16" t="n"/>
      <c r="S901" s="16" t="n"/>
      <c r="T901" s="16" t="n">
        <v>4</v>
      </c>
    </row>
    <row r="902" s="103">
      <c r="A902" s="16" t="inlineStr">
        <is>
          <t>B331</t>
        </is>
      </c>
      <c r="B902" s="16" t="inlineStr">
        <is>
          <t>上海区域</t>
        </is>
      </c>
      <c r="C902" s="16" t="inlineStr">
        <is>
          <t>CN0Q</t>
        </is>
      </c>
      <c r="D902" s="16" t="inlineStr">
        <is>
          <t>EE 苏州比斯特购物村</t>
        </is>
      </c>
      <c r="E902" s="16" t="n">
        <v>4</v>
      </c>
      <c r="F902" s="16" t="inlineStr">
        <is>
          <t>奥特莱斯</t>
        </is>
      </c>
      <c r="G902" s="16" t="inlineStr">
        <is>
          <t>EERAG24E01</t>
        </is>
      </c>
      <c r="H902" s="16" t="n">
        <v>399</v>
      </c>
      <c r="I902" s="16" t="n">
        <v>399</v>
      </c>
      <c r="J902" s="17" t="inlineStr">
        <is>
          <t>########</t>
        </is>
      </c>
      <c r="K902" s="16" t="inlineStr">
        <is>
          <t>(51)L/Blue</t>
        </is>
      </c>
      <c r="L902" s="16" t="inlineStr">
        <is>
          <t>营业中</t>
        </is>
      </c>
      <c r="M902" s="16" t="inlineStr">
        <is>
          <t>EERAG24E0151165</t>
        </is>
      </c>
      <c r="N902" s="16">
        <f>LEFT(M902,12)</f>
        <v/>
      </c>
      <c r="O902" s="16" t="inlineStr">
        <is>
          <t>EERAG24E01, (51)L/Blue, (165)165</t>
        </is>
      </c>
      <c r="P902" s="16" t="n">
        <v>399</v>
      </c>
      <c r="Q902" s="16" t="n">
        <v>399</v>
      </c>
      <c r="R902" s="16" t="n">
        <v>1</v>
      </c>
      <c r="S902" s="16" t="n">
        <v>120</v>
      </c>
      <c r="T902" s="16" t="n">
        <v>7</v>
      </c>
    </row>
    <row r="903" s="103">
      <c r="A903" s="16" t="inlineStr">
        <is>
          <t>B331</t>
        </is>
      </c>
      <c r="B903" s="16" t="inlineStr">
        <is>
          <t>上海区域</t>
        </is>
      </c>
      <c r="C903" s="16" t="inlineStr">
        <is>
          <t>CN0Q</t>
        </is>
      </c>
      <c r="D903" s="16" t="inlineStr">
        <is>
          <t>EE 苏州比斯特购物村</t>
        </is>
      </c>
      <c r="E903" s="16" t="n">
        <v>4</v>
      </c>
      <c r="F903" s="16" t="inlineStr">
        <is>
          <t>奥特莱斯</t>
        </is>
      </c>
      <c r="G903" s="16" t="inlineStr">
        <is>
          <t>EERAG24E01</t>
        </is>
      </c>
      <c r="H903" s="16" t="n">
        <v>399</v>
      </c>
      <c r="I903" s="16" t="n">
        <v>399</v>
      </c>
      <c r="J903" s="17" t="inlineStr">
        <is>
          <t>########</t>
        </is>
      </c>
      <c r="K903" s="16" t="inlineStr">
        <is>
          <t>(51)L/Blue</t>
        </is>
      </c>
      <c r="L903" s="16" t="inlineStr">
        <is>
          <t>营业中</t>
        </is>
      </c>
      <c r="M903" s="16" t="inlineStr">
        <is>
          <t>EERAG24E0151170</t>
        </is>
      </c>
      <c r="N903" s="16">
        <f>LEFT(M903,12)</f>
        <v/>
      </c>
      <c r="O903" s="16" t="inlineStr">
        <is>
          <t>EERAG24E01, (51)L/Blue, (170)170</t>
        </is>
      </c>
      <c r="P903" s="16" t="n">
        <v>399</v>
      </c>
      <c r="Q903" s="16" t="n">
        <v>399</v>
      </c>
      <c r="R903" s="16" t="n">
        <v>2</v>
      </c>
      <c r="S903" s="16" t="n">
        <v>533</v>
      </c>
      <c r="T903" s="16" t="n">
        <v>4</v>
      </c>
    </row>
    <row r="904" s="103">
      <c r="A904" s="16" t="inlineStr">
        <is>
          <t>B331</t>
        </is>
      </c>
      <c r="B904" s="16" t="inlineStr">
        <is>
          <t>上海区域</t>
        </is>
      </c>
      <c r="C904" s="16" t="inlineStr">
        <is>
          <t>CN0Q</t>
        </is>
      </c>
      <c r="D904" s="16" t="inlineStr">
        <is>
          <t>EE 苏州比斯特购物村</t>
        </is>
      </c>
      <c r="E904" s="16" t="n">
        <v>4</v>
      </c>
      <c r="F904" s="16" t="inlineStr">
        <is>
          <t>奥特莱斯</t>
        </is>
      </c>
      <c r="G904" s="16" t="inlineStr">
        <is>
          <t>EERAG24E01</t>
        </is>
      </c>
      <c r="H904" s="16" t="n">
        <v>399</v>
      </c>
      <c r="I904" s="16" t="n">
        <v>399</v>
      </c>
      <c r="J904" s="17" t="inlineStr">
        <is>
          <t>########</t>
        </is>
      </c>
      <c r="K904" s="16" t="inlineStr">
        <is>
          <t>(51)L/Blue</t>
        </is>
      </c>
      <c r="L904" s="16" t="inlineStr">
        <is>
          <t>营业中</t>
        </is>
      </c>
      <c r="M904" s="16" t="inlineStr">
        <is>
          <t>EERAG24E0151175</t>
        </is>
      </c>
      <c r="N904" s="16">
        <f>LEFT(M904,12)</f>
        <v/>
      </c>
      <c r="O904" s="16" t="inlineStr">
        <is>
          <t>EERAG24E01, (51)L/Blue, (175)175</t>
        </is>
      </c>
      <c r="P904" s="16" t="n">
        <v>399</v>
      </c>
      <c r="Q904" s="16" t="n">
        <v>399</v>
      </c>
      <c r="R904" s="16" t="n"/>
      <c r="S904" s="16" t="n"/>
      <c r="T904" s="16" t="n">
        <v>1</v>
      </c>
    </row>
    <row r="905" s="103">
      <c r="A905" s="16" t="inlineStr">
        <is>
          <t>B331</t>
        </is>
      </c>
      <c r="B905" s="16" t="inlineStr">
        <is>
          <t>上海区域</t>
        </is>
      </c>
      <c r="C905" s="16" t="inlineStr">
        <is>
          <t>CN0Q</t>
        </is>
      </c>
      <c r="D905" s="16" t="inlineStr">
        <is>
          <t>EE 苏州比斯特购物村</t>
        </is>
      </c>
      <c r="E905" s="16" t="n">
        <v>4</v>
      </c>
      <c r="F905" s="16" t="inlineStr">
        <is>
          <t>奥特莱斯</t>
        </is>
      </c>
      <c r="G905" s="16" t="inlineStr">
        <is>
          <t>EERAG24E02</t>
        </is>
      </c>
      <c r="H905" s="16" t="n">
        <v>499</v>
      </c>
      <c r="I905" s="16" t="n">
        <v>499</v>
      </c>
      <c r="J905" s="17" t="inlineStr">
        <is>
          <t>########</t>
        </is>
      </c>
      <c r="K905" s="16" t="inlineStr">
        <is>
          <t>(15)Grey</t>
        </is>
      </c>
      <c r="L905" s="16" t="inlineStr">
        <is>
          <t>营业中</t>
        </is>
      </c>
      <c r="M905" s="16" t="inlineStr">
        <is>
          <t>EERAG24E0215160</t>
        </is>
      </c>
      <c r="N905" s="16">
        <f>LEFT(M905,12)</f>
        <v/>
      </c>
      <c r="O905" s="16" t="inlineStr">
        <is>
          <t>EERAG24E02, (15)Grey, (160)160</t>
        </is>
      </c>
      <c r="P905" s="16" t="n">
        <v>499</v>
      </c>
      <c r="Q905" s="16" t="n">
        <v>499</v>
      </c>
      <c r="R905" s="16" t="n"/>
      <c r="S905" s="16" t="n"/>
      <c r="T905" s="16" t="n">
        <v>2</v>
      </c>
    </row>
    <row r="906" s="103">
      <c r="A906" s="16" t="inlineStr">
        <is>
          <t>B331</t>
        </is>
      </c>
      <c r="B906" s="16" t="inlineStr">
        <is>
          <t>上海区域</t>
        </is>
      </c>
      <c r="C906" s="16" t="inlineStr">
        <is>
          <t>CN0Q</t>
        </is>
      </c>
      <c r="D906" s="16" t="inlineStr">
        <is>
          <t>EE 苏州比斯特购物村</t>
        </is>
      </c>
      <c r="E906" s="16" t="n">
        <v>4</v>
      </c>
      <c r="F906" s="16" t="inlineStr">
        <is>
          <t>奥特莱斯</t>
        </is>
      </c>
      <c r="G906" s="16" t="inlineStr">
        <is>
          <t>EERAG24E02</t>
        </is>
      </c>
      <c r="H906" s="16" t="n">
        <v>499</v>
      </c>
      <c r="I906" s="16" t="n">
        <v>499</v>
      </c>
      <c r="J906" s="17" t="inlineStr">
        <is>
          <t>########</t>
        </is>
      </c>
      <c r="K906" s="16" t="inlineStr">
        <is>
          <t>(15)Grey</t>
        </is>
      </c>
      <c r="L906" s="16" t="inlineStr">
        <is>
          <t>营业中</t>
        </is>
      </c>
      <c r="M906" s="16" t="inlineStr">
        <is>
          <t>EERAG24E0215165</t>
        </is>
      </c>
      <c r="N906" s="16">
        <f>LEFT(M906,12)</f>
        <v/>
      </c>
      <c r="O906" s="16" t="inlineStr">
        <is>
          <t>EERAG24E02, (15)Grey, (165)165</t>
        </is>
      </c>
      <c r="P906" s="16" t="n">
        <v>499</v>
      </c>
      <c r="Q906" s="16" t="n">
        <v>499</v>
      </c>
      <c r="R906" s="16" t="n"/>
      <c r="S906" s="16" t="n"/>
      <c r="T906" s="16" t="n">
        <v>2</v>
      </c>
    </row>
    <row r="907" s="103">
      <c r="A907" s="16" t="inlineStr">
        <is>
          <t>B331</t>
        </is>
      </c>
      <c r="B907" s="16" t="inlineStr">
        <is>
          <t>上海区域</t>
        </is>
      </c>
      <c r="C907" s="16" t="inlineStr">
        <is>
          <t>CN0Q</t>
        </is>
      </c>
      <c r="D907" s="16" t="inlineStr">
        <is>
          <t>EE 苏州比斯特购物村</t>
        </is>
      </c>
      <c r="E907" s="16" t="n">
        <v>4</v>
      </c>
      <c r="F907" s="16" t="inlineStr">
        <is>
          <t>奥特莱斯</t>
        </is>
      </c>
      <c r="G907" s="16" t="inlineStr">
        <is>
          <t>EERAG24E02</t>
        </is>
      </c>
      <c r="H907" s="16" t="n">
        <v>499</v>
      </c>
      <c r="I907" s="16" t="n">
        <v>499</v>
      </c>
      <c r="J907" s="17" t="inlineStr">
        <is>
          <t>########</t>
        </is>
      </c>
      <c r="K907" s="16" t="inlineStr">
        <is>
          <t>(15)Grey</t>
        </is>
      </c>
      <c r="L907" s="16" t="inlineStr">
        <is>
          <t>营业中</t>
        </is>
      </c>
      <c r="M907" s="16" t="inlineStr">
        <is>
          <t>EERAG24E0215170</t>
        </is>
      </c>
      <c r="N907" s="16">
        <f>LEFT(M907,12)</f>
        <v/>
      </c>
      <c r="O907" s="16" t="inlineStr">
        <is>
          <t>EERAG24E02, (15)Grey, (170)170</t>
        </is>
      </c>
      <c r="P907" s="16" t="n">
        <v>499</v>
      </c>
      <c r="Q907" s="16" t="n">
        <v>499</v>
      </c>
      <c r="R907" s="16" t="n"/>
      <c r="S907" s="16" t="n"/>
      <c r="T907" s="16" t="n">
        <v>2</v>
      </c>
    </row>
    <row r="908" s="103">
      <c r="A908" s="16" t="inlineStr">
        <is>
          <t>B331</t>
        </is>
      </c>
      <c r="B908" s="16" t="inlineStr">
        <is>
          <t>上海区域</t>
        </is>
      </c>
      <c r="C908" s="16" t="inlineStr">
        <is>
          <t>CN0Q</t>
        </is>
      </c>
      <c r="D908" s="16" t="inlineStr">
        <is>
          <t>EE 苏州比斯特购物村</t>
        </is>
      </c>
      <c r="E908" s="16" t="n">
        <v>4</v>
      </c>
      <c r="F908" s="16" t="inlineStr">
        <is>
          <t>奥特莱斯</t>
        </is>
      </c>
      <c r="G908" s="16" t="inlineStr">
        <is>
          <t>EERAG24E02</t>
        </is>
      </c>
      <c r="H908" s="16" t="n">
        <v>499</v>
      </c>
      <c r="I908" s="16" t="n">
        <v>499</v>
      </c>
      <c r="J908" s="17" t="inlineStr">
        <is>
          <t>########</t>
        </is>
      </c>
      <c r="K908" s="16" t="inlineStr">
        <is>
          <t>(15)Grey</t>
        </is>
      </c>
      <c r="L908" s="16" t="inlineStr">
        <is>
          <t>营业中</t>
        </is>
      </c>
      <c r="M908" s="16" t="inlineStr">
        <is>
          <t>EERAG24E0215175</t>
        </is>
      </c>
      <c r="N908" s="16">
        <f>LEFT(M908,12)</f>
        <v/>
      </c>
      <c r="O908" s="16" t="inlineStr">
        <is>
          <t>EERAG24E02, (15)Grey, (175)175</t>
        </is>
      </c>
      <c r="P908" s="16" t="n">
        <v>499</v>
      </c>
      <c r="Q908" s="16" t="n">
        <v>499</v>
      </c>
      <c r="R908" s="16" t="n"/>
      <c r="S908" s="16" t="n"/>
      <c r="T908" s="16" t="n">
        <v>1</v>
      </c>
    </row>
    <row r="909" s="103">
      <c r="A909" s="16" t="inlineStr">
        <is>
          <t>B331</t>
        </is>
      </c>
      <c r="B909" s="16" t="inlineStr">
        <is>
          <t>上海区域</t>
        </is>
      </c>
      <c r="C909" s="16" t="inlineStr">
        <is>
          <t>CN0Q</t>
        </is>
      </c>
      <c r="D909" s="16" t="inlineStr">
        <is>
          <t>EE 苏州比斯特购物村</t>
        </is>
      </c>
      <c r="E909" s="16" t="n">
        <v>4</v>
      </c>
      <c r="F909" s="16" t="inlineStr">
        <is>
          <t>奥特莱斯</t>
        </is>
      </c>
      <c r="G909" s="16" t="inlineStr">
        <is>
          <t>EERAG24E02</t>
        </is>
      </c>
      <c r="H909" s="16" t="n">
        <v>499</v>
      </c>
      <c r="I909" s="16" t="n">
        <v>499</v>
      </c>
      <c r="J909" s="17" t="inlineStr">
        <is>
          <t>########</t>
        </is>
      </c>
      <c r="K909" s="16" t="inlineStr">
        <is>
          <t>(39)Ivory</t>
        </is>
      </c>
      <c r="L909" s="16" t="inlineStr">
        <is>
          <t>营业中</t>
        </is>
      </c>
      <c r="M909" s="16" t="inlineStr">
        <is>
          <t>EERAG24E0239160</t>
        </is>
      </c>
      <c r="N909" s="16">
        <f>LEFT(M909,12)</f>
        <v/>
      </c>
      <c r="O909" s="16" t="inlineStr">
        <is>
          <t>EERAG24E02, (39)Ivory, (160)160</t>
        </is>
      </c>
      <c r="P909" s="16" t="n">
        <v>499</v>
      </c>
      <c r="Q909" s="16" t="n">
        <v>499</v>
      </c>
      <c r="R909" s="16" t="n"/>
      <c r="S909" s="16" t="n"/>
      <c r="T909" s="16" t="n">
        <v>2</v>
      </c>
    </row>
    <row r="910" s="103">
      <c r="A910" s="16" t="inlineStr">
        <is>
          <t>B331</t>
        </is>
      </c>
      <c r="B910" s="16" t="inlineStr">
        <is>
          <t>上海区域</t>
        </is>
      </c>
      <c r="C910" s="16" t="inlineStr">
        <is>
          <t>CN0Q</t>
        </is>
      </c>
      <c r="D910" s="16" t="inlineStr">
        <is>
          <t>EE 苏州比斯特购物村</t>
        </is>
      </c>
      <c r="E910" s="16" t="n">
        <v>4</v>
      </c>
      <c r="F910" s="16" t="inlineStr">
        <is>
          <t>奥特莱斯</t>
        </is>
      </c>
      <c r="G910" s="16" t="inlineStr">
        <is>
          <t>EERAG24E02</t>
        </is>
      </c>
      <c r="H910" s="16" t="n">
        <v>499</v>
      </c>
      <c r="I910" s="16" t="n">
        <v>499</v>
      </c>
      <c r="J910" s="17" t="inlineStr">
        <is>
          <t>########</t>
        </is>
      </c>
      <c r="K910" s="16" t="inlineStr">
        <is>
          <t>(39)Ivory</t>
        </is>
      </c>
      <c r="L910" s="16" t="inlineStr">
        <is>
          <t>营业中</t>
        </is>
      </c>
      <c r="M910" s="16" t="inlineStr">
        <is>
          <t>EERAG24E0239165</t>
        </is>
      </c>
      <c r="N910" s="16">
        <f>LEFT(M910,12)</f>
        <v/>
      </c>
      <c r="O910" s="16" t="inlineStr">
        <is>
          <t>EERAG24E02, (39)Ivory, (165)165</t>
        </is>
      </c>
      <c r="P910" s="16" t="n">
        <v>499</v>
      </c>
      <c r="Q910" s="16" t="n">
        <v>499</v>
      </c>
      <c r="R910" s="16" t="n"/>
      <c r="S910" s="16" t="n"/>
      <c r="T910" s="16" t="n">
        <v>4</v>
      </c>
    </row>
    <row r="911" s="103">
      <c r="A911" s="16" t="inlineStr">
        <is>
          <t>B331</t>
        </is>
      </c>
      <c r="B911" s="16" t="inlineStr">
        <is>
          <t>上海区域</t>
        </is>
      </c>
      <c r="C911" s="16" t="inlineStr">
        <is>
          <t>CN0Q</t>
        </is>
      </c>
      <c r="D911" s="16" t="inlineStr">
        <is>
          <t>EE 苏州比斯特购物村</t>
        </is>
      </c>
      <c r="E911" s="16" t="n">
        <v>4</v>
      </c>
      <c r="F911" s="16" t="inlineStr">
        <is>
          <t>奥特莱斯</t>
        </is>
      </c>
      <c r="G911" s="16" t="inlineStr">
        <is>
          <t>EERAG24E02</t>
        </is>
      </c>
      <c r="H911" s="16" t="n">
        <v>499</v>
      </c>
      <c r="I911" s="16" t="n">
        <v>499</v>
      </c>
      <c r="J911" s="17" t="inlineStr">
        <is>
          <t>########</t>
        </is>
      </c>
      <c r="K911" s="16" t="inlineStr">
        <is>
          <t>(39)Ivory</t>
        </is>
      </c>
      <c r="L911" s="16" t="inlineStr">
        <is>
          <t>营业中</t>
        </is>
      </c>
      <c r="M911" s="16" t="inlineStr">
        <is>
          <t>EERAG24E0239170</t>
        </is>
      </c>
      <c r="N911" s="16">
        <f>LEFT(M911,12)</f>
        <v/>
      </c>
      <c r="O911" s="16" t="inlineStr">
        <is>
          <t>EERAG24E02, (39)Ivory, (170)170</t>
        </is>
      </c>
      <c r="P911" s="16" t="n">
        <v>499</v>
      </c>
      <c r="Q911" s="16" t="n">
        <v>499</v>
      </c>
      <c r="R911" s="16" t="n"/>
      <c r="S911" s="16" t="n"/>
      <c r="T911" s="16" t="n">
        <v>2</v>
      </c>
    </row>
    <row r="912" s="103">
      <c r="A912" s="16" t="inlineStr">
        <is>
          <t>B331</t>
        </is>
      </c>
      <c r="B912" s="16" t="inlineStr">
        <is>
          <t>上海区域</t>
        </is>
      </c>
      <c r="C912" s="16" t="inlineStr">
        <is>
          <t>CN0Q</t>
        </is>
      </c>
      <c r="D912" s="16" t="inlineStr">
        <is>
          <t>EE 苏州比斯特购物村</t>
        </is>
      </c>
      <c r="E912" s="16" t="n">
        <v>4</v>
      </c>
      <c r="F912" s="16" t="inlineStr">
        <is>
          <t>奥特莱斯</t>
        </is>
      </c>
      <c r="G912" s="16" t="inlineStr">
        <is>
          <t>EERAG24E02</t>
        </is>
      </c>
      <c r="H912" s="16" t="n">
        <v>499</v>
      </c>
      <c r="I912" s="16" t="n">
        <v>499</v>
      </c>
      <c r="J912" s="17" t="inlineStr">
        <is>
          <t>########</t>
        </is>
      </c>
      <c r="K912" s="16" t="inlineStr">
        <is>
          <t>(39)Ivory</t>
        </is>
      </c>
      <c r="L912" s="16" t="inlineStr">
        <is>
          <t>营业中</t>
        </is>
      </c>
      <c r="M912" s="16" t="inlineStr">
        <is>
          <t>EERAG24E0239175</t>
        </is>
      </c>
      <c r="N912" s="16">
        <f>LEFT(M912,12)</f>
        <v/>
      </c>
      <c r="O912" s="16" t="inlineStr">
        <is>
          <t>EERAG24E02, (39)Ivory, (175)175</t>
        </is>
      </c>
      <c r="P912" s="16" t="n">
        <v>499</v>
      </c>
      <c r="Q912" s="16" t="n">
        <v>499</v>
      </c>
      <c r="R912" s="16" t="n"/>
      <c r="S912" s="16" t="n"/>
      <c r="T912" s="16" t="n">
        <v>1</v>
      </c>
    </row>
    <row r="913" s="103">
      <c r="A913" s="16" t="inlineStr">
        <is>
          <t>B331</t>
        </is>
      </c>
      <c r="B913" s="16" t="inlineStr">
        <is>
          <t>上海区域</t>
        </is>
      </c>
      <c r="C913" s="16" t="inlineStr">
        <is>
          <t>CN0Q</t>
        </is>
      </c>
      <c r="D913" s="16" t="inlineStr">
        <is>
          <t>EE 苏州比斯特购物村</t>
        </is>
      </c>
      <c r="E913" s="16" t="n">
        <v>4</v>
      </c>
      <c r="F913" s="16" t="inlineStr">
        <is>
          <t>奥特莱斯</t>
        </is>
      </c>
      <c r="G913" s="16" t="inlineStr">
        <is>
          <t>EERAG24E02</t>
        </is>
      </c>
      <c r="H913" s="16" t="n">
        <v>499</v>
      </c>
      <c r="I913" s="16" t="n">
        <v>499</v>
      </c>
      <c r="J913" s="17" t="inlineStr">
        <is>
          <t>########</t>
        </is>
      </c>
      <c r="K913" s="16" t="inlineStr">
        <is>
          <t>(51)L/Blue</t>
        </is>
      </c>
      <c r="L913" s="16" t="inlineStr">
        <is>
          <t>营业中</t>
        </is>
      </c>
      <c r="M913" s="16" t="inlineStr">
        <is>
          <t>EERAG24E0251160</t>
        </is>
      </c>
      <c r="N913" s="16">
        <f>LEFT(M913,12)</f>
        <v/>
      </c>
      <c r="O913" s="16" t="inlineStr">
        <is>
          <t>EERAG24E02, (51)L/Blue, (160)160</t>
        </is>
      </c>
      <c r="P913" s="16" t="n">
        <v>499</v>
      </c>
      <c r="Q913" s="16" t="n">
        <v>499</v>
      </c>
      <c r="R913" s="16" t="n">
        <v>2</v>
      </c>
      <c r="S913" s="16" t="n">
        <v>349</v>
      </c>
      <c r="T913" s="16" t="n">
        <v>2</v>
      </c>
    </row>
    <row r="914" s="103">
      <c r="A914" s="16" t="inlineStr">
        <is>
          <t>B331</t>
        </is>
      </c>
      <c r="B914" s="16" t="inlineStr">
        <is>
          <t>上海区域</t>
        </is>
      </c>
      <c r="C914" s="16" t="inlineStr">
        <is>
          <t>CN0Q</t>
        </is>
      </c>
      <c r="D914" s="16" t="inlineStr">
        <is>
          <t>EE 苏州比斯特购物村</t>
        </is>
      </c>
      <c r="E914" s="16" t="n">
        <v>4</v>
      </c>
      <c r="F914" s="16" t="inlineStr">
        <is>
          <t>奥特莱斯</t>
        </is>
      </c>
      <c r="G914" s="16" t="inlineStr">
        <is>
          <t>EERAG24E02</t>
        </is>
      </c>
      <c r="H914" s="16" t="n">
        <v>499</v>
      </c>
      <c r="I914" s="16" t="n">
        <v>499</v>
      </c>
      <c r="J914" s="17" t="inlineStr">
        <is>
          <t>########</t>
        </is>
      </c>
      <c r="K914" s="16" t="inlineStr">
        <is>
          <t>(51)L/Blue</t>
        </is>
      </c>
      <c r="L914" s="16" t="inlineStr">
        <is>
          <t>营业中</t>
        </is>
      </c>
      <c r="M914" s="16" t="inlineStr">
        <is>
          <t>EERAG24E0251165</t>
        </is>
      </c>
      <c r="N914" s="16">
        <f>LEFT(M914,12)</f>
        <v/>
      </c>
      <c r="O914" s="16" t="inlineStr">
        <is>
          <t>EERAG24E02, (51)L/Blue, (165)165</t>
        </is>
      </c>
      <c r="P914" s="16" t="n">
        <v>499</v>
      </c>
      <c r="Q914" s="16" t="n">
        <v>499</v>
      </c>
      <c r="R914" s="16" t="n">
        <v>1</v>
      </c>
      <c r="S914" s="16" t="n"/>
      <c r="T914" s="16" t="n">
        <v>4</v>
      </c>
    </row>
    <row r="915" s="103">
      <c r="A915" s="16" t="inlineStr">
        <is>
          <t>B331</t>
        </is>
      </c>
      <c r="B915" s="16" t="inlineStr">
        <is>
          <t>上海区域</t>
        </is>
      </c>
      <c r="C915" s="16" t="inlineStr">
        <is>
          <t>CN0Q</t>
        </is>
      </c>
      <c r="D915" s="16" t="inlineStr">
        <is>
          <t>EE 苏州比斯特购物村</t>
        </is>
      </c>
      <c r="E915" s="16" t="n">
        <v>4</v>
      </c>
      <c r="F915" s="16" t="inlineStr">
        <is>
          <t>奥特莱斯</t>
        </is>
      </c>
      <c r="G915" s="16" t="inlineStr">
        <is>
          <t>EERAG24E02</t>
        </is>
      </c>
      <c r="H915" s="16" t="n">
        <v>499</v>
      </c>
      <c r="I915" s="16" t="n">
        <v>499</v>
      </c>
      <c r="J915" s="17" t="inlineStr">
        <is>
          <t>########</t>
        </is>
      </c>
      <c r="K915" s="16" t="inlineStr">
        <is>
          <t>(51)L/Blue</t>
        </is>
      </c>
      <c r="L915" s="16" t="inlineStr">
        <is>
          <t>营业中</t>
        </is>
      </c>
      <c r="M915" s="16" t="inlineStr">
        <is>
          <t>EERAG24E0251170</t>
        </is>
      </c>
      <c r="N915" s="16">
        <f>LEFT(M915,12)</f>
        <v/>
      </c>
      <c r="O915" s="16" t="inlineStr">
        <is>
          <t>EERAG24E02, (51)L/Blue, (170)170</t>
        </is>
      </c>
      <c r="P915" s="16" t="n">
        <v>499</v>
      </c>
      <c r="Q915" s="16" t="n">
        <v>499</v>
      </c>
      <c r="R915" s="16" t="n"/>
      <c r="S915" s="16" t="n"/>
      <c r="T915" s="16" t="n">
        <v>3</v>
      </c>
    </row>
    <row r="916" s="103">
      <c r="A916" s="16" t="inlineStr">
        <is>
          <t>B331</t>
        </is>
      </c>
      <c r="B916" s="16" t="inlineStr">
        <is>
          <t>上海区域</t>
        </is>
      </c>
      <c r="C916" s="16" t="inlineStr">
        <is>
          <t>CN0Q</t>
        </is>
      </c>
      <c r="D916" s="16" t="inlineStr">
        <is>
          <t>EE 苏州比斯特购物村</t>
        </is>
      </c>
      <c r="E916" s="16" t="n">
        <v>4</v>
      </c>
      <c r="F916" s="16" t="inlineStr">
        <is>
          <t>奥特莱斯</t>
        </is>
      </c>
      <c r="G916" s="16" t="inlineStr">
        <is>
          <t>EERAG24E02</t>
        </is>
      </c>
      <c r="H916" s="16" t="n">
        <v>499</v>
      </c>
      <c r="I916" s="16" t="n">
        <v>499</v>
      </c>
      <c r="J916" s="17" t="inlineStr">
        <is>
          <t>########</t>
        </is>
      </c>
      <c r="K916" s="16" t="inlineStr">
        <is>
          <t>(51)L/Blue</t>
        </is>
      </c>
      <c r="L916" s="16" t="inlineStr">
        <is>
          <t>营业中</t>
        </is>
      </c>
      <c r="M916" s="16" t="inlineStr">
        <is>
          <t>EERAG24E0251175</t>
        </is>
      </c>
      <c r="N916" s="16">
        <f>LEFT(M916,12)</f>
        <v/>
      </c>
      <c r="O916" s="16" t="inlineStr">
        <is>
          <t>EERAG24E02, (51)L/Blue, (175)175</t>
        </is>
      </c>
      <c r="P916" s="16" t="n">
        <v>499</v>
      </c>
      <c r="Q916" s="16" t="n">
        <v>499</v>
      </c>
      <c r="R916" s="16" t="n"/>
      <c r="S916" s="16" t="n"/>
      <c r="T916" s="16" t="n">
        <v>2</v>
      </c>
    </row>
    <row r="917" s="103">
      <c r="A917" s="16" t="inlineStr">
        <is>
          <t>B331</t>
        </is>
      </c>
      <c r="B917" s="16" t="inlineStr">
        <is>
          <t>上海区域</t>
        </is>
      </c>
      <c r="C917" s="16" t="inlineStr">
        <is>
          <t>CN0Q</t>
        </is>
      </c>
      <c r="D917" s="16" t="inlineStr">
        <is>
          <t>EE 苏州比斯特购物村</t>
        </is>
      </c>
      <c r="E917" s="16" t="n">
        <v>4</v>
      </c>
      <c r="F917" s="16" t="inlineStr">
        <is>
          <t>奥特莱斯</t>
        </is>
      </c>
      <c r="G917" s="16" t="inlineStr">
        <is>
          <t>EERAG24E03</t>
        </is>
      </c>
      <c r="H917" s="16" t="n">
        <v>599</v>
      </c>
      <c r="I917" s="16" t="n">
        <v>599</v>
      </c>
      <c r="J917" s="17" t="inlineStr">
        <is>
          <t>########</t>
        </is>
      </c>
      <c r="K917" s="16" t="inlineStr">
        <is>
          <t>(39)Ivory</t>
        </is>
      </c>
      <c r="L917" s="16" t="inlineStr">
        <is>
          <t>营业中</t>
        </is>
      </c>
      <c r="M917" s="16" t="inlineStr">
        <is>
          <t>EERAG24E0339160</t>
        </is>
      </c>
      <c r="N917" s="16">
        <f>LEFT(M917,12)</f>
        <v/>
      </c>
      <c r="O917" s="16" t="inlineStr">
        <is>
          <t>EERAG24E03, (39)Ivory, (160)160</t>
        </is>
      </c>
      <c r="P917" s="16" t="n">
        <v>599</v>
      </c>
      <c r="Q917" s="16" t="n">
        <v>599</v>
      </c>
      <c r="R917" s="16" t="n"/>
      <c r="S917" s="16" t="n"/>
      <c r="T917" s="16" t="n">
        <v>8</v>
      </c>
    </row>
    <row r="918" s="103">
      <c r="A918" s="16" t="inlineStr">
        <is>
          <t>B331</t>
        </is>
      </c>
      <c r="B918" s="16" t="inlineStr">
        <is>
          <t>上海区域</t>
        </is>
      </c>
      <c r="C918" s="16" t="inlineStr">
        <is>
          <t>CN0Q</t>
        </is>
      </c>
      <c r="D918" s="16" t="inlineStr">
        <is>
          <t>EE 苏州比斯特购物村</t>
        </is>
      </c>
      <c r="E918" s="16" t="n">
        <v>4</v>
      </c>
      <c r="F918" s="16" t="inlineStr">
        <is>
          <t>奥特莱斯</t>
        </is>
      </c>
      <c r="G918" s="16" t="inlineStr">
        <is>
          <t>EERAG24E03</t>
        </is>
      </c>
      <c r="H918" s="16" t="n">
        <v>599</v>
      </c>
      <c r="I918" s="16" t="n">
        <v>599</v>
      </c>
      <c r="J918" s="17" t="inlineStr">
        <is>
          <t>########</t>
        </is>
      </c>
      <c r="K918" s="16" t="inlineStr">
        <is>
          <t>(39)Ivory</t>
        </is>
      </c>
      <c r="L918" s="16" t="inlineStr">
        <is>
          <t>营业中</t>
        </is>
      </c>
      <c r="M918" s="16" t="inlineStr">
        <is>
          <t>EERAG24E0339165</t>
        </is>
      </c>
      <c r="N918" s="16">
        <f>LEFT(M918,12)</f>
        <v/>
      </c>
      <c r="O918" s="16" t="inlineStr">
        <is>
          <t>EERAG24E03, (39)Ivory, (165)165</t>
        </is>
      </c>
      <c r="P918" s="16" t="n">
        <v>599</v>
      </c>
      <c r="Q918" s="16" t="n">
        <v>599</v>
      </c>
      <c r="R918" s="16" t="n"/>
      <c r="S918" s="16" t="n"/>
      <c r="T918" s="16" t="n">
        <v>2</v>
      </c>
    </row>
    <row r="919" s="103">
      <c r="A919" s="16" t="inlineStr">
        <is>
          <t>B331</t>
        </is>
      </c>
      <c r="B919" s="16" t="inlineStr">
        <is>
          <t>上海区域</t>
        </is>
      </c>
      <c r="C919" s="16" t="inlineStr">
        <is>
          <t>CN0Q</t>
        </is>
      </c>
      <c r="D919" s="16" t="inlineStr">
        <is>
          <t>EE 苏州比斯特购物村</t>
        </is>
      </c>
      <c r="E919" s="16" t="n">
        <v>4</v>
      </c>
      <c r="F919" s="16" t="inlineStr">
        <is>
          <t>奥特莱斯</t>
        </is>
      </c>
      <c r="G919" s="16" t="inlineStr">
        <is>
          <t>EERAG24E04</t>
        </is>
      </c>
      <c r="H919" s="16" t="n">
        <v>599</v>
      </c>
      <c r="I919" s="16" t="n">
        <v>499</v>
      </c>
      <c r="J919" s="17" t="inlineStr">
        <is>
          <t>########</t>
        </is>
      </c>
      <c r="K919" s="16" t="inlineStr">
        <is>
          <t>(36)L/Beige</t>
        </is>
      </c>
      <c r="L919" s="16" t="inlineStr">
        <is>
          <t>营业中</t>
        </is>
      </c>
      <c r="M919" s="16" t="inlineStr">
        <is>
          <t>EERAG24E0436160</t>
        </is>
      </c>
      <c r="N919" s="16">
        <f>LEFT(M919,12)</f>
        <v/>
      </c>
      <c r="O919" s="16" t="inlineStr">
        <is>
          <t>EERAG24E04, (36)L/Beige, (160)160</t>
        </is>
      </c>
      <c r="P919" s="16" t="n">
        <v>599</v>
      </c>
      <c r="Q919" s="16" t="n">
        <v>499</v>
      </c>
      <c r="R919" s="16" t="n">
        <v>18</v>
      </c>
      <c r="S919" s="18" t="n">
        <v>3975</v>
      </c>
      <c r="T919" s="16" t="n">
        <v>6</v>
      </c>
    </row>
    <row r="920" s="103">
      <c r="A920" s="16" t="inlineStr">
        <is>
          <t>B331</t>
        </is>
      </c>
      <c r="B920" s="16" t="inlineStr">
        <is>
          <t>上海区域</t>
        </is>
      </c>
      <c r="C920" s="16" t="inlineStr">
        <is>
          <t>CN0Q</t>
        </is>
      </c>
      <c r="D920" s="16" t="inlineStr">
        <is>
          <t>EE 苏州比斯特购物村</t>
        </is>
      </c>
      <c r="E920" s="16" t="n">
        <v>4</v>
      </c>
      <c r="F920" s="16" t="inlineStr">
        <is>
          <t>奥特莱斯</t>
        </is>
      </c>
      <c r="G920" s="16" t="inlineStr">
        <is>
          <t>EERAG24E04</t>
        </is>
      </c>
      <c r="H920" s="16" t="n">
        <v>599</v>
      </c>
      <c r="I920" s="16" t="n">
        <v>499</v>
      </c>
      <c r="J920" s="17" t="inlineStr">
        <is>
          <t>########</t>
        </is>
      </c>
      <c r="K920" s="16" t="inlineStr">
        <is>
          <t>(36)L/Beige</t>
        </is>
      </c>
      <c r="L920" s="16" t="inlineStr">
        <is>
          <t>营业中</t>
        </is>
      </c>
      <c r="M920" s="16" t="inlineStr">
        <is>
          <t>EERAG24E0436165</t>
        </is>
      </c>
      <c r="N920" s="16">
        <f>LEFT(M920,12)</f>
        <v/>
      </c>
      <c r="O920" s="16" t="inlineStr">
        <is>
          <t>EERAG24E04, (36)L/Beige, (165)165</t>
        </is>
      </c>
      <c r="P920" s="16" t="n">
        <v>599</v>
      </c>
      <c r="Q920" s="16" t="n">
        <v>499</v>
      </c>
      <c r="R920" s="16" t="n">
        <v>12</v>
      </c>
      <c r="S920" s="18" t="n">
        <v>1623</v>
      </c>
      <c r="T920" s="16" t="n">
        <v>5</v>
      </c>
    </row>
    <row r="921" s="103">
      <c r="A921" s="16" t="inlineStr">
        <is>
          <t>B331</t>
        </is>
      </c>
      <c r="B921" s="16" t="inlineStr">
        <is>
          <t>上海区域</t>
        </is>
      </c>
      <c r="C921" s="16" t="inlineStr">
        <is>
          <t>CN0Q</t>
        </is>
      </c>
      <c r="D921" s="16" t="inlineStr">
        <is>
          <t>EE 苏州比斯特购物村</t>
        </is>
      </c>
      <c r="E921" s="16" t="n">
        <v>4</v>
      </c>
      <c r="F921" s="16" t="inlineStr">
        <is>
          <t>奥特莱斯</t>
        </is>
      </c>
      <c r="G921" s="16" t="inlineStr">
        <is>
          <t>EERAG24E04</t>
        </is>
      </c>
      <c r="H921" s="16" t="n">
        <v>599</v>
      </c>
      <c r="I921" s="16" t="n">
        <v>499</v>
      </c>
      <c r="J921" s="17" t="inlineStr">
        <is>
          <t>########</t>
        </is>
      </c>
      <c r="K921" s="16" t="inlineStr">
        <is>
          <t>(36)L/Beige</t>
        </is>
      </c>
      <c r="L921" s="16" t="inlineStr">
        <is>
          <t>营业中</t>
        </is>
      </c>
      <c r="M921" s="16" t="inlineStr">
        <is>
          <t>EERAG24E0436170</t>
        </is>
      </c>
      <c r="N921" s="16">
        <f>LEFT(M921,12)</f>
        <v/>
      </c>
      <c r="O921" s="16" t="inlineStr">
        <is>
          <t>EERAG24E04, (36)L/Beige, (170)170</t>
        </is>
      </c>
      <c r="P921" s="16" t="n">
        <v>599</v>
      </c>
      <c r="Q921" s="16" t="n">
        <v>499</v>
      </c>
      <c r="R921" s="16" t="n">
        <v>1</v>
      </c>
      <c r="S921" s="16" t="n">
        <v>349</v>
      </c>
      <c r="T921" s="16" t="n">
        <v>3</v>
      </c>
    </row>
    <row r="922" s="103">
      <c r="A922" s="16" t="inlineStr">
        <is>
          <t>B331</t>
        </is>
      </c>
      <c r="B922" s="16" t="inlineStr">
        <is>
          <t>上海区域</t>
        </is>
      </c>
      <c r="C922" s="16" t="inlineStr">
        <is>
          <t>CN0Q</t>
        </is>
      </c>
      <c r="D922" s="16" t="inlineStr">
        <is>
          <t>EE 苏州比斯特购物村</t>
        </is>
      </c>
      <c r="E922" s="16" t="n">
        <v>4</v>
      </c>
      <c r="F922" s="16" t="inlineStr">
        <is>
          <t>奥特莱斯</t>
        </is>
      </c>
      <c r="G922" s="16" t="inlineStr">
        <is>
          <t>EERAG24E04</t>
        </is>
      </c>
      <c r="H922" s="16" t="n">
        <v>599</v>
      </c>
      <c r="I922" s="16" t="n">
        <v>499</v>
      </c>
      <c r="J922" s="17" t="inlineStr">
        <is>
          <t>########</t>
        </is>
      </c>
      <c r="K922" s="16" t="inlineStr">
        <is>
          <t>(39)Ivory</t>
        </is>
      </c>
      <c r="L922" s="16" t="inlineStr">
        <is>
          <t>营业中</t>
        </is>
      </c>
      <c r="M922" s="16" t="inlineStr">
        <is>
          <t>EERAG24E0439160</t>
        </is>
      </c>
      <c r="N922" s="16">
        <f>LEFT(M922,12)</f>
        <v/>
      </c>
      <c r="O922" s="16" t="inlineStr">
        <is>
          <t>EERAG24E04, (39)Ivory, (160)160</t>
        </is>
      </c>
      <c r="P922" s="16" t="n">
        <v>599</v>
      </c>
      <c r="Q922" s="16" t="n">
        <v>499</v>
      </c>
      <c r="R922" s="16" t="n">
        <v>15</v>
      </c>
      <c r="S922" s="18" t="n">
        <v>3253</v>
      </c>
      <c r="T922" s="16" t="n">
        <v>9</v>
      </c>
    </row>
    <row r="923" s="103">
      <c r="A923" s="16" t="inlineStr">
        <is>
          <t>B331</t>
        </is>
      </c>
      <c r="B923" s="16" t="inlineStr">
        <is>
          <t>上海区域</t>
        </is>
      </c>
      <c r="C923" s="16" t="inlineStr">
        <is>
          <t>CN0Q</t>
        </is>
      </c>
      <c r="D923" s="16" t="inlineStr">
        <is>
          <t>EE 苏州比斯特购物村</t>
        </is>
      </c>
      <c r="E923" s="16" t="n">
        <v>4</v>
      </c>
      <c r="F923" s="16" t="inlineStr">
        <is>
          <t>奥特莱斯</t>
        </is>
      </c>
      <c r="G923" s="16" t="inlineStr">
        <is>
          <t>EERAG24E04</t>
        </is>
      </c>
      <c r="H923" s="16" t="n">
        <v>599</v>
      </c>
      <c r="I923" s="16" t="n">
        <v>499</v>
      </c>
      <c r="J923" s="17" t="inlineStr">
        <is>
          <t>########</t>
        </is>
      </c>
      <c r="K923" s="16" t="inlineStr">
        <is>
          <t>(39)Ivory</t>
        </is>
      </c>
      <c r="L923" s="16" t="inlineStr">
        <is>
          <t>营业中</t>
        </is>
      </c>
      <c r="M923" s="16" t="inlineStr">
        <is>
          <t>EERAG24E0439165</t>
        </is>
      </c>
      <c r="N923" s="16">
        <f>LEFT(M923,12)</f>
        <v/>
      </c>
      <c r="O923" s="16" t="inlineStr">
        <is>
          <t>EERAG24E04, (39)Ivory, (165)165</t>
        </is>
      </c>
      <c r="P923" s="16" t="n">
        <v>599</v>
      </c>
      <c r="Q923" s="16" t="n">
        <v>499</v>
      </c>
      <c r="R923" s="16" t="n">
        <v>11</v>
      </c>
      <c r="S923" s="18" t="n">
        <v>2604</v>
      </c>
      <c r="T923" s="16" t="n">
        <v>7</v>
      </c>
    </row>
    <row r="924" s="103">
      <c r="A924" s="16" t="inlineStr">
        <is>
          <t>B331</t>
        </is>
      </c>
      <c r="B924" s="16" t="inlineStr">
        <is>
          <t>上海区域</t>
        </is>
      </c>
      <c r="C924" s="16" t="inlineStr">
        <is>
          <t>CN0Q</t>
        </is>
      </c>
      <c r="D924" s="16" t="inlineStr">
        <is>
          <t>EE 苏州比斯特购物村</t>
        </is>
      </c>
      <c r="E924" s="16" t="n">
        <v>4</v>
      </c>
      <c r="F924" s="16" t="inlineStr">
        <is>
          <t>奥特莱斯</t>
        </is>
      </c>
      <c r="G924" s="16" t="inlineStr">
        <is>
          <t>EERAG24E04</t>
        </is>
      </c>
      <c r="H924" s="16" t="n">
        <v>599</v>
      </c>
      <c r="I924" s="16" t="n">
        <v>499</v>
      </c>
      <c r="J924" s="17" t="inlineStr">
        <is>
          <t>########</t>
        </is>
      </c>
      <c r="K924" s="16" t="inlineStr">
        <is>
          <t>(39)Ivory</t>
        </is>
      </c>
      <c r="L924" s="16" t="inlineStr">
        <is>
          <t>营业中</t>
        </is>
      </c>
      <c r="M924" s="16" t="inlineStr">
        <is>
          <t>EERAG24E0439170</t>
        </is>
      </c>
      <c r="N924" s="16">
        <f>LEFT(M924,12)</f>
        <v/>
      </c>
      <c r="O924" s="16" t="inlineStr">
        <is>
          <t>EERAG24E04, (39)Ivory, (170)170</t>
        </is>
      </c>
      <c r="P924" s="16" t="n">
        <v>599</v>
      </c>
      <c r="Q924" s="16" t="n">
        <v>499</v>
      </c>
      <c r="R924" s="16" t="n">
        <v>3</v>
      </c>
      <c r="S924" s="16" t="n">
        <v>816</v>
      </c>
      <c r="T924" s="16" t="n">
        <v>3</v>
      </c>
    </row>
    <row r="925" s="103">
      <c r="A925" s="16" t="inlineStr">
        <is>
          <t>B331</t>
        </is>
      </c>
      <c r="B925" s="16" t="inlineStr">
        <is>
          <t>上海区域</t>
        </is>
      </c>
      <c r="C925" s="16" t="inlineStr">
        <is>
          <t>CN0Q</t>
        </is>
      </c>
      <c r="D925" s="16" t="inlineStr">
        <is>
          <t>EE 苏州比斯特购物村</t>
        </is>
      </c>
      <c r="E925" s="16" t="n">
        <v>4</v>
      </c>
      <c r="F925" s="16" t="inlineStr">
        <is>
          <t>奥特莱斯</t>
        </is>
      </c>
      <c r="G925" s="16" t="inlineStr">
        <is>
          <t>EERAG24E04</t>
        </is>
      </c>
      <c r="H925" s="16" t="n">
        <v>599</v>
      </c>
      <c r="I925" s="16" t="n">
        <v>499</v>
      </c>
      <c r="J925" s="17" t="inlineStr">
        <is>
          <t>########</t>
        </is>
      </c>
      <c r="K925" s="16" t="inlineStr">
        <is>
          <t>(85)Brown</t>
        </is>
      </c>
      <c r="L925" s="16" t="inlineStr">
        <is>
          <t>营业中</t>
        </is>
      </c>
      <c r="M925" s="16" t="inlineStr">
        <is>
          <t>EERAG24E0485160</t>
        </is>
      </c>
      <c r="N925" s="16">
        <f>LEFT(M925,12)</f>
        <v/>
      </c>
      <c r="O925" s="16" t="inlineStr">
        <is>
          <t>EERAG24E04, (85)Brown, (160)160</t>
        </is>
      </c>
      <c r="P925" s="16" t="n">
        <v>599</v>
      </c>
      <c r="Q925" s="16" t="n">
        <v>499</v>
      </c>
      <c r="R925" s="16" t="n">
        <v>5</v>
      </c>
      <c r="S925" s="18" t="n">
        <v>1015</v>
      </c>
      <c r="T925" s="16" t="n">
        <v>8</v>
      </c>
    </row>
    <row r="926" s="103">
      <c r="A926" s="16" t="inlineStr">
        <is>
          <t>B331</t>
        </is>
      </c>
      <c r="B926" s="16" t="inlineStr">
        <is>
          <t>上海区域</t>
        </is>
      </c>
      <c r="C926" s="16" t="inlineStr">
        <is>
          <t>CN0Q</t>
        </is>
      </c>
      <c r="D926" s="16" t="inlineStr">
        <is>
          <t>EE 苏州比斯特购物村</t>
        </is>
      </c>
      <c r="E926" s="16" t="n">
        <v>4</v>
      </c>
      <c r="F926" s="16" t="inlineStr">
        <is>
          <t>奥特莱斯</t>
        </is>
      </c>
      <c r="G926" s="16" t="inlineStr">
        <is>
          <t>EERAG24E04</t>
        </is>
      </c>
      <c r="H926" s="16" t="n">
        <v>599</v>
      </c>
      <c r="I926" s="16" t="n">
        <v>499</v>
      </c>
      <c r="J926" s="17" t="inlineStr">
        <is>
          <t>########</t>
        </is>
      </c>
      <c r="K926" s="16" t="inlineStr">
        <is>
          <t>(85)Brown</t>
        </is>
      </c>
      <c r="L926" s="16" t="inlineStr">
        <is>
          <t>营业中</t>
        </is>
      </c>
      <c r="M926" s="16" t="inlineStr">
        <is>
          <t>EERAG24E0485165</t>
        </is>
      </c>
      <c r="N926" s="16">
        <f>LEFT(M926,12)</f>
        <v/>
      </c>
      <c r="O926" s="16" t="inlineStr">
        <is>
          <t>EERAG24E04, (85)Brown, (165)165</t>
        </is>
      </c>
      <c r="P926" s="16" t="n">
        <v>599</v>
      </c>
      <c r="Q926" s="16" t="n">
        <v>499</v>
      </c>
      <c r="R926" s="16" t="n">
        <v>4</v>
      </c>
      <c r="S926" s="16" t="n">
        <v>318</v>
      </c>
      <c r="T926" s="16" t="n">
        <v>7</v>
      </c>
    </row>
    <row r="927" s="103">
      <c r="A927" s="16" t="inlineStr">
        <is>
          <t>B331</t>
        </is>
      </c>
      <c r="B927" s="16" t="inlineStr">
        <is>
          <t>上海区域</t>
        </is>
      </c>
      <c r="C927" s="16" t="inlineStr">
        <is>
          <t>CN0Q</t>
        </is>
      </c>
      <c r="D927" s="16" t="inlineStr">
        <is>
          <t>EE 苏州比斯特购物村</t>
        </is>
      </c>
      <c r="E927" s="16" t="n">
        <v>4</v>
      </c>
      <c r="F927" s="16" t="inlineStr">
        <is>
          <t>奥特莱斯</t>
        </is>
      </c>
      <c r="G927" s="16" t="inlineStr">
        <is>
          <t>EERAG24E04</t>
        </is>
      </c>
      <c r="H927" s="16" t="n">
        <v>599</v>
      </c>
      <c r="I927" s="16" t="n">
        <v>499</v>
      </c>
      <c r="J927" s="17" t="inlineStr">
        <is>
          <t>########</t>
        </is>
      </c>
      <c r="K927" s="16" t="inlineStr">
        <is>
          <t>(85)Brown</t>
        </is>
      </c>
      <c r="L927" s="16" t="inlineStr">
        <is>
          <t>营业中</t>
        </is>
      </c>
      <c r="M927" s="16" t="inlineStr">
        <is>
          <t>EERAG24E0485170</t>
        </is>
      </c>
      <c r="N927" s="16">
        <f>LEFT(M927,12)</f>
        <v/>
      </c>
      <c r="O927" s="16" t="inlineStr">
        <is>
          <t>EERAG24E04, (85)Brown, (170)170</t>
        </is>
      </c>
      <c r="P927" s="16" t="n">
        <v>599</v>
      </c>
      <c r="Q927" s="16" t="n">
        <v>499</v>
      </c>
      <c r="R927" s="16" t="n">
        <v>2</v>
      </c>
      <c r="S927" s="16" t="n"/>
      <c r="T927" s="16" t="n">
        <v>6</v>
      </c>
    </row>
    <row r="928" s="103">
      <c r="A928" s="16" t="inlineStr">
        <is>
          <t>B331</t>
        </is>
      </c>
      <c r="B928" s="16" t="inlineStr">
        <is>
          <t>上海区域</t>
        </is>
      </c>
      <c r="C928" s="16" t="inlineStr">
        <is>
          <t>CN0Q</t>
        </is>
      </c>
      <c r="D928" s="16" t="inlineStr">
        <is>
          <t>EE 苏州比斯特购物村</t>
        </is>
      </c>
      <c r="E928" s="16" t="n">
        <v>4</v>
      </c>
      <c r="F928" s="16" t="inlineStr">
        <is>
          <t>奥特莱斯</t>
        </is>
      </c>
      <c r="G928" s="16" t="inlineStr">
        <is>
          <t>EERAG25B1G</t>
        </is>
      </c>
      <c r="H928" s="16" t="n">
        <v>499</v>
      </c>
      <c r="I928" s="16" t="n">
        <v>499</v>
      </c>
      <c r="J928" s="17" t="inlineStr">
        <is>
          <t>########</t>
        </is>
      </c>
      <c r="K928" s="16" t="inlineStr">
        <is>
          <t>(10)White</t>
        </is>
      </c>
      <c r="L928" s="16" t="inlineStr">
        <is>
          <t>营业中</t>
        </is>
      </c>
      <c r="M928" s="16" t="inlineStr">
        <is>
          <t>EERAG25B1G10170</t>
        </is>
      </c>
      <c r="N928" s="16">
        <f>LEFT(M928,12)</f>
        <v/>
      </c>
      <c r="O928" s="16" t="inlineStr">
        <is>
          <t>EERAG25B1G, (10)White, (170)170</t>
        </is>
      </c>
      <c r="P928" s="16" t="n">
        <v>499</v>
      </c>
      <c r="Q928" s="16" t="n">
        <v>499</v>
      </c>
      <c r="R928" s="16" t="n">
        <v>3</v>
      </c>
      <c r="S928" s="16" t="n">
        <v>652</v>
      </c>
      <c r="T928" s="16" t="n">
        <v>0</v>
      </c>
    </row>
    <row r="929" s="103">
      <c r="A929" s="16" t="inlineStr">
        <is>
          <t>B331</t>
        </is>
      </c>
      <c r="B929" s="16" t="inlineStr">
        <is>
          <t>上海区域</t>
        </is>
      </c>
      <c r="C929" s="16" t="inlineStr">
        <is>
          <t>CN0Q</t>
        </is>
      </c>
      <c r="D929" s="16" t="inlineStr">
        <is>
          <t>EE 苏州比斯特购物村</t>
        </is>
      </c>
      <c r="E929" s="16" t="n">
        <v>4</v>
      </c>
      <c r="F929" s="16" t="inlineStr">
        <is>
          <t>奥特莱斯</t>
        </is>
      </c>
      <c r="G929" s="16" t="inlineStr">
        <is>
          <t>EERAG25B1G</t>
        </is>
      </c>
      <c r="H929" s="16" t="n">
        <v>499</v>
      </c>
      <c r="I929" s="16" t="n">
        <v>499</v>
      </c>
      <c r="J929" s="17" t="inlineStr">
        <is>
          <t>########</t>
        </is>
      </c>
      <c r="K929" s="16" t="inlineStr">
        <is>
          <t>(10)White</t>
        </is>
      </c>
      <c r="L929" s="16" t="inlineStr">
        <is>
          <t>营业中</t>
        </is>
      </c>
      <c r="M929" s="16" t="inlineStr">
        <is>
          <t>EERAG25B1G10175</t>
        </is>
      </c>
      <c r="N929" s="16">
        <f>LEFT(M929,12)</f>
        <v/>
      </c>
      <c r="O929" s="16" t="inlineStr">
        <is>
          <t>EERAG25B1G, (10)White, (175)175</t>
        </is>
      </c>
      <c r="P929" s="16" t="n">
        <v>499</v>
      </c>
      <c r="Q929" s="16" t="n">
        <v>499</v>
      </c>
      <c r="R929" s="16" t="n"/>
      <c r="S929" s="16" t="n"/>
      <c r="T929" s="16" t="n">
        <v>2</v>
      </c>
    </row>
    <row r="930" s="103">
      <c r="A930" s="16" t="inlineStr">
        <is>
          <t>B331</t>
        </is>
      </c>
      <c r="B930" s="16" t="inlineStr">
        <is>
          <t>上海区域</t>
        </is>
      </c>
      <c r="C930" s="16" t="inlineStr">
        <is>
          <t>CN0Q</t>
        </is>
      </c>
      <c r="D930" s="16" t="inlineStr">
        <is>
          <t>EE 苏州比斯特购物村</t>
        </is>
      </c>
      <c r="E930" s="16" t="n">
        <v>4</v>
      </c>
      <c r="F930" s="16" t="inlineStr">
        <is>
          <t>奥特莱斯</t>
        </is>
      </c>
      <c r="G930" s="16" t="inlineStr">
        <is>
          <t>EERAG25B1G</t>
        </is>
      </c>
      <c r="H930" s="16" t="n">
        <v>499</v>
      </c>
      <c r="I930" s="16" t="n">
        <v>499</v>
      </c>
      <c r="J930" s="17" t="inlineStr">
        <is>
          <t>########</t>
        </is>
      </c>
      <c r="K930" s="16" t="inlineStr">
        <is>
          <t>(10)White</t>
        </is>
      </c>
      <c r="L930" s="16" t="inlineStr">
        <is>
          <t>营业中</t>
        </is>
      </c>
      <c r="M930" s="16" t="inlineStr">
        <is>
          <t>EERAG25B1G10180</t>
        </is>
      </c>
      <c r="N930" s="16">
        <f>LEFT(M930,12)</f>
        <v/>
      </c>
      <c r="O930" s="16" t="inlineStr">
        <is>
          <t>EERAG25B1G, (10)White, (180)180</t>
        </is>
      </c>
      <c r="P930" s="16" t="n">
        <v>499</v>
      </c>
      <c r="Q930" s="16" t="n">
        <v>499</v>
      </c>
      <c r="R930" s="16" t="n">
        <v>1</v>
      </c>
      <c r="S930" s="16" t="n">
        <v>319</v>
      </c>
      <c r="T930" s="16" t="n">
        <v>1</v>
      </c>
    </row>
    <row r="931" s="103">
      <c r="A931" s="16" t="inlineStr">
        <is>
          <t>B331</t>
        </is>
      </c>
      <c r="B931" s="16" t="inlineStr">
        <is>
          <t>上海区域</t>
        </is>
      </c>
      <c r="C931" s="16" t="inlineStr">
        <is>
          <t>CN0Q</t>
        </is>
      </c>
      <c r="D931" s="16" t="inlineStr">
        <is>
          <t>EE 苏州比斯特购物村</t>
        </is>
      </c>
      <c r="E931" s="16" t="n">
        <v>4</v>
      </c>
      <c r="F931" s="16" t="inlineStr">
        <is>
          <t>奥特莱斯</t>
        </is>
      </c>
      <c r="G931" s="16" t="inlineStr">
        <is>
          <t>EERAG25B1G</t>
        </is>
      </c>
      <c r="H931" s="16" t="n">
        <v>499</v>
      </c>
      <c r="I931" s="16" t="n">
        <v>499</v>
      </c>
      <c r="J931" s="17" t="inlineStr">
        <is>
          <t>########</t>
        </is>
      </c>
      <c r="K931" s="16" t="inlineStr">
        <is>
          <t>(10)White</t>
        </is>
      </c>
      <c r="L931" s="16" t="inlineStr">
        <is>
          <t>营业中</t>
        </is>
      </c>
      <c r="M931" s="16" t="inlineStr">
        <is>
          <t>EERAG25B1G10185</t>
        </is>
      </c>
      <c r="N931" s="16">
        <f>LEFT(M931,12)</f>
        <v/>
      </c>
      <c r="O931" s="16" t="inlineStr">
        <is>
          <t>EERAG25B1G, (10)White, (185)185</t>
        </is>
      </c>
      <c r="P931" s="16" t="n">
        <v>499</v>
      </c>
      <c r="Q931" s="16" t="n">
        <v>499</v>
      </c>
      <c r="R931" s="16" t="n"/>
      <c r="S931" s="16" t="n"/>
      <c r="T931" s="16" t="n">
        <v>1</v>
      </c>
    </row>
    <row r="932" s="103">
      <c r="A932" s="16" t="inlineStr">
        <is>
          <t>B331</t>
        </is>
      </c>
      <c r="B932" s="16" t="inlineStr">
        <is>
          <t>上海区域</t>
        </is>
      </c>
      <c r="C932" s="16" t="inlineStr">
        <is>
          <t>CN0Q</t>
        </is>
      </c>
      <c r="D932" s="16" t="inlineStr">
        <is>
          <t>EE 苏州比斯特购物村</t>
        </is>
      </c>
      <c r="E932" s="16" t="n">
        <v>4</v>
      </c>
      <c r="F932" s="16" t="inlineStr">
        <is>
          <t>奥特莱斯</t>
        </is>
      </c>
      <c r="G932" s="16" t="inlineStr">
        <is>
          <t>EERAG25B1G</t>
        </is>
      </c>
      <c r="H932" s="16" t="n">
        <v>499</v>
      </c>
      <c r="I932" s="16" t="n">
        <v>499</v>
      </c>
      <c r="J932" s="17" t="inlineStr">
        <is>
          <t>########</t>
        </is>
      </c>
      <c r="K932" s="16" t="inlineStr">
        <is>
          <t>(49)Khaki</t>
        </is>
      </c>
      <c r="L932" s="16" t="inlineStr">
        <is>
          <t>营业中</t>
        </is>
      </c>
      <c r="M932" s="16" t="inlineStr">
        <is>
          <t>EERAG25B1G49170</t>
        </is>
      </c>
      <c r="N932" s="16">
        <f>LEFT(M932,12)</f>
        <v/>
      </c>
      <c r="O932" s="16" t="inlineStr">
        <is>
          <t>EERAG25B1G, (49)Khaki, (170)170</t>
        </is>
      </c>
      <c r="P932" s="16" t="n">
        <v>499</v>
      </c>
      <c r="Q932" s="16" t="n">
        <v>499</v>
      </c>
      <c r="R932" s="16" t="n"/>
      <c r="S932" s="16" t="n"/>
      <c r="T932" s="16" t="n">
        <v>2</v>
      </c>
    </row>
    <row r="933" s="103">
      <c r="A933" s="16" t="inlineStr">
        <is>
          <t>B331</t>
        </is>
      </c>
      <c r="B933" s="16" t="inlineStr">
        <is>
          <t>上海区域</t>
        </is>
      </c>
      <c r="C933" s="16" t="inlineStr">
        <is>
          <t>CN0Q</t>
        </is>
      </c>
      <c r="D933" s="16" t="inlineStr">
        <is>
          <t>EE 苏州比斯特购物村</t>
        </is>
      </c>
      <c r="E933" s="16" t="n">
        <v>4</v>
      </c>
      <c r="F933" s="16" t="inlineStr">
        <is>
          <t>奥特莱斯</t>
        </is>
      </c>
      <c r="G933" s="16" t="inlineStr">
        <is>
          <t>EERAG25B1G</t>
        </is>
      </c>
      <c r="H933" s="16" t="n">
        <v>499</v>
      </c>
      <c r="I933" s="16" t="n">
        <v>499</v>
      </c>
      <c r="J933" s="17" t="inlineStr">
        <is>
          <t>########</t>
        </is>
      </c>
      <c r="K933" s="16" t="inlineStr">
        <is>
          <t>(49)Khaki</t>
        </is>
      </c>
      <c r="L933" s="16" t="inlineStr">
        <is>
          <t>营业中</t>
        </is>
      </c>
      <c r="M933" s="16" t="inlineStr">
        <is>
          <t>EERAG25B1G49175</t>
        </is>
      </c>
      <c r="N933" s="16">
        <f>LEFT(M933,12)</f>
        <v/>
      </c>
      <c r="O933" s="16" t="inlineStr">
        <is>
          <t>EERAG25B1G, (49)Khaki, (175)175</t>
        </is>
      </c>
      <c r="P933" s="16" t="n">
        <v>499</v>
      </c>
      <c r="Q933" s="16" t="n">
        <v>499</v>
      </c>
      <c r="R933" s="16" t="n"/>
      <c r="S933" s="16" t="n"/>
      <c r="T933" s="16" t="n">
        <v>2</v>
      </c>
    </row>
    <row r="934" s="103">
      <c r="A934" s="16" t="inlineStr">
        <is>
          <t>B331</t>
        </is>
      </c>
      <c r="B934" s="16" t="inlineStr">
        <is>
          <t>上海区域</t>
        </is>
      </c>
      <c r="C934" s="16" t="inlineStr">
        <is>
          <t>CN0Q</t>
        </is>
      </c>
      <c r="D934" s="16" t="inlineStr">
        <is>
          <t>EE 苏州比斯特购物村</t>
        </is>
      </c>
      <c r="E934" s="16" t="n">
        <v>4</v>
      </c>
      <c r="F934" s="16" t="inlineStr">
        <is>
          <t>奥特莱斯</t>
        </is>
      </c>
      <c r="G934" s="16" t="inlineStr">
        <is>
          <t>EERAG25B1G</t>
        </is>
      </c>
      <c r="H934" s="16" t="n">
        <v>499</v>
      </c>
      <c r="I934" s="16" t="n">
        <v>499</v>
      </c>
      <c r="J934" s="17" t="inlineStr">
        <is>
          <t>########</t>
        </is>
      </c>
      <c r="K934" s="16" t="inlineStr">
        <is>
          <t>(49)Khaki</t>
        </is>
      </c>
      <c r="L934" s="16" t="inlineStr">
        <is>
          <t>营业中</t>
        </is>
      </c>
      <c r="M934" s="16" t="inlineStr">
        <is>
          <t>EERAG25B1G49180</t>
        </is>
      </c>
      <c r="N934" s="16">
        <f>LEFT(M934,12)</f>
        <v/>
      </c>
      <c r="O934" s="16" t="inlineStr">
        <is>
          <t>EERAG25B1G, (49)Khaki, (180)180</t>
        </is>
      </c>
      <c r="P934" s="16" t="n">
        <v>499</v>
      </c>
      <c r="Q934" s="16" t="n">
        <v>499</v>
      </c>
      <c r="R934" s="16" t="n"/>
      <c r="S934" s="16" t="n"/>
      <c r="T934" s="16" t="n">
        <v>2</v>
      </c>
    </row>
    <row r="935" s="103">
      <c r="A935" s="16" t="inlineStr">
        <is>
          <t>B331</t>
        </is>
      </c>
      <c r="B935" s="16" t="inlineStr">
        <is>
          <t>上海区域</t>
        </is>
      </c>
      <c r="C935" s="16" t="inlineStr">
        <is>
          <t>CN0Q</t>
        </is>
      </c>
      <c r="D935" s="16" t="inlineStr">
        <is>
          <t>EE 苏州比斯特购物村</t>
        </is>
      </c>
      <c r="E935" s="16" t="n">
        <v>4</v>
      </c>
      <c r="F935" s="16" t="inlineStr">
        <is>
          <t>奥特莱斯</t>
        </is>
      </c>
      <c r="G935" s="16" t="inlineStr">
        <is>
          <t>EERAG25B1G</t>
        </is>
      </c>
      <c r="H935" s="16" t="n">
        <v>499</v>
      </c>
      <c r="I935" s="16" t="n">
        <v>499</v>
      </c>
      <c r="J935" s="17" t="inlineStr">
        <is>
          <t>########</t>
        </is>
      </c>
      <c r="K935" s="16" t="inlineStr">
        <is>
          <t>(49)Khaki</t>
        </is>
      </c>
      <c r="L935" s="16" t="inlineStr">
        <is>
          <t>营业中</t>
        </is>
      </c>
      <c r="M935" s="16" t="inlineStr">
        <is>
          <t>EERAG25B1G49185</t>
        </is>
      </c>
      <c r="N935" s="16">
        <f>LEFT(M935,12)</f>
        <v/>
      </c>
      <c r="O935" s="16" t="inlineStr">
        <is>
          <t>EERAG25B1G, (49)Khaki, (185)185</t>
        </is>
      </c>
      <c r="P935" s="16" t="n">
        <v>499</v>
      </c>
      <c r="Q935" s="16" t="n">
        <v>499</v>
      </c>
      <c r="R935" s="16" t="n"/>
      <c r="S935" s="16" t="n"/>
      <c r="T935" s="16" t="n">
        <v>1</v>
      </c>
    </row>
    <row r="936" s="103">
      <c r="A936" s="16" t="inlineStr">
        <is>
          <t>B331</t>
        </is>
      </c>
      <c r="B936" s="16" t="inlineStr">
        <is>
          <t>上海区域</t>
        </is>
      </c>
      <c r="C936" s="16" t="inlineStr">
        <is>
          <t>CN0Q</t>
        </is>
      </c>
      <c r="D936" s="16" t="inlineStr">
        <is>
          <t>EE 苏州比斯特购物村</t>
        </is>
      </c>
      <c r="E936" s="16" t="n">
        <v>4</v>
      </c>
      <c r="F936" s="16" t="inlineStr">
        <is>
          <t>奥特莱斯</t>
        </is>
      </c>
      <c r="G936" s="16" t="inlineStr">
        <is>
          <t>EERAG25B2G</t>
        </is>
      </c>
      <c r="H936" s="16" t="n">
        <v>499</v>
      </c>
      <c r="I936" s="16" t="n">
        <v>499</v>
      </c>
      <c r="J936" s="17" t="inlineStr">
        <is>
          <t>########</t>
        </is>
      </c>
      <c r="K936" s="16" t="inlineStr">
        <is>
          <t>(64)Cream</t>
        </is>
      </c>
      <c r="L936" s="16" t="inlineStr">
        <is>
          <t>营业中</t>
        </is>
      </c>
      <c r="M936" s="16" t="inlineStr">
        <is>
          <t>EERAG25B2G64170</t>
        </is>
      </c>
      <c r="N936" s="16">
        <f>LEFT(M936,12)</f>
        <v/>
      </c>
      <c r="O936" s="16" t="inlineStr">
        <is>
          <t>EERAG25B2G, (64)Cream, (170)170</t>
        </is>
      </c>
      <c r="P936" s="16" t="n">
        <v>499</v>
      </c>
      <c r="Q936" s="16" t="n">
        <v>499</v>
      </c>
      <c r="R936" s="16" t="n">
        <v>0</v>
      </c>
      <c r="S936" s="16" t="n">
        <v>0</v>
      </c>
      <c r="T936" s="16" t="n">
        <v>2</v>
      </c>
    </row>
    <row r="937" s="103">
      <c r="A937" s="16" t="inlineStr">
        <is>
          <t>B331</t>
        </is>
      </c>
      <c r="B937" s="16" t="inlineStr">
        <is>
          <t>上海区域</t>
        </is>
      </c>
      <c r="C937" s="16" t="inlineStr">
        <is>
          <t>CN0Q</t>
        </is>
      </c>
      <c r="D937" s="16" t="inlineStr">
        <is>
          <t>EE 苏州比斯特购物村</t>
        </is>
      </c>
      <c r="E937" s="16" t="n">
        <v>4</v>
      </c>
      <c r="F937" s="16" t="inlineStr">
        <is>
          <t>奥特莱斯</t>
        </is>
      </c>
      <c r="G937" s="16" t="inlineStr">
        <is>
          <t>EERAG25B2G</t>
        </is>
      </c>
      <c r="H937" s="16" t="n">
        <v>499</v>
      </c>
      <c r="I937" s="16" t="n">
        <v>499</v>
      </c>
      <c r="J937" s="17" t="inlineStr">
        <is>
          <t>########</t>
        </is>
      </c>
      <c r="K937" s="16" t="inlineStr">
        <is>
          <t>(64)Cream</t>
        </is>
      </c>
      <c r="L937" s="16" t="inlineStr">
        <is>
          <t>营业中</t>
        </is>
      </c>
      <c r="M937" s="16" t="inlineStr">
        <is>
          <t>EERAG25B2G64175</t>
        </is>
      </c>
      <c r="N937" s="16">
        <f>LEFT(M937,12)</f>
        <v/>
      </c>
      <c r="O937" s="16" t="inlineStr">
        <is>
          <t>EERAG25B2G, (64)Cream, (175)175</t>
        </is>
      </c>
      <c r="P937" s="16" t="n">
        <v>499</v>
      </c>
      <c r="Q937" s="16" t="n">
        <v>499</v>
      </c>
      <c r="R937" s="16" t="n">
        <v>1</v>
      </c>
      <c r="S937" s="16" t="n">
        <v>349</v>
      </c>
      <c r="T937" s="16" t="n">
        <v>1</v>
      </c>
    </row>
    <row r="938" s="103">
      <c r="A938" s="16" t="inlineStr">
        <is>
          <t>B331</t>
        </is>
      </c>
      <c r="B938" s="16" t="inlineStr">
        <is>
          <t>上海区域</t>
        </is>
      </c>
      <c r="C938" s="16" t="inlineStr">
        <is>
          <t>CN0Q</t>
        </is>
      </c>
      <c r="D938" s="16" t="inlineStr">
        <is>
          <t>EE 苏州比斯特购物村</t>
        </is>
      </c>
      <c r="E938" s="16" t="n">
        <v>4</v>
      </c>
      <c r="F938" s="16" t="inlineStr">
        <is>
          <t>奥特莱斯</t>
        </is>
      </c>
      <c r="G938" s="16" t="inlineStr">
        <is>
          <t>EERAG25B2G</t>
        </is>
      </c>
      <c r="H938" s="16" t="n">
        <v>499</v>
      </c>
      <c r="I938" s="16" t="n">
        <v>499</v>
      </c>
      <c r="J938" s="17" t="inlineStr">
        <is>
          <t>########</t>
        </is>
      </c>
      <c r="K938" s="16" t="inlineStr">
        <is>
          <t>(64)Cream</t>
        </is>
      </c>
      <c r="L938" s="16" t="inlineStr">
        <is>
          <t>营业中</t>
        </is>
      </c>
      <c r="M938" s="16" t="inlineStr">
        <is>
          <t>EERAG25B2G64180</t>
        </is>
      </c>
      <c r="N938" s="16">
        <f>LEFT(M938,12)</f>
        <v/>
      </c>
      <c r="O938" s="16" t="inlineStr">
        <is>
          <t>EERAG25B2G, (64)Cream, (180)180</t>
        </is>
      </c>
      <c r="P938" s="16" t="n">
        <v>499</v>
      </c>
      <c r="Q938" s="16" t="n">
        <v>499</v>
      </c>
      <c r="R938" s="16" t="n"/>
      <c r="S938" s="16" t="n"/>
      <c r="T938" s="16" t="n">
        <v>2</v>
      </c>
    </row>
    <row r="939" s="103">
      <c r="A939" s="16" t="inlineStr">
        <is>
          <t>B331</t>
        </is>
      </c>
      <c r="B939" s="16" t="inlineStr">
        <is>
          <t>上海区域</t>
        </is>
      </c>
      <c r="C939" s="16" t="inlineStr">
        <is>
          <t>CN0Q</t>
        </is>
      </c>
      <c r="D939" s="16" t="inlineStr">
        <is>
          <t>EE 苏州比斯特购物村</t>
        </is>
      </c>
      <c r="E939" s="16" t="n">
        <v>4</v>
      </c>
      <c r="F939" s="16" t="inlineStr">
        <is>
          <t>奥特莱斯</t>
        </is>
      </c>
      <c r="G939" s="16" t="inlineStr">
        <is>
          <t>EERAG25E01</t>
        </is>
      </c>
      <c r="H939" s="16" t="n">
        <v>499</v>
      </c>
      <c r="I939" s="16" t="n">
        <v>499</v>
      </c>
      <c r="J939" s="17" t="inlineStr">
        <is>
          <t>########</t>
        </is>
      </c>
      <c r="K939" s="16" t="inlineStr">
        <is>
          <t>(17)D/Grey</t>
        </is>
      </c>
      <c r="L939" s="16" t="inlineStr">
        <is>
          <t>营业中</t>
        </is>
      </c>
      <c r="M939" s="16" t="inlineStr">
        <is>
          <t>EERAG25E0117160</t>
        </is>
      </c>
      <c r="N939" s="16">
        <f>LEFT(M939,12)</f>
        <v/>
      </c>
      <c r="O939" s="16" t="inlineStr">
        <is>
          <t>EERAG25E01, (17)D/Grey, (160)160</t>
        </is>
      </c>
      <c r="P939" s="16" t="n">
        <v>499</v>
      </c>
      <c r="Q939" s="16" t="n">
        <v>499</v>
      </c>
      <c r="R939" s="16" t="n"/>
      <c r="S939" s="16" t="n"/>
      <c r="T939" s="16" t="n">
        <v>2</v>
      </c>
    </row>
    <row r="940" s="103">
      <c r="A940" s="16" t="inlineStr">
        <is>
          <t>B331</t>
        </is>
      </c>
      <c r="B940" s="16" t="inlineStr">
        <is>
          <t>上海区域</t>
        </is>
      </c>
      <c r="C940" s="16" t="inlineStr">
        <is>
          <t>CN0Q</t>
        </is>
      </c>
      <c r="D940" s="16" t="inlineStr">
        <is>
          <t>EE 苏州比斯特购物村</t>
        </is>
      </c>
      <c r="E940" s="16" t="n">
        <v>4</v>
      </c>
      <c r="F940" s="16" t="inlineStr">
        <is>
          <t>奥特莱斯</t>
        </is>
      </c>
      <c r="G940" s="16" t="inlineStr">
        <is>
          <t>EERAG25E01</t>
        </is>
      </c>
      <c r="H940" s="16" t="n">
        <v>499</v>
      </c>
      <c r="I940" s="16" t="n">
        <v>499</v>
      </c>
      <c r="J940" s="17" t="inlineStr">
        <is>
          <t>########</t>
        </is>
      </c>
      <c r="K940" s="16" t="inlineStr">
        <is>
          <t>(17)D/Grey</t>
        </is>
      </c>
      <c r="L940" s="16" t="inlineStr">
        <is>
          <t>营业中</t>
        </is>
      </c>
      <c r="M940" s="16" t="inlineStr">
        <is>
          <t>EERAG25E0117165</t>
        </is>
      </c>
      <c r="N940" s="16">
        <f>LEFT(M940,12)</f>
        <v/>
      </c>
      <c r="O940" s="16" t="inlineStr">
        <is>
          <t>EERAG25E01, (17)D/Grey, (165)165</t>
        </is>
      </c>
      <c r="P940" s="16" t="n">
        <v>499</v>
      </c>
      <c r="Q940" s="16" t="n">
        <v>499</v>
      </c>
      <c r="R940" s="16" t="n"/>
      <c r="S940" s="16" t="n"/>
      <c r="T940" s="16" t="n">
        <v>1</v>
      </c>
    </row>
    <row r="941" s="103">
      <c r="A941" s="16" t="inlineStr">
        <is>
          <t>B331</t>
        </is>
      </c>
      <c r="B941" s="16" t="inlineStr">
        <is>
          <t>上海区域</t>
        </is>
      </c>
      <c r="C941" s="16" t="inlineStr">
        <is>
          <t>CN0Q</t>
        </is>
      </c>
      <c r="D941" s="16" t="inlineStr">
        <is>
          <t>EE 苏州比斯特购物村</t>
        </is>
      </c>
      <c r="E941" s="16" t="n">
        <v>4</v>
      </c>
      <c r="F941" s="16" t="inlineStr">
        <is>
          <t>奥特莱斯</t>
        </is>
      </c>
      <c r="G941" s="16" t="inlineStr">
        <is>
          <t>EERAG25E01</t>
        </is>
      </c>
      <c r="H941" s="16" t="n">
        <v>499</v>
      </c>
      <c r="I941" s="16" t="n">
        <v>499</v>
      </c>
      <c r="J941" s="17" t="inlineStr">
        <is>
          <t>########</t>
        </is>
      </c>
      <c r="K941" s="16" t="inlineStr">
        <is>
          <t>(17)D/Grey</t>
        </is>
      </c>
      <c r="L941" s="16" t="inlineStr">
        <is>
          <t>营业中</t>
        </is>
      </c>
      <c r="M941" s="16" t="inlineStr">
        <is>
          <t>EERAG25E0117170</t>
        </is>
      </c>
      <c r="N941" s="16">
        <f>LEFT(M941,12)</f>
        <v/>
      </c>
      <c r="O941" s="16" t="inlineStr">
        <is>
          <t>EERAG25E01, (17)D/Grey, (170)170</t>
        </is>
      </c>
      <c r="P941" s="16" t="n">
        <v>499</v>
      </c>
      <c r="Q941" s="16" t="n">
        <v>499</v>
      </c>
      <c r="R941" s="16" t="n"/>
      <c r="S941" s="16" t="n"/>
      <c r="T941" s="16" t="n">
        <v>2</v>
      </c>
    </row>
    <row r="942" s="103">
      <c r="A942" s="16" t="inlineStr">
        <is>
          <t>B331</t>
        </is>
      </c>
      <c r="B942" s="16" t="inlineStr">
        <is>
          <t>上海区域</t>
        </is>
      </c>
      <c r="C942" s="16" t="inlineStr">
        <is>
          <t>CN0Q</t>
        </is>
      </c>
      <c r="D942" s="16" t="inlineStr">
        <is>
          <t>EE 苏州比斯特购物村</t>
        </is>
      </c>
      <c r="E942" s="16" t="n">
        <v>4</v>
      </c>
      <c r="F942" s="16" t="inlineStr">
        <is>
          <t>奥特莱斯</t>
        </is>
      </c>
      <c r="G942" s="16" t="inlineStr">
        <is>
          <t>EERAG25E01</t>
        </is>
      </c>
      <c r="H942" s="16" t="n">
        <v>499</v>
      </c>
      <c r="I942" s="16" t="n">
        <v>499</v>
      </c>
      <c r="J942" s="17" t="inlineStr">
        <is>
          <t>########</t>
        </is>
      </c>
      <c r="K942" s="16" t="inlineStr">
        <is>
          <t>(17)D/Grey</t>
        </is>
      </c>
      <c r="L942" s="16" t="inlineStr">
        <is>
          <t>营业中</t>
        </is>
      </c>
      <c r="M942" s="16" t="inlineStr">
        <is>
          <t>EERAG25E0117175</t>
        </is>
      </c>
      <c r="N942" s="16">
        <f>LEFT(M942,12)</f>
        <v/>
      </c>
      <c r="O942" s="16" t="inlineStr">
        <is>
          <t>EERAG25E01, (17)D/Grey, (175)175</t>
        </is>
      </c>
      <c r="P942" s="16" t="n">
        <v>499</v>
      </c>
      <c r="Q942" s="16" t="n">
        <v>499</v>
      </c>
      <c r="R942" s="16" t="n"/>
      <c r="S942" s="16" t="n"/>
      <c r="T942" s="16" t="n">
        <v>2</v>
      </c>
    </row>
    <row r="943" s="103">
      <c r="A943" s="16" t="inlineStr">
        <is>
          <t>B331</t>
        </is>
      </c>
      <c r="B943" s="16" t="inlineStr">
        <is>
          <t>上海区域</t>
        </is>
      </c>
      <c r="C943" s="16" t="inlineStr">
        <is>
          <t>CN0Q</t>
        </is>
      </c>
      <c r="D943" s="16" t="inlineStr">
        <is>
          <t>EE 苏州比斯特购物村</t>
        </is>
      </c>
      <c r="E943" s="16" t="n">
        <v>4</v>
      </c>
      <c r="F943" s="16" t="inlineStr">
        <is>
          <t>奥特莱斯</t>
        </is>
      </c>
      <c r="G943" s="16" t="inlineStr">
        <is>
          <t>EERAG25E01</t>
        </is>
      </c>
      <c r="H943" s="16" t="n">
        <v>499</v>
      </c>
      <c r="I943" s="16" t="n">
        <v>499</v>
      </c>
      <c r="J943" s="17" t="inlineStr">
        <is>
          <t>########</t>
        </is>
      </c>
      <c r="K943" s="16" t="inlineStr">
        <is>
          <t>(51)L/Blue</t>
        </is>
      </c>
      <c r="L943" s="16" t="inlineStr">
        <is>
          <t>营业中</t>
        </is>
      </c>
      <c r="M943" s="16" t="inlineStr">
        <is>
          <t>EERAG25E0151160</t>
        </is>
      </c>
      <c r="N943" s="16">
        <f>LEFT(M943,12)</f>
        <v/>
      </c>
      <c r="O943" s="16" t="inlineStr">
        <is>
          <t>EERAG25E01, (51)L/Blue, (160)160</t>
        </is>
      </c>
      <c r="P943" s="16" t="n">
        <v>499</v>
      </c>
      <c r="Q943" s="16" t="n">
        <v>499</v>
      </c>
      <c r="R943" s="16" t="n"/>
      <c r="S943" s="16" t="n"/>
      <c r="T943" s="16" t="n">
        <v>2</v>
      </c>
    </row>
    <row r="944" s="103">
      <c r="A944" s="16" t="inlineStr">
        <is>
          <t>B331</t>
        </is>
      </c>
      <c r="B944" s="16" t="inlineStr">
        <is>
          <t>上海区域</t>
        </is>
      </c>
      <c r="C944" s="16" t="inlineStr">
        <is>
          <t>CN0Q</t>
        </is>
      </c>
      <c r="D944" s="16" t="inlineStr">
        <is>
          <t>EE 苏州比斯特购物村</t>
        </is>
      </c>
      <c r="E944" s="16" t="n">
        <v>4</v>
      </c>
      <c r="F944" s="16" t="inlineStr">
        <is>
          <t>奥特莱斯</t>
        </is>
      </c>
      <c r="G944" s="16" t="inlineStr">
        <is>
          <t>EERAG25E01</t>
        </is>
      </c>
      <c r="H944" s="16" t="n">
        <v>499</v>
      </c>
      <c r="I944" s="16" t="n">
        <v>499</v>
      </c>
      <c r="J944" s="17" t="inlineStr">
        <is>
          <t>########</t>
        </is>
      </c>
      <c r="K944" s="16" t="inlineStr">
        <is>
          <t>(51)L/Blue</t>
        </is>
      </c>
      <c r="L944" s="16" t="inlineStr">
        <is>
          <t>营业中</t>
        </is>
      </c>
      <c r="M944" s="16" t="inlineStr">
        <is>
          <t>EERAG25E0151165</t>
        </is>
      </c>
      <c r="N944" s="16">
        <f>LEFT(M944,12)</f>
        <v/>
      </c>
      <c r="O944" s="16" t="inlineStr">
        <is>
          <t>EERAG25E01, (51)L/Blue, (165)165</t>
        </is>
      </c>
      <c r="P944" s="16" t="n">
        <v>499</v>
      </c>
      <c r="Q944" s="16" t="n">
        <v>499</v>
      </c>
      <c r="R944" s="16" t="n"/>
      <c r="S944" s="16" t="n"/>
      <c r="T944" s="16" t="n">
        <v>1</v>
      </c>
    </row>
    <row r="945" s="103">
      <c r="A945" s="16" t="inlineStr">
        <is>
          <t>B331</t>
        </is>
      </c>
      <c r="B945" s="16" t="inlineStr">
        <is>
          <t>上海区域</t>
        </is>
      </c>
      <c r="C945" s="16" t="inlineStr">
        <is>
          <t>CN0Q</t>
        </is>
      </c>
      <c r="D945" s="16" t="inlineStr">
        <is>
          <t>EE 苏州比斯特购物村</t>
        </is>
      </c>
      <c r="E945" s="16" t="n">
        <v>4</v>
      </c>
      <c r="F945" s="16" t="inlineStr">
        <is>
          <t>奥特莱斯</t>
        </is>
      </c>
      <c r="G945" s="16" t="inlineStr">
        <is>
          <t>EERAG25E01</t>
        </is>
      </c>
      <c r="H945" s="16" t="n">
        <v>499</v>
      </c>
      <c r="I945" s="16" t="n">
        <v>499</v>
      </c>
      <c r="J945" s="17" t="inlineStr">
        <is>
          <t>########</t>
        </is>
      </c>
      <c r="K945" s="16" t="inlineStr">
        <is>
          <t>(51)L/Blue</t>
        </is>
      </c>
      <c r="L945" s="16" t="inlineStr">
        <is>
          <t>营业中</t>
        </is>
      </c>
      <c r="M945" s="16" t="inlineStr">
        <is>
          <t>EERAG25E0151170</t>
        </is>
      </c>
      <c r="N945" s="16">
        <f>LEFT(M945,12)</f>
        <v/>
      </c>
      <c r="O945" s="16" t="inlineStr">
        <is>
          <t>EERAG25E01, (51)L/Blue, (170)170</t>
        </is>
      </c>
      <c r="P945" s="16" t="n">
        <v>499</v>
      </c>
      <c r="Q945" s="16" t="n">
        <v>499</v>
      </c>
      <c r="R945" s="16" t="n"/>
      <c r="S945" s="16" t="n"/>
      <c r="T945" s="16" t="n">
        <v>1</v>
      </c>
    </row>
    <row r="946" s="103">
      <c r="A946" s="16" t="inlineStr">
        <is>
          <t>B331</t>
        </is>
      </c>
      <c r="B946" s="16" t="inlineStr">
        <is>
          <t>上海区域</t>
        </is>
      </c>
      <c r="C946" s="16" t="inlineStr">
        <is>
          <t>CN0Q</t>
        </is>
      </c>
      <c r="D946" s="16" t="inlineStr">
        <is>
          <t>EE 苏州比斯特购物村</t>
        </is>
      </c>
      <c r="E946" s="16" t="n">
        <v>4</v>
      </c>
      <c r="F946" s="16" t="inlineStr">
        <is>
          <t>奥特莱斯</t>
        </is>
      </c>
      <c r="G946" s="16" t="inlineStr">
        <is>
          <t>EERAG25E01</t>
        </is>
      </c>
      <c r="H946" s="16" t="n">
        <v>499</v>
      </c>
      <c r="I946" s="16" t="n">
        <v>499</v>
      </c>
      <c r="J946" s="17" t="inlineStr">
        <is>
          <t>########</t>
        </is>
      </c>
      <c r="K946" s="16" t="inlineStr">
        <is>
          <t>(51)L/Blue</t>
        </is>
      </c>
      <c r="L946" s="16" t="inlineStr">
        <is>
          <t>营业中</t>
        </is>
      </c>
      <c r="M946" s="16" t="inlineStr">
        <is>
          <t>EERAG25E0151175</t>
        </is>
      </c>
      <c r="N946" s="16">
        <f>LEFT(M946,12)</f>
        <v/>
      </c>
      <c r="O946" s="16" t="inlineStr">
        <is>
          <t>EERAG25E01, (51)L/Blue, (175)175</t>
        </is>
      </c>
      <c r="P946" s="16" t="n">
        <v>499</v>
      </c>
      <c r="Q946" s="16" t="n">
        <v>499</v>
      </c>
      <c r="R946" s="16" t="n"/>
      <c r="S946" s="16" t="n"/>
      <c r="T946" s="16" t="n">
        <v>1</v>
      </c>
    </row>
    <row r="947" s="103">
      <c r="A947" s="16" t="inlineStr">
        <is>
          <t>B331</t>
        </is>
      </c>
      <c r="B947" s="16" t="inlineStr">
        <is>
          <t>上海区域</t>
        </is>
      </c>
      <c r="C947" s="16" t="inlineStr">
        <is>
          <t>CN0Q</t>
        </is>
      </c>
      <c r="D947" s="16" t="inlineStr">
        <is>
          <t>EE 苏州比斯特购物村</t>
        </is>
      </c>
      <c r="E947" s="16" t="n">
        <v>4</v>
      </c>
      <c r="F947" s="16" t="inlineStr">
        <is>
          <t>奥特莱斯</t>
        </is>
      </c>
      <c r="G947" s="16" t="inlineStr">
        <is>
          <t>EERAG25E02</t>
        </is>
      </c>
      <c r="H947" s="16" t="n">
        <v>499</v>
      </c>
      <c r="I947" s="16" t="n">
        <v>399</v>
      </c>
      <c r="J947" s="17" t="inlineStr">
        <is>
          <t>########</t>
        </is>
      </c>
      <c r="K947" s="16" t="inlineStr">
        <is>
          <t>(59)Navy</t>
        </is>
      </c>
      <c r="L947" s="16" t="inlineStr">
        <is>
          <t>营业中</t>
        </is>
      </c>
      <c r="M947" s="16" t="inlineStr">
        <is>
          <t>EERAG25E0259160</t>
        </is>
      </c>
      <c r="N947" s="16">
        <f>LEFT(M947,12)</f>
        <v/>
      </c>
      <c r="O947" s="16" t="inlineStr">
        <is>
          <t>EERAG25E02, (59)Navy, (160)160</t>
        </is>
      </c>
      <c r="P947" s="16" t="n">
        <v>499</v>
      </c>
      <c r="Q947" s="16" t="n">
        <v>399</v>
      </c>
      <c r="R947" s="16" t="n"/>
      <c r="S947" s="16" t="n"/>
      <c r="T947" s="16" t="n">
        <v>3</v>
      </c>
    </row>
    <row r="948" s="103">
      <c r="A948" s="16" t="inlineStr">
        <is>
          <t>B331</t>
        </is>
      </c>
      <c r="B948" s="16" t="inlineStr">
        <is>
          <t>上海区域</t>
        </is>
      </c>
      <c r="C948" s="16" t="inlineStr">
        <is>
          <t>CN0Q</t>
        </is>
      </c>
      <c r="D948" s="16" t="inlineStr">
        <is>
          <t>EE 苏州比斯特购物村</t>
        </is>
      </c>
      <c r="E948" s="16" t="n">
        <v>4</v>
      </c>
      <c r="F948" s="16" t="inlineStr">
        <is>
          <t>奥特莱斯</t>
        </is>
      </c>
      <c r="G948" s="16" t="inlineStr">
        <is>
          <t>EERAG25E02</t>
        </is>
      </c>
      <c r="H948" s="16" t="n">
        <v>499</v>
      </c>
      <c r="I948" s="16" t="n">
        <v>399</v>
      </c>
      <c r="J948" s="17" t="inlineStr">
        <is>
          <t>########</t>
        </is>
      </c>
      <c r="K948" s="16" t="inlineStr">
        <is>
          <t>(59)Navy</t>
        </is>
      </c>
      <c r="L948" s="16" t="inlineStr">
        <is>
          <t>营业中</t>
        </is>
      </c>
      <c r="M948" s="16" t="inlineStr">
        <is>
          <t>EERAG25E0259165</t>
        </is>
      </c>
      <c r="N948" s="16">
        <f>LEFT(M948,12)</f>
        <v/>
      </c>
      <c r="O948" s="16" t="inlineStr">
        <is>
          <t>EERAG25E02, (59)Navy, (165)165</t>
        </is>
      </c>
      <c r="P948" s="16" t="n">
        <v>499</v>
      </c>
      <c r="Q948" s="16" t="n">
        <v>399</v>
      </c>
      <c r="R948" s="16" t="n"/>
      <c r="S948" s="16" t="n"/>
      <c r="T948" s="16" t="n">
        <v>5</v>
      </c>
    </row>
    <row r="949" s="103">
      <c r="A949" s="16" t="inlineStr">
        <is>
          <t>B331</t>
        </is>
      </c>
      <c r="B949" s="16" t="inlineStr">
        <is>
          <t>上海区域</t>
        </is>
      </c>
      <c r="C949" s="16" t="inlineStr">
        <is>
          <t>CN0Q</t>
        </is>
      </c>
      <c r="D949" s="16" t="inlineStr">
        <is>
          <t>EE 苏州比斯特购物村</t>
        </is>
      </c>
      <c r="E949" s="16" t="n">
        <v>4</v>
      </c>
      <c r="F949" s="16" t="inlineStr">
        <is>
          <t>奥特莱斯</t>
        </is>
      </c>
      <c r="G949" s="16" t="inlineStr">
        <is>
          <t>EERAG25E02</t>
        </is>
      </c>
      <c r="H949" s="16" t="n">
        <v>499</v>
      </c>
      <c r="I949" s="16" t="n">
        <v>399</v>
      </c>
      <c r="J949" s="17" t="inlineStr">
        <is>
          <t>########</t>
        </is>
      </c>
      <c r="K949" s="16" t="inlineStr">
        <is>
          <t>(59)Navy</t>
        </is>
      </c>
      <c r="L949" s="16" t="inlineStr">
        <is>
          <t>营业中</t>
        </is>
      </c>
      <c r="M949" s="16" t="inlineStr">
        <is>
          <t>EERAG25E0259170</t>
        </is>
      </c>
      <c r="N949" s="16">
        <f>LEFT(M949,12)</f>
        <v/>
      </c>
      <c r="O949" s="16" t="inlineStr">
        <is>
          <t>EERAG25E02, (59)Navy, (170)170</t>
        </is>
      </c>
      <c r="P949" s="16" t="n">
        <v>499</v>
      </c>
      <c r="Q949" s="16" t="n">
        <v>399</v>
      </c>
      <c r="R949" s="16" t="n">
        <v>1</v>
      </c>
      <c r="S949" s="16" t="n">
        <v>120</v>
      </c>
      <c r="T949" s="16" t="n">
        <v>4</v>
      </c>
    </row>
    <row r="950" s="103">
      <c r="A950" s="16" t="inlineStr">
        <is>
          <t>B331</t>
        </is>
      </c>
      <c r="B950" s="16" t="inlineStr">
        <is>
          <t>上海区域</t>
        </is>
      </c>
      <c r="C950" s="16" t="inlineStr">
        <is>
          <t>CN0Q</t>
        </is>
      </c>
      <c r="D950" s="16" t="inlineStr">
        <is>
          <t>EE 苏州比斯特购物村</t>
        </is>
      </c>
      <c r="E950" s="16" t="n">
        <v>4</v>
      </c>
      <c r="F950" s="16" t="inlineStr">
        <is>
          <t>奥特莱斯</t>
        </is>
      </c>
      <c r="G950" s="16" t="inlineStr">
        <is>
          <t>EERAG25E02</t>
        </is>
      </c>
      <c r="H950" s="16" t="n">
        <v>499</v>
      </c>
      <c r="I950" s="16" t="n">
        <v>399</v>
      </c>
      <c r="J950" s="17" t="inlineStr">
        <is>
          <t>########</t>
        </is>
      </c>
      <c r="K950" s="16" t="inlineStr">
        <is>
          <t>(64)Cream</t>
        </is>
      </c>
      <c r="L950" s="16" t="inlineStr">
        <is>
          <t>营业中</t>
        </is>
      </c>
      <c r="M950" s="16" t="inlineStr">
        <is>
          <t>EERAG25E0264160</t>
        </is>
      </c>
      <c r="N950" s="16">
        <f>LEFT(M950,12)</f>
        <v/>
      </c>
      <c r="O950" s="16" t="inlineStr">
        <is>
          <t>EERAG25E02, (64)Cream, (160)160</t>
        </is>
      </c>
      <c r="P950" s="16" t="n">
        <v>499</v>
      </c>
      <c r="Q950" s="16" t="n">
        <v>399</v>
      </c>
      <c r="R950" s="16" t="n">
        <v>3</v>
      </c>
      <c r="S950" s="16" t="n">
        <v>657</v>
      </c>
      <c r="T950" s="16" t="n">
        <v>3</v>
      </c>
    </row>
    <row r="951" s="103">
      <c r="A951" s="16" t="inlineStr">
        <is>
          <t>B331</t>
        </is>
      </c>
      <c r="B951" s="16" t="inlineStr">
        <is>
          <t>上海区域</t>
        </is>
      </c>
      <c r="C951" s="16" t="inlineStr">
        <is>
          <t>CN0Q</t>
        </is>
      </c>
      <c r="D951" s="16" t="inlineStr">
        <is>
          <t>EE 苏州比斯特购物村</t>
        </is>
      </c>
      <c r="E951" s="16" t="n">
        <v>4</v>
      </c>
      <c r="F951" s="16" t="inlineStr">
        <is>
          <t>奥特莱斯</t>
        </is>
      </c>
      <c r="G951" s="16" t="inlineStr">
        <is>
          <t>EERAG25E02</t>
        </is>
      </c>
      <c r="H951" s="16" t="n">
        <v>499</v>
      </c>
      <c r="I951" s="16" t="n">
        <v>399</v>
      </c>
      <c r="J951" s="17" t="inlineStr">
        <is>
          <t>########</t>
        </is>
      </c>
      <c r="K951" s="16" t="inlineStr">
        <is>
          <t>(64)Cream</t>
        </is>
      </c>
      <c r="L951" s="16" t="inlineStr">
        <is>
          <t>营业中</t>
        </is>
      </c>
      <c r="M951" s="16" t="inlineStr">
        <is>
          <t>EERAG25E0264165</t>
        </is>
      </c>
      <c r="N951" s="16">
        <f>LEFT(M951,12)</f>
        <v/>
      </c>
      <c r="O951" s="16" t="inlineStr">
        <is>
          <t>EERAG25E02, (64)Cream, (165)165</t>
        </is>
      </c>
      <c r="P951" s="16" t="n">
        <v>499</v>
      </c>
      <c r="Q951" s="16" t="n">
        <v>399</v>
      </c>
      <c r="R951" s="16" t="n">
        <v>5</v>
      </c>
      <c r="S951" s="16" t="n">
        <v>532</v>
      </c>
      <c r="T951" s="16" t="n">
        <v>5</v>
      </c>
    </row>
    <row r="952" s="103">
      <c r="A952" s="16" t="inlineStr">
        <is>
          <t>B331</t>
        </is>
      </c>
      <c r="B952" s="16" t="inlineStr">
        <is>
          <t>上海区域</t>
        </is>
      </c>
      <c r="C952" s="16" t="inlineStr">
        <is>
          <t>CN0Q</t>
        </is>
      </c>
      <c r="D952" s="16" t="inlineStr">
        <is>
          <t>EE 苏州比斯特购物村</t>
        </is>
      </c>
      <c r="E952" s="16" t="n">
        <v>4</v>
      </c>
      <c r="F952" s="16" t="inlineStr">
        <is>
          <t>奥特莱斯</t>
        </is>
      </c>
      <c r="G952" s="16" t="inlineStr">
        <is>
          <t>EERAG25E02</t>
        </is>
      </c>
      <c r="H952" s="16" t="n">
        <v>499</v>
      </c>
      <c r="I952" s="16" t="n">
        <v>399</v>
      </c>
      <c r="J952" s="17" t="inlineStr">
        <is>
          <t>########</t>
        </is>
      </c>
      <c r="K952" s="16" t="inlineStr">
        <is>
          <t>(64)Cream</t>
        </is>
      </c>
      <c r="L952" s="16" t="inlineStr">
        <is>
          <t>营业中</t>
        </is>
      </c>
      <c r="M952" s="16" t="inlineStr">
        <is>
          <t>EERAG25E0264170</t>
        </is>
      </c>
      <c r="N952" s="16">
        <f>LEFT(M952,12)</f>
        <v/>
      </c>
      <c r="O952" s="16" t="inlineStr">
        <is>
          <t>EERAG25E02, (64)Cream, (170)170</t>
        </is>
      </c>
      <c r="P952" s="16" t="n">
        <v>499</v>
      </c>
      <c r="Q952" s="16" t="n">
        <v>399</v>
      </c>
      <c r="R952" s="16" t="n">
        <v>4</v>
      </c>
      <c r="S952" s="16" t="n">
        <v>254</v>
      </c>
      <c r="T952" s="16" t="n">
        <v>4</v>
      </c>
    </row>
    <row r="953" s="103">
      <c r="A953" s="16" t="inlineStr">
        <is>
          <t>B331</t>
        </is>
      </c>
      <c r="B953" s="16" t="inlineStr">
        <is>
          <t>上海区域</t>
        </is>
      </c>
      <c r="C953" s="16" t="inlineStr">
        <is>
          <t>CN0Q</t>
        </is>
      </c>
      <c r="D953" s="16" t="inlineStr">
        <is>
          <t>EE 苏州比斯特购物村</t>
        </is>
      </c>
      <c r="E953" s="16" t="n">
        <v>4</v>
      </c>
      <c r="F953" s="16" t="inlineStr">
        <is>
          <t>奥特莱斯</t>
        </is>
      </c>
      <c r="G953" s="16" t="inlineStr">
        <is>
          <t>EERAG25E03</t>
        </is>
      </c>
      <c r="H953" s="16" t="n">
        <v>499</v>
      </c>
      <c r="I953" s="16" t="n">
        <v>499</v>
      </c>
      <c r="J953" s="17" t="inlineStr">
        <is>
          <t>########</t>
        </is>
      </c>
      <c r="K953" s="16" t="inlineStr">
        <is>
          <t>(18)M/Grey</t>
        </is>
      </c>
      <c r="L953" s="16" t="inlineStr">
        <is>
          <t>营业中</t>
        </is>
      </c>
      <c r="M953" s="16" t="inlineStr">
        <is>
          <t>EERAG25E0318160</t>
        </is>
      </c>
      <c r="N953" s="16">
        <f>LEFT(M953,12)</f>
        <v/>
      </c>
      <c r="O953" s="16" t="inlineStr">
        <is>
          <t>EERAG25E03, (18)M/Grey, (160)160</t>
        </is>
      </c>
      <c r="P953" s="16" t="n">
        <v>499</v>
      </c>
      <c r="Q953" s="16" t="n">
        <v>499</v>
      </c>
      <c r="R953" s="16" t="n">
        <v>1</v>
      </c>
      <c r="S953" s="16" t="n"/>
      <c r="T953" s="16" t="n">
        <v>2</v>
      </c>
    </row>
    <row r="954" s="103">
      <c r="A954" s="16" t="inlineStr">
        <is>
          <t>B331</t>
        </is>
      </c>
      <c r="B954" s="16" t="inlineStr">
        <is>
          <t>上海区域</t>
        </is>
      </c>
      <c r="C954" s="16" t="inlineStr">
        <is>
          <t>CN0Q</t>
        </is>
      </c>
      <c r="D954" s="16" t="inlineStr">
        <is>
          <t>EE 苏州比斯特购物村</t>
        </is>
      </c>
      <c r="E954" s="16" t="n">
        <v>4</v>
      </c>
      <c r="F954" s="16" t="inlineStr">
        <is>
          <t>奥特莱斯</t>
        </is>
      </c>
      <c r="G954" s="16" t="inlineStr">
        <is>
          <t>EERAG25E03</t>
        </is>
      </c>
      <c r="H954" s="16" t="n">
        <v>499</v>
      </c>
      <c r="I954" s="16" t="n">
        <v>499</v>
      </c>
      <c r="J954" s="17" t="inlineStr">
        <is>
          <t>########</t>
        </is>
      </c>
      <c r="K954" s="16" t="inlineStr">
        <is>
          <t>(18)M/Grey</t>
        </is>
      </c>
      <c r="L954" s="16" t="inlineStr">
        <is>
          <t>营业中</t>
        </is>
      </c>
      <c r="M954" s="16" t="inlineStr">
        <is>
          <t>EERAG25E0318165</t>
        </is>
      </c>
      <c r="N954" s="16">
        <f>LEFT(M954,12)</f>
        <v/>
      </c>
      <c r="O954" s="16" t="inlineStr">
        <is>
          <t>EERAG25E03, (18)M/Grey, (165)165</t>
        </is>
      </c>
      <c r="P954" s="16" t="n">
        <v>499</v>
      </c>
      <c r="Q954" s="16" t="n">
        <v>499</v>
      </c>
      <c r="R954" s="16" t="n">
        <v>5</v>
      </c>
      <c r="S954" s="16" t="n">
        <v>633</v>
      </c>
      <c r="T954" s="16" t="n">
        <v>4</v>
      </c>
    </row>
    <row r="955" s="103">
      <c r="A955" s="16" t="inlineStr">
        <is>
          <t>B331</t>
        </is>
      </c>
      <c r="B955" s="16" t="inlineStr">
        <is>
          <t>上海区域</t>
        </is>
      </c>
      <c r="C955" s="16" t="inlineStr">
        <is>
          <t>CN0Q</t>
        </is>
      </c>
      <c r="D955" s="16" t="inlineStr">
        <is>
          <t>EE 苏州比斯特购物村</t>
        </is>
      </c>
      <c r="E955" s="16" t="n">
        <v>4</v>
      </c>
      <c r="F955" s="16" t="inlineStr">
        <is>
          <t>奥特莱斯</t>
        </is>
      </c>
      <c r="G955" s="16" t="inlineStr">
        <is>
          <t>EERAG25E03</t>
        </is>
      </c>
      <c r="H955" s="16" t="n">
        <v>499</v>
      </c>
      <c r="I955" s="16" t="n">
        <v>499</v>
      </c>
      <c r="J955" s="17" t="inlineStr">
        <is>
          <t>########</t>
        </is>
      </c>
      <c r="K955" s="16" t="inlineStr">
        <is>
          <t>(18)M/Grey</t>
        </is>
      </c>
      <c r="L955" s="16" t="inlineStr">
        <is>
          <t>营业中</t>
        </is>
      </c>
      <c r="M955" s="16" t="inlineStr">
        <is>
          <t>EERAG25E0318170</t>
        </is>
      </c>
      <c r="N955" s="16">
        <f>LEFT(M955,12)</f>
        <v/>
      </c>
      <c r="O955" s="16" t="inlineStr">
        <is>
          <t>EERAG25E03, (18)M/Grey, (170)170</t>
        </is>
      </c>
      <c r="P955" s="16" t="n">
        <v>499</v>
      </c>
      <c r="Q955" s="16" t="n">
        <v>499</v>
      </c>
      <c r="R955" s="16" t="n">
        <v>1</v>
      </c>
      <c r="S955" s="16" t="n">
        <v>322</v>
      </c>
      <c r="T955" s="16" t="n">
        <v>3</v>
      </c>
    </row>
    <row r="956" s="103">
      <c r="A956" s="16" t="inlineStr">
        <is>
          <t>B331</t>
        </is>
      </c>
      <c r="B956" s="16" t="inlineStr">
        <is>
          <t>上海区域</t>
        </is>
      </c>
      <c r="C956" s="16" t="inlineStr">
        <is>
          <t>CN0Q</t>
        </is>
      </c>
      <c r="D956" s="16" t="inlineStr">
        <is>
          <t>EE 苏州比斯特购物村</t>
        </is>
      </c>
      <c r="E956" s="16" t="n">
        <v>4</v>
      </c>
      <c r="F956" s="16" t="inlineStr">
        <is>
          <t>奥特莱斯</t>
        </is>
      </c>
      <c r="G956" s="16" t="inlineStr">
        <is>
          <t>EERAG25E03</t>
        </is>
      </c>
      <c r="H956" s="16" t="n">
        <v>499</v>
      </c>
      <c r="I956" s="16" t="n">
        <v>499</v>
      </c>
      <c r="J956" s="17" t="inlineStr">
        <is>
          <t>########</t>
        </is>
      </c>
      <c r="K956" s="16" t="inlineStr">
        <is>
          <t>(39)Ivory</t>
        </is>
      </c>
      <c r="L956" s="16" t="inlineStr">
        <is>
          <t>营业中</t>
        </is>
      </c>
      <c r="M956" s="16" t="inlineStr">
        <is>
          <t>EERAG25E0339160</t>
        </is>
      </c>
      <c r="N956" s="16">
        <f>LEFT(M956,12)</f>
        <v/>
      </c>
      <c r="O956" s="16" t="inlineStr">
        <is>
          <t>EERAG25E03, (39)Ivory, (160)160</t>
        </is>
      </c>
      <c r="P956" s="16" t="n">
        <v>499</v>
      </c>
      <c r="Q956" s="16" t="n">
        <v>499</v>
      </c>
      <c r="R956" s="16" t="n">
        <v>3</v>
      </c>
      <c r="S956" s="16" t="n">
        <v>667</v>
      </c>
      <c r="T956" s="16" t="n">
        <v>4</v>
      </c>
    </row>
    <row r="957" s="103">
      <c r="A957" s="16" t="inlineStr">
        <is>
          <t>B331</t>
        </is>
      </c>
      <c r="B957" s="16" t="inlineStr">
        <is>
          <t>上海区域</t>
        </is>
      </c>
      <c r="C957" s="16" t="inlineStr">
        <is>
          <t>CN0Q</t>
        </is>
      </c>
      <c r="D957" s="16" t="inlineStr">
        <is>
          <t>EE 苏州比斯特购物村</t>
        </is>
      </c>
      <c r="E957" s="16" t="n">
        <v>4</v>
      </c>
      <c r="F957" s="16" t="inlineStr">
        <is>
          <t>奥特莱斯</t>
        </is>
      </c>
      <c r="G957" s="16" t="inlineStr">
        <is>
          <t>EERAG25E03</t>
        </is>
      </c>
      <c r="H957" s="16" t="n">
        <v>499</v>
      </c>
      <c r="I957" s="16" t="n">
        <v>499</v>
      </c>
      <c r="J957" s="17" t="inlineStr">
        <is>
          <t>########</t>
        </is>
      </c>
      <c r="K957" s="16" t="inlineStr">
        <is>
          <t>(39)Ivory</t>
        </is>
      </c>
      <c r="L957" s="16" t="inlineStr">
        <is>
          <t>营业中</t>
        </is>
      </c>
      <c r="M957" s="16" t="inlineStr">
        <is>
          <t>EERAG25E0339165</t>
        </is>
      </c>
      <c r="N957" s="16">
        <f>LEFT(M957,12)</f>
        <v/>
      </c>
      <c r="O957" s="16" t="inlineStr">
        <is>
          <t>EERAG25E03, (39)Ivory, (165)165</t>
        </is>
      </c>
      <c r="P957" s="16" t="n">
        <v>499</v>
      </c>
      <c r="Q957" s="16" t="n">
        <v>499</v>
      </c>
      <c r="R957" s="16" t="n">
        <v>2</v>
      </c>
      <c r="S957" s="16" t="n">
        <v>666</v>
      </c>
      <c r="T957" s="16" t="n">
        <v>7</v>
      </c>
    </row>
    <row r="958" s="103">
      <c r="A958" s="16" t="inlineStr">
        <is>
          <t>B331</t>
        </is>
      </c>
      <c r="B958" s="16" t="inlineStr">
        <is>
          <t>上海区域</t>
        </is>
      </c>
      <c r="C958" s="16" t="inlineStr">
        <is>
          <t>CN0Q</t>
        </is>
      </c>
      <c r="D958" s="16" t="inlineStr">
        <is>
          <t>EE 苏州比斯特购物村</t>
        </is>
      </c>
      <c r="E958" s="16" t="n">
        <v>4</v>
      </c>
      <c r="F958" s="16" t="inlineStr">
        <is>
          <t>奥特莱斯</t>
        </is>
      </c>
      <c r="G958" s="16" t="inlineStr">
        <is>
          <t>EERAG25E03</t>
        </is>
      </c>
      <c r="H958" s="16" t="n">
        <v>499</v>
      </c>
      <c r="I958" s="16" t="n">
        <v>499</v>
      </c>
      <c r="J958" s="17" t="inlineStr">
        <is>
          <t>########</t>
        </is>
      </c>
      <c r="K958" s="16" t="inlineStr">
        <is>
          <t>(39)Ivory</t>
        </is>
      </c>
      <c r="L958" s="16" t="inlineStr">
        <is>
          <t>营业中</t>
        </is>
      </c>
      <c r="M958" s="16" t="inlineStr">
        <is>
          <t>EERAG25E0339170</t>
        </is>
      </c>
      <c r="N958" s="16">
        <f>LEFT(M958,12)</f>
        <v/>
      </c>
      <c r="O958" s="16" t="inlineStr">
        <is>
          <t>EERAG25E03, (39)Ivory, (170)170</t>
        </is>
      </c>
      <c r="P958" s="16" t="n">
        <v>499</v>
      </c>
      <c r="Q958" s="16" t="n">
        <v>499</v>
      </c>
      <c r="R958" s="16" t="n"/>
      <c r="S958" s="16" t="n"/>
      <c r="T958" s="16" t="n">
        <v>6</v>
      </c>
    </row>
    <row r="959" s="103">
      <c r="A959" s="16" t="inlineStr">
        <is>
          <t>B331</t>
        </is>
      </c>
      <c r="B959" s="16" t="inlineStr">
        <is>
          <t>上海区域</t>
        </is>
      </c>
      <c r="C959" s="16" t="inlineStr">
        <is>
          <t>CN0Q</t>
        </is>
      </c>
      <c r="D959" s="16" t="inlineStr">
        <is>
          <t>EE 苏州比斯特购物村</t>
        </is>
      </c>
      <c r="E959" s="16" t="n">
        <v>4</v>
      </c>
      <c r="F959" s="16" t="inlineStr">
        <is>
          <t>奥特莱斯</t>
        </is>
      </c>
      <c r="G959" s="16" t="inlineStr">
        <is>
          <t>EERAG25E03</t>
        </is>
      </c>
      <c r="H959" s="16" t="n">
        <v>499</v>
      </c>
      <c r="I959" s="16" t="n">
        <v>499</v>
      </c>
      <c r="J959" s="17" t="inlineStr">
        <is>
          <t>########</t>
        </is>
      </c>
      <c r="K959" s="16" t="inlineStr">
        <is>
          <t>(51)L/Blue</t>
        </is>
      </c>
      <c r="L959" s="16" t="inlineStr">
        <is>
          <t>营业中</t>
        </is>
      </c>
      <c r="M959" s="16" t="inlineStr">
        <is>
          <t>EERAG25E0351160</t>
        </is>
      </c>
      <c r="N959" s="16">
        <f>LEFT(M959,12)</f>
        <v/>
      </c>
      <c r="O959" s="16" t="inlineStr">
        <is>
          <t>EERAG25E03, (51)L/Blue, (160)160</t>
        </is>
      </c>
      <c r="P959" s="16" t="n">
        <v>499</v>
      </c>
      <c r="Q959" s="16" t="n">
        <v>499</v>
      </c>
      <c r="R959" s="16" t="n">
        <v>1</v>
      </c>
      <c r="S959" s="16" t="n">
        <v>321</v>
      </c>
      <c r="T959" s="16" t="n">
        <v>1</v>
      </c>
    </row>
    <row r="960" s="103">
      <c r="A960" s="16" t="inlineStr">
        <is>
          <t>B331</t>
        </is>
      </c>
      <c r="B960" s="16" t="inlineStr">
        <is>
          <t>上海区域</t>
        </is>
      </c>
      <c r="C960" s="16" t="inlineStr">
        <is>
          <t>CN0Q</t>
        </is>
      </c>
      <c r="D960" s="16" t="inlineStr">
        <is>
          <t>EE 苏州比斯特购物村</t>
        </is>
      </c>
      <c r="E960" s="16" t="n">
        <v>4</v>
      </c>
      <c r="F960" s="16" t="inlineStr">
        <is>
          <t>奥特莱斯</t>
        </is>
      </c>
      <c r="G960" s="16" t="inlineStr">
        <is>
          <t>EERAG25E03</t>
        </is>
      </c>
      <c r="H960" s="16" t="n">
        <v>499</v>
      </c>
      <c r="I960" s="16" t="n">
        <v>499</v>
      </c>
      <c r="J960" s="17" t="inlineStr">
        <is>
          <t>########</t>
        </is>
      </c>
      <c r="K960" s="16" t="inlineStr">
        <is>
          <t>(51)L/Blue</t>
        </is>
      </c>
      <c r="L960" s="16" t="inlineStr">
        <is>
          <t>营业中</t>
        </is>
      </c>
      <c r="M960" s="16" t="inlineStr">
        <is>
          <t>EERAG25E0351165</t>
        </is>
      </c>
      <c r="N960" s="16">
        <f>LEFT(M960,12)</f>
        <v/>
      </c>
      <c r="O960" s="16" t="inlineStr">
        <is>
          <t>EERAG25E03, (51)L/Blue, (165)165</t>
        </is>
      </c>
      <c r="P960" s="16" t="n">
        <v>499</v>
      </c>
      <c r="Q960" s="16" t="n">
        <v>499</v>
      </c>
      <c r="R960" s="16" t="n">
        <v>1</v>
      </c>
      <c r="S960" s="16" t="n"/>
      <c r="T960" s="16" t="n">
        <v>2</v>
      </c>
    </row>
    <row r="961" s="103">
      <c r="A961" s="16" t="inlineStr">
        <is>
          <t>B331</t>
        </is>
      </c>
      <c r="B961" s="16" t="inlineStr">
        <is>
          <t>上海区域</t>
        </is>
      </c>
      <c r="C961" s="16" t="inlineStr">
        <is>
          <t>CN0Q</t>
        </is>
      </c>
      <c r="D961" s="16" t="inlineStr">
        <is>
          <t>EE 苏州比斯特购物村</t>
        </is>
      </c>
      <c r="E961" s="16" t="n">
        <v>4</v>
      </c>
      <c r="F961" s="16" t="inlineStr">
        <is>
          <t>奥特莱斯</t>
        </is>
      </c>
      <c r="G961" s="16" t="inlineStr">
        <is>
          <t>EERAG25E03</t>
        </is>
      </c>
      <c r="H961" s="16" t="n">
        <v>499</v>
      </c>
      <c r="I961" s="16" t="n">
        <v>499</v>
      </c>
      <c r="J961" s="17" t="inlineStr">
        <is>
          <t>########</t>
        </is>
      </c>
      <c r="K961" s="16" t="inlineStr">
        <is>
          <t>(51)L/Blue</t>
        </is>
      </c>
      <c r="L961" s="16" t="inlineStr">
        <is>
          <t>营业中</t>
        </is>
      </c>
      <c r="M961" s="16" t="inlineStr">
        <is>
          <t>EERAG25E0351170</t>
        </is>
      </c>
      <c r="N961" s="16">
        <f>LEFT(M961,12)</f>
        <v/>
      </c>
      <c r="O961" s="16" t="inlineStr">
        <is>
          <t>EERAG25E03, (51)L/Blue, (170)170</t>
        </is>
      </c>
      <c r="P961" s="16" t="n">
        <v>499</v>
      </c>
      <c r="Q961" s="16" t="n">
        <v>499</v>
      </c>
      <c r="R961" s="16" t="n"/>
      <c r="S961" s="16" t="n"/>
      <c r="T961" s="16" t="n">
        <v>2</v>
      </c>
    </row>
    <row r="962" s="103">
      <c r="A962" s="16" t="inlineStr">
        <is>
          <t>B331</t>
        </is>
      </c>
      <c r="B962" s="16" t="inlineStr">
        <is>
          <t>上海区域</t>
        </is>
      </c>
      <c r="C962" s="16" t="inlineStr">
        <is>
          <t>CN0Q</t>
        </is>
      </c>
      <c r="D962" s="16" t="inlineStr">
        <is>
          <t>EE 苏州比斯特购物村</t>
        </is>
      </c>
      <c r="E962" s="16" t="n">
        <v>4</v>
      </c>
      <c r="F962" s="16" t="inlineStr">
        <is>
          <t>奥特莱斯</t>
        </is>
      </c>
      <c r="G962" s="16" t="inlineStr">
        <is>
          <t>EERAG25E1G</t>
        </is>
      </c>
      <c r="H962" s="16" t="n">
        <v>399</v>
      </c>
      <c r="I962" s="16" t="n">
        <v>399</v>
      </c>
      <c r="J962" s="17" t="inlineStr">
        <is>
          <t>########</t>
        </is>
      </c>
      <c r="K962" s="16" t="inlineStr">
        <is>
          <t>(10)White</t>
        </is>
      </c>
      <c r="L962" s="16" t="inlineStr">
        <is>
          <t>营业中</t>
        </is>
      </c>
      <c r="M962" s="16" t="inlineStr">
        <is>
          <t>EERAG25E1G10170</t>
        </is>
      </c>
      <c r="N962" s="16">
        <f>LEFT(M962,12)</f>
        <v/>
      </c>
      <c r="O962" s="16" t="inlineStr">
        <is>
          <t>EERAG25E1G, (10)White, (170)170</t>
        </is>
      </c>
      <c r="P962" s="16" t="n">
        <v>399</v>
      </c>
      <c r="Q962" s="16" t="n">
        <v>399</v>
      </c>
      <c r="R962" s="16" t="n"/>
      <c r="S962" s="16" t="n"/>
      <c r="T962" s="16" t="n">
        <v>2</v>
      </c>
    </row>
    <row r="963" s="103">
      <c r="A963" s="16" t="inlineStr">
        <is>
          <t>B331</t>
        </is>
      </c>
      <c r="B963" s="16" t="inlineStr">
        <is>
          <t>上海区域</t>
        </is>
      </c>
      <c r="C963" s="16" t="inlineStr">
        <is>
          <t>CN0Q</t>
        </is>
      </c>
      <c r="D963" s="16" t="inlineStr">
        <is>
          <t>EE 苏州比斯特购物村</t>
        </is>
      </c>
      <c r="E963" s="16" t="n">
        <v>4</v>
      </c>
      <c r="F963" s="16" t="inlineStr">
        <is>
          <t>奥特莱斯</t>
        </is>
      </c>
      <c r="G963" s="16" t="inlineStr">
        <is>
          <t>EERAG25E1G</t>
        </is>
      </c>
      <c r="H963" s="16" t="n">
        <v>399</v>
      </c>
      <c r="I963" s="16" t="n">
        <v>399</v>
      </c>
      <c r="J963" s="17" t="inlineStr">
        <is>
          <t>########</t>
        </is>
      </c>
      <c r="K963" s="16" t="inlineStr">
        <is>
          <t>(10)White</t>
        </is>
      </c>
      <c r="L963" s="16" t="inlineStr">
        <is>
          <t>营业中</t>
        </is>
      </c>
      <c r="M963" s="16" t="inlineStr">
        <is>
          <t>EERAG25E1G10175</t>
        </is>
      </c>
      <c r="N963" s="16">
        <f>LEFT(M963,12)</f>
        <v/>
      </c>
      <c r="O963" s="16" t="inlineStr">
        <is>
          <t>EERAG25E1G, (10)White, (175)175</t>
        </is>
      </c>
      <c r="P963" s="16" t="n">
        <v>399</v>
      </c>
      <c r="Q963" s="16" t="n">
        <v>399</v>
      </c>
      <c r="R963" s="16" t="n"/>
      <c r="S963" s="16" t="n"/>
      <c r="T963" s="16" t="n">
        <v>2</v>
      </c>
    </row>
    <row r="964" s="103">
      <c r="A964" s="16" t="inlineStr">
        <is>
          <t>B331</t>
        </is>
      </c>
      <c r="B964" s="16" t="inlineStr">
        <is>
          <t>上海区域</t>
        </is>
      </c>
      <c r="C964" s="16" t="inlineStr">
        <is>
          <t>CN0Q</t>
        </is>
      </c>
      <c r="D964" s="16" t="inlineStr">
        <is>
          <t>EE 苏州比斯特购物村</t>
        </is>
      </c>
      <c r="E964" s="16" t="n">
        <v>4</v>
      </c>
      <c r="F964" s="16" t="inlineStr">
        <is>
          <t>奥特莱斯</t>
        </is>
      </c>
      <c r="G964" s="16" t="inlineStr">
        <is>
          <t>EERAG25E1G</t>
        </is>
      </c>
      <c r="H964" s="16" t="n">
        <v>399</v>
      </c>
      <c r="I964" s="16" t="n">
        <v>399</v>
      </c>
      <c r="J964" s="17" t="inlineStr">
        <is>
          <t>########</t>
        </is>
      </c>
      <c r="K964" s="16" t="inlineStr">
        <is>
          <t>(10)White</t>
        </is>
      </c>
      <c r="L964" s="16" t="inlineStr">
        <is>
          <t>营业中</t>
        </is>
      </c>
      <c r="M964" s="16" t="inlineStr">
        <is>
          <t>EERAG25E1G10180</t>
        </is>
      </c>
      <c r="N964" s="16">
        <f>LEFT(M964,12)</f>
        <v/>
      </c>
      <c r="O964" s="16" t="inlineStr">
        <is>
          <t>EERAG25E1G, (10)White, (180)180</t>
        </is>
      </c>
      <c r="P964" s="16" t="n">
        <v>399</v>
      </c>
      <c r="Q964" s="16" t="n">
        <v>399</v>
      </c>
      <c r="R964" s="16" t="n"/>
      <c r="S964" s="16" t="n"/>
      <c r="T964" s="16" t="n">
        <v>2</v>
      </c>
    </row>
    <row r="965" s="103">
      <c r="A965" s="16" t="inlineStr">
        <is>
          <t>B331</t>
        </is>
      </c>
      <c r="B965" s="16" t="inlineStr">
        <is>
          <t>上海区域</t>
        </is>
      </c>
      <c r="C965" s="16" t="inlineStr">
        <is>
          <t>CN0Q</t>
        </is>
      </c>
      <c r="D965" s="16" t="inlineStr">
        <is>
          <t>EE 苏州比斯特购物村</t>
        </is>
      </c>
      <c r="E965" s="16" t="n">
        <v>4</v>
      </c>
      <c r="F965" s="16" t="inlineStr">
        <is>
          <t>奥特莱斯</t>
        </is>
      </c>
      <c r="G965" s="16" t="inlineStr">
        <is>
          <t>EERAG25E1G</t>
        </is>
      </c>
      <c r="H965" s="16" t="n">
        <v>399</v>
      </c>
      <c r="I965" s="16" t="n">
        <v>399</v>
      </c>
      <c r="J965" s="17" t="inlineStr">
        <is>
          <t>########</t>
        </is>
      </c>
      <c r="K965" s="16" t="inlineStr">
        <is>
          <t>(10)White</t>
        </is>
      </c>
      <c r="L965" s="16" t="inlineStr">
        <is>
          <t>营业中</t>
        </is>
      </c>
      <c r="M965" s="16" t="inlineStr">
        <is>
          <t>EERAG25E1G10185</t>
        </is>
      </c>
      <c r="N965" s="16">
        <f>LEFT(M965,12)</f>
        <v/>
      </c>
      <c r="O965" s="16" t="inlineStr">
        <is>
          <t>EERAG25E1G, (10)White, (185)185</t>
        </is>
      </c>
      <c r="P965" s="16" t="n">
        <v>399</v>
      </c>
      <c r="Q965" s="16" t="n">
        <v>399</v>
      </c>
      <c r="R965" s="16" t="n"/>
      <c r="S965" s="16" t="n"/>
      <c r="T965" s="16" t="n">
        <v>1</v>
      </c>
    </row>
    <row r="966" s="103">
      <c r="A966" s="16" t="inlineStr">
        <is>
          <t>B331</t>
        </is>
      </c>
      <c r="B966" s="16" t="inlineStr">
        <is>
          <t>上海区域</t>
        </is>
      </c>
      <c r="C966" s="16" t="inlineStr">
        <is>
          <t>CN0Q</t>
        </is>
      </c>
      <c r="D966" s="16" t="inlineStr">
        <is>
          <t>EE 苏州比斯特购物村</t>
        </is>
      </c>
      <c r="E966" s="16" t="n">
        <v>4</v>
      </c>
      <c r="F966" s="16" t="inlineStr">
        <is>
          <t>奥特莱斯</t>
        </is>
      </c>
      <c r="G966" s="16" t="inlineStr">
        <is>
          <t>EERAG25E1G</t>
        </is>
      </c>
      <c r="H966" s="16" t="n">
        <v>399</v>
      </c>
      <c r="I966" s="16" t="n">
        <v>399</v>
      </c>
      <c r="J966" s="17" t="inlineStr">
        <is>
          <t>########</t>
        </is>
      </c>
      <c r="K966" s="16" t="inlineStr">
        <is>
          <t>(51)L/Blue</t>
        </is>
      </c>
      <c r="L966" s="16" t="inlineStr">
        <is>
          <t>营业中</t>
        </is>
      </c>
      <c r="M966" s="16" t="inlineStr">
        <is>
          <t>EERAG25E1G51170</t>
        </is>
      </c>
      <c r="N966" s="16">
        <f>LEFT(M966,12)</f>
        <v/>
      </c>
      <c r="O966" s="16" t="inlineStr">
        <is>
          <t>EERAG25E1G, (51)L/Blue, (170)170</t>
        </is>
      </c>
      <c r="P966" s="16" t="n">
        <v>399</v>
      </c>
      <c r="Q966" s="16" t="n">
        <v>399</v>
      </c>
      <c r="R966" s="16" t="n"/>
      <c r="S966" s="16" t="n"/>
      <c r="T966" s="16" t="n">
        <v>2</v>
      </c>
    </row>
    <row r="967" s="103">
      <c r="A967" s="16" t="inlineStr">
        <is>
          <t>B331</t>
        </is>
      </c>
      <c r="B967" s="16" t="inlineStr">
        <is>
          <t>上海区域</t>
        </is>
      </c>
      <c r="C967" s="16" t="inlineStr">
        <is>
          <t>CN0Q</t>
        </is>
      </c>
      <c r="D967" s="16" t="inlineStr">
        <is>
          <t>EE 苏州比斯特购物村</t>
        </is>
      </c>
      <c r="E967" s="16" t="n">
        <v>4</v>
      </c>
      <c r="F967" s="16" t="inlineStr">
        <is>
          <t>奥特莱斯</t>
        </is>
      </c>
      <c r="G967" s="16" t="inlineStr">
        <is>
          <t>EERAG25E1G</t>
        </is>
      </c>
      <c r="H967" s="16" t="n">
        <v>399</v>
      </c>
      <c r="I967" s="16" t="n">
        <v>399</v>
      </c>
      <c r="J967" s="17" t="inlineStr">
        <is>
          <t>########</t>
        </is>
      </c>
      <c r="K967" s="16" t="inlineStr">
        <is>
          <t>(51)L/Blue</t>
        </is>
      </c>
      <c r="L967" s="16" t="inlineStr">
        <is>
          <t>营业中</t>
        </is>
      </c>
      <c r="M967" s="16" t="inlineStr">
        <is>
          <t>EERAG25E1G51175</t>
        </is>
      </c>
      <c r="N967" s="16">
        <f>LEFT(M967,12)</f>
        <v/>
      </c>
      <c r="O967" s="16" t="inlineStr">
        <is>
          <t>EERAG25E1G, (51)L/Blue, (175)175</t>
        </is>
      </c>
      <c r="P967" s="16" t="n">
        <v>399</v>
      </c>
      <c r="Q967" s="16" t="n">
        <v>399</v>
      </c>
      <c r="R967" s="16" t="n"/>
      <c r="S967" s="16" t="n"/>
      <c r="T967" s="16" t="n">
        <v>2</v>
      </c>
    </row>
    <row r="968" s="103">
      <c r="A968" s="16" t="inlineStr">
        <is>
          <t>B331</t>
        </is>
      </c>
      <c r="B968" s="16" t="inlineStr">
        <is>
          <t>上海区域</t>
        </is>
      </c>
      <c r="C968" s="16" t="inlineStr">
        <is>
          <t>CN0Q</t>
        </is>
      </c>
      <c r="D968" s="16" t="inlineStr">
        <is>
          <t>EE 苏州比斯特购物村</t>
        </is>
      </c>
      <c r="E968" s="16" t="n">
        <v>4</v>
      </c>
      <c r="F968" s="16" t="inlineStr">
        <is>
          <t>奥特莱斯</t>
        </is>
      </c>
      <c r="G968" s="16" t="inlineStr">
        <is>
          <t>EERAG25E1G</t>
        </is>
      </c>
      <c r="H968" s="16" t="n">
        <v>399</v>
      </c>
      <c r="I968" s="16" t="n">
        <v>399</v>
      </c>
      <c r="J968" s="17" t="inlineStr">
        <is>
          <t>########</t>
        </is>
      </c>
      <c r="K968" s="16" t="inlineStr">
        <is>
          <t>(51)L/Blue</t>
        </is>
      </c>
      <c r="L968" s="16" t="inlineStr">
        <is>
          <t>营业中</t>
        </is>
      </c>
      <c r="M968" s="16" t="inlineStr">
        <is>
          <t>EERAG25E1G51180</t>
        </is>
      </c>
      <c r="N968" s="16">
        <f>LEFT(M968,12)</f>
        <v/>
      </c>
      <c r="O968" s="16" t="inlineStr">
        <is>
          <t>EERAG25E1G, (51)L/Blue, (180)180</t>
        </is>
      </c>
      <c r="P968" s="16" t="n">
        <v>399</v>
      </c>
      <c r="Q968" s="16" t="n">
        <v>399</v>
      </c>
      <c r="R968" s="16" t="n"/>
      <c r="S968" s="16" t="n"/>
      <c r="T968" s="16" t="n">
        <v>2</v>
      </c>
    </row>
    <row r="969" s="103">
      <c r="A969" s="16" t="inlineStr">
        <is>
          <t>B331</t>
        </is>
      </c>
      <c r="B969" s="16" t="inlineStr">
        <is>
          <t>上海区域</t>
        </is>
      </c>
      <c r="C969" s="16" t="inlineStr">
        <is>
          <t>CN0Q</t>
        </is>
      </c>
      <c r="D969" s="16" t="inlineStr">
        <is>
          <t>EE 苏州比斯特购物村</t>
        </is>
      </c>
      <c r="E969" s="16" t="n">
        <v>4</v>
      </c>
      <c r="F969" s="16" t="inlineStr">
        <is>
          <t>奥特莱斯</t>
        </is>
      </c>
      <c r="G969" s="16" t="inlineStr">
        <is>
          <t>EERAG25E1G</t>
        </is>
      </c>
      <c r="H969" s="16" t="n">
        <v>399</v>
      </c>
      <c r="I969" s="16" t="n">
        <v>399</v>
      </c>
      <c r="J969" s="17" t="inlineStr">
        <is>
          <t>########</t>
        </is>
      </c>
      <c r="K969" s="16" t="inlineStr">
        <is>
          <t>(51)L/Blue</t>
        </is>
      </c>
      <c r="L969" s="16" t="inlineStr">
        <is>
          <t>营业中</t>
        </is>
      </c>
      <c r="M969" s="16" t="inlineStr">
        <is>
          <t>EERAG25E1G51185</t>
        </is>
      </c>
      <c r="N969" s="16">
        <f>LEFT(M969,12)</f>
        <v/>
      </c>
      <c r="O969" s="16" t="inlineStr">
        <is>
          <t>EERAG25E1G, (51)L/Blue, (185)185</t>
        </is>
      </c>
      <c r="P969" s="16" t="n">
        <v>399</v>
      </c>
      <c r="Q969" s="16" t="n">
        <v>399</v>
      </c>
      <c r="R969" s="16" t="n"/>
      <c r="S969" s="16" t="n"/>
      <c r="T969" s="16" t="n">
        <v>1</v>
      </c>
    </row>
    <row r="970" s="103">
      <c r="A970" s="16" t="inlineStr">
        <is>
          <t>B331</t>
        </is>
      </c>
      <c r="B970" s="16" t="inlineStr">
        <is>
          <t>上海区域</t>
        </is>
      </c>
      <c r="C970" s="16" t="inlineStr">
        <is>
          <t>CN0Q</t>
        </is>
      </c>
      <c r="D970" s="16" t="inlineStr">
        <is>
          <t>EE 苏州比斯特购物村</t>
        </is>
      </c>
      <c r="E970" s="16" t="n">
        <v>4</v>
      </c>
      <c r="F970" s="16" t="inlineStr">
        <is>
          <t>奥特莱斯</t>
        </is>
      </c>
      <c r="G970" s="16" t="inlineStr">
        <is>
          <t>EERAG25E1G</t>
        </is>
      </c>
      <c r="H970" s="16" t="n">
        <v>399</v>
      </c>
      <c r="I970" s="16" t="n">
        <v>399</v>
      </c>
      <c r="J970" s="17" t="inlineStr">
        <is>
          <t>########</t>
        </is>
      </c>
      <c r="K970" s="16" t="inlineStr">
        <is>
          <t>(59)Navy</t>
        </is>
      </c>
      <c r="L970" s="16" t="inlineStr">
        <is>
          <t>营业中</t>
        </is>
      </c>
      <c r="M970" s="16" t="inlineStr">
        <is>
          <t>EERAG25E1G59170</t>
        </is>
      </c>
      <c r="N970" s="16">
        <f>LEFT(M970,12)</f>
        <v/>
      </c>
      <c r="O970" s="16" t="inlineStr">
        <is>
          <t>EERAG25E1G, (59)Navy, (170)170</t>
        </is>
      </c>
      <c r="P970" s="16" t="n">
        <v>399</v>
      </c>
      <c r="Q970" s="16" t="n">
        <v>399</v>
      </c>
      <c r="R970" s="16" t="n">
        <v>1</v>
      </c>
      <c r="S970" s="16" t="n"/>
      <c r="T970" s="16" t="n">
        <v>2</v>
      </c>
    </row>
    <row r="971" s="103">
      <c r="A971" s="16" t="inlineStr">
        <is>
          <t>B331</t>
        </is>
      </c>
      <c r="B971" s="16" t="inlineStr">
        <is>
          <t>上海区域</t>
        </is>
      </c>
      <c r="C971" s="16" t="inlineStr">
        <is>
          <t>CN0Q</t>
        </is>
      </c>
      <c r="D971" s="16" t="inlineStr">
        <is>
          <t>EE 苏州比斯特购物村</t>
        </is>
      </c>
      <c r="E971" s="16" t="n">
        <v>4</v>
      </c>
      <c r="F971" s="16" t="inlineStr">
        <is>
          <t>奥特莱斯</t>
        </is>
      </c>
      <c r="G971" s="16" t="inlineStr">
        <is>
          <t>EERAG25E1G</t>
        </is>
      </c>
      <c r="H971" s="16" t="n">
        <v>399</v>
      </c>
      <c r="I971" s="16" t="n">
        <v>399</v>
      </c>
      <c r="J971" s="17" t="inlineStr">
        <is>
          <t>########</t>
        </is>
      </c>
      <c r="K971" s="16" t="inlineStr">
        <is>
          <t>(59)Navy</t>
        </is>
      </c>
      <c r="L971" s="16" t="inlineStr">
        <is>
          <t>营业中</t>
        </is>
      </c>
      <c r="M971" s="16" t="inlineStr">
        <is>
          <t>EERAG25E1G59175</t>
        </is>
      </c>
      <c r="N971" s="16">
        <f>LEFT(M971,12)</f>
        <v/>
      </c>
      <c r="O971" s="16" t="inlineStr">
        <is>
          <t>EERAG25E1G, (59)Navy, (175)175</t>
        </is>
      </c>
      <c r="P971" s="16" t="n">
        <v>399</v>
      </c>
      <c r="Q971" s="16" t="n">
        <v>399</v>
      </c>
      <c r="R971" s="16" t="n">
        <v>2</v>
      </c>
      <c r="S971" s="16" t="n"/>
      <c r="T971" s="16" t="n">
        <v>4</v>
      </c>
    </row>
    <row r="972" s="103">
      <c r="A972" s="16" t="inlineStr">
        <is>
          <t>B331</t>
        </is>
      </c>
      <c r="B972" s="16" t="inlineStr">
        <is>
          <t>上海区域</t>
        </is>
      </c>
      <c r="C972" s="16" t="inlineStr">
        <is>
          <t>CN0Q</t>
        </is>
      </c>
      <c r="D972" s="16" t="inlineStr">
        <is>
          <t>EE 苏州比斯特购物村</t>
        </is>
      </c>
      <c r="E972" s="16" t="n">
        <v>4</v>
      </c>
      <c r="F972" s="16" t="inlineStr">
        <is>
          <t>奥特莱斯</t>
        </is>
      </c>
      <c r="G972" s="16" t="inlineStr">
        <is>
          <t>EERAG25E1G</t>
        </is>
      </c>
      <c r="H972" s="16" t="n">
        <v>399</v>
      </c>
      <c r="I972" s="16" t="n">
        <v>399</v>
      </c>
      <c r="J972" s="17" t="inlineStr">
        <is>
          <t>########</t>
        </is>
      </c>
      <c r="K972" s="16" t="inlineStr">
        <is>
          <t>(59)Navy</t>
        </is>
      </c>
      <c r="L972" s="16" t="inlineStr">
        <is>
          <t>营业中</t>
        </is>
      </c>
      <c r="M972" s="16" t="inlineStr">
        <is>
          <t>EERAG25E1G59180</t>
        </is>
      </c>
      <c r="N972" s="16">
        <f>LEFT(M972,12)</f>
        <v/>
      </c>
      <c r="O972" s="16" t="inlineStr">
        <is>
          <t>EERAG25E1G, (59)Navy, (180)180</t>
        </is>
      </c>
      <c r="P972" s="16" t="n">
        <v>399</v>
      </c>
      <c r="Q972" s="16" t="n">
        <v>399</v>
      </c>
      <c r="R972" s="16" t="n"/>
      <c r="S972" s="16" t="n"/>
      <c r="T972" s="16" t="n">
        <v>2</v>
      </c>
    </row>
    <row r="973" s="103">
      <c r="A973" s="16" t="inlineStr">
        <is>
          <t>B331</t>
        </is>
      </c>
      <c r="B973" s="16" t="inlineStr">
        <is>
          <t>上海区域</t>
        </is>
      </c>
      <c r="C973" s="16" t="inlineStr">
        <is>
          <t>CN0Q</t>
        </is>
      </c>
      <c r="D973" s="16" t="inlineStr">
        <is>
          <t>EE 苏州比斯特购物村</t>
        </is>
      </c>
      <c r="E973" s="16" t="n">
        <v>4</v>
      </c>
      <c r="F973" s="16" t="inlineStr">
        <is>
          <t>奥特莱斯</t>
        </is>
      </c>
      <c r="G973" s="16" t="inlineStr">
        <is>
          <t>EERAG25E1G</t>
        </is>
      </c>
      <c r="H973" s="16" t="n">
        <v>399</v>
      </c>
      <c r="I973" s="16" t="n">
        <v>399</v>
      </c>
      <c r="J973" s="17" t="inlineStr">
        <is>
          <t>########</t>
        </is>
      </c>
      <c r="K973" s="16" t="inlineStr">
        <is>
          <t>(59)Navy</t>
        </is>
      </c>
      <c r="L973" s="16" t="inlineStr">
        <is>
          <t>营业中</t>
        </is>
      </c>
      <c r="M973" s="16" t="inlineStr">
        <is>
          <t>EERAG25E1G59185</t>
        </is>
      </c>
      <c r="N973" s="16">
        <f>LEFT(M973,12)</f>
        <v/>
      </c>
      <c r="O973" s="16" t="inlineStr">
        <is>
          <t>EERAG25E1G, (59)Navy, (185)185</t>
        </is>
      </c>
      <c r="P973" s="16" t="n">
        <v>399</v>
      </c>
      <c r="Q973" s="16" t="n">
        <v>399</v>
      </c>
      <c r="R973" s="16" t="n"/>
      <c r="S973" s="16" t="n"/>
      <c r="T973" s="16" t="n">
        <v>1</v>
      </c>
    </row>
    <row r="974" s="103">
      <c r="A974" s="16" t="inlineStr">
        <is>
          <t>B331</t>
        </is>
      </c>
      <c r="B974" s="16" t="inlineStr">
        <is>
          <t>上海区域</t>
        </is>
      </c>
      <c r="C974" s="16" t="inlineStr">
        <is>
          <t>CN0Q</t>
        </is>
      </c>
      <c r="D974" s="16" t="inlineStr">
        <is>
          <t>EE 苏州比斯特购物村</t>
        </is>
      </c>
      <c r="E974" s="16" t="n">
        <v>4</v>
      </c>
      <c r="F974" s="16" t="inlineStr">
        <is>
          <t>奥特莱斯</t>
        </is>
      </c>
      <c r="G974" s="16" t="inlineStr">
        <is>
          <t>EERAG26B02</t>
        </is>
      </c>
      <c r="H974" s="16" t="n">
        <v>399</v>
      </c>
      <c r="I974" s="16" t="n">
        <v>399</v>
      </c>
      <c r="J974" s="17" t="inlineStr">
        <is>
          <t>########</t>
        </is>
      </c>
      <c r="K974" s="16" t="inlineStr">
        <is>
          <t>(17)D/Grey</t>
        </is>
      </c>
      <c r="L974" s="16" t="inlineStr">
        <is>
          <t>营业中</t>
        </is>
      </c>
      <c r="M974" s="16" t="inlineStr">
        <is>
          <t>EERAG26B0217160</t>
        </is>
      </c>
      <c r="N974" s="16">
        <f>LEFT(M974,12)</f>
        <v/>
      </c>
      <c r="O974" s="16" t="inlineStr">
        <is>
          <t>EERAG26B02, (17)D/Grey, (160)160</t>
        </is>
      </c>
      <c r="P974" s="16" t="n">
        <v>399</v>
      </c>
      <c r="Q974" s="16" t="n">
        <v>399</v>
      </c>
      <c r="R974" s="16" t="n">
        <v>1</v>
      </c>
      <c r="S974" s="16" t="n">
        <v>256</v>
      </c>
      <c r="T974" s="16" t="n">
        <v>4</v>
      </c>
    </row>
    <row r="975" s="103">
      <c r="A975" s="16" t="inlineStr">
        <is>
          <t>B331</t>
        </is>
      </c>
      <c r="B975" s="16" t="inlineStr">
        <is>
          <t>上海区域</t>
        </is>
      </c>
      <c r="C975" s="16" t="inlineStr">
        <is>
          <t>CN0Q</t>
        </is>
      </c>
      <c r="D975" s="16" t="inlineStr">
        <is>
          <t>EE 苏州比斯特购物村</t>
        </is>
      </c>
      <c r="E975" s="16" t="n">
        <v>4</v>
      </c>
      <c r="F975" s="16" t="inlineStr">
        <is>
          <t>奥特莱斯</t>
        </is>
      </c>
      <c r="G975" s="16" t="inlineStr">
        <is>
          <t>EERAG26B02</t>
        </is>
      </c>
      <c r="H975" s="16" t="n">
        <v>399</v>
      </c>
      <c r="I975" s="16" t="n">
        <v>399</v>
      </c>
      <c r="J975" s="17" t="inlineStr">
        <is>
          <t>########</t>
        </is>
      </c>
      <c r="K975" s="16" t="inlineStr">
        <is>
          <t>(17)D/Grey</t>
        </is>
      </c>
      <c r="L975" s="16" t="inlineStr">
        <is>
          <t>营业中</t>
        </is>
      </c>
      <c r="M975" s="16" t="inlineStr">
        <is>
          <t>EERAG26B0217165</t>
        </is>
      </c>
      <c r="N975" s="16">
        <f>LEFT(M975,12)</f>
        <v/>
      </c>
      <c r="O975" s="16" t="inlineStr">
        <is>
          <t>EERAG26B02, (17)D/Grey, (165)165</t>
        </is>
      </c>
      <c r="P975" s="16" t="n">
        <v>399</v>
      </c>
      <c r="Q975" s="16" t="n">
        <v>399</v>
      </c>
      <c r="R975" s="16" t="n">
        <v>2</v>
      </c>
      <c r="S975" s="16" t="n">
        <v>531</v>
      </c>
      <c r="T975" s="16" t="n">
        <v>9</v>
      </c>
    </row>
    <row r="976" s="103">
      <c r="A976" s="16" t="inlineStr">
        <is>
          <t>B331</t>
        </is>
      </c>
      <c r="B976" s="16" t="inlineStr">
        <is>
          <t>上海区域</t>
        </is>
      </c>
      <c r="C976" s="16" t="inlineStr">
        <is>
          <t>CN0Q</t>
        </is>
      </c>
      <c r="D976" s="16" t="inlineStr">
        <is>
          <t>EE 苏州比斯特购物村</t>
        </is>
      </c>
      <c r="E976" s="16" t="n">
        <v>4</v>
      </c>
      <c r="F976" s="16" t="inlineStr">
        <is>
          <t>奥特莱斯</t>
        </is>
      </c>
      <c r="G976" s="16" t="inlineStr">
        <is>
          <t>EERAG26B02</t>
        </is>
      </c>
      <c r="H976" s="16" t="n">
        <v>399</v>
      </c>
      <c r="I976" s="16" t="n">
        <v>399</v>
      </c>
      <c r="J976" s="17" t="inlineStr">
        <is>
          <t>########</t>
        </is>
      </c>
      <c r="K976" s="16" t="inlineStr">
        <is>
          <t>(17)D/Grey</t>
        </is>
      </c>
      <c r="L976" s="16" t="inlineStr">
        <is>
          <t>营业中</t>
        </is>
      </c>
      <c r="M976" s="16" t="inlineStr">
        <is>
          <t>EERAG26B0217170</t>
        </is>
      </c>
      <c r="N976" s="16">
        <f>LEFT(M976,12)</f>
        <v/>
      </c>
      <c r="O976" s="16" t="inlineStr">
        <is>
          <t>EERAG26B02, (17)D/Grey, (170)170</t>
        </is>
      </c>
      <c r="P976" s="16" t="n">
        <v>399</v>
      </c>
      <c r="Q976" s="16" t="n">
        <v>399</v>
      </c>
      <c r="R976" s="16" t="n">
        <v>1</v>
      </c>
      <c r="S976" s="16" t="n">
        <v>253</v>
      </c>
      <c r="T976" s="16" t="n">
        <v>6</v>
      </c>
    </row>
    <row r="977" s="103">
      <c r="A977" s="16" t="inlineStr">
        <is>
          <t>B331</t>
        </is>
      </c>
      <c r="B977" s="16" t="inlineStr">
        <is>
          <t>上海区域</t>
        </is>
      </c>
      <c r="C977" s="16" t="inlineStr">
        <is>
          <t>CN0Q</t>
        </is>
      </c>
      <c r="D977" s="16" t="inlineStr">
        <is>
          <t>EE 苏州比斯特购物村</t>
        </is>
      </c>
      <c r="E977" s="16" t="n">
        <v>4</v>
      </c>
      <c r="F977" s="16" t="inlineStr">
        <is>
          <t>奥特莱斯</t>
        </is>
      </c>
      <c r="G977" s="16" t="inlineStr">
        <is>
          <t>EERAG26B02</t>
        </is>
      </c>
      <c r="H977" s="16" t="n">
        <v>399</v>
      </c>
      <c r="I977" s="16" t="n">
        <v>399</v>
      </c>
      <c r="J977" s="17" t="inlineStr">
        <is>
          <t>########</t>
        </is>
      </c>
      <c r="K977" s="16" t="inlineStr">
        <is>
          <t>(17)D/Grey</t>
        </is>
      </c>
      <c r="L977" s="16" t="inlineStr">
        <is>
          <t>营业中</t>
        </is>
      </c>
      <c r="M977" s="16" t="inlineStr">
        <is>
          <t>EERAG26B0217175</t>
        </is>
      </c>
      <c r="N977" s="16">
        <f>LEFT(M977,12)</f>
        <v/>
      </c>
      <c r="O977" s="16" t="inlineStr">
        <is>
          <t>EERAG26B02, (17)D/Grey, (175)175</t>
        </is>
      </c>
      <c r="P977" s="16" t="n">
        <v>399</v>
      </c>
      <c r="Q977" s="16" t="n">
        <v>399</v>
      </c>
      <c r="R977" s="16" t="n"/>
      <c r="S977" s="16" t="n"/>
      <c r="T977" s="16" t="n">
        <v>1</v>
      </c>
    </row>
    <row r="978" s="103">
      <c r="A978" s="16" t="inlineStr">
        <is>
          <t>B331</t>
        </is>
      </c>
      <c r="B978" s="16" t="inlineStr">
        <is>
          <t>上海区域</t>
        </is>
      </c>
      <c r="C978" s="16" t="inlineStr">
        <is>
          <t>CN0Q</t>
        </is>
      </c>
      <c r="D978" s="16" t="inlineStr">
        <is>
          <t>EE 苏州比斯特购物村</t>
        </is>
      </c>
      <c r="E978" s="16" t="n">
        <v>4</v>
      </c>
      <c r="F978" s="16" t="inlineStr">
        <is>
          <t>奥特莱斯</t>
        </is>
      </c>
      <c r="G978" s="16" t="inlineStr">
        <is>
          <t>EERAG26B02</t>
        </is>
      </c>
      <c r="H978" s="16" t="n">
        <v>399</v>
      </c>
      <c r="I978" s="16" t="n">
        <v>399</v>
      </c>
      <c r="J978" s="17" t="inlineStr">
        <is>
          <t>########</t>
        </is>
      </c>
      <c r="K978" s="16" t="inlineStr">
        <is>
          <t>(64)Cream</t>
        </is>
      </c>
      <c r="L978" s="16" t="inlineStr">
        <is>
          <t>营业中</t>
        </is>
      </c>
      <c r="M978" s="16" t="inlineStr">
        <is>
          <t>EERAG26B0264160</t>
        </is>
      </c>
      <c r="N978" s="16">
        <f>LEFT(M978,12)</f>
        <v/>
      </c>
      <c r="O978" s="16" t="inlineStr">
        <is>
          <t>EERAG26B02, (64)Cream, (160)160</t>
        </is>
      </c>
      <c r="P978" s="16" t="n">
        <v>399</v>
      </c>
      <c r="Q978" s="16" t="n">
        <v>399</v>
      </c>
      <c r="R978" s="16" t="n"/>
      <c r="S978" s="16" t="n"/>
      <c r="T978" s="16" t="n">
        <v>3</v>
      </c>
    </row>
    <row r="979" s="103">
      <c r="A979" s="16" t="inlineStr">
        <is>
          <t>B331</t>
        </is>
      </c>
      <c r="B979" s="16" t="inlineStr">
        <is>
          <t>上海区域</t>
        </is>
      </c>
      <c r="C979" s="16" t="inlineStr">
        <is>
          <t>CN0Q</t>
        </is>
      </c>
      <c r="D979" s="16" t="inlineStr">
        <is>
          <t>EE 苏州比斯特购物村</t>
        </is>
      </c>
      <c r="E979" s="16" t="n">
        <v>4</v>
      </c>
      <c r="F979" s="16" t="inlineStr">
        <is>
          <t>奥特莱斯</t>
        </is>
      </c>
      <c r="G979" s="16" t="inlineStr">
        <is>
          <t>EERAG26B02</t>
        </is>
      </c>
      <c r="H979" s="16" t="n">
        <v>399</v>
      </c>
      <c r="I979" s="16" t="n">
        <v>399</v>
      </c>
      <c r="J979" s="17" t="inlineStr">
        <is>
          <t>########</t>
        </is>
      </c>
      <c r="K979" s="16" t="inlineStr">
        <is>
          <t>(64)Cream</t>
        </is>
      </c>
      <c r="L979" s="16" t="inlineStr">
        <is>
          <t>营业中</t>
        </is>
      </c>
      <c r="M979" s="16" t="inlineStr">
        <is>
          <t>EERAG26B0264165</t>
        </is>
      </c>
      <c r="N979" s="16">
        <f>LEFT(M979,12)</f>
        <v/>
      </c>
      <c r="O979" s="16" t="inlineStr">
        <is>
          <t>EERAG26B02, (64)Cream, (165)165</t>
        </is>
      </c>
      <c r="P979" s="16" t="n">
        <v>399</v>
      </c>
      <c r="Q979" s="16" t="n">
        <v>399</v>
      </c>
      <c r="R979" s="16" t="n"/>
      <c r="S979" s="16" t="n"/>
      <c r="T979" s="16" t="n">
        <v>8</v>
      </c>
    </row>
    <row r="980" s="103">
      <c r="A980" s="16" t="inlineStr">
        <is>
          <t>B331</t>
        </is>
      </c>
      <c r="B980" s="16" t="inlineStr">
        <is>
          <t>上海区域</t>
        </is>
      </c>
      <c r="C980" s="16" t="inlineStr">
        <is>
          <t>CN0Q</t>
        </is>
      </c>
      <c r="D980" s="16" t="inlineStr">
        <is>
          <t>EE 苏州比斯特购物村</t>
        </is>
      </c>
      <c r="E980" s="16" t="n">
        <v>4</v>
      </c>
      <c r="F980" s="16" t="inlineStr">
        <is>
          <t>奥特莱斯</t>
        </is>
      </c>
      <c r="G980" s="16" t="inlineStr">
        <is>
          <t>EERAG26B02</t>
        </is>
      </c>
      <c r="H980" s="16" t="n">
        <v>399</v>
      </c>
      <c r="I980" s="16" t="n">
        <v>399</v>
      </c>
      <c r="J980" s="17" t="inlineStr">
        <is>
          <t>########</t>
        </is>
      </c>
      <c r="K980" s="16" t="inlineStr">
        <is>
          <t>(64)Cream</t>
        </is>
      </c>
      <c r="L980" s="16" t="inlineStr">
        <is>
          <t>营业中</t>
        </is>
      </c>
      <c r="M980" s="16" t="inlineStr">
        <is>
          <t>EERAG26B0264170</t>
        </is>
      </c>
      <c r="N980" s="16">
        <f>LEFT(M980,12)</f>
        <v/>
      </c>
      <c r="O980" s="16" t="inlineStr">
        <is>
          <t>EERAG26B02, (64)Cream, (170)170</t>
        </is>
      </c>
      <c r="P980" s="16" t="n">
        <v>399</v>
      </c>
      <c r="Q980" s="16" t="n">
        <v>399</v>
      </c>
      <c r="R980" s="16" t="n">
        <v>2</v>
      </c>
      <c r="S980" s="16" t="n">
        <v>509</v>
      </c>
      <c r="T980" s="16" t="n">
        <v>3</v>
      </c>
    </row>
    <row r="981" s="103">
      <c r="A981" s="16" t="inlineStr">
        <is>
          <t>B331</t>
        </is>
      </c>
      <c r="B981" s="16" t="inlineStr">
        <is>
          <t>上海区域</t>
        </is>
      </c>
      <c r="C981" s="16" t="inlineStr">
        <is>
          <t>CN0Q</t>
        </is>
      </c>
      <c r="D981" s="16" t="inlineStr">
        <is>
          <t>EE 苏州比斯特购物村</t>
        </is>
      </c>
      <c r="E981" s="16" t="n">
        <v>4</v>
      </c>
      <c r="F981" s="16" t="inlineStr">
        <is>
          <t>奥特莱斯</t>
        </is>
      </c>
      <c r="G981" s="16" t="inlineStr">
        <is>
          <t>EERAG26B02</t>
        </is>
      </c>
      <c r="H981" s="16" t="n">
        <v>399</v>
      </c>
      <c r="I981" s="16" t="n">
        <v>399</v>
      </c>
      <c r="J981" s="17" t="inlineStr">
        <is>
          <t>########</t>
        </is>
      </c>
      <c r="K981" s="16" t="inlineStr">
        <is>
          <t>(64)Cream</t>
        </is>
      </c>
      <c r="L981" s="16" t="inlineStr">
        <is>
          <t>营业中</t>
        </is>
      </c>
      <c r="M981" s="16" t="inlineStr">
        <is>
          <t>EERAG26B0264175</t>
        </is>
      </c>
      <c r="N981" s="16">
        <f>LEFT(M981,12)</f>
        <v/>
      </c>
      <c r="O981" s="16" t="inlineStr">
        <is>
          <t>EERAG26B02, (64)Cream, (175)175</t>
        </is>
      </c>
      <c r="P981" s="16" t="n">
        <v>399</v>
      </c>
      <c r="Q981" s="16" t="n">
        <v>399</v>
      </c>
      <c r="R981" s="16" t="n">
        <v>1</v>
      </c>
      <c r="S981" s="16" t="n">
        <v>252</v>
      </c>
      <c r="T981" s="16" t="n">
        <v>0</v>
      </c>
    </row>
    <row r="982" s="103">
      <c r="A982" s="16" t="inlineStr">
        <is>
          <t>B331</t>
        </is>
      </c>
      <c r="B982" s="16" t="inlineStr">
        <is>
          <t>上海区域</t>
        </is>
      </c>
      <c r="C982" s="16" t="inlineStr">
        <is>
          <t>CN0Q</t>
        </is>
      </c>
      <c r="D982" s="16" t="inlineStr">
        <is>
          <t>EE 苏州比斯特购物村</t>
        </is>
      </c>
      <c r="E982" s="16" t="n">
        <v>4</v>
      </c>
      <c r="F982" s="16" t="inlineStr">
        <is>
          <t>奥特莱斯</t>
        </is>
      </c>
      <c r="G982" s="16" t="inlineStr">
        <is>
          <t>EERAG26B03</t>
        </is>
      </c>
      <c r="H982" s="16" t="n">
        <v>499</v>
      </c>
      <c r="I982" s="16" t="n">
        <v>499</v>
      </c>
      <c r="J982" s="17" t="inlineStr">
        <is>
          <t>########</t>
        </is>
      </c>
      <c r="K982" s="16" t="inlineStr">
        <is>
          <t>(64)Cream</t>
        </is>
      </c>
      <c r="L982" s="16" t="inlineStr">
        <is>
          <t>营业中</t>
        </is>
      </c>
      <c r="M982" s="16" t="inlineStr">
        <is>
          <t>EERAG26B0364160</t>
        </is>
      </c>
      <c r="N982" s="16">
        <f>LEFT(M982,12)</f>
        <v/>
      </c>
      <c r="O982" s="16" t="inlineStr">
        <is>
          <t>EERAG26B03, (64)Cream, (160)160</t>
        </is>
      </c>
      <c r="P982" s="16" t="n">
        <v>499</v>
      </c>
      <c r="Q982" s="16" t="n">
        <v>499</v>
      </c>
      <c r="R982" s="16" t="n">
        <v>3</v>
      </c>
      <c r="S982" s="16" t="n">
        <v>965</v>
      </c>
      <c r="T982" s="16" t="n">
        <v>1</v>
      </c>
    </row>
    <row r="983" s="103">
      <c r="A983" s="16" t="inlineStr">
        <is>
          <t>B331</t>
        </is>
      </c>
      <c r="B983" s="16" t="inlineStr">
        <is>
          <t>上海区域</t>
        </is>
      </c>
      <c r="C983" s="16" t="inlineStr">
        <is>
          <t>CN0Q</t>
        </is>
      </c>
      <c r="D983" s="16" t="inlineStr">
        <is>
          <t>EE 苏州比斯特购物村</t>
        </is>
      </c>
      <c r="E983" s="16" t="n">
        <v>4</v>
      </c>
      <c r="F983" s="16" t="inlineStr">
        <is>
          <t>奥特莱斯</t>
        </is>
      </c>
      <c r="G983" s="16" t="inlineStr">
        <is>
          <t>EERAG26B03</t>
        </is>
      </c>
      <c r="H983" s="16" t="n">
        <v>499</v>
      </c>
      <c r="I983" s="16" t="n">
        <v>499</v>
      </c>
      <c r="J983" s="17" t="inlineStr">
        <is>
          <t>########</t>
        </is>
      </c>
      <c r="K983" s="16" t="inlineStr">
        <is>
          <t>(64)Cream</t>
        </is>
      </c>
      <c r="L983" s="16" t="inlineStr">
        <is>
          <t>营业中</t>
        </is>
      </c>
      <c r="M983" s="16" t="inlineStr">
        <is>
          <t>EERAG26B0364165</t>
        </is>
      </c>
      <c r="N983" s="16">
        <f>LEFT(M983,12)</f>
        <v/>
      </c>
      <c r="O983" s="16" t="inlineStr">
        <is>
          <t>EERAG26B03, (64)Cream, (165)165</t>
        </is>
      </c>
      <c r="P983" s="16" t="n">
        <v>499</v>
      </c>
      <c r="Q983" s="16" t="n">
        <v>499</v>
      </c>
      <c r="R983" s="16" t="n"/>
      <c r="S983" s="16" t="n"/>
      <c r="T983" s="16" t="n">
        <v>3</v>
      </c>
    </row>
    <row r="984" s="103">
      <c r="A984" s="16" t="inlineStr">
        <is>
          <t>B331</t>
        </is>
      </c>
      <c r="B984" s="16" t="inlineStr">
        <is>
          <t>上海区域</t>
        </is>
      </c>
      <c r="C984" s="16" t="inlineStr">
        <is>
          <t>CN0Q</t>
        </is>
      </c>
      <c r="D984" s="16" t="inlineStr">
        <is>
          <t>EE 苏州比斯特购物村</t>
        </is>
      </c>
      <c r="E984" s="16" t="n">
        <v>4</v>
      </c>
      <c r="F984" s="16" t="inlineStr">
        <is>
          <t>奥特莱斯</t>
        </is>
      </c>
      <c r="G984" s="16" t="inlineStr">
        <is>
          <t>EERAG26B03</t>
        </is>
      </c>
      <c r="H984" s="16" t="n">
        <v>499</v>
      </c>
      <c r="I984" s="16" t="n">
        <v>499</v>
      </c>
      <c r="J984" s="17" t="inlineStr">
        <is>
          <t>########</t>
        </is>
      </c>
      <c r="K984" s="16" t="inlineStr">
        <is>
          <t>(64)Cream</t>
        </is>
      </c>
      <c r="L984" s="16" t="inlineStr">
        <is>
          <t>营业中</t>
        </is>
      </c>
      <c r="M984" s="16" t="inlineStr">
        <is>
          <t>EERAG26B0364170</t>
        </is>
      </c>
      <c r="N984" s="16">
        <f>LEFT(M984,12)</f>
        <v/>
      </c>
      <c r="O984" s="16" t="inlineStr">
        <is>
          <t>EERAG26B03, (64)Cream, (170)170</t>
        </is>
      </c>
      <c r="P984" s="16" t="n">
        <v>499</v>
      </c>
      <c r="Q984" s="16" t="n">
        <v>499</v>
      </c>
      <c r="R984" s="16" t="n"/>
      <c r="S984" s="16" t="n"/>
      <c r="T984" s="16" t="n">
        <v>2</v>
      </c>
    </row>
    <row r="985" s="103">
      <c r="A985" s="16" t="inlineStr">
        <is>
          <t>B331</t>
        </is>
      </c>
      <c r="B985" s="16" t="inlineStr">
        <is>
          <t>上海区域</t>
        </is>
      </c>
      <c r="C985" s="16" t="inlineStr">
        <is>
          <t>CN0Q</t>
        </is>
      </c>
      <c r="D985" s="16" t="inlineStr">
        <is>
          <t>EE 苏州比斯特购物村</t>
        </is>
      </c>
      <c r="E985" s="16" t="n">
        <v>4</v>
      </c>
      <c r="F985" s="16" t="inlineStr">
        <is>
          <t>奥特莱斯</t>
        </is>
      </c>
      <c r="G985" s="16" t="inlineStr">
        <is>
          <t>EERAG64S01</t>
        </is>
      </c>
      <c r="H985" s="16" t="n">
        <v>499</v>
      </c>
      <c r="I985" s="16" t="n">
        <v>399</v>
      </c>
      <c r="J985" s="17" t="inlineStr">
        <is>
          <t>########</t>
        </is>
      </c>
      <c r="K985" s="16" t="inlineStr">
        <is>
          <t>(26)L/Pink</t>
        </is>
      </c>
      <c r="L985" s="16" t="inlineStr">
        <is>
          <t>营业中</t>
        </is>
      </c>
      <c r="M985" s="16" t="inlineStr">
        <is>
          <t>EERAG64S0126160</t>
        </is>
      </c>
      <c r="N985" s="16">
        <f>LEFT(M985,12)</f>
        <v/>
      </c>
      <c r="O985" s="16" t="inlineStr">
        <is>
          <t>EERAG64S01, (26)L/Pink, (160)160</t>
        </is>
      </c>
      <c r="P985" s="16" t="n">
        <v>499</v>
      </c>
      <c r="Q985" s="16" t="n">
        <v>399</v>
      </c>
      <c r="R985" s="16" t="n">
        <v>1</v>
      </c>
      <c r="S985" s="16" t="n">
        <v>182</v>
      </c>
      <c r="T985" s="16" t="n">
        <v>2</v>
      </c>
    </row>
    <row r="986" s="103">
      <c r="A986" s="16" t="inlineStr">
        <is>
          <t>B331</t>
        </is>
      </c>
      <c r="B986" s="16" t="inlineStr">
        <is>
          <t>上海区域</t>
        </is>
      </c>
      <c r="C986" s="16" t="inlineStr">
        <is>
          <t>CN0Q</t>
        </is>
      </c>
      <c r="D986" s="16" t="inlineStr">
        <is>
          <t>EE 苏州比斯特购物村</t>
        </is>
      </c>
      <c r="E986" s="16" t="n">
        <v>4</v>
      </c>
      <c r="F986" s="16" t="inlineStr">
        <is>
          <t>奥特莱斯</t>
        </is>
      </c>
      <c r="G986" s="16" t="inlineStr">
        <is>
          <t>EERAG64S01</t>
        </is>
      </c>
      <c r="H986" s="16" t="n">
        <v>499</v>
      </c>
      <c r="I986" s="16" t="n">
        <v>399</v>
      </c>
      <c r="J986" s="17" t="inlineStr">
        <is>
          <t>########</t>
        </is>
      </c>
      <c r="K986" s="16" t="inlineStr">
        <is>
          <t>(26)L/Pink</t>
        </is>
      </c>
      <c r="L986" s="16" t="inlineStr">
        <is>
          <t>营业中</t>
        </is>
      </c>
      <c r="M986" s="16" t="inlineStr">
        <is>
          <t>EERAG64S0126165</t>
        </is>
      </c>
      <c r="N986" s="16">
        <f>LEFT(M986,12)</f>
        <v/>
      </c>
      <c r="O986" s="16" t="inlineStr">
        <is>
          <t>EERAG64S01, (26)L/Pink, (165)165</t>
        </is>
      </c>
      <c r="P986" s="16" t="n">
        <v>499</v>
      </c>
      <c r="Q986" s="16" t="n">
        <v>399</v>
      </c>
      <c r="R986" s="16" t="n">
        <v>3</v>
      </c>
      <c r="S986" s="16" t="n">
        <v>581</v>
      </c>
      <c r="T986" s="16" t="n">
        <v>2</v>
      </c>
    </row>
    <row r="987" s="103">
      <c r="A987" s="16" t="inlineStr">
        <is>
          <t>B331</t>
        </is>
      </c>
      <c r="B987" s="16" t="inlineStr">
        <is>
          <t>上海区域</t>
        </is>
      </c>
      <c r="C987" s="16" t="inlineStr">
        <is>
          <t>CN0Q</t>
        </is>
      </c>
      <c r="D987" s="16" t="inlineStr">
        <is>
          <t>EE 苏州比斯特购物村</t>
        </is>
      </c>
      <c r="E987" s="16" t="n">
        <v>4</v>
      </c>
      <c r="F987" s="16" t="inlineStr">
        <is>
          <t>奥特莱斯</t>
        </is>
      </c>
      <c r="G987" s="16" t="inlineStr">
        <is>
          <t>EERAG64S01</t>
        </is>
      </c>
      <c r="H987" s="16" t="n">
        <v>499</v>
      </c>
      <c r="I987" s="16" t="n">
        <v>399</v>
      </c>
      <c r="J987" s="17" t="inlineStr">
        <is>
          <t>########</t>
        </is>
      </c>
      <c r="K987" s="16" t="inlineStr">
        <is>
          <t>(26)L/Pink</t>
        </is>
      </c>
      <c r="L987" s="16" t="inlineStr">
        <is>
          <t>营业中</t>
        </is>
      </c>
      <c r="M987" s="16" t="inlineStr">
        <is>
          <t>EERAG64S0126170</t>
        </is>
      </c>
      <c r="N987" s="16">
        <f>LEFT(M987,12)</f>
        <v/>
      </c>
      <c r="O987" s="16" t="inlineStr">
        <is>
          <t>EERAG64S01, (26)L/Pink, (170)170</t>
        </is>
      </c>
      <c r="P987" s="16" t="n">
        <v>499</v>
      </c>
      <c r="Q987" s="16" t="n">
        <v>399</v>
      </c>
      <c r="R987" s="16" t="n">
        <v>2</v>
      </c>
      <c r="S987" s="16" t="n"/>
      <c r="T987" s="16" t="n">
        <v>3</v>
      </c>
    </row>
    <row r="988" s="103">
      <c r="A988" s="16" t="inlineStr">
        <is>
          <t>B331</t>
        </is>
      </c>
      <c r="B988" s="16" t="inlineStr">
        <is>
          <t>上海区域</t>
        </is>
      </c>
      <c r="C988" s="16" t="inlineStr">
        <is>
          <t>CN0Q</t>
        </is>
      </c>
      <c r="D988" s="16" t="inlineStr">
        <is>
          <t>EE 苏州比斯特购物村</t>
        </is>
      </c>
      <c r="E988" s="16" t="n">
        <v>4</v>
      </c>
      <c r="F988" s="16" t="inlineStr">
        <is>
          <t>奥特莱斯</t>
        </is>
      </c>
      <c r="G988" s="16" t="inlineStr">
        <is>
          <t>EERAG64S01</t>
        </is>
      </c>
      <c r="H988" s="16" t="n">
        <v>499</v>
      </c>
      <c r="I988" s="16" t="n">
        <v>399</v>
      </c>
      <c r="J988" s="17" t="inlineStr">
        <is>
          <t>########</t>
        </is>
      </c>
      <c r="K988" s="16" t="inlineStr">
        <is>
          <t>(26)L/Pink</t>
        </is>
      </c>
      <c r="L988" s="16" t="inlineStr">
        <is>
          <t>营业中</t>
        </is>
      </c>
      <c r="M988" s="16" t="inlineStr">
        <is>
          <t>EERAG64S0126175</t>
        </is>
      </c>
      <c r="N988" s="16">
        <f>LEFT(M988,12)</f>
        <v/>
      </c>
      <c r="O988" s="16" t="inlineStr">
        <is>
          <t>EERAG64S01, (26)L/Pink, (175)175</t>
        </is>
      </c>
      <c r="P988" s="16" t="n">
        <v>499</v>
      </c>
      <c r="Q988" s="16" t="n">
        <v>399</v>
      </c>
      <c r="R988" s="16" t="n">
        <v>2</v>
      </c>
      <c r="S988" s="16" t="n">
        <v>200</v>
      </c>
      <c r="T988" s="16" t="n">
        <v>2</v>
      </c>
    </row>
    <row r="989" s="103">
      <c r="A989" s="16" t="inlineStr">
        <is>
          <t>B331</t>
        </is>
      </c>
      <c r="B989" s="16" t="inlineStr">
        <is>
          <t>上海区域</t>
        </is>
      </c>
      <c r="C989" s="16" t="inlineStr">
        <is>
          <t>CN0Q</t>
        </is>
      </c>
      <c r="D989" s="16" t="inlineStr">
        <is>
          <t>EE 苏州比斯特购物村</t>
        </is>
      </c>
      <c r="E989" s="16" t="n">
        <v>4</v>
      </c>
      <c r="F989" s="16" t="inlineStr">
        <is>
          <t>奥特莱斯</t>
        </is>
      </c>
      <c r="G989" s="16" t="inlineStr">
        <is>
          <t>EERAG64S01</t>
        </is>
      </c>
      <c r="H989" s="16" t="n">
        <v>499</v>
      </c>
      <c r="I989" s="16" t="n">
        <v>399</v>
      </c>
      <c r="J989" s="17" t="inlineStr">
        <is>
          <t>########</t>
        </is>
      </c>
      <c r="K989" s="16" t="inlineStr">
        <is>
          <t>(31)L/Yellow</t>
        </is>
      </c>
      <c r="L989" s="16" t="inlineStr">
        <is>
          <t>营业中</t>
        </is>
      </c>
      <c r="M989" s="16" t="inlineStr">
        <is>
          <t>EERAG64S0131160</t>
        </is>
      </c>
      <c r="N989" s="16">
        <f>LEFT(M989,12)</f>
        <v/>
      </c>
      <c r="O989" s="16" t="inlineStr">
        <is>
          <t>EERAG64S01, (31)L/Yellow, (160)160</t>
        </is>
      </c>
      <c r="P989" s="16" t="n">
        <v>499</v>
      </c>
      <c r="Q989" s="16" t="n">
        <v>399</v>
      </c>
      <c r="R989" s="16" t="n">
        <v>1</v>
      </c>
      <c r="S989" s="16" t="n"/>
      <c r="T989" s="16" t="n">
        <v>5</v>
      </c>
    </row>
    <row r="990" s="103">
      <c r="A990" s="16" t="inlineStr">
        <is>
          <t>B331</t>
        </is>
      </c>
      <c r="B990" s="16" t="inlineStr">
        <is>
          <t>上海区域</t>
        </is>
      </c>
      <c r="C990" s="16" t="inlineStr">
        <is>
          <t>CN0Q</t>
        </is>
      </c>
      <c r="D990" s="16" t="inlineStr">
        <is>
          <t>EE 苏州比斯特购物村</t>
        </is>
      </c>
      <c r="E990" s="16" t="n">
        <v>4</v>
      </c>
      <c r="F990" s="16" t="inlineStr">
        <is>
          <t>奥特莱斯</t>
        </is>
      </c>
      <c r="G990" s="16" t="inlineStr">
        <is>
          <t>EERAG64S01</t>
        </is>
      </c>
      <c r="H990" s="16" t="n">
        <v>499</v>
      </c>
      <c r="I990" s="16" t="n">
        <v>399</v>
      </c>
      <c r="J990" s="17" t="inlineStr">
        <is>
          <t>########</t>
        </is>
      </c>
      <c r="K990" s="16" t="inlineStr">
        <is>
          <t>(31)L/Yellow</t>
        </is>
      </c>
      <c r="L990" s="16" t="inlineStr">
        <is>
          <t>营业中</t>
        </is>
      </c>
      <c r="M990" s="16" t="inlineStr">
        <is>
          <t>EERAG64S0131165</t>
        </is>
      </c>
      <c r="N990" s="16">
        <f>LEFT(M990,12)</f>
        <v/>
      </c>
      <c r="O990" s="16" t="inlineStr">
        <is>
          <t>EERAG64S01, (31)L/Yellow, (165)165</t>
        </is>
      </c>
      <c r="P990" s="16" t="n">
        <v>499</v>
      </c>
      <c r="Q990" s="16" t="n">
        <v>399</v>
      </c>
      <c r="R990" s="16" t="n">
        <v>2</v>
      </c>
      <c r="S990" s="16" t="n"/>
      <c r="T990" s="16" t="n">
        <v>6</v>
      </c>
    </row>
    <row r="991" s="103">
      <c r="A991" s="16" t="inlineStr">
        <is>
          <t>B331</t>
        </is>
      </c>
      <c r="B991" s="16" t="inlineStr">
        <is>
          <t>上海区域</t>
        </is>
      </c>
      <c r="C991" s="16" t="inlineStr">
        <is>
          <t>CN0Q</t>
        </is>
      </c>
      <c r="D991" s="16" t="inlineStr">
        <is>
          <t>EE 苏州比斯特购物村</t>
        </is>
      </c>
      <c r="E991" s="16" t="n">
        <v>4</v>
      </c>
      <c r="F991" s="16" t="inlineStr">
        <is>
          <t>奥特莱斯</t>
        </is>
      </c>
      <c r="G991" s="16" t="inlineStr">
        <is>
          <t>EERAG64S01</t>
        </is>
      </c>
      <c r="H991" s="16" t="n">
        <v>499</v>
      </c>
      <c r="I991" s="16" t="n">
        <v>399</v>
      </c>
      <c r="J991" s="17" t="inlineStr">
        <is>
          <t>########</t>
        </is>
      </c>
      <c r="K991" s="16" t="inlineStr">
        <is>
          <t>(31)L/Yellow</t>
        </is>
      </c>
      <c r="L991" s="16" t="inlineStr">
        <is>
          <t>营业中</t>
        </is>
      </c>
      <c r="M991" s="16" t="inlineStr">
        <is>
          <t>EERAG64S0131170</t>
        </is>
      </c>
      <c r="N991" s="16">
        <f>LEFT(M991,12)</f>
        <v/>
      </c>
      <c r="O991" s="16" t="inlineStr">
        <is>
          <t>EERAG64S01, (31)L/Yellow, (170)170</t>
        </is>
      </c>
      <c r="P991" s="16" t="n">
        <v>499</v>
      </c>
      <c r="Q991" s="16" t="n">
        <v>399</v>
      </c>
      <c r="R991" s="16" t="n">
        <v>2</v>
      </c>
      <c r="S991" s="16" t="n"/>
      <c r="T991" s="16" t="n">
        <v>5</v>
      </c>
    </row>
    <row r="992" s="103">
      <c r="A992" s="16" t="inlineStr">
        <is>
          <t>B331</t>
        </is>
      </c>
      <c r="B992" s="16" t="inlineStr">
        <is>
          <t>上海区域</t>
        </is>
      </c>
      <c r="C992" s="16" t="inlineStr">
        <is>
          <t>CN0Q</t>
        </is>
      </c>
      <c r="D992" s="16" t="inlineStr">
        <is>
          <t>EE 苏州比斯特购物村</t>
        </is>
      </c>
      <c r="E992" s="16" t="n">
        <v>4</v>
      </c>
      <c r="F992" s="16" t="inlineStr">
        <is>
          <t>奥特莱斯</t>
        </is>
      </c>
      <c r="G992" s="16" t="inlineStr">
        <is>
          <t>EERAG64S01</t>
        </is>
      </c>
      <c r="H992" s="16" t="n">
        <v>499</v>
      </c>
      <c r="I992" s="16" t="n">
        <v>399</v>
      </c>
      <c r="J992" s="17" t="inlineStr">
        <is>
          <t>########</t>
        </is>
      </c>
      <c r="K992" s="16" t="inlineStr">
        <is>
          <t>(39)Ivory</t>
        </is>
      </c>
      <c r="L992" s="16" t="inlineStr">
        <is>
          <t>营业中</t>
        </is>
      </c>
      <c r="M992" s="16" t="inlineStr">
        <is>
          <t>EERAG64S0139160</t>
        </is>
      </c>
      <c r="N992" s="16">
        <f>LEFT(M992,12)</f>
        <v/>
      </c>
      <c r="O992" s="16" t="inlineStr">
        <is>
          <t>EERAG64S01, (39)Ivory, (160)160</t>
        </is>
      </c>
      <c r="P992" s="16" t="n">
        <v>499</v>
      </c>
      <c r="Q992" s="16" t="n">
        <v>399</v>
      </c>
      <c r="R992" s="16" t="n"/>
      <c r="S992" s="16" t="n"/>
      <c r="T992" s="16" t="n">
        <v>2</v>
      </c>
    </row>
    <row r="993" s="103">
      <c r="A993" s="16" t="inlineStr">
        <is>
          <t>B331</t>
        </is>
      </c>
      <c r="B993" s="16" t="inlineStr">
        <is>
          <t>上海区域</t>
        </is>
      </c>
      <c r="C993" s="16" t="inlineStr">
        <is>
          <t>CN0Q</t>
        </is>
      </c>
      <c r="D993" s="16" t="inlineStr">
        <is>
          <t>EE 苏州比斯特购物村</t>
        </is>
      </c>
      <c r="E993" s="16" t="n">
        <v>4</v>
      </c>
      <c r="F993" s="16" t="inlineStr">
        <is>
          <t>奥特莱斯</t>
        </is>
      </c>
      <c r="G993" s="16" t="inlineStr">
        <is>
          <t>EERAG64S01</t>
        </is>
      </c>
      <c r="H993" s="16" t="n">
        <v>499</v>
      </c>
      <c r="I993" s="16" t="n">
        <v>399</v>
      </c>
      <c r="J993" s="17" t="inlineStr">
        <is>
          <t>########</t>
        </is>
      </c>
      <c r="K993" s="16" t="inlineStr">
        <is>
          <t>(39)Ivory</t>
        </is>
      </c>
      <c r="L993" s="16" t="inlineStr">
        <is>
          <t>营业中</t>
        </is>
      </c>
      <c r="M993" s="16" t="inlineStr">
        <is>
          <t>EERAG64S0139165</t>
        </is>
      </c>
      <c r="N993" s="16">
        <f>LEFT(M993,12)</f>
        <v/>
      </c>
      <c r="O993" s="16" t="inlineStr">
        <is>
          <t>EERAG64S01, (39)Ivory, (165)165</t>
        </is>
      </c>
      <c r="P993" s="16" t="n">
        <v>499</v>
      </c>
      <c r="Q993" s="16" t="n">
        <v>399</v>
      </c>
      <c r="R993" s="16" t="n">
        <v>4</v>
      </c>
      <c r="S993" s="16" t="n">
        <v>182</v>
      </c>
      <c r="T993" s="16" t="n">
        <v>8</v>
      </c>
    </row>
    <row r="994" s="103">
      <c r="A994" s="16" t="inlineStr">
        <is>
          <t>B331</t>
        </is>
      </c>
      <c r="B994" s="16" t="inlineStr">
        <is>
          <t>上海区域</t>
        </is>
      </c>
      <c r="C994" s="16" t="inlineStr">
        <is>
          <t>CN0Q</t>
        </is>
      </c>
      <c r="D994" s="16" t="inlineStr">
        <is>
          <t>EE 苏州比斯特购物村</t>
        </is>
      </c>
      <c r="E994" s="16" t="n">
        <v>4</v>
      </c>
      <c r="F994" s="16" t="inlineStr">
        <is>
          <t>奥特莱斯</t>
        </is>
      </c>
      <c r="G994" s="16" t="inlineStr">
        <is>
          <t>EERAG64S01</t>
        </is>
      </c>
      <c r="H994" s="16" t="n">
        <v>499</v>
      </c>
      <c r="I994" s="16" t="n">
        <v>399</v>
      </c>
      <c r="J994" s="17" t="inlineStr">
        <is>
          <t>########</t>
        </is>
      </c>
      <c r="K994" s="16" t="inlineStr">
        <is>
          <t>(39)Ivory</t>
        </is>
      </c>
      <c r="L994" s="16" t="inlineStr">
        <is>
          <t>营业中</t>
        </is>
      </c>
      <c r="M994" s="16" t="inlineStr">
        <is>
          <t>EERAG64S0139170</t>
        </is>
      </c>
      <c r="N994" s="16">
        <f>LEFT(M994,12)</f>
        <v/>
      </c>
      <c r="O994" s="16" t="inlineStr">
        <is>
          <t>EERAG64S01, (39)Ivory, (170)170</t>
        </is>
      </c>
      <c r="P994" s="16" t="n">
        <v>499</v>
      </c>
      <c r="Q994" s="16" t="n">
        <v>399</v>
      </c>
      <c r="R994" s="16" t="n">
        <v>2</v>
      </c>
      <c r="S994" s="16" t="n"/>
      <c r="T994" s="16" t="n">
        <v>9</v>
      </c>
    </row>
    <row r="995" s="103">
      <c r="A995" s="16" t="inlineStr">
        <is>
          <t>B331</t>
        </is>
      </c>
      <c r="B995" s="16" t="inlineStr">
        <is>
          <t>上海区域</t>
        </is>
      </c>
      <c r="C995" s="16" t="inlineStr">
        <is>
          <t>CN0Q</t>
        </is>
      </c>
      <c r="D995" s="16" t="inlineStr">
        <is>
          <t>EE 苏州比斯特购物村</t>
        </is>
      </c>
      <c r="E995" s="16" t="n">
        <v>4</v>
      </c>
      <c r="F995" s="16" t="inlineStr">
        <is>
          <t>奥特莱斯</t>
        </is>
      </c>
      <c r="G995" s="16" t="inlineStr">
        <is>
          <t>EERAG64S01</t>
        </is>
      </c>
      <c r="H995" s="16" t="n">
        <v>499</v>
      </c>
      <c r="I995" s="16" t="n">
        <v>399</v>
      </c>
      <c r="J995" s="17" t="inlineStr">
        <is>
          <t>########</t>
        </is>
      </c>
      <c r="K995" s="16" t="inlineStr">
        <is>
          <t>(39)Ivory</t>
        </is>
      </c>
      <c r="L995" s="16" t="inlineStr">
        <is>
          <t>营业中</t>
        </is>
      </c>
      <c r="M995" s="16" t="inlineStr">
        <is>
          <t>EERAG64S0139175</t>
        </is>
      </c>
      <c r="N995" s="16">
        <f>LEFT(M995,12)</f>
        <v/>
      </c>
      <c r="O995" s="16" t="inlineStr">
        <is>
          <t>EERAG64S01, (39)Ivory, (175)175</t>
        </is>
      </c>
      <c r="P995" s="16" t="n">
        <v>499</v>
      </c>
      <c r="Q995" s="16" t="n">
        <v>399</v>
      </c>
      <c r="R995" s="16" t="n">
        <v>1</v>
      </c>
      <c r="S995" s="16" t="n"/>
      <c r="T995" s="16" t="n">
        <v>1</v>
      </c>
    </row>
    <row r="996" s="103">
      <c r="A996" s="16" t="inlineStr">
        <is>
          <t>B331</t>
        </is>
      </c>
      <c r="B996" s="16" t="inlineStr">
        <is>
          <t>上海区域</t>
        </is>
      </c>
      <c r="C996" s="16" t="inlineStr">
        <is>
          <t>CN0Q</t>
        </is>
      </c>
      <c r="D996" s="16" t="inlineStr">
        <is>
          <t>EE 苏州比斯特购物村</t>
        </is>
      </c>
      <c r="E996" s="16" t="n">
        <v>4</v>
      </c>
      <c r="F996" s="16" t="inlineStr">
        <is>
          <t>奥特莱斯</t>
        </is>
      </c>
      <c r="G996" s="16" t="inlineStr">
        <is>
          <t>EERAG64S01</t>
        </is>
      </c>
      <c r="H996" s="16" t="n">
        <v>499</v>
      </c>
      <c r="I996" s="16" t="n">
        <v>399</v>
      </c>
      <c r="J996" s="17" t="inlineStr">
        <is>
          <t>########</t>
        </is>
      </c>
      <c r="K996" s="16" t="inlineStr">
        <is>
          <t>(51)L/Blue</t>
        </is>
      </c>
      <c r="L996" s="16" t="inlineStr">
        <is>
          <t>营业中</t>
        </is>
      </c>
      <c r="M996" s="16" t="inlineStr">
        <is>
          <t>EERAG64S0151160</t>
        </is>
      </c>
      <c r="N996" s="16">
        <f>LEFT(M996,12)</f>
        <v/>
      </c>
      <c r="O996" s="16" t="inlineStr">
        <is>
          <t>EERAG64S01, (51)L/Blue, (160)160</t>
        </is>
      </c>
      <c r="P996" s="16" t="n">
        <v>499</v>
      </c>
      <c r="Q996" s="16" t="n">
        <v>399</v>
      </c>
      <c r="R996" s="16" t="n">
        <v>1</v>
      </c>
      <c r="S996" s="16" t="n">
        <v>200</v>
      </c>
      <c r="T996" s="16" t="n">
        <v>2</v>
      </c>
    </row>
    <row r="997" s="103">
      <c r="A997" s="16" t="inlineStr">
        <is>
          <t>B331</t>
        </is>
      </c>
      <c r="B997" s="16" t="inlineStr">
        <is>
          <t>上海区域</t>
        </is>
      </c>
      <c r="C997" s="16" t="inlineStr">
        <is>
          <t>CN0Q</t>
        </is>
      </c>
      <c r="D997" s="16" t="inlineStr">
        <is>
          <t>EE 苏州比斯特购物村</t>
        </is>
      </c>
      <c r="E997" s="16" t="n">
        <v>4</v>
      </c>
      <c r="F997" s="16" t="inlineStr">
        <is>
          <t>奥特莱斯</t>
        </is>
      </c>
      <c r="G997" s="16" t="inlineStr">
        <is>
          <t>EERAG64S01</t>
        </is>
      </c>
      <c r="H997" s="16" t="n">
        <v>499</v>
      </c>
      <c r="I997" s="16" t="n">
        <v>399</v>
      </c>
      <c r="J997" s="17" t="inlineStr">
        <is>
          <t>########</t>
        </is>
      </c>
      <c r="K997" s="16" t="inlineStr">
        <is>
          <t>(51)L/Blue</t>
        </is>
      </c>
      <c r="L997" s="16" t="inlineStr">
        <is>
          <t>营业中</t>
        </is>
      </c>
      <c r="M997" s="16" t="inlineStr">
        <is>
          <t>EERAG64S0151165</t>
        </is>
      </c>
      <c r="N997" s="16">
        <f>LEFT(M997,12)</f>
        <v/>
      </c>
      <c r="O997" s="16" t="inlineStr">
        <is>
          <t>EERAG64S01, (51)L/Blue, (165)165</t>
        </is>
      </c>
      <c r="P997" s="16" t="n">
        <v>499</v>
      </c>
      <c r="Q997" s="16" t="n">
        <v>399</v>
      </c>
      <c r="R997" s="16" t="n">
        <v>6</v>
      </c>
      <c r="S997" s="16" t="n">
        <v>542</v>
      </c>
      <c r="T997" s="16" t="n">
        <v>4</v>
      </c>
    </row>
    <row r="998" s="103">
      <c r="A998" s="16" t="inlineStr">
        <is>
          <t>B331</t>
        </is>
      </c>
      <c r="B998" s="16" t="inlineStr">
        <is>
          <t>上海区域</t>
        </is>
      </c>
      <c r="C998" s="16" t="inlineStr">
        <is>
          <t>CN0Q</t>
        </is>
      </c>
      <c r="D998" s="16" t="inlineStr">
        <is>
          <t>EE 苏州比斯特购物村</t>
        </is>
      </c>
      <c r="E998" s="16" t="n">
        <v>4</v>
      </c>
      <c r="F998" s="16" t="inlineStr">
        <is>
          <t>奥特莱斯</t>
        </is>
      </c>
      <c r="G998" s="16" t="inlineStr">
        <is>
          <t>EERAG64S01</t>
        </is>
      </c>
      <c r="H998" s="16" t="n">
        <v>499</v>
      </c>
      <c r="I998" s="16" t="n">
        <v>399</v>
      </c>
      <c r="J998" s="17" t="inlineStr">
        <is>
          <t>########</t>
        </is>
      </c>
      <c r="K998" s="16" t="inlineStr">
        <is>
          <t>(51)L/Blue</t>
        </is>
      </c>
      <c r="L998" s="16" t="inlineStr">
        <is>
          <t>营业中</t>
        </is>
      </c>
      <c r="M998" s="16" t="inlineStr">
        <is>
          <t>EERAG64S0151170</t>
        </is>
      </c>
      <c r="N998" s="16">
        <f>LEFT(M998,12)</f>
        <v/>
      </c>
      <c r="O998" s="16" t="inlineStr">
        <is>
          <t>EERAG64S01, (51)L/Blue, (170)170</t>
        </is>
      </c>
      <c r="P998" s="16" t="n">
        <v>499</v>
      </c>
      <c r="Q998" s="16" t="n">
        <v>399</v>
      </c>
      <c r="R998" s="16" t="n">
        <v>4</v>
      </c>
      <c r="S998" s="16" t="n">
        <v>484</v>
      </c>
      <c r="T998" s="16" t="n">
        <v>1</v>
      </c>
    </row>
    <row r="999" s="103">
      <c r="A999" s="16" t="inlineStr">
        <is>
          <t>B331</t>
        </is>
      </c>
      <c r="B999" s="16" t="inlineStr">
        <is>
          <t>上海区域</t>
        </is>
      </c>
      <c r="C999" s="16" t="inlineStr">
        <is>
          <t>CN0Q</t>
        </is>
      </c>
      <c r="D999" s="16" t="inlineStr">
        <is>
          <t>EE 苏州比斯特购物村</t>
        </is>
      </c>
      <c r="E999" s="16" t="n">
        <v>4</v>
      </c>
      <c r="F999" s="16" t="inlineStr">
        <is>
          <t>奥特莱斯</t>
        </is>
      </c>
      <c r="G999" s="16" t="inlineStr">
        <is>
          <t>EERAG64S01</t>
        </is>
      </c>
      <c r="H999" s="16" t="n">
        <v>499</v>
      </c>
      <c r="I999" s="16" t="n">
        <v>399</v>
      </c>
      <c r="J999" s="17" t="inlineStr">
        <is>
          <t>########</t>
        </is>
      </c>
      <c r="K999" s="16" t="inlineStr">
        <is>
          <t>(51)L/Blue</t>
        </is>
      </c>
      <c r="L999" s="16" t="inlineStr">
        <is>
          <t>营业中</t>
        </is>
      </c>
      <c r="M999" s="16" t="inlineStr">
        <is>
          <t>EERAG64S0151175</t>
        </is>
      </c>
      <c r="N999" s="16">
        <f>LEFT(M999,12)</f>
        <v/>
      </c>
      <c r="O999" s="16" t="inlineStr">
        <is>
          <t>EERAG64S01, (51)L/Blue, (175)175</t>
        </is>
      </c>
      <c r="P999" s="16" t="n">
        <v>499</v>
      </c>
      <c r="Q999" s="16" t="n">
        <v>399</v>
      </c>
      <c r="R999" s="16" t="n">
        <v>1</v>
      </c>
      <c r="S999" s="16" t="n">
        <v>181</v>
      </c>
      <c r="T999" s="16" t="n">
        <v>1</v>
      </c>
    </row>
    <row r="1000" s="103">
      <c r="A1000" s="16" t="inlineStr">
        <is>
          <t>B331</t>
        </is>
      </c>
      <c r="B1000" s="16" t="inlineStr">
        <is>
          <t>上海区域</t>
        </is>
      </c>
      <c r="C1000" s="16" t="inlineStr">
        <is>
          <t>CN0Q</t>
        </is>
      </c>
      <c r="D1000" s="16" t="inlineStr">
        <is>
          <t>EE 苏州比斯特购物村</t>
        </is>
      </c>
      <c r="E1000" s="16" t="n">
        <v>4</v>
      </c>
      <c r="F1000" s="16" t="inlineStr">
        <is>
          <t>奥特莱斯</t>
        </is>
      </c>
      <c r="G1000" s="16" t="inlineStr">
        <is>
          <t>EERNF24M01</t>
        </is>
      </c>
      <c r="H1000" s="16" t="n">
        <v>299</v>
      </c>
      <c r="I1000" s="16" t="n">
        <v>299</v>
      </c>
      <c r="J1000" s="17" t="inlineStr">
        <is>
          <t>########</t>
        </is>
      </c>
      <c r="K1000" s="16" t="inlineStr">
        <is>
          <t>(19)BLACK</t>
        </is>
      </c>
      <c r="L1000" s="16" t="inlineStr">
        <is>
          <t>营业中</t>
        </is>
      </c>
      <c r="M1000" s="16" t="inlineStr">
        <is>
          <t>EERNF24M0119160</t>
        </is>
      </c>
      <c r="N1000" s="16">
        <f>LEFT(M1000,12)</f>
        <v/>
      </c>
      <c r="O1000" s="16" t="inlineStr">
        <is>
          <t>EERNF24M01, (19)BLACK, (160)160</t>
        </is>
      </c>
      <c r="P1000" s="16" t="n">
        <v>299</v>
      </c>
      <c r="Q1000" s="16" t="n">
        <v>299</v>
      </c>
      <c r="R1000" s="16" t="n"/>
      <c r="S1000" s="16" t="n"/>
      <c r="T1000" s="16" t="n">
        <v>2</v>
      </c>
    </row>
    <row r="1001" s="103">
      <c r="A1001" s="16" t="inlineStr">
        <is>
          <t>B331</t>
        </is>
      </c>
      <c r="B1001" s="16" t="inlineStr">
        <is>
          <t>上海区域</t>
        </is>
      </c>
      <c r="C1001" s="16" t="inlineStr">
        <is>
          <t>CN0Q</t>
        </is>
      </c>
      <c r="D1001" s="16" t="inlineStr">
        <is>
          <t>EE 苏州比斯特购物村</t>
        </is>
      </c>
      <c r="E1001" s="16" t="n">
        <v>4</v>
      </c>
      <c r="F1001" s="16" t="inlineStr">
        <is>
          <t>奥特莱斯</t>
        </is>
      </c>
      <c r="G1001" s="16" t="inlineStr">
        <is>
          <t>EERNF24M01</t>
        </is>
      </c>
      <c r="H1001" s="16" t="n">
        <v>299</v>
      </c>
      <c r="I1001" s="16" t="n">
        <v>299</v>
      </c>
      <c r="J1001" s="17" t="inlineStr">
        <is>
          <t>########</t>
        </is>
      </c>
      <c r="K1001" s="16" t="inlineStr">
        <is>
          <t>(19)BLACK</t>
        </is>
      </c>
      <c r="L1001" s="16" t="inlineStr">
        <is>
          <t>营业中</t>
        </is>
      </c>
      <c r="M1001" s="16" t="inlineStr">
        <is>
          <t>EERNF24M0119165</t>
        </is>
      </c>
      <c r="N1001" s="16">
        <f>LEFT(M1001,12)</f>
        <v/>
      </c>
      <c r="O1001" s="16" t="inlineStr">
        <is>
          <t>EERNF24M01, (19)BLACK, (165)165</t>
        </is>
      </c>
      <c r="P1001" s="16" t="n">
        <v>299</v>
      </c>
      <c r="Q1001" s="16" t="n">
        <v>299</v>
      </c>
      <c r="R1001" s="16" t="n"/>
      <c r="S1001" s="16" t="n"/>
      <c r="T1001" s="16" t="n">
        <v>3</v>
      </c>
    </row>
    <row r="1002" s="103">
      <c r="A1002" s="16" t="inlineStr">
        <is>
          <t>B331</t>
        </is>
      </c>
      <c r="B1002" s="16" t="inlineStr">
        <is>
          <t>上海区域</t>
        </is>
      </c>
      <c r="C1002" s="16" t="inlineStr">
        <is>
          <t>CN0Q</t>
        </is>
      </c>
      <c r="D1002" s="16" t="inlineStr">
        <is>
          <t>EE 苏州比斯特购物村</t>
        </is>
      </c>
      <c r="E1002" s="16" t="n">
        <v>4</v>
      </c>
      <c r="F1002" s="16" t="inlineStr">
        <is>
          <t>奥特莱斯</t>
        </is>
      </c>
      <c r="G1002" s="16" t="inlineStr">
        <is>
          <t>EERNF24M01</t>
        </is>
      </c>
      <c r="H1002" s="16" t="n">
        <v>299</v>
      </c>
      <c r="I1002" s="16" t="n">
        <v>299</v>
      </c>
      <c r="J1002" s="17" t="inlineStr">
        <is>
          <t>########</t>
        </is>
      </c>
      <c r="K1002" s="16" t="inlineStr">
        <is>
          <t>(19)BLACK</t>
        </is>
      </c>
      <c r="L1002" s="16" t="inlineStr">
        <is>
          <t>营业中</t>
        </is>
      </c>
      <c r="M1002" s="16" t="inlineStr">
        <is>
          <t>EERNF24M0119170</t>
        </is>
      </c>
      <c r="N1002" s="16">
        <f>LEFT(M1002,12)</f>
        <v/>
      </c>
      <c r="O1002" s="16" t="inlineStr">
        <is>
          <t>EERNF24M01, (19)BLACK, (170)170</t>
        </is>
      </c>
      <c r="P1002" s="16" t="n">
        <v>299</v>
      </c>
      <c r="Q1002" s="16" t="n">
        <v>299</v>
      </c>
      <c r="R1002" s="16" t="n"/>
      <c r="S1002" s="16" t="n"/>
      <c r="T1002" s="16" t="n">
        <v>2</v>
      </c>
    </row>
    <row r="1003" s="103">
      <c r="A1003" s="16" t="inlineStr">
        <is>
          <t>B331</t>
        </is>
      </c>
      <c r="B1003" s="16" t="inlineStr">
        <is>
          <t>上海区域</t>
        </is>
      </c>
      <c r="C1003" s="16" t="inlineStr">
        <is>
          <t>CN0Q</t>
        </is>
      </c>
      <c r="D1003" s="16" t="inlineStr">
        <is>
          <t>EE 苏州比斯特购物村</t>
        </is>
      </c>
      <c r="E1003" s="16" t="n">
        <v>4</v>
      </c>
      <c r="F1003" s="16" t="inlineStr">
        <is>
          <t>奥特莱斯</t>
        </is>
      </c>
      <c r="G1003" s="16" t="inlineStr">
        <is>
          <t>EERNF24M01</t>
        </is>
      </c>
      <c r="H1003" s="16" t="n">
        <v>299</v>
      </c>
      <c r="I1003" s="16" t="n">
        <v>299</v>
      </c>
      <c r="J1003" s="17" t="inlineStr">
        <is>
          <t>########</t>
        </is>
      </c>
      <c r="K1003" s="16" t="inlineStr">
        <is>
          <t>(19)BLACK</t>
        </is>
      </c>
      <c r="L1003" s="16" t="inlineStr">
        <is>
          <t>营业中</t>
        </is>
      </c>
      <c r="M1003" s="16" t="inlineStr">
        <is>
          <t>EERNF24M0119175</t>
        </is>
      </c>
      <c r="N1003" s="16">
        <f>LEFT(M1003,12)</f>
        <v/>
      </c>
      <c r="O1003" s="16" t="inlineStr">
        <is>
          <t>EERNF24M01, (19)BLACK, (175)175</t>
        </is>
      </c>
      <c r="P1003" s="16" t="n">
        <v>299</v>
      </c>
      <c r="Q1003" s="16" t="n">
        <v>299</v>
      </c>
      <c r="R1003" s="16" t="n"/>
      <c r="S1003" s="16" t="n"/>
      <c r="T1003" s="16" t="n">
        <v>1</v>
      </c>
    </row>
    <row r="1004" s="103">
      <c r="A1004" s="16" t="inlineStr">
        <is>
          <t>B331</t>
        </is>
      </c>
      <c r="B1004" s="16" t="inlineStr">
        <is>
          <t>上海区域</t>
        </is>
      </c>
      <c r="C1004" s="16" t="inlineStr">
        <is>
          <t>CN0Q</t>
        </is>
      </c>
      <c r="D1004" s="16" t="inlineStr">
        <is>
          <t>EE 苏州比斯特购物村</t>
        </is>
      </c>
      <c r="E1004" s="16" t="n">
        <v>4</v>
      </c>
      <c r="F1004" s="16" t="inlineStr">
        <is>
          <t>奥特莱斯</t>
        </is>
      </c>
      <c r="G1004" s="16" t="inlineStr">
        <is>
          <t>EERNF24M01</t>
        </is>
      </c>
      <c r="H1004" s="16" t="n">
        <v>299</v>
      </c>
      <c r="I1004" s="16" t="n">
        <v>299</v>
      </c>
      <c r="J1004" s="17" t="inlineStr">
        <is>
          <t>########</t>
        </is>
      </c>
      <c r="K1004" s="16" t="inlineStr">
        <is>
          <t>(39)Ivory</t>
        </is>
      </c>
      <c r="L1004" s="16" t="inlineStr">
        <is>
          <t>营业中</t>
        </is>
      </c>
      <c r="M1004" s="16" t="inlineStr">
        <is>
          <t>EERNF24M0139160</t>
        </is>
      </c>
      <c r="N1004" s="16">
        <f>LEFT(M1004,12)</f>
        <v/>
      </c>
      <c r="O1004" s="16" t="inlineStr">
        <is>
          <t>EERNF24M01, (39)Ivory, (160)160</t>
        </is>
      </c>
      <c r="P1004" s="16" t="n">
        <v>299</v>
      </c>
      <c r="Q1004" s="16" t="n">
        <v>299</v>
      </c>
      <c r="R1004" s="16" t="n"/>
      <c r="S1004" s="16" t="n"/>
      <c r="T1004" s="16" t="n">
        <v>2</v>
      </c>
    </row>
    <row r="1005" s="103">
      <c r="A1005" s="16" t="inlineStr">
        <is>
          <t>B331</t>
        </is>
      </c>
      <c r="B1005" s="16" t="inlineStr">
        <is>
          <t>上海区域</t>
        </is>
      </c>
      <c r="C1005" s="16" t="inlineStr">
        <is>
          <t>CN0Q</t>
        </is>
      </c>
      <c r="D1005" s="16" t="inlineStr">
        <is>
          <t>EE 苏州比斯特购物村</t>
        </is>
      </c>
      <c r="E1005" s="16" t="n">
        <v>4</v>
      </c>
      <c r="F1005" s="16" t="inlineStr">
        <is>
          <t>奥特莱斯</t>
        </is>
      </c>
      <c r="G1005" s="16" t="inlineStr">
        <is>
          <t>EERNF24M01</t>
        </is>
      </c>
      <c r="H1005" s="16" t="n">
        <v>299</v>
      </c>
      <c r="I1005" s="16" t="n">
        <v>299</v>
      </c>
      <c r="J1005" s="17" t="inlineStr">
        <is>
          <t>########</t>
        </is>
      </c>
      <c r="K1005" s="16" t="inlineStr">
        <is>
          <t>(39)Ivory</t>
        </is>
      </c>
      <c r="L1005" s="16" t="inlineStr">
        <is>
          <t>营业中</t>
        </is>
      </c>
      <c r="M1005" s="16" t="inlineStr">
        <is>
          <t>EERNF24M0139165</t>
        </is>
      </c>
      <c r="N1005" s="16">
        <f>LEFT(M1005,12)</f>
        <v/>
      </c>
      <c r="O1005" s="16" t="inlineStr">
        <is>
          <t>EERNF24M01, (39)Ivory, (165)165</t>
        </is>
      </c>
      <c r="P1005" s="16" t="n">
        <v>299</v>
      </c>
      <c r="Q1005" s="16" t="n">
        <v>299</v>
      </c>
      <c r="R1005" s="16" t="n"/>
      <c r="S1005" s="16" t="n"/>
      <c r="T1005" s="16" t="n">
        <v>2</v>
      </c>
    </row>
    <row r="1006" s="103">
      <c r="A1006" s="16" t="inlineStr">
        <is>
          <t>B331</t>
        </is>
      </c>
      <c r="B1006" s="16" t="inlineStr">
        <is>
          <t>上海区域</t>
        </is>
      </c>
      <c r="C1006" s="16" t="inlineStr">
        <is>
          <t>CN0Q</t>
        </is>
      </c>
      <c r="D1006" s="16" t="inlineStr">
        <is>
          <t>EE 苏州比斯特购物村</t>
        </is>
      </c>
      <c r="E1006" s="16" t="n">
        <v>4</v>
      </c>
      <c r="F1006" s="16" t="inlineStr">
        <is>
          <t>奥特莱斯</t>
        </is>
      </c>
      <c r="G1006" s="16" t="inlineStr">
        <is>
          <t>EERNF24M01</t>
        </is>
      </c>
      <c r="H1006" s="16" t="n">
        <v>299</v>
      </c>
      <c r="I1006" s="16" t="n">
        <v>299</v>
      </c>
      <c r="J1006" s="17" t="inlineStr">
        <is>
          <t>########</t>
        </is>
      </c>
      <c r="K1006" s="16" t="inlineStr">
        <is>
          <t>(39)Ivory</t>
        </is>
      </c>
      <c r="L1006" s="16" t="inlineStr">
        <is>
          <t>营业中</t>
        </is>
      </c>
      <c r="M1006" s="16" t="inlineStr">
        <is>
          <t>EERNF24M0139170</t>
        </is>
      </c>
      <c r="N1006" s="16">
        <f>LEFT(M1006,12)</f>
        <v/>
      </c>
      <c r="O1006" s="16" t="inlineStr">
        <is>
          <t>EERNF24M01, (39)Ivory, (170)170</t>
        </is>
      </c>
      <c r="P1006" s="16" t="n">
        <v>299</v>
      </c>
      <c r="Q1006" s="16" t="n">
        <v>299</v>
      </c>
      <c r="R1006" s="16" t="n"/>
      <c r="S1006" s="16" t="n"/>
      <c r="T1006" s="16" t="n">
        <v>1</v>
      </c>
    </row>
    <row r="1007" s="103">
      <c r="A1007" s="16" t="inlineStr">
        <is>
          <t>B331</t>
        </is>
      </c>
      <c r="B1007" s="16" t="inlineStr">
        <is>
          <t>上海区域</t>
        </is>
      </c>
      <c r="C1007" s="16" t="inlineStr">
        <is>
          <t>CN0Q</t>
        </is>
      </c>
      <c r="D1007" s="16" t="inlineStr">
        <is>
          <t>EE 苏州比斯特购物村</t>
        </is>
      </c>
      <c r="E1007" s="16" t="n">
        <v>4</v>
      </c>
      <c r="F1007" s="16" t="inlineStr">
        <is>
          <t>奥特莱斯</t>
        </is>
      </c>
      <c r="G1007" s="16" t="inlineStr">
        <is>
          <t>EERNF24M02</t>
        </is>
      </c>
      <c r="H1007" s="16" t="n">
        <v>299</v>
      </c>
      <c r="I1007" s="16" t="n">
        <v>299</v>
      </c>
      <c r="J1007" s="17" t="inlineStr">
        <is>
          <t>########</t>
        </is>
      </c>
      <c r="K1007" s="16" t="inlineStr">
        <is>
          <t>(18)M/Grey</t>
        </is>
      </c>
      <c r="L1007" s="16" t="inlineStr">
        <is>
          <t>营业中</t>
        </is>
      </c>
      <c r="M1007" s="16" t="inlineStr">
        <is>
          <t>EERNF24M0218160</t>
        </is>
      </c>
      <c r="N1007" s="16">
        <f>LEFT(M1007,12)</f>
        <v/>
      </c>
      <c r="O1007" s="16" t="inlineStr">
        <is>
          <t>EERNF24M02, (18)M/Grey, (160)160</t>
        </is>
      </c>
      <c r="P1007" s="16" t="n">
        <v>299</v>
      </c>
      <c r="Q1007" s="16" t="n">
        <v>299</v>
      </c>
      <c r="R1007" s="16" t="n"/>
      <c r="S1007" s="16" t="n"/>
      <c r="T1007" s="16" t="n">
        <v>3</v>
      </c>
    </row>
    <row r="1008" s="103">
      <c r="A1008" s="16" t="inlineStr">
        <is>
          <t>B331</t>
        </is>
      </c>
      <c r="B1008" s="16" t="inlineStr">
        <is>
          <t>上海区域</t>
        </is>
      </c>
      <c r="C1008" s="16" t="inlineStr">
        <is>
          <t>CN0Q</t>
        </is>
      </c>
      <c r="D1008" s="16" t="inlineStr">
        <is>
          <t>EE 苏州比斯特购物村</t>
        </is>
      </c>
      <c r="E1008" s="16" t="n">
        <v>4</v>
      </c>
      <c r="F1008" s="16" t="inlineStr">
        <is>
          <t>奥特莱斯</t>
        </is>
      </c>
      <c r="G1008" s="16" t="inlineStr">
        <is>
          <t>EERNF24M02</t>
        </is>
      </c>
      <c r="H1008" s="16" t="n">
        <v>299</v>
      </c>
      <c r="I1008" s="16" t="n">
        <v>299</v>
      </c>
      <c r="J1008" s="17" t="inlineStr">
        <is>
          <t>########</t>
        </is>
      </c>
      <c r="K1008" s="16" t="inlineStr">
        <is>
          <t>(18)M/Grey</t>
        </is>
      </c>
      <c r="L1008" s="16" t="inlineStr">
        <is>
          <t>营业中</t>
        </is>
      </c>
      <c r="M1008" s="16" t="inlineStr">
        <is>
          <t>EERNF24M0218165</t>
        </is>
      </c>
      <c r="N1008" s="16">
        <f>LEFT(M1008,12)</f>
        <v/>
      </c>
      <c r="O1008" s="16" t="inlineStr">
        <is>
          <t>EERNF24M02, (18)M/Grey, (165)165</t>
        </is>
      </c>
      <c r="P1008" s="16" t="n">
        <v>299</v>
      </c>
      <c r="Q1008" s="16" t="n">
        <v>299</v>
      </c>
      <c r="R1008" s="16" t="n"/>
      <c r="S1008" s="16" t="n"/>
      <c r="T1008" s="16" t="n">
        <v>2</v>
      </c>
    </row>
    <row r="1009" s="103">
      <c r="A1009" s="16" t="inlineStr">
        <is>
          <t>B331</t>
        </is>
      </c>
      <c r="B1009" s="16" t="inlineStr">
        <is>
          <t>上海区域</t>
        </is>
      </c>
      <c r="C1009" s="16" t="inlineStr">
        <is>
          <t>CN0Q</t>
        </is>
      </c>
      <c r="D1009" s="16" t="inlineStr">
        <is>
          <t>EE 苏州比斯特购物村</t>
        </is>
      </c>
      <c r="E1009" s="16" t="n">
        <v>4</v>
      </c>
      <c r="F1009" s="16" t="inlineStr">
        <is>
          <t>奥特莱斯</t>
        </is>
      </c>
      <c r="G1009" s="16" t="inlineStr">
        <is>
          <t>EERNF24M02</t>
        </is>
      </c>
      <c r="H1009" s="16" t="n">
        <v>299</v>
      </c>
      <c r="I1009" s="16" t="n">
        <v>299</v>
      </c>
      <c r="J1009" s="17" t="inlineStr">
        <is>
          <t>########</t>
        </is>
      </c>
      <c r="K1009" s="16" t="inlineStr">
        <is>
          <t>(18)M/Grey</t>
        </is>
      </c>
      <c r="L1009" s="16" t="inlineStr">
        <is>
          <t>营业中</t>
        </is>
      </c>
      <c r="M1009" s="16" t="inlineStr">
        <is>
          <t>EERNF24M0218170</t>
        </is>
      </c>
      <c r="N1009" s="16">
        <f>LEFT(M1009,12)</f>
        <v/>
      </c>
      <c r="O1009" s="16" t="inlineStr">
        <is>
          <t>EERNF24M02, (18)M/Grey, (170)170</t>
        </is>
      </c>
      <c r="P1009" s="16" t="n">
        <v>299</v>
      </c>
      <c r="Q1009" s="16" t="n">
        <v>299</v>
      </c>
      <c r="R1009" s="16" t="n"/>
      <c r="S1009" s="16" t="n"/>
      <c r="T1009" s="16" t="n">
        <v>1</v>
      </c>
    </row>
    <row r="1010" s="103">
      <c r="A1010" s="16" t="inlineStr">
        <is>
          <t>B331</t>
        </is>
      </c>
      <c r="B1010" s="16" t="inlineStr">
        <is>
          <t>上海区域</t>
        </is>
      </c>
      <c r="C1010" s="16" t="inlineStr">
        <is>
          <t>CN0Q</t>
        </is>
      </c>
      <c r="D1010" s="16" t="inlineStr">
        <is>
          <t>EE 苏州比斯特购物村</t>
        </is>
      </c>
      <c r="E1010" s="16" t="n">
        <v>4</v>
      </c>
      <c r="F1010" s="16" t="inlineStr">
        <is>
          <t>奥特莱斯</t>
        </is>
      </c>
      <c r="G1010" s="16" t="inlineStr">
        <is>
          <t>EERNF24M02</t>
        </is>
      </c>
      <c r="H1010" s="16" t="n">
        <v>299</v>
      </c>
      <c r="I1010" s="16" t="n">
        <v>299</v>
      </c>
      <c r="J1010" s="17" t="inlineStr">
        <is>
          <t>########</t>
        </is>
      </c>
      <c r="K1010" s="16" t="inlineStr">
        <is>
          <t>(39)Ivory</t>
        </is>
      </c>
      <c r="L1010" s="16" t="inlineStr">
        <is>
          <t>营业中</t>
        </is>
      </c>
      <c r="M1010" s="16" t="inlineStr">
        <is>
          <t>EERNF24M0239160</t>
        </is>
      </c>
      <c r="N1010" s="16">
        <f>LEFT(M1010,12)</f>
        <v/>
      </c>
      <c r="O1010" s="16" t="inlineStr">
        <is>
          <t>EERNF24M02, (39)Ivory, (160)160</t>
        </is>
      </c>
      <c r="P1010" s="16" t="n">
        <v>299</v>
      </c>
      <c r="Q1010" s="16" t="n">
        <v>299</v>
      </c>
      <c r="R1010" s="16" t="n"/>
      <c r="S1010" s="16" t="n"/>
      <c r="T1010" s="16" t="n">
        <v>4</v>
      </c>
    </row>
    <row r="1011" s="103">
      <c r="A1011" s="16" t="inlineStr">
        <is>
          <t>B331</t>
        </is>
      </c>
      <c r="B1011" s="16" t="inlineStr">
        <is>
          <t>上海区域</t>
        </is>
      </c>
      <c r="C1011" s="16" t="inlineStr">
        <is>
          <t>CN0Q</t>
        </is>
      </c>
      <c r="D1011" s="16" t="inlineStr">
        <is>
          <t>EE 苏州比斯特购物村</t>
        </is>
      </c>
      <c r="E1011" s="16" t="n">
        <v>4</v>
      </c>
      <c r="F1011" s="16" t="inlineStr">
        <is>
          <t>奥特莱斯</t>
        </is>
      </c>
      <c r="G1011" s="16" t="inlineStr">
        <is>
          <t>EERNF24M02</t>
        </is>
      </c>
      <c r="H1011" s="16" t="n">
        <v>299</v>
      </c>
      <c r="I1011" s="16" t="n">
        <v>299</v>
      </c>
      <c r="J1011" s="17" t="inlineStr">
        <is>
          <t>########</t>
        </is>
      </c>
      <c r="K1011" s="16" t="inlineStr">
        <is>
          <t>(39)Ivory</t>
        </is>
      </c>
      <c r="L1011" s="16" t="inlineStr">
        <is>
          <t>营业中</t>
        </is>
      </c>
      <c r="M1011" s="16" t="inlineStr">
        <is>
          <t>EERNF24M0239165</t>
        </is>
      </c>
      <c r="N1011" s="16">
        <f>LEFT(M1011,12)</f>
        <v/>
      </c>
      <c r="O1011" s="16" t="inlineStr">
        <is>
          <t>EERNF24M02, (39)Ivory, (165)165</t>
        </is>
      </c>
      <c r="P1011" s="16" t="n">
        <v>299</v>
      </c>
      <c r="Q1011" s="16" t="n">
        <v>299</v>
      </c>
      <c r="R1011" s="16" t="n"/>
      <c r="S1011" s="16" t="n"/>
      <c r="T1011" s="16" t="n">
        <v>6</v>
      </c>
    </row>
    <row r="1012" s="103">
      <c r="A1012" s="16" t="inlineStr">
        <is>
          <t>B331</t>
        </is>
      </c>
      <c r="B1012" s="16" t="inlineStr">
        <is>
          <t>上海区域</t>
        </is>
      </c>
      <c r="C1012" s="16" t="inlineStr">
        <is>
          <t>CN0Q</t>
        </is>
      </c>
      <c r="D1012" s="16" t="inlineStr">
        <is>
          <t>EE 苏州比斯特购物村</t>
        </is>
      </c>
      <c r="E1012" s="16" t="n">
        <v>4</v>
      </c>
      <c r="F1012" s="16" t="inlineStr">
        <is>
          <t>奥特莱斯</t>
        </is>
      </c>
      <c r="G1012" s="16" t="inlineStr">
        <is>
          <t>EERNF24M02</t>
        </is>
      </c>
      <c r="H1012" s="16" t="n">
        <v>299</v>
      </c>
      <c r="I1012" s="16" t="n">
        <v>299</v>
      </c>
      <c r="J1012" s="17" t="inlineStr">
        <is>
          <t>########</t>
        </is>
      </c>
      <c r="K1012" s="16" t="inlineStr">
        <is>
          <t>(39)Ivory</t>
        </is>
      </c>
      <c r="L1012" s="16" t="inlineStr">
        <is>
          <t>营业中</t>
        </is>
      </c>
      <c r="M1012" s="16" t="inlineStr">
        <is>
          <t>EERNF24M0239170</t>
        </is>
      </c>
      <c r="N1012" s="16">
        <f>LEFT(M1012,12)</f>
        <v/>
      </c>
      <c r="O1012" s="16" t="inlineStr">
        <is>
          <t>EERNF24M02, (39)Ivory, (170)170</t>
        </is>
      </c>
      <c r="P1012" s="16" t="n">
        <v>299</v>
      </c>
      <c r="Q1012" s="16" t="n">
        <v>299</v>
      </c>
      <c r="R1012" s="16" t="n"/>
      <c r="S1012" s="16" t="n"/>
      <c r="T1012" s="16" t="n">
        <v>3</v>
      </c>
    </row>
    <row r="1013" s="103">
      <c r="A1013" s="16" t="inlineStr">
        <is>
          <t>B331</t>
        </is>
      </c>
      <c r="B1013" s="16" t="inlineStr">
        <is>
          <t>上海区域</t>
        </is>
      </c>
      <c r="C1013" s="16" t="inlineStr">
        <is>
          <t>CN0Q</t>
        </is>
      </c>
      <c r="D1013" s="16" t="inlineStr">
        <is>
          <t>EE 苏州比斯特购物村</t>
        </is>
      </c>
      <c r="E1013" s="16" t="n">
        <v>4</v>
      </c>
      <c r="F1013" s="16" t="inlineStr">
        <is>
          <t>奥特莱斯</t>
        </is>
      </c>
      <c r="G1013" s="16" t="inlineStr">
        <is>
          <t>EERNF24M02</t>
        </is>
      </c>
      <c r="H1013" s="16" t="n">
        <v>299</v>
      </c>
      <c r="I1013" s="16" t="n">
        <v>299</v>
      </c>
      <c r="J1013" s="17" t="inlineStr">
        <is>
          <t>########</t>
        </is>
      </c>
      <c r="K1013" s="16" t="inlineStr">
        <is>
          <t>(39)Ivory</t>
        </is>
      </c>
      <c r="L1013" s="16" t="inlineStr">
        <is>
          <t>营业中</t>
        </is>
      </c>
      <c r="M1013" s="16" t="inlineStr">
        <is>
          <t>EERNF24M0239175</t>
        </is>
      </c>
      <c r="N1013" s="16">
        <f>LEFT(M1013,12)</f>
        <v/>
      </c>
      <c r="O1013" s="16" t="inlineStr">
        <is>
          <t>EERNF24M02, (39)Ivory, (175)175</t>
        </is>
      </c>
      <c r="P1013" s="16" t="n">
        <v>299</v>
      </c>
      <c r="Q1013" s="16" t="n">
        <v>299</v>
      </c>
      <c r="R1013" s="16" t="n"/>
      <c r="S1013" s="16" t="n"/>
      <c r="T1013" s="16" t="n">
        <v>2</v>
      </c>
    </row>
    <row r="1014" s="103">
      <c r="A1014" s="16" t="inlineStr">
        <is>
          <t>B331</t>
        </is>
      </c>
      <c r="B1014" s="16" t="inlineStr">
        <is>
          <t>上海区域</t>
        </is>
      </c>
      <c r="C1014" s="16" t="inlineStr">
        <is>
          <t>CN0Q</t>
        </is>
      </c>
      <c r="D1014" s="16" t="inlineStr">
        <is>
          <t>EE 苏州比斯特购物村</t>
        </is>
      </c>
      <c r="E1014" s="16" t="n">
        <v>4</v>
      </c>
      <c r="F1014" s="16" t="inlineStr">
        <is>
          <t>奥特莱斯</t>
        </is>
      </c>
      <c r="G1014" s="16" t="inlineStr">
        <is>
          <t>EERNF24M02</t>
        </is>
      </c>
      <c r="H1014" s="16" t="n">
        <v>299</v>
      </c>
      <c r="I1014" s="16" t="n">
        <v>299</v>
      </c>
      <c r="J1014" s="17" t="inlineStr">
        <is>
          <t>########</t>
        </is>
      </c>
      <c r="K1014" s="16" t="inlineStr">
        <is>
          <t>(59)Navy</t>
        </is>
      </c>
      <c r="L1014" s="16" t="inlineStr">
        <is>
          <t>营业中</t>
        </is>
      </c>
      <c r="M1014" s="16" t="inlineStr">
        <is>
          <t>EERNF24M0259160</t>
        </is>
      </c>
      <c r="N1014" s="16">
        <f>LEFT(M1014,12)</f>
        <v/>
      </c>
      <c r="O1014" s="16" t="inlineStr">
        <is>
          <t>EERNF24M02, (59)Navy, (160)160</t>
        </is>
      </c>
      <c r="P1014" s="16" t="n">
        <v>299</v>
      </c>
      <c r="Q1014" s="16" t="n">
        <v>299</v>
      </c>
      <c r="R1014" s="16" t="n"/>
      <c r="S1014" s="16" t="n"/>
      <c r="T1014" s="16" t="n">
        <v>2</v>
      </c>
    </row>
    <row r="1015" s="103">
      <c r="A1015" s="16" t="inlineStr">
        <is>
          <t>B331</t>
        </is>
      </c>
      <c r="B1015" s="16" t="inlineStr">
        <is>
          <t>上海区域</t>
        </is>
      </c>
      <c r="C1015" s="16" t="inlineStr">
        <is>
          <t>CN0Q</t>
        </is>
      </c>
      <c r="D1015" s="16" t="inlineStr">
        <is>
          <t>EE 苏州比斯特购物村</t>
        </is>
      </c>
      <c r="E1015" s="16" t="n">
        <v>4</v>
      </c>
      <c r="F1015" s="16" t="inlineStr">
        <is>
          <t>奥特莱斯</t>
        </is>
      </c>
      <c r="G1015" s="16" t="inlineStr">
        <is>
          <t>EERNF24M02</t>
        </is>
      </c>
      <c r="H1015" s="16" t="n">
        <v>299</v>
      </c>
      <c r="I1015" s="16" t="n">
        <v>299</v>
      </c>
      <c r="J1015" s="17" t="inlineStr">
        <is>
          <t>########</t>
        </is>
      </c>
      <c r="K1015" s="16" t="inlineStr">
        <is>
          <t>(59)Navy</t>
        </is>
      </c>
      <c r="L1015" s="16" t="inlineStr">
        <is>
          <t>营业中</t>
        </is>
      </c>
      <c r="M1015" s="16" t="inlineStr">
        <is>
          <t>EERNF24M0259165</t>
        </is>
      </c>
      <c r="N1015" s="16">
        <f>LEFT(M1015,12)</f>
        <v/>
      </c>
      <c r="O1015" s="16" t="inlineStr">
        <is>
          <t>EERNF24M02, (59)Navy, (165)165</t>
        </is>
      </c>
      <c r="P1015" s="16" t="n">
        <v>299</v>
      </c>
      <c r="Q1015" s="16" t="n">
        <v>299</v>
      </c>
      <c r="R1015" s="16" t="n"/>
      <c r="S1015" s="16" t="n"/>
      <c r="T1015" s="16" t="n">
        <v>3</v>
      </c>
    </row>
    <row r="1016" s="103">
      <c r="A1016" s="16" t="inlineStr">
        <is>
          <t>B331</t>
        </is>
      </c>
      <c r="B1016" s="16" t="inlineStr">
        <is>
          <t>上海区域</t>
        </is>
      </c>
      <c r="C1016" s="16" t="inlineStr">
        <is>
          <t>CN0Q</t>
        </is>
      </c>
      <c r="D1016" s="16" t="inlineStr">
        <is>
          <t>EE 苏州比斯特购物村</t>
        </is>
      </c>
      <c r="E1016" s="16" t="n">
        <v>4</v>
      </c>
      <c r="F1016" s="16" t="inlineStr">
        <is>
          <t>奥特莱斯</t>
        </is>
      </c>
      <c r="G1016" s="16" t="inlineStr">
        <is>
          <t>EERNF24M02</t>
        </is>
      </c>
      <c r="H1016" s="16" t="n">
        <v>299</v>
      </c>
      <c r="I1016" s="16" t="n">
        <v>299</v>
      </c>
      <c r="J1016" s="17" t="inlineStr">
        <is>
          <t>########</t>
        </is>
      </c>
      <c r="K1016" s="16" t="inlineStr">
        <is>
          <t>(59)Navy</t>
        </is>
      </c>
      <c r="L1016" s="16" t="inlineStr">
        <is>
          <t>营业中</t>
        </is>
      </c>
      <c r="M1016" s="16" t="inlineStr">
        <is>
          <t>EERNF24M0259170</t>
        </is>
      </c>
      <c r="N1016" s="16">
        <f>LEFT(M1016,12)</f>
        <v/>
      </c>
      <c r="O1016" s="16" t="inlineStr">
        <is>
          <t>EERNF24M02, (59)Navy, (170)170</t>
        </is>
      </c>
      <c r="P1016" s="16" t="n">
        <v>299</v>
      </c>
      <c r="Q1016" s="16" t="n">
        <v>299</v>
      </c>
      <c r="R1016" s="16" t="n"/>
      <c r="S1016" s="16" t="n"/>
      <c r="T1016" s="16" t="n">
        <v>2</v>
      </c>
    </row>
    <row r="1017" s="103">
      <c r="A1017" s="16" t="inlineStr">
        <is>
          <t>B331</t>
        </is>
      </c>
      <c r="B1017" s="16" t="inlineStr">
        <is>
          <t>上海区域</t>
        </is>
      </c>
      <c r="C1017" s="16" t="inlineStr">
        <is>
          <t>CN0Q</t>
        </is>
      </c>
      <c r="D1017" s="16" t="inlineStr">
        <is>
          <t>EE 苏州比斯特购物村</t>
        </is>
      </c>
      <c r="E1017" s="16" t="n">
        <v>4</v>
      </c>
      <c r="F1017" s="16" t="inlineStr">
        <is>
          <t>奥特莱斯</t>
        </is>
      </c>
      <c r="G1017" s="16" t="inlineStr">
        <is>
          <t>EERNF24M02</t>
        </is>
      </c>
      <c r="H1017" s="16" t="n">
        <v>299</v>
      </c>
      <c r="I1017" s="16" t="n">
        <v>299</v>
      </c>
      <c r="J1017" s="17" t="inlineStr">
        <is>
          <t>########</t>
        </is>
      </c>
      <c r="K1017" s="16" t="inlineStr">
        <is>
          <t>(59)Navy</t>
        </is>
      </c>
      <c r="L1017" s="16" t="inlineStr">
        <is>
          <t>营业中</t>
        </is>
      </c>
      <c r="M1017" s="16" t="inlineStr">
        <is>
          <t>EERNF24M0259175</t>
        </is>
      </c>
      <c r="N1017" s="16">
        <f>LEFT(M1017,12)</f>
        <v/>
      </c>
      <c r="O1017" s="16" t="inlineStr">
        <is>
          <t>EERNF24M02, (59)Navy, (175)175</t>
        </is>
      </c>
      <c r="P1017" s="16" t="n">
        <v>299</v>
      </c>
      <c r="Q1017" s="16" t="n">
        <v>299</v>
      </c>
      <c r="R1017" s="16" t="n"/>
      <c r="S1017" s="16" t="n"/>
      <c r="T1017" s="16" t="n">
        <v>1</v>
      </c>
    </row>
    <row r="1018" s="103">
      <c r="A1018" s="16" t="inlineStr">
        <is>
          <t>B331</t>
        </is>
      </c>
      <c r="B1018" s="16" t="inlineStr">
        <is>
          <t>上海区域</t>
        </is>
      </c>
      <c r="C1018" s="16" t="inlineStr">
        <is>
          <t>CN0Q</t>
        </is>
      </c>
      <c r="D1018" s="16" t="inlineStr">
        <is>
          <t>EE 苏州比斯特购物村</t>
        </is>
      </c>
      <c r="E1018" s="16" t="n">
        <v>4</v>
      </c>
      <c r="F1018" s="16" t="inlineStr">
        <is>
          <t>奥特莱斯</t>
        </is>
      </c>
      <c r="G1018" s="16" t="inlineStr">
        <is>
          <t>EERNF24M02</t>
        </is>
      </c>
      <c r="H1018" s="16" t="n">
        <v>299</v>
      </c>
      <c r="I1018" s="16" t="n">
        <v>299</v>
      </c>
      <c r="J1018" s="17" t="inlineStr">
        <is>
          <t>########</t>
        </is>
      </c>
      <c r="K1018" s="16" t="inlineStr">
        <is>
          <t>(99)MIX</t>
        </is>
      </c>
      <c r="L1018" s="16" t="inlineStr">
        <is>
          <t>营业中</t>
        </is>
      </c>
      <c r="M1018" s="16" t="inlineStr">
        <is>
          <t>EERNF24M0299160</t>
        </is>
      </c>
      <c r="N1018" s="16">
        <f>LEFT(M1018,12)</f>
        <v/>
      </c>
      <c r="O1018" s="16" t="inlineStr">
        <is>
          <t>EERNF24M02, (99)MIX, (160)160</t>
        </is>
      </c>
      <c r="P1018" s="16" t="n">
        <v>299</v>
      </c>
      <c r="Q1018" s="16" t="n">
        <v>299</v>
      </c>
      <c r="R1018" s="16" t="n"/>
      <c r="S1018" s="16" t="n"/>
      <c r="T1018" s="16" t="n">
        <v>6</v>
      </c>
    </row>
    <row r="1019" s="103">
      <c r="A1019" s="16" t="inlineStr">
        <is>
          <t>B331</t>
        </is>
      </c>
      <c r="B1019" s="16" t="inlineStr">
        <is>
          <t>上海区域</t>
        </is>
      </c>
      <c r="C1019" s="16" t="inlineStr">
        <is>
          <t>CN0Q</t>
        </is>
      </c>
      <c r="D1019" s="16" t="inlineStr">
        <is>
          <t>EE 苏州比斯特购物村</t>
        </is>
      </c>
      <c r="E1019" s="16" t="n">
        <v>4</v>
      </c>
      <c r="F1019" s="16" t="inlineStr">
        <is>
          <t>奥特莱斯</t>
        </is>
      </c>
      <c r="G1019" s="16" t="inlineStr">
        <is>
          <t>EERNF24M02</t>
        </is>
      </c>
      <c r="H1019" s="16" t="n">
        <v>299</v>
      </c>
      <c r="I1019" s="16" t="n">
        <v>299</v>
      </c>
      <c r="J1019" s="17" t="inlineStr">
        <is>
          <t>########</t>
        </is>
      </c>
      <c r="K1019" s="16" t="inlineStr">
        <is>
          <t>(99)MIX</t>
        </is>
      </c>
      <c r="L1019" s="16" t="inlineStr">
        <is>
          <t>营业中</t>
        </is>
      </c>
      <c r="M1019" s="16" t="inlineStr">
        <is>
          <t>EERNF24M0299165</t>
        </is>
      </c>
      <c r="N1019" s="16">
        <f>LEFT(M1019,12)</f>
        <v/>
      </c>
      <c r="O1019" s="16" t="inlineStr">
        <is>
          <t>EERNF24M02, (99)MIX, (165)165</t>
        </is>
      </c>
      <c r="P1019" s="16" t="n">
        <v>299</v>
      </c>
      <c r="Q1019" s="16" t="n">
        <v>299</v>
      </c>
      <c r="R1019" s="16" t="n"/>
      <c r="S1019" s="16" t="n"/>
      <c r="T1019" s="16" t="n">
        <v>6</v>
      </c>
    </row>
    <row r="1020" s="103">
      <c r="A1020" s="16" t="inlineStr">
        <is>
          <t>B331</t>
        </is>
      </c>
      <c r="B1020" s="16" t="inlineStr">
        <is>
          <t>上海区域</t>
        </is>
      </c>
      <c r="C1020" s="16" t="inlineStr">
        <is>
          <t>CN0Q</t>
        </is>
      </c>
      <c r="D1020" s="16" t="inlineStr">
        <is>
          <t>EE 苏州比斯特购物村</t>
        </is>
      </c>
      <c r="E1020" s="16" t="n">
        <v>4</v>
      </c>
      <c r="F1020" s="16" t="inlineStr">
        <is>
          <t>奥特莱斯</t>
        </is>
      </c>
      <c r="G1020" s="16" t="inlineStr">
        <is>
          <t>EERNF24M02</t>
        </is>
      </c>
      <c r="H1020" s="16" t="n">
        <v>299</v>
      </c>
      <c r="I1020" s="16" t="n">
        <v>299</v>
      </c>
      <c r="J1020" s="17" t="inlineStr">
        <is>
          <t>########</t>
        </is>
      </c>
      <c r="K1020" s="16" t="inlineStr">
        <is>
          <t>(99)MIX</t>
        </is>
      </c>
      <c r="L1020" s="16" t="inlineStr">
        <is>
          <t>营业中</t>
        </is>
      </c>
      <c r="M1020" s="16" t="inlineStr">
        <is>
          <t>EERNF24M0299170</t>
        </is>
      </c>
      <c r="N1020" s="16">
        <f>LEFT(M1020,12)</f>
        <v/>
      </c>
      <c r="O1020" s="16" t="inlineStr">
        <is>
          <t>EERNF24M02, (99)MIX, (170)170</t>
        </is>
      </c>
      <c r="P1020" s="16" t="n">
        <v>299</v>
      </c>
      <c r="Q1020" s="16" t="n">
        <v>299</v>
      </c>
      <c r="R1020" s="16" t="n"/>
      <c r="S1020" s="16" t="n"/>
      <c r="T1020" s="16" t="n">
        <v>4</v>
      </c>
    </row>
    <row r="1021" s="103">
      <c r="A1021" s="16" t="inlineStr">
        <is>
          <t>B331</t>
        </is>
      </c>
      <c r="B1021" s="16" t="inlineStr">
        <is>
          <t>上海区域</t>
        </is>
      </c>
      <c r="C1021" s="16" t="inlineStr">
        <is>
          <t>CN0Q</t>
        </is>
      </c>
      <c r="D1021" s="16" t="inlineStr">
        <is>
          <t>EE 苏州比斯特购物村</t>
        </is>
      </c>
      <c r="E1021" s="16" t="n">
        <v>4</v>
      </c>
      <c r="F1021" s="16" t="inlineStr">
        <is>
          <t>奥特莱斯</t>
        </is>
      </c>
      <c r="G1021" s="16" t="inlineStr">
        <is>
          <t>EERNF24M02</t>
        </is>
      </c>
      <c r="H1021" s="16" t="n">
        <v>299</v>
      </c>
      <c r="I1021" s="16" t="n">
        <v>299</v>
      </c>
      <c r="J1021" s="17" t="inlineStr">
        <is>
          <t>########</t>
        </is>
      </c>
      <c r="K1021" s="16" t="inlineStr">
        <is>
          <t>(99)MIX</t>
        </is>
      </c>
      <c r="L1021" s="16" t="inlineStr">
        <is>
          <t>营业中</t>
        </is>
      </c>
      <c r="M1021" s="16" t="inlineStr">
        <is>
          <t>EERNF24M0299175</t>
        </is>
      </c>
      <c r="N1021" s="16">
        <f>LEFT(M1021,12)</f>
        <v/>
      </c>
      <c r="O1021" s="16" t="inlineStr">
        <is>
          <t>EERNF24M02, (99)MIX, (175)175</t>
        </is>
      </c>
      <c r="P1021" s="16" t="n">
        <v>299</v>
      </c>
      <c r="Q1021" s="16" t="n">
        <v>299</v>
      </c>
      <c r="R1021" s="16" t="n"/>
      <c r="S1021" s="16" t="n"/>
      <c r="T1021" s="16" t="n">
        <v>2</v>
      </c>
    </row>
    <row r="1022" s="103">
      <c r="A1022" s="16" t="inlineStr">
        <is>
          <t>B331</t>
        </is>
      </c>
      <c r="B1022" s="16" t="inlineStr">
        <is>
          <t>上海区域</t>
        </is>
      </c>
      <c r="C1022" s="16" t="inlineStr">
        <is>
          <t>CN0Q</t>
        </is>
      </c>
      <c r="D1022" s="16" t="inlineStr">
        <is>
          <t>EE 苏州比斯特购物村</t>
        </is>
      </c>
      <c r="E1022" s="16" t="n">
        <v>4</v>
      </c>
      <c r="F1022" s="16" t="inlineStr">
        <is>
          <t>奥特莱斯</t>
        </is>
      </c>
      <c r="G1022" s="16" t="inlineStr">
        <is>
          <t>EERNG23E01</t>
        </is>
      </c>
      <c r="H1022" s="16" t="n">
        <v>299</v>
      </c>
      <c r="I1022" s="16" t="n">
        <v>299</v>
      </c>
      <c r="J1022" s="17" t="inlineStr">
        <is>
          <t>########</t>
        </is>
      </c>
      <c r="K1022" s="16" t="inlineStr">
        <is>
          <t>(18)M/Grey</t>
        </is>
      </c>
      <c r="L1022" s="16" t="inlineStr">
        <is>
          <t>营业中</t>
        </is>
      </c>
      <c r="M1022" s="16" t="inlineStr">
        <is>
          <t>EERNG23E0118160</t>
        </is>
      </c>
      <c r="N1022" s="16">
        <f>LEFT(M1022,12)</f>
        <v/>
      </c>
      <c r="O1022" s="16" t="inlineStr">
        <is>
          <t>EERNG23E01, (18)M/Grey, (160)160</t>
        </is>
      </c>
      <c r="P1022" s="16" t="n">
        <v>299</v>
      </c>
      <c r="Q1022" s="16" t="n">
        <v>299</v>
      </c>
      <c r="R1022" s="16" t="n">
        <v>2</v>
      </c>
      <c r="S1022" s="16" t="n"/>
      <c r="T1022" s="16" t="n">
        <v>5</v>
      </c>
    </row>
    <row r="1023" s="103">
      <c r="A1023" s="16" t="inlineStr">
        <is>
          <t>B331</t>
        </is>
      </c>
      <c r="B1023" s="16" t="inlineStr">
        <is>
          <t>上海区域</t>
        </is>
      </c>
      <c r="C1023" s="16" t="inlineStr">
        <is>
          <t>CN0Q</t>
        </is>
      </c>
      <c r="D1023" s="16" t="inlineStr">
        <is>
          <t>EE 苏州比斯特购物村</t>
        </is>
      </c>
      <c r="E1023" s="16" t="n">
        <v>4</v>
      </c>
      <c r="F1023" s="16" t="inlineStr">
        <is>
          <t>奥特莱斯</t>
        </is>
      </c>
      <c r="G1023" s="16" t="inlineStr">
        <is>
          <t>EERNG23E01</t>
        </is>
      </c>
      <c r="H1023" s="16" t="n">
        <v>299</v>
      </c>
      <c r="I1023" s="16" t="n">
        <v>299</v>
      </c>
      <c r="J1023" s="17" t="inlineStr">
        <is>
          <t>########</t>
        </is>
      </c>
      <c r="K1023" s="16" t="inlineStr">
        <is>
          <t>(18)M/Grey</t>
        </is>
      </c>
      <c r="L1023" s="16" t="inlineStr">
        <is>
          <t>营业中</t>
        </is>
      </c>
      <c r="M1023" s="16" t="inlineStr">
        <is>
          <t>EERNG23E0118165</t>
        </is>
      </c>
      <c r="N1023" s="16">
        <f>LEFT(M1023,12)</f>
        <v/>
      </c>
      <c r="O1023" s="16" t="inlineStr">
        <is>
          <t>EERNG23E01, (18)M/Grey, (165)165</t>
        </is>
      </c>
      <c r="P1023" s="16" t="n">
        <v>299</v>
      </c>
      <c r="Q1023" s="16" t="n">
        <v>299</v>
      </c>
      <c r="R1023" s="16" t="n">
        <v>2</v>
      </c>
      <c r="S1023" s="16" t="n">
        <v>192</v>
      </c>
      <c r="T1023" s="16" t="n">
        <v>2</v>
      </c>
    </row>
    <row r="1024" s="103">
      <c r="A1024" s="16" t="inlineStr">
        <is>
          <t>B331</t>
        </is>
      </c>
      <c r="B1024" s="16" t="inlineStr">
        <is>
          <t>上海区域</t>
        </is>
      </c>
      <c r="C1024" s="16" t="inlineStr">
        <is>
          <t>CN0Q</t>
        </is>
      </c>
      <c r="D1024" s="16" t="inlineStr">
        <is>
          <t>EE 苏州比斯特购物村</t>
        </is>
      </c>
      <c r="E1024" s="16" t="n">
        <v>4</v>
      </c>
      <c r="F1024" s="16" t="inlineStr">
        <is>
          <t>奥特莱斯</t>
        </is>
      </c>
      <c r="G1024" s="16" t="inlineStr">
        <is>
          <t>EERNG23E01</t>
        </is>
      </c>
      <c r="H1024" s="16" t="n">
        <v>299</v>
      </c>
      <c r="I1024" s="16" t="n">
        <v>299</v>
      </c>
      <c r="J1024" s="17" t="inlineStr">
        <is>
          <t>########</t>
        </is>
      </c>
      <c r="K1024" s="16" t="inlineStr">
        <is>
          <t>(18)M/Grey</t>
        </is>
      </c>
      <c r="L1024" s="16" t="inlineStr">
        <is>
          <t>营业中</t>
        </is>
      </c>
      <c r="M1024" s="16" t="inlineStr">
        <is>
          <t>EERNG23E0118170</t>
        </is>
      </c>
      <c r="N1024" s="16">
        <f>LEFT(M1024,12)</f>
        <v/>
      </c>
      <c r="O1024" s="16" t="inlineStr">
        <is>
          <t>EERNG23E01, (18)M/Grey, (170)170</t>
        </is>
      </c>
      <c r="P1024" s="16" t="n">
        <v>299</v>
      </c>
      <c r="Q1024" s="16" t="n">
        <v>299</v>
      </c>
      <c r="R1024" s="16" t="n">
        <v>3</v>
      </c>
      <c r="S1024" s="16" t="n">
        <v>191</v>
      </c>
      <c r="T1024" s="16" t="n">
        <v>3</v>
      </c>
    </row>
    <row r="1025" s="103">
      <c r="A1025" s="16" t="inlineStr">
        <is>
          <t>B331</t>
        </is>
      </c>
      <c r="B1025" s="16" t="inlineStr">
        <is>
          <t>上海区域</t>
        </is>
      </c>
      <c r="C1025" s="16" t="inlineStr">
        <is>
          <t>CN0Q</t>
        </is>
      </c>
      <c r="D1025" s="16" t="inlineStr">
        <is>
          <t>EE 苏州比斯特购物村</t>
        </is>
      </c>
      <c r="E1025" s="16" t="n">
        <v>4</v>
      </c>
      <c r="F1025" s="16" t="inlineStr">
        <is>
          <t>奥特莱斯</t>
        </is>
      </c>
      <c r="G1025" s="16" t="inlineStr">
        <is>
          <t>EERNG23E01</t>
        </is>
      </c>
      <c r="H1025" s="16" t="n">
        <v>299</v>
      </c>
      <c r="I1025" s="16" t="n">
        <v>299</v>
      </c>
      <c r="J1025" s="17" t="inlineStr">
        <is>
          <t>########</t>
        </is>
      </c>
      <c r="K1025" s="16" t="inlineStr">
        <is>
          <t>(18)M/Grey</t>
        </is>
      </c>
      <c r="L1025" s="16" t="inlineStr">
        <is>
          <t>营业中</t>
        </is>
      </c>
      <c r="M1025" s="16" t="inlineStr">
        <is>
          <t>EERNG23E0118175</t>
        </is>
      </c>
      <c r="N1025" s="16">
        <f>LEFT(M1025,12)</f>
        <v/>
      </c>
      <c r="O1025" s="16" t="inlineStr">
        <is>
          <t>EERNG23E01, (18)M/Grey, (175)175</t>
        </is>
      </c>
      <c r="P1025" s="16" t="n">
        <v>299</v>
      </c>
      <c r="Q1025" s="16" t="n">
        <v>299</v>
      </c>
      <c r="R1025" s="16" t="n"/>
      <c r="S1025" s="16" t="n"/>
      <c r="T1025" s="16" t="n">
        <v>1</v>
      </c>
    </row>
    <row r="1026" s="103">
      <c r="A1026" s="16" t="inlineStr">
        <is>
          <t>B331</t>
        </is>
      </c>
      <c r="B1026" s="16" t="inlineStr">
        <is>
          <t>上海区域</t>
        </is>
      </c>
      <c r="C1026" s="16" t="inlineStr">
        <is>
          <t>CN0Q</t>
        </is>
      </c>
      <c r="D1026" s="16" t="inlineStr">
        <is>
          <t>EE 苏州比斯特购物村</t>
        </is>
      </c>
      <c r="E1026" s="16" t="n">
        <v>4</v>
      </c>
      <c r="F1026" s="16" t="inlineStr">
        <is>
          <t>奥特莱斯</t>
        </is>
      </c>
      <c r="G1026" s="16" t="inlineStr">
        <is>
          <t>EERNG23E01</t>
        </is>
      </c>
      <c r="H1026" s="16" t="n">
        <v>299</v>
      </c>
      <c r="I1026" s="16" t="n">
        <v>299</v>
      </c>
      <c r="J1026" s="17" t="inlineStr">
        <is>
          <t>########</t>
        </is>
      </c>
      <c r="K1026" s="16" t="inlineStr">
        <is>
          <t>(39)Ivory</t>
        </is>
      </c>
      <c r="L1026" s="16" t="inlineStr">
        <is>
          <t>营业中</t>
        </is>
      </c>
      <c r="M1026" s="16" t="inlineStr">
        <is>
          <t>EERNG23E0139160</t>
        </is>
      </c>
      <c r="N1026" s="16">
        <f>LEFT(M1026,12)</f>
        <v/>
      </c>
      <c r="O1026" s="16" t="inlineStr">
        <is>
          <t>EERNG23E01, (39)Ivory, (160)160</t>
        </is>
      </c>
      <c r="P1026" s="16" t="n">
        <v>299</v>
      </c>
      <c r="Q1026" s="16" t="n">
        <v>299</v>
      </c>
      <c r="R1026" s="16" t="n">
        <v>8</v>
      </c>
      <c r="S1026" s="16" t="n">
        <v>973</v>
      </c>
      <c r="T1026" s="16" t="n">
        <v>13</v>
      </c>
    </row>
    <row r="1027" s="103">
      <c r="A1027" s="16" t="inlineStr">
        <is>
          <t>B331</t>
        </is>
      </c>
      <c r="B1027" s="16" t="inlineStr">
        <is>
          <t>上海区域</t>
        </is>
      </c>
      <c r="C1027" s="16" t="inlineStr">
        <is>
          <t>CN0Q</t>
        </is>
      </c>
      <c r="D1027" s="16" t="inlineStr">
        <is>
          <t>EE 苏州比斯特购物村</t>
        </is>
      </c>
      <c r="E1027" s="16" t="n">
        <v>4</v>
      </c>
      <c r="F1027" s="16" t="inlineStr">
        <is>
          <t>奥特莱斯</t>
        </is>
      </c>
      <c r="G1027" s="16" t="inlineStr">
        <is>
          <t>EERNG23E01</t>
        </is>
      </c>
      <c r="H1027" s="16" t="n">
        <v>299</v>
      </c>
      <c r="I1027" s="16" t="n">
        <v>299</v>
      </c>
      <c r="J1027" s="17" t="inlineStr">
        <is>
          <t>########</t>
        </is>
      </c>
      <c r="K1027" s="16" t="inlineStr">
        <is>
          <t>(39)Ivory</t>
        </is>
      </c>
      <c r="L1027" s="16" t="inlineStr">
        <is>
          <t>营业中</t>
        </is>
      </c>
      <c r="M1027" s="16" t="inlineStr">
        <is>
          <t>EERNG23E0139165</t>
        </is>
      </c>
      <c r="N1027" s="16">
        <f>LEFT(M1027,12)</f>
        <v/>
      </c>
      <c r="O1027" s="16" t="inlineStr">
        <is>
          <t>EERNG23E01, (39)Ivory, (165)165</t>
        </is>
      </c>
      <c r="P1027" s="16" t="n">
        <v>299</v>
      </c>
      <c r="Q1027" s="16" t="n">
        <v>299</v>
      </c>
      <c r="R1027" s="16" t="n">
        <v>8</v>
      </c>
      <c r="S1027" s="18" t="n">
        <v>1145</v>
      </c>
      <c r="T1027" s="16" t="n">
        <v>16</v>
      </c>
    </row>
    <row r="1028" s="103">
      <c r="A1028" s="16" t="inlineStr">
        <is>
          <t>B331</t>
        </is>
      </c>
      <c r="B1028" s="16" t="inlineStr">
        <is>
          <t>上海区域</t>
        </is>
      </c>
      <c r="C1028" s="16" t="inlineStr">
        <is>
          <t>CN0Q</t>
        </is>
      </c>
      <c r="D1028" s="16" t="inlineStr">
        <is>
          <t>EE 苏州比斯特购物村</t>
        </is>
      </c>
      <c r="E1028" s="16" t="n">
        <v>4</v>
      </c>
      <c r="F1028" s="16" t="inlineStr">
        <is>
          <t>奥特莱斯</t>
        </is>
      </c>
      <c r="G1028" s="16" t="inlineStr">
        <is>
          <t>EERNG23E01</t>
        </is>
      </c>
      <c r="H1028" s="16" t="n">
        <v>299</v>
      </c>
      <c r="I1028" s="16" t="n">
        <v>299</v>
      </c>
      <c r="J1028" s="17" t="inlineStr">
        <is>
          <t>########</t>
        </is>
      </c>
      <c r="K1028" s="16" t="inlineStr">
        <is>
          <t>(39)Ivory</t>
        </is>
      </c>
      <c r="L1028" s="16" t="inlineStr">
        <is>
          <t>营业中</t>
        </is>
      </c>
      <c r="M1028" s="16" t="inlineStr">
        <is>
          <t>EERNG23E0139170</t>
        </is>
      </c>
      <c r="N1028" s="16">
        <f>LEFT(M1028,12)</f>
        <v/>
      </c>
      <c r="O1028" s="16" t="inlineStr">
        <is>
          <t>EERNG23E01, (39)Ivory, (170)170</t>
        </is>
      </c>
      <c r="P1028" s="16" t="n">
        <v>299</v>
      </c>
      <c r="Q1028" s="16" t="n">
        <v>299</v>
      </c>
      <c r="R1028" s="16" t="n">
        <v>3</v>
      </c>
      <c r="S1028" s="16" t="n">
        <v>388</v>
      </c>
      <c r="T1028" s="16" t="n">
        <v>8</v>
      </c>
    </row>
    <row r="1029" s="103">
      <c r="A1029" s="16" t="inlineStr">
        <is>
          <t>B331</t>
        </is>
      </c>
      <c r="B1029" s="16" t="inlineStr">
        <is>
          <t>上海区域</t>
        </is>
      </c>
      <c r="C1029" s="16" t="inlineStr">
        <is>
          <t>CN0Q</t>
        </is>
      </c>
      <c r="D1029" s="16" t="inlineStr">
        <is>
          <t>EE 苏州比斯特购物村</t>
        </is>
      </c>
      <c r="E1029" s="16" t="n">
        <v>4</v>
      </c>
      <c r="F1029" s="16" t="inlineStr">
        <is>
          <t>奥特莱斯</t>
        </is>
      </c>
      <c r="G1029" s="16" t="inlineStr">
        <is>
          <t>EERNG23E01</t>
        </is>
      </c>
      <c r="H1029" s="16" t="n">
        <v>299</v>
      </c>
      <c r="I1029" s="16" t="n">
        <v>299</v>
      </c>
      <c r="J1029" s="17" t="inlineStr">
        <is>
          <t>########</t>
        </is>
      </c>
      <c r="K1029" s="16" t="inlineStr">
        <is>
          <t>(39)Ivory</t>
        </is>
      </c>
      <c r="L1029" s="16" t="inlineStr">
        <is>
          <t>营业中</t>
        </is>
      </c>
      <c r="M1029" s="16" t="inlineStr">
        <is>
          <t>EERNG23E0139175</t>
        </is>
      </c>
      <c r="N1029" s="16">
        <f>LEFT(M1029,12)</f>
        <v/>
      </c>
      <c r="O1029" s="16" t="inlineStr">
        <is>
          <t>EERNG23E01, (39)Ivory, (175)175</t>
        </is>
      </c>
      <c r="P1029" s="16" t="n">
        <v>299</v>
      </c>
      <c r="Q1029" s="16" t="n">
        <v>299</v>
      </c>
      <c r="R1029" s="16" t="n">
        <v>1</v>
      </c>
      <c r="S1029" s="16" t="n">
        <v>189</v>
      </c>
      <c r="T1029" s="16" t="n">
        <v>1</v>
      </c>
    </row>
    <row r="1030" s="103">
      <c r="A1030" s="16" t="inlineStr">
        <is>
          <t>B331</t>
        </is>
      </c>
      <c r="B1030" s="16" t="inlineStr">
        <is>
          <t>上海区域</t>
        </is>
      </c>
      <c r="C1030" s="16" t="inlineStr">
        <is>
          <t>CN0Q</t>
        </is>
      </c>
      <c r="D1030" s="16" t="inlineStr">
        <is>
          <t>EE 苏州比斯特购物村</t>
        </is>
      </c>
      <c r="E1030" s="16" t="n">
        <v>4</v>
      </c>
      <c r="F1030" s="16" t="inlineStr">
        <is>
          <t>奥特莱斯</t>
        </is>
      </c>
      <c r="G1030" s="16" t="inlineStr">
        <is>
          <t>EERNG23E01</t>
        </is>
      </c>
      <c r="H1030" s="16" t="n">
        <v>299</v>
      </c>
      <c r="I1030" s="16" t="n">
        <v>299</v>
      </c>
      <c r="J1030" s="17" t="inlineStr">
        <is>
          <t>########</t>
        </is>
      </c>
      <c r="K1030" s="16" t="inlineStr">
        <is>
          <t>(95)Two_tone</t>
        </is>
      </c>
      <c r="L1030" s="16" t="inlineStr">
        <is>
          <t>营业中</t>
        </is>
      </c>
      <c r="M1030" s="16" t="inlineStr">
        <is>
          <t>EERNG23E0195160</t>
        </is>
      </c>
      <c r="N1030" s="16">
        <f>LEFT(M1030,12)</f>
        <v/>
      </c>
      <c r="O1030" s="16" t="inlineStr">
        <is>
          <t>EERNG23E01, (95)Two_tone, (160)160</t>
        </is>
      </c>
      <c r="P1030" s="16" t="n">
        <v>299</v>
      </c>
      <c r="Q1030" s="16" t="n">
        <v>299</v>
      </c>
      <c r="R1030" s="16" t="n">
        <v>2</v>
      </c>
      <c r="S1030" s="16" t="n">
        <v>189</v>
      </c>
      <c r="T1030" s="16" t="n">
        <v>2</v>
      </c>
    </row>
    <row r="1031" s="103">
      <c r="A1031" s="16" t="inlineStr">
        <is>
          <t>B331</t>
        </is>
      </c>
      <c r="B1031" s="16" t="inlineStr">
        <is>
          <t>上海区域</t>
        </is>
      </c>
      <c r="C1031" s="16" t="inlineStr">
        <is>
          <t>CN0Q</t>
        </is>
      </c>
      <c r="D1031" s="16" t="inlineStr">
        <is>
          <t>EE 苏州比斯特购物村</t>
        </is>
      </c>
      <c r="E1031" s="16" t="n">
        <v>4</v>
      </c>
      <c r="F1031" s="16" t="inlineStr">
        <is>
          <t>奥特莱斯</t>
        </is>
      </c>
      <c r="G1031" s="16" t="inlineStr">
        <is>
          <t>EERNG23E01</t>
        </is>
      </c>
      <c r="H1031" s="16" t="n">
        <v>299</v>
      </c>
      <c r="I1031" s="16" t="n">
        <v>299</v>
      </c>
      <c r="J1031" s="17" t="inlineStr">
        <is>
          <t>########</t>
        </is>
      </c>
      <c r="K1031" s="16" t="inlineStr">
        <is>
          <t>(95)Two_tone</t>
        </is>
      </c>
      <c r="L1031" s="16" t="inlineStr">
        <is>
          <t>营业中</t>
        </is>
      </c>
      <c r="M1031" s="16" t="inlineStr">
        <is>
          <t>EERNG23E0195165</t>
        </is>
      </c>
      <c r="N1031" s="16">
        <f>LEFT(M1031,12)</f>
        <v/>
      </c>
      <c r="O1031" s="16" t="inlineStr">
        <is>
          <t>EERNG23E01, (95)Two_tone, (165)165</t>
        </is>
      </c>
      <c r="P1031" s="16" t="n">
        <v>299</v>
      </c>
      <c r="Q1031" s="16" t="n">
        <v>299</v>
      </c>
      <c r="R1031" s="16" t="n">
        <v>6</v>
      </c>
      <c r="S1031" s="16" t="n">
        <v>771</v>
      </c>
      <c r="T1031" s="16" t="n">
        <v>6</v>
      </c>
    </row>
    <row r="1032" s="103">
      <c r="A1032" s="16" t="inlineStr">
        <is>
          <t>B331</t>
        </is>
      </c>
      <c r="B1032" s="16" t="inlineStr">
        <is>
          <t>上海区域</t>
        </is>
      </c>
      <c r="C1032" s="16" t="inlineStr">
        <is>
          <t>CN0Q</t>
        </is>
      </c>
      <c r="D1032" s="16" t="inlineStr">
        <is>
          <t>EE 苏州比斯特购物村</t>
        </is>
      </c>
      <c r="E1032" s="16" t="n">
        <v>4</v>
      </c>
      <c r="F1032" s="16" t="inlineStr">
        <is>
          <t>奥特莱斯</t>
        </is>
      </c>
      <c r="G1032" s="16" t="inlineStr">
        <is>
          <t>EERNG23E01</t>
        </is>
      </c>
      <c r="H1032" s="16" t="n">
        <v>299</v>
      </c>
      <c r="I1032" s="16" t="n">
        <v>299</v>
      </c>
      <c r="J1032" s="17" t="inlineStr">
        <is>
          <t>########</t>
        </is>
      </c>
      <c r="K1032" s="16" t="inlineStr">
        <is>
          <t>(95)Two_tone</t>
        </is>
      </c>
      <c r="L1032" s="16" t="inlineStr">
        <is>
          <t>营业中</t>
        </is>
      </c>
      <c r="M1032" s="16" t="inlineStr">
        <is>
          <t>EERNG23E0195170</t>
        </is>
      </c>
      <c r="N1032" s="16">
        <f>LEFT(M1032,12)</f>
        <v/>
      </c>
      <c r="O1032" s="16" t="inlineStr">
        <is>
          <t>EERNG23E01, (95)Two_tone, (170)170</t>
        </is>
      </c>
      <c r="P1032" s="16" t="n">
        <v>299</v>
      </c>
      <c r="Q1032" s="16" t="n">
        <v>299</v>
      </c>
      <c r="R1032" s="16" t="n">
        <v>1</v>
      </c>
      <c r="S1032" s="16" t="n">
        <v>189</v>
      </c>
      <c r="T1032" s="16" t="n">
        <v>1</v>
      </c>
    </row>
    <row r="1033" s="103">
      <c r="A1033" s="16" t="inlineStr">
        <is>
          <t>B331</t>
        </is>
      </c>
      <c r="B1033" s="16" t="inlineStr">
        <is>
          <t>上海区域</t>
        </is>
      </c>
      <c r="C1033" s="16" t="inlineStr">
        <is>
          <t>CN0Q</t>
        </is>
      </c>
      <c r="D1033" s="16" t="inlineStr">
        <is>
          <t>EE 苏州比斯特购物村</t>
        </is>
      </c>
      <c r="E1033" s="16" t="n">
        <v>4</v>
      </c>
      <c r="F1033" s="16" t="inlineStr">
        <is>
          <t>奥特莱斯</t>
        </is>
      </c>
      <c r="G1033" s="16" t="inlineStr">
        <is>
          <t>EERNG23E01</t>
        </is>
      </c>
      <c r="H1033" s="16" t="n">
        <v>299</v>
      </c>
      <c r="I1033" s="16" t="n">
        <v>299</v>
      </c>
      <c r="J1033" s="17" t="inlineStr">
        <is>
          <t>########</t>
        </is>
      </c>
      <c r="K1033" s="16" t="inlineStr">
        <is>
          <t>(99)MIX</t>
        </is>
      </c>
      <c r="L1033" s="16" t="inlineStr">
        <is>
          <t>营业中</t>
        </is>
      </c>
      <c r="M1033" s="16" t="inlineStr">
        <is>
          <t>EERNG23E0199160</t>
        </is>
      </c>
      <c r="N1033" s="16">
        <f>LEFT(M1033,12)</f>
        <v/>
      </c>
      <c r="O1033" s="16" t="inlineStr">
        <is>
          <t>EERNG23E01, (99)MIX, (160)160</t>
        </is>
      </c>
      <c r="P1033" s="16" t="n">
        <v>299</v>
      </c>
      <c r="Q1033" s="16" t="n">
        <v>299</v>
      </c>
      <c r="R1033" s="16" t="n">
        <v>4</v>
      </c>
      <c r="S1033" s="16" t="n">
        <v>192</v>
      </c>
      <c r="T1033" s="16" t="n">
        <v>5</v>
      </c>
    </row>
    <row r="1034" s="103">
      <c r="A1034" s="16" t="inlineStr">
        <is>
          <t>B331</t>
        </is>
      </c>
      <c r="B1034" s="16" t="inlineStr">
        <is>
          <t>上海区域</t>
        </is>
      </c>
      <c r="C1034" s="16" t="inlineStr">
        <is>
          <t>CN0Q</t>
        </is>
      </c>
      <c r="D1034" s="16" t="inlineStr">
        <is>
          <t>EE 苏州比斯特购物村</t>
        </is>
      </c>
      <c r="E1034" s="16" t="n">
        <v>4</v>
      </c>
      <c r="F1034" s="16" t="inlineStr">
        <is>
          <t>奥特莱斯</t>
        </is>
      </c>
      <c r="G1034" s="16" t="inlineStr">
        <is>
          <t>EERNG23E01</t>
        </is>
      </c>
      <c r="H1034" s="16" t="n">
        <v>299</v>
      </c>
      <c r="I1034" s="16" t="n">
        <v>299</v>
      </c>
      <c r="J1034" s="17" t="inlineStr">
        <is>
          <t>########</t>
        </is>
      </c>
      <c r="K1034" s="16" t="inlineStr">
        <is>
          <t>(99)MIX</t>
        </is>
      </c>
      <c r="L1034" s="16" t="inlineStr">
        <is>
          <t>营业中</t>
        </is>
      </c>
      <c r="M1034" s="16" t="inlineStr">
        <is>
          <t>EERNG23E0199165</t>
        </is>
      </c>
      <c r="N1034" s="16">
        <f>LEFT(M1034,12)</f>
        <v/>
      </c>
      <c r="O1034" s="16" t="inlineStr">
        <is>
          <t>EERNG23E01, (99)MIX, (165)165</t>
        </is>
      </c>
      <c r="P1034" s="16" t="n">
        <v>299</v>
      </c>
      <c r="Q1034" s="16" t="n">
        <v>299</v>
      </c>
      <c r="R1034" s="16" t="n">
        <v>6</v>
      </c>
      <c r="S1034" s="16" t="n">
        <v>391</v>
      </c>
      <c r="T1034" s="16" t="n">
        <v>6</v>
      </c>
    </row>
    <row r="1035" s="103">
      <c r="A1035" s="16" t="inlineStr">
        <is>
          <t>B331</t>
        </is>
      </c>
      <c r="B1035" s="16" t="inlineStr">
        <is>
          <t>上海区域</t>
        </is>
      </c>
      <c r="C1035" s="16" t="inlineStr">
        <is>
          <t>CN0Q</t>
        </is>
      </c>
      <c r="D1035" s="16" t="inlineStr">
        <is>
          <t>EE 苏州比斯特购物村</t>
        </is>
      </c>
      <c r="E1035" s="16" t="n">
        <v>4</v>
      </c>
      <c r="F1035" s="16" t="inlineStr">
        <is>
          <t>奥特莱斯</t>
        </is>
      </c>
      <c r="G1035" s="16" t="inlineStr">
        <is>
          <t>EERNG23E01</t>
        </is>
      </c>
      <c r="H1035" s="16" t="n">
        <v>299</v>
      </c>
      <c r="I1035" s="16" t="n">
        <v>299</v>
      </c>
      <c r="J1035" s="17" t="inlineStr">
        <is>
          <t>########</t>
        </is>
      </c>
      <c r="K1035" s="16" t="inlineStr">
        <is>
          <t>(99)MIX</t>
        </is>
      </c>
      <c r="L1035" s="16" t="inlineStr">
        <is>
          <t>营业中</t>
        </is>
      </c>
      <c r="M1035" s="16" t="inlineStr">
        <is>
          <t>EERNG23E0199170</t>
        </is>
      </c>
      <c r="N1035" s="16">
        <f>LEFT(M1035,12)</f>
        <v/>
      </c>
      <c r="O1035" s="16" t="inlineStr">
        <is>
          <t>EERNG23E01, (99)MIX, (170)170</t>
        </is>
      </c>
      <c r="P1035" s="16" t="n">
        <v>299</v>
      </c>
      <c r="Q1035" s="16" t="n">
        <v>299</v>
      </c>
      <c r="R1035" s="16" t="n">
        <v>4</v>
      </c>
      <c r="S1035" s="16" t="n">
        <v>390</v>
      </c>
      <c r="T1035" s="16" t="n">
        <v>2</v>
      </c>
    </row>
    <row r="1036" s="103">
      <c r="A1036" s="16" t="inlineStr">
        <is>
          <t>B331</t>
        </is>
      </c>
      <c r="B1036" s="16" t="inlineStr">
        <is>
          <t>上海区域</t>
        </is>
      </c>
      <c r="C1036" s="16" t="inlineStr">
        <is>
          <t>CN0Q</t>
        </is>
      </c>
      <c r="D1036" s="16" t="inlineStr">
        <is>
          <t>EE 苏州比斯特购物村</t>
        </is>
      </c>
      <c r="E1036" s="16" t="n">
        <v>4</v>
      </c>
      <c r="F1036" s="16" t="inlineStr">
        <is>
          <t>奥特莱斯</t>
        </is>
      </c>
      <c r="G1036" s="16" t="inlineStr">
        <is>
          <t>EERNG23E01</t>
        </is>
      </c>
      <c r="H1036" s="16" t="n">
        <v>299</v>
      </c>
      <c r="I1036" s="16" t="n">
        <v>299</v>
      </c>
      <c r="J1036" s="17" t="inlineStr">
        <is>
          <t>########</t>
        </is>
      </c>
      <c r="K1036" s="16" t="inlineStr">
        <is>
          <t>(99)MIX</t>
        </is>
      </c>
      <c r="L1036" s="16" t="inlineStr">
        <is>
          <t>营业中</t>
        </is>
      </c>
      <c r="M1036" s="16" t="inlineStr">
        <is>
          <t>EERNG23E0199175</t>
        </is>
      </c>
      <c r="N1036" s="16">
        <f>LEFT(M1036,12)</f>
        <v/>
      </c>
      <c r="O1036" s="16" t="inlineStr">
        <is>
          <t>EERNG23E01, (99)MIX, (175)175</t>
        </is>
      </c>
      <c r="P1036" s="16" t="n">
        <v>299</v>
      </c>
      <c r="Q1036" s="16" t="n">
        <v>299</v>
      </c>
      <c r="R1036" s="16" t="n">
        <v>2</v>
      </c>
      <c r="S1036" s="16" t="n">
        <v>209</v>
      </c>
      <c r="T1036" s="16" t="n">
        <v>0</v>
      </c>
    </row>
    <row r="1037" s="103">
      <c r="A1037" s="16" t="inlineStr">
        <is>
          <t>B331</t>
        </is>
      </c>
      <c r="B1037" s="16" t="inlineStr">
        <is>
          <t>上海区域</t>
        </is>
      </c>
      <c r="C1037" s="16" t="inlineStr">
        <is>
          <t>CN0Q</t>
        </is>
      </c>
      <c r="D1037" s="16" t="inlineStr">
        <is>
          <t>EE 苏州比斯特购物村</t>
        </is>
      </c>
      <c r="E1037" s="16" t="n">
        <v>4</v>
      </c>
      <c r="F1037" s="16" t="inlineStr">
        <is>
          <t>奥特莱斯</t>
        </is>
      </c>
      <c r="G1037" s="16" t="inlineStr">
        <is>
          <t>EERNG24E51</t>
        </is>
      </c>
      <c r="H1037" s="16" t="n">
        <v>199</v>
      </c>
      <c r="I1037" s="16" t="n">
        <v>199</v>
      </c>
      <c r="J1037" s="17" t="inlineStr">
        <is>
          <t>########</t>
        </is>
      </c>
      <c r="K1037" s="16" t="inlineStr">
        <is>
          <t>(15)Grey</t>
        </is>
      </c>
      <c r="L1037" s="16" t="inlineStr">
        <is>
          <t>营业中</t>
        </is>
      </c>
      <c r="M1037" s="16" t="inlineStr">
        <is>
          <t>EERNG24E5115160</t>
        </is>
      </c>
      <c r="N1037" s="16">
        <f>LEFT(M1037,12)</f>
        <v/>
      </c>
      <c r="O1037" s="16" t="inlineStr">
        <is>
          <t>EERNG24E51, (15)Grey, (160)160</t>
        </is>
      </c>
      <c r="P1037" s="16" t="n">
        <v>199</v>
      </c>
      <c r="Q1037" s="16" t="n">
        <v>199</v>
      </c>
      <c r="R1037" s="16" t="n"/>
      <c r="S1037" s="16" t="n"/>
      <c r="T1037" s="16" t="n">
        <v>1</v>
      </c>
    </row>
    <row r="1038" s="103">
      <c r="A1038" s="16" t="inlineStr">
        <is>
          <t>B331</t>
        </is>
      </c>
      <c r="B1038" s="16" t="inlineStr">
        <is>
          <t>上海区域</t>
        </is>
      </c>
      <c r="C1038" s="16" t="inlineStr">
        <is>
          <t>CN0Q</t>
        </is>
      </c>
      <c r="D1038" s="16" t="inlineStr">
        <is>
          <t>EE 苏州比斯特购物村</t>
        </is>
      </c>
      <c r="E1038" s="16" t="n">
        <v>4</v>
      </c>
      <c r="F1038" s="16" t="inlineStr">
        <is>
          <t>奥特莱斯</t>
        </is>
      </c>
      <c r="G1038" s="16" t="inlineStr">
        <is>
          <t>EERNG24E51</t>
        </is>
      </c>
      <c r="H1038" s="16" t="n">
        <v>199</v>
      </c>
      <c r="I1038" s="16" t="n">
        <v>199</v>
      </c>
      <c r="J1038" s="17" t="inlineStr">
        <is>
          <t>########</t>
        </is>
      </c>
      <c r="K1038" s="16" t="inlineStr">
        <is>
          <t>(15)Grey</t>
        </is>
      </c>
      <c r="L1038" s="16" t="inlineStr">
        <is>
          <t>营业中</t>
        </is>
      </c>
      <c r="M1038" s="16" t="inlineStr">
        <is>
          <t>EERNG24E5115165</t>
        </is>
      </c>
      <c r="N1038" s="16">
        <f>LEFT(M1038,12)</f>
        <v/>
      </c>
      <c r="O1038" s="16" t="inlineStr">
        <is>
          <t>EERNG24E51, (15)Grey, (165)165</t>
        </is>
      </c>
      <c r="P1038" s="16" t="n">
        <v>199</v>
      </c>
      <c r="Q1038" s="16" t="n">
        <v>199</v>
      </c>
      <c r="R1038" s="16" t="n">
        <v>1</v>
      </c>
      <c r="S1038" s="16" t="n">
        <v>126</v>
      </c>
      <c r="T1038" s="16" t="n">
        <v>1</v>
      </c>
    </row>
    <row r="1039" s="103">
      <c r="A1039" s="16" t="inlineStr">
        <is>
          <t>B331</t>
        </is>
      </c>
      <c r="B1039" s="16" t="inlineStr">
        <is>
          <t>上海区域</t>
        </is>
      </c>
      <c r="C1039" s="16" t="inlineStr">
        <is>
          <t>CN0Q</t>
        </is>
      </c>
      <c r="D1039" s="16" t="inlineStr">
        <is>
          <t>EE 苏州比斯特购物村</t>
        </is>
      </c>
      <c r="E1039" s="16" t="n">
        <v>4</v>
      </c>
      <c r="F1039" s="16" t="inlineStr">
        <is>
          <t>奥特莱斯</t>
        </is>
      </c>
      <c r="G1039" s="16" t="inlineStr">
        <is>
          <t>EERNG24E51</t>
        </is>
      </c>
      <c r="H1039" s="16" t="n">
        <v>199</v>
      </c>
      <c r="I1039" s="16" t="n">
        <v>199</v>
      </c>
      <c r="J1039" s="17" t="inlineStr">
        <is>
          <t>########</t>
        </is>
      </c>
      <c r="K1039" s="16" t="inlineStr">
        <is>
          <t>(15)Grey</t>
        </is>
      </c>
      <c r="L1039" s="16" t="inlineStr">
        <is>
          <t>营业中</t>
        </is>
      </c>
      <c r="M1039" s="16" t="inlineStr">
        <is>
          <t>EERNG24E5115170</t>
        </is>
      </c>
      <c r="N1039" s="16">
        <f>LEFT(M1039,12)</f>
        <v/>
      </c>
      <c r="O1039" s="16" t="inlineStr">
        <is>
          <t>EERNG24E51, (15)Grey, (170)170</t>
        </is>
      </c>
      <c r="P1039" s="16" t="n">
        <v>199</v>
      </c>
      <c r="Q1039" s="16" t="n">
        <v>199</v>
      </c>
      <c r="R1039" s="16" t="n"/>
      <c r="S1039" s="16" t="n"/>
      <c r="T1039" s="16" t="n">
        <v>1</v>
      </c>
    </row>
    <row r="1040" s="103">
      <c r="A1040" s="16" t="inlineStr">
        <is>
          <t>B331</t>
        </is>
      </c>
      <c r="B1040" s="16" t="inlineStr">
        <is>
          <t>上海区域</t>
        </is>
      </c>
      <c r="C1040" s="16" t="inlineStr">
        <is>
          <t>CN0Q</t>
        </is>
      </c>
      <c r="D1040" s="16" t="inlineStr">
        <is>
          <t>EE 苏州比斯特购物村</t>
        </is>
      </c>
      <c r="E1040" s="16" t="n">
        <v>4</v>
      </c>
      <c r="F1040" s="16" t="inlineStr">
        <is>
          <t>奥特莱斯</t>
        </is>
      </c>
      <c r="G1040" s="16" t="inlineStr">
        <is>
          <t>EERNG24E51</t>
        </is>
      </c>
      <c r="H1040" s="16" t="n">
        <v>199</v>
      </c>
      <c r="I1040" s="16" t="n">
        <v>199</v>
      </c>
      <c r="J1040" s="17" t="inlineStr">
        <is>
          <t>########</t>
        </is>
      </c>
      <c r="K1040" s="16" t="inlineStr">
        <is>
          <t>(39)Ivory</t>
        </is>
      </c>
      <c r="L1040" s="16" t="inlineStr">
        <is>
          <t>营业中</t>
        </is>
      </c>
      <c r="M1040" s="16" t="inlineStr">
        <is>
          <t>EERNG24E5139160</t>
        </is>
      </c>
      <c r="N1040" s="16">
        <f>LEFT(M1040,12)</f>
        <v/>
      </c>
      <c r="O1040" s="16" t="inlineStr">
        <is>
          <t>EERNG24E51, (39)Ivory, (160)160</t>
        </is>
      </c>
      <c r="P1040" s="16" t="n">
        <v>199</v>
      </c>
      <c r="Q1040" s="16" t="n">
        <v>199</v>
      </c>
      <c r="R1040" s="16" t="n">
        <v>1</v>
      </c>
      <c r="S1040" s="16" t="n"/>
      <c r="T1040" s="16" t="n">
        <v>2</v>
      </c>
    </row>
    <row r="1041" s="103">
      <c r="A1041" s="16" t="inlineStr">
        <is>
          <t>B331</t>
        </is>
      </c>
      <c r="B1041" s="16" t="inlineStr">
        <is>
          <t>上海区域</t>
        </is>
      </c>
      <c r="C1041" s="16" t="inlineStr">
        <is>
          <t>CN0Q</t>
        </is>
      </c>
      <c r="D1041" s="16" t="inlineStr">
        <is>
          <t>EE 苏州比斯特购物村</t>
        </is>
      </c>
      <c r="E1041" s="16" t="n">
        <v>4</v>
      </c>
      <c r="F1041" s="16" t="inlineStr">
        <is>
          <t>奥特莱斯</t>
        </is>
      </c>
      <c r="G1041" s="16" t="inlineStr">
        <is>
          <t>EERNG24E51</t>
        </is>
      </c>
      <c r="H1041" s="16" t="n">
        <v>199</v>
      </c>
      <c r="I1041" s="16" t="n">
        <v>199</v>
      </c>
      <c r="J1041" s="17" t="inlineStr">
        <is>
          <t>########</t>
        </is>
      </c>
      <c r="K1041" s="16" t="inlineStr">
        <is>
          <t>(39)Ivory</t>
        </is>
      </c>
      <c r="L1041" s="16" t="inlineStr">
        <is>
          <t>营业中</t>
        </is>
      </c>
      <c r="M1041" s="16" t="inlineStr">
        <is>
          <t>EERNG24E5139165</t>
        </is>
      </c>
      <c r="N1041" s="16">
        <f>LEFT(M1041,12)</f>
        <v/>
      </c>
      <c r="O1041" s="16" t="inlineStr">
        <is>
          <t>EERNG24E51, (39)Ivory, (165)165</t>
        </is>
      </c>
      <c r="P1041" s="16" t="n">
        <v>199</v>
      </c>
      <c r="Q1041" s="16" t="n">
        <v>199</v>
      </c>
      <c r="R1041" s="16" t="n">
        <v>2</v>
      </c>
      <c r="S1041" s="16" t="n">
        <v>126</v>
      </c>
      <c r="T1041" s="16" t="n">
        <v>1</v>
      </c>
    </row>
    <row r="1042" s="103">
      <c r="A1042" s="16" t="inlineStr">
        <is>
          <t>B331</t>
        </is>
      </c>
      <c r="B1042" s="16" t="inlineStr">
        <is>
          <t>上海区域</t>
        </is>
      </c>
      <c r="C1042" s="16" t="inlineStr">
        <is>
          <t>CN0Q</t>
        </is>
      </c>
      <c r="D1042" s="16" t="inlineStr">
        <is>
          <t>EE 苏州比斯特购物村</t>
        </is>
      </c>
      <c r="E1042" s="16" t="n">
        <v>4</v>
      </c>
      <c r="F1042" s="16" t="inlineStr">
        <is>
          <t>奥特莱斯</t>
        </is>
      </c>
      <c r="G1042" s="16" t="inlineStr">
        <is>
          <t>EERNG24E51</t>
        </is>
      </c>
      <c r="H1042" s="16" t="n">
        <v>199</v>
      </c>
      <c r="I1042" s="16" t="n">
        <v>199</v>
      </c>
      <c r="J1042" s="17" t="inlineStr">
        <is>
          <t>########</t>
        </is>
      </c>
      <c r="K1042" s="16" t="inlineStr">
        <is>
          <t>(39)Ivory</t>
        </is>
      </c>
      <c r="L1042" s="16" t="inlineStr">
        <is>
          <t>营业中</t>
        </is>
      </c>
      <c r="M1042" s="16" t="inlineStr">
        <is>
          <t>EERNG24E5139170</t>
        </is>
      </c>
      <c r="N1042" s="16">
        <f>LEFT(M1042,12)</f>
        <v/>
      </c>
      <c r="O1042" s="16" t="inlineStr">
        <is>
          <t>EERNG24E51, (39)Ivory, (170)170</t>
        </is>
      </c>
      <c r="P1042" s="16" t="n">
        <v>199</v>
      </c>
      <c r="Q1042" s="16" t="n">
        <v>199</v>
      </c>
      <c r="R1042" s="16" t="n"/>
      <c r="S1042" s="16" t="n"/>
      <c r="T1042" s="16" t="n">
        <v>1</v>
      </c>
    </row>
    <row r="1043" s="103">
      <c r="A1043" s="16" t="inlineStr">
        <is>
          <t>B331</t>
        </is>
      </c>
      <c r="B1043" s="16" t="inlineStr">
        <is>
          <t>上海区域</t>
        </is>
      </c>
      <c r="C1043" s="16" t="inlineStr">
        <is>
          <t>CN0Q</t>
        </is>
      </c>
      <c r="D1043" s="16" t="inlineStr">
        <is>
          <t>EE 苏州比斯特购物村</t>
        </is>
      </c>
      <c r="E1043" s="16" t="n">
        <v>4</v>
      </c>
      <c r="F1043" s="16" t="inlineStr">
        <is>
          <t>奥特莱斯</t>
        </is>
      </c>
      <c r="G1043" s="16" t="inlineStr">
        <is>
          <t>EERNG25B01</t>
        </is>
      </c>
      <c r="H1043" s="16" t="n">
        <v>399</v>
      </c>
      <c r="I1043" s="16" t="n">
        <v>399</v>
      </c>
      <c r="J1043" s="17" t="inlineStr">
        <is>
          <t>########</t>
        </is>
      </c>
      <c r="K1043" s="16" t="inlineStr">
        <is>
          <t>(17)D/Grey</t>
        </is>
      </c>
      <c r="L1043" s="16" t="inlineStr">
        <is>
          <t>营业中</t>
        </is>
      </c>
      <c r="M1043" s="16" t="inlineStr">
        <is>
          <t>EERNG25B0117160</t>
        </is>
      </c>
      <c r="N1043" s="16">
        <f>LEFT(M1043,12)</f>
        <v/>
      </c>
      <c r="O1043" s="16" t="inlineStr">
        <is>
          <t>EERNG25B01, (17)D/Grey, (160)160</t>
        </is>
      </c>
      <c r="P1043" s="16" t="n">
        <v>399</v>
      </c>
      <c r="Q1043" s="16" t="n">
        <v>399</v>
      </c>
      <c r="R1043" s="16" t="n">
        <v>1</v>
      </c>
      <c r="S1043" s="16" t="n"/>
      <c r="T1043" s="16" t="n">
        <v>2</v>
      </c>
    </row>
    <row r="1044" s="103">
      <c r="A1044" s="16" t="inlineStr">
        <is>
          <t>B331</t>
        </is>
      </c>
      <c r="B1044" s="16" t="inlineStr">
        <is>
          <t>上海区域</t>
        </is>
      </c>
      <c r="C1044" s="16" t="inlineStr">
        <is>
          <t>CN0Q</t>
        </is>
      </c>
      <c r="D1044" s="16" t="inlineStr">
        <is>
          <t>EE 苏州比斯特购物村</t>
        </is>
      </c>
      <c r="E1044" s="16" t="n">
        <v>4</v>
      </c>
      <c r="F1044" s="16" t="inlineStr">
        <is>
          <t>奥特莱斯</t>
        </is>
      </c>
      <c r="G1044" s="16" t="inlineStr">
        <is>
          <t>EERNG25B01</t>
        </is>
      </c>
      <c r="H1044" s="16" t="n">
        <v>399</v>
      </c>
      <c r="I1044" s="16" t="n">
        <v>399</v>
      </c>
      <c r="J1044" s="17" t="inlineStr">
        <is>
          <t>########</t>
        </is>
      </c>
      <c r="K1044" s="16" t="inlineStr">
        <is>
          <t>(17)D/Grey</t>
        </is>
      </c>
      <c r="L1044" s="16" t="inlineStr">
        <is>
          <t>营业中</t>
        </is>
      </c>
      <c r="M1044" s="16" t="inlineStr">
        <is>
          <t>EERNG25B0117165</t>
        </is>
      </c>
      <c r="N1044" s="16">
        <f>LEFT(M1044,12)</f>
        <v/>
      </c>
      <c r="O1044" s="16" t="inlineStr">
        <is>
          <t>EERNG25B01, (17)D/Grey, (165)165</t>
        </is>
      </c>
      <c r="P1044" s="16" t="n">
        <v>399</v>
      </c>
      <c r="Q1044" s="16" t="n">
        <v>399</v>
      </c>
      <c r="R1044" s="16" t="n">
        <v>1</v>
      </c>
      <c r="S1044" s="16" t="n"/>
      <c r="T1044" s="16" t="n">
        <v>2</v>
      </c>
    </row>
    <row r="1045" s="103">
      <c r="A1045" s="16" t="inlineStr">
        <is>
          <t>B331</t>
        </is>
      </c>
      <c r="B1045" s="16" t="inlineStr">
        <is>
          <t>上海区域</t>
        </is>
      </c>
      <c r="C1045" s="16" t="inlineStr">
        <is>
          <t>CN0Q</t>
        </is>
      </c>
      <c r="D1045" s="16" t="inlineStr">
        <is>
          <t>EE 苏州比斯特购物村</t>
        </is>
      </c>
      <c r="E1045" s="16" t="n">
        <v>4</v>
      </c>
      <c r="F1045" s="16" t="inlineStr">
        <is>
          <t>奥特莱斯</t>
        </is>
      </c>
      <c r="G1045" s="16" t="inlineStr">
        <is>
          <t>EERNG25B01</t>
        </is>
      </c>
      <c r="H1045" s="16" t="n">
        <v>399</v>
      </c>
      <c r="I1045" s="16" t="n">
        <v>399</v>
      </c>
      <c r="J1045" s="17" t="inlineStr">
        <is>
          <t>########</t>
        </is>
      </c>
      <c r="K1045" s="16" t="inlineStr">
        <is>
          <t>(17)D/Grey</t>
        </is>
      </c>
      <c r="L1045" s="16" t="inlineStr">
        <is>
          <t>营业中</t>
        </is>
      </c>
      <c r="M1045" s="16" t="inlineStr">
        <is>
          <t>EERNG25B0117170</t>
        </is>
      </c>
      <c r="N1045" s="16">
        <f>LEFT(M1045,12)</f>
        <v/>
      </c>
      <c r="O1045" s="16" t="inlineStr">
        <is>
          <t>EERNG25B01, (17)D/Grey, (170)170</t>
        </is>
      </c>
      <c r="P1045" s="16" t="n">
        <v>399</v>
      </c>
      <c r="Q1045" s="16" t="n">
        <v>399</v>
      </c>
      <c r="R1045" s="16" t="n">
        <v>1</v>
      </c>
      <c r="S1045" s="16" t="n"/>
      <c r="T1045" s="16" t="n">
        <v>2</v>
      </c>
    </row>
    <row r="1046" s="103">
      <c r="A1046" s="16" t="inlineStr">
        <is>
          <t>B331</t>
        </is>
      </c>
      <c r="B1046" s="16" t="inlineStr">
        <is>
          <t>上海区域</t>
        </is>
      </c>
      <c r="C1046" s="16" t="inlineStr">
        <is>
          <t>CN0Q</t>
        </is>
      </c>
      <c r="D1046" s="16" t="inlineStr">
        <is>
          <t>EE 苏州比斯特购物村</t>
        </is>
      </c>
      <c r="E1046" s="16" t="n">
        <v>4</v>
      </c>
      <c r="F1046" s="16" t="inlineStr">
        <is>
          <t>奥特莱斯</t>
        </is>
      </c>
      <c r="G1046" s="16" t="inlineStr">
        <is>
          <t>EERNG25B01</t>
        </is>
      </c>
      <c r="H1046" s="16" t="n">
        <v>399</v>
      </c>
      <c r="I1046" s="16" t="n">
        <v>399</v>
      </c>
      <c r="J1046" s="17" t="inlineStr">
        <is>
          <t>########</t>
        </is>
      </c>
      <c r="K1046" s="16" t="inlineStr">
        <is>
          <t>(17)D/Grey</t>
        </is>
      </c>
      <c r="L1046" s="16" t="inlineStr">
        <is>
          <t>营业中</t>
        </is>
      </c>
      <c r="M1046" s="16" t="inlineStr">
        <is>
          <t>EERNG25B0117175</t>
        </is>
      </c>
      <c r="N1046" s="16">
        <f>LEFT(M1046,12)</f>
        <v/>
      </c>
      <c r="O1046" s="16" t="inlineStr">
        <is>
          <t>EERNG25B01, (17)D/Grey, (175)175</t>
        </is>
      </c>
      <c r="P1046" s="16" t="n">
        <v>399</v>
      </c>
      <c r="Q1046" s="16" t="n">
        <v>399</v>
      </c>
      <c r="R1046" s="16" t="n"/>
      <c r="S1046" s="16" t="n"/>
      <c r="T1046" s="16" t="n">
        <v>1</v>
      </c>
    </row>
    <row r="1047" s="103">
      <c r="A1047" s="16" t="inlineStr">
        <is>
          <t>B331</t>
        </is>
      </c>
      <c r="B1047" s="16" t="inlineStr">
        <is>
          <t>上海区域</t>
        </is>
      </c>
      <c r="C1047" s="16" t="inlineStr">
        <is>
          <t>CN0Q</t>
        </is>
      </c>
      <c r="D1047" s="16" t="inlineStr">
        <is>
          <t>EE 苏州比斯特购物村</t>
        </is>
      </c>
      <c r="E1047" s="16" t="n">
        <v>4</v>
      </c>
      <c r="F1047" s="16" t="inlineStr">
        <is>
          <t>奥特莱斯</t>
        </is>
      </c>
      <c r="G1047" s="16" t="inlineStr">
        <is>
          <t>EERNG25B01</t>
        </is>
      </c>
      <c r="H1047" s="16" t="n">
        <v>399</v>
      </c>
      <c r="I1047" s="16" t="n">
        <v>399</v>
      </c>
      <c r="J1047" s="17" t="inlineStr">
        <is>
          <t>########</t>
        </is>
      </c>
      <c r="K1047" s="16" t="inlineStr">
        <is>
          <t>(39)Ivory</t>
        </is>
      </c>
      <c r="L1047" s="16" t="inlineStr">
        <is>
          <t>营业中</t>
        </is>
      </c>
      <c r="M1047" s="16" t="inlineStr">
        <is>
          <t>EERNG25B0139160</t>
        </is>
      </c>
      <c r="N1047" s="16">
        <f>LEFT(M1047,12)</f>
        <v/>
      </c>
      <c r="O1047" s="16" t="inlineStr">
        <is>
          <t>EERNG25B01, (39)Ivory, (160)160</t>
        </is>
      </c>
      <c r="P1047" s="16" t="n">
        <v>399</v>
      </c>
      <c r="Q1047" s="16" t="n">
        <v>399</v>
      </c>
      <c r="R1047" s="16" t="n">
        <v>1</v>
      </c>
      <c r="S1047" s="16" t="n">
        <v>257</v>
      </c>
      <c r="T1047" s="16" t="n">
        <v>2</v>
      </c>
    </row>
    <row r="1048" s="103">
      <c r="A1048" s="16" t="inlineStr">
        <is>
          <t>B331</t>
        </is>
      </c>
      <c r="B1048" s="16" t="inlineStr">
        <is>
          <t>上海区域</t>
        </is>
      </c>
      <c r="C1048" s="16" t="inlineStr">
        <is>
          <t>CN0Q</t>
        </is>
      </c>
      <c r="D1048" s="16" t="inlineStr">
        <is>
          <t>EE 苏州比斯特购物村</t>
        </is>
      </c>
      <c r="E1048" s="16" t="n">
        <v>4</v>
      </c>
      <c r="F1048" s="16" t="inlineStr">
        <is>
          <t>奥特莱斯</t>
        </is>
      </c>
      <c r="G1048" s="16" t="inlineStr">
        <is>
          <t>EERNG25B01</t>
        </is>
      </c>
      <c r="H1048" s="16" t="n">
        <v>399</v>
      </c>
      <c r="I1048" s="16" t="n">
        <v>399</v>
      </c>
      <c r="J1048" s="17" t="inlineStr">
        <is>
          <t>########</t>
        </is>
      </c>
      <c r="K1048" s="16" t="inlineStr">
        <is>
          <t>(39)Ivory</t>
        </is>
      </c>
      <c r="L1048" s="16" t="inlineStr">
        <is>
          <t>营业中</t>
        </is>
      </c>
      <c r="M1048" s="16" t="inlineStr">
        <is>
          <t>EERNG25B0139165</t>
        </is>
      </c>
      <c r="N1048" s="16">
        <f>LEFT(M1048,12)</f>
        <v/>
      </c>
      <c r="O1048" s="16" t="inlineStr">
        <is>
          <t>EERNG25B01, (39)Ivory, (165)165</t>
        </is>
      </c>
      <c r="P1048" s="16" t="n">
        <v>399</v>
      </c>
      <c r="Q1048" s="16" t="n">
        <v>399</v>
      </c>
      <c r="R1048" s="16" t="n"/>
      <c r="S1048" s="16" t="n"/>
      <c r="T1048" s="16" t="n">
        <v>3</v>
      </c>
    </row>
    <row r="1049" s="103">
      <c r="A1049" s="16" t="inlineStr">
        <is>
          <t>B331</t>
        </is>
      </c>
      <c r="B1049" s="16" t="inlineStr">
        <is>
          <t>上海区域</t>
        </is>
      </c>
      <c r="C1049" s="16" t="inlineStr">
        <is>
          <t>CN0Q</t>
        </is>
      </c>
      <c r="D1049" s="16" t="inlineStr">
        <is>
          <t>EE 苏州比斯特购物村</t>
        </is>
      </c>
      <c r="E1049" s="16" t="n">
        <v>4</v>
      </c>
      <c r="F1049" s="16" t="inlineStr">
        <is>
          <t>奥特莱斯</t>
        </is>
      </c>
      <c r="G1049" s="16" t="inlineStr">
        <is>
          <t>EERNG25B01</t>
        </is>
      </c>
      <c r="H1049" s="16" t="n">
        <v>399</v>
      </c>
      <c r="I1049" s="16" t="n">
        <v>399</v>
      </c>
      <c r="J1049" s="17" t="inlineStr">
        <is>
          <t>########</t>
        </is>
      </c>
      <c r="K1049" s="16" t="inlineStr">
        <is>
          <t>(39)Ivory</t>
        </is>
      </c>
      <c r="L1049" s="16" t="inlineStr">
        <is>
          <t>营业中</t>
        </is>
      </c>
      <c r="M1049" s="16" t="inlineStr">
        <is>
          <t>EERNG25B0139170</t>
        </is>
      </c>
      <c r="N1049" s="16">
        <f>LEFT(M1049,12)</f>
        <v/>
      </c>
      <c r="O1049" s="16" t="inlineStr">
        <is>
          <t>EERNG25B01, (39)Ivory, (170)170</t>
        </is>
      </c>
      <c r="P1049" s="16" t="n">
        <v>399</v>
      </c>
      <c r="Q1049" s="16" t="n">
        <v>399</v>
      </c>
      <c r="R1049" s="16" t="n">
        <v>2</v>
      </c>
      <c r="S1049" s="16" t="n">
        <v>510</v>
      </c>
      <c r="T1049" s="16" t="n">
        <v>2</v>
      </c>
    </row>
    <row r="1050" s="103">
      <c r="A1050" s="16" t="inlineStr">
        <is>
          <t>B331</t>
        </is>
      </c>
      <c r="B1050" s="16" t="inlineStr">
        <is>
          <t>上海区域</t>
        </is>
      </c>
      <c r="C1050" s="16" t="inlineStr">
        <is>
          <t>CN0Q</t>
        </is>
      </c>
      <c r="D1050" s="16" t="inlineStr">
        <is>
          <t>EE 苏州比斯特购物村</t>
        </is>
      </c>
      <c r="E1050" s="16" t="n">
        <v>4</v>
      </c>
      <c r="F1050" s="16" t="inlineStr">
        <is>
          <t>奥特莱斯</t>
        </is>
      </c>
      <c r="G1050" s="16" t="inlineStr">
        <is>
          <t>EERNG25B01</t>
        </is>
      </c>
      <c r="H1050" s="16" t="n">
        <v>399</v>
      </c>
      <c r="I1050" s="16" t="n">
        <v>399</v>
      </c>
      <c r="J1050" s="17" t="inlineStr">
        <is>
          <t>########</t>
        </is>
      </c>
      <c r="K1050" s="16" t="inlineStr">
        <is>
          <t>(39)Ivory</t>
        </is>
      </c>
      <c r="L1050" s="16" t="inlineStr">
        <is>
          <t>营业中</t>
        </is>
      </c>
      <c r="M1050" s="16" t="inlineStr">
        <is>
          <t>EERNG25B0139175</t>
        </is>
      </c>
      <c r="N1050" s="16">
        <f>LEFT(M1050,12)</f>
        <v/>
      </c>
      <c r="O1050" s="16" t="inlineStr">
        <is>
          <t>EERNG25B01, (39)Ivory, (175)175</t>
        </is>
      </c>
      <c r="P1050" s="16" t="n">
        <v>399</v>
      </c>
      <c r="Q1050" s="16" t="n">
        <v>399</v>
      </c>
      <c r="R1050" s="16" t="n">
        <v>1</v>
      </c>
      <c r="S1050" s="16" t="n">
        <v>279</v>
      </c>
      <c r="T1050" s="16" t="n">
        <v>2</v>
      </c>
    </row>
    <row r="1051" s="103">
      <c r="A1051" s="16" t="inlineStr">
        <is>
          <t>B331</t>
        </is>
      </c>
      <c r="B1051" s="16" t="inlineStr">
        <is>
          <t>上海区域</t>
        </is>
      </c>
      <c r="C1051" s="16" t="inlineStr">
        <is>
          <t>CN0Q</t>
        </is>
      </c>
      <c r="D1051" s="16" t="inlineStr">
        <is>
          <t>EE 苏州比斯特购物村</t>
        </is>
      </c>
      <c r="E1051" s="16" t="n">
        <v>4</v>
      </c>
      <c r="F1051" s="16" t="inlineStr">
        <is>
          <t>奥特莱斯</t>
        </is>
      </c>
      <c r="G1051" s="16" t="inlineStr">
        <is>
          <t>EERNG25B01</t>
        </is>
      </c>
      <c r="H1051" s="16" t="n">
        <v>399</v>
      </c>
      <c r="I1051" s="16" t="n">
        <v>399</v>
      </c>
      <c r="J1051" s="17" t="inlineStr">
        <is>
          <t>########</t>
        </is>
      </c>
      <c r="K1051" s="16" t="inlineStr">
        <is>
          <t>(88)Lavender</t>
        </is>
      </c>
      <c r="L1051" s="16" t="inlineStr">
        <is>
          <t>营业中</t>
        </is>
      </c>
      <c r="M1051" s="16" t="inlineStr">
        <is>
          <t>EERNG25B0188160</t>
        </is>
      </c>
      <c r="N1051" s="16">
        <f>LEFT(M1051,12)</f>
        <v/>
      </c>
      <c r="O1051" s="16" t="inlineStr">
        <is>
          <t>EERNG25B01, (88)Lavender, (160)160</t>
        </is>
      </c>
      <c r="P1051" s="16" t="n">
        <v>399</v>
      </c>
      <c r="Q1051" s="16" t="n">
        <v>399</v>
      </c>
      <c r="R1051" s="16" t="n">
        <v>2</v>
      </c>
      <c r="S1051" s="16" t="n"/>
      <c r="T1051" s="16" t="n">
        <v>7</v>
      </c>
    </row>
    <row r="1052" s="103">
      <c r="A1052" s="16" t="inlineStr">
        <is>
          <t>B331</t>
        </is>
      </c>
      <c r="B1052" s="16" t="inlineStr">
        <is>
          <t>上海区域</t>
        </is>
      </c>
      <c r="C1052" s="16" t="inlineStr">
        <is>
          <t>CN0Q</t>
        </is>
      </c>
      <c r="D1052" s="16" t="inlineStr">
        <is>
          <t>EE 苏州比斯特购物村</t>
        </is>
      </c>
      <c r="E1052" s="16" t="n">
        <v>4</v>
      </c>
      <c r="F1052" s="16" t="inlineStr">
        <is>
          <t>奥特莱斯</t>
        </is>
      </c>
      <c r="G1052" s="16" t="inlineStr">
        <is>
          <t>EERNG25B01</t>
        </is>
      </c>
      <c r="H1052" s="16" t="n">
        <v>399</v>
      </c>
      <c r="I1052" s="16" t="n">
        <v>399</v>
      </c>
      <c r="J1052" s="17" t="inlineStr">
        <is>
          <t>########</t>
        </is>
      </c>
      <c r="K1052" s="16" t="inlineStr">
        <is>
          <t>(88)Lavender</t>
        </is>
      </c>
      <c r="L1052" s="16" t="inlineStr">
        <is>
          <t>营业中</t>
        </is>
      </c>
      <c r="M1052" s="16" t="inlineStr">
        <is>
          <t>EERNG25B0188165</t>
        </is>
      </c>
      <c r="N1052" s="16">
        <f>LEFT(M1052,12)</f>
        <v/>
      </c>
      <c r="O1052" s="16" t="inlineStr">
        <is>
          <t>EERNG25B01, (88)Lavender, (165)165</t>
        </is>
      </c>
      <c r="P1052" s="16" t="n">
        <v>399</v>
      </c>
      <c r="Q1052" s="16" t="n">
        <v>399</v>
      </c>
      <c r="R1052" s="16" t="n"/>
      <c r="S1052" s="16" t="n"/>
      <c r="T1052" s="16" t="n">
        <v>3</v>
      </c>
    </row>
    <row r="1053" s="103">
      <c r="A1053" s="16" t="inlineStr">
        <is>
          <t>B331</t>
        </is>
      </c>
      <c r="B1053" s="16" t="inlineStr">
        <is>
          <t>上海区域</t>
        </is>
      </c>
      <c r="C1053" s="16" t="inlineStr">
        <is>
          <t>CN0Q</t>
        </is>
      </c>
      <c r="D1053" s="16" t="inlineStr">
        <is>
          <t>EE 苏州比斯特购物村</t>
        </is>
      </c>
      <c r="E1053" s="16" t="n">
        <v>4</v>
      </c>
      <c r="F1053" s="16" t="inlineStr">
        <is>
          <t>奥特莱斯</t>
        </is>
      </c>
      <c r="G1053" s="16" t="inlineStr">
        <is>
          <t>EERNG25B01</t>
        </is>
      </c>
      <c r="H1053" s="16" t="n">
        <v>399</v>
      </c>
      <c r="I1053" s="16" t="n">
        <v>399</v>
      </c>
      <c r="J1053" s="17" t="inlineStr">
        <is>
          <t>########</t>
        </is>
      </c>
      <c r="K1053" s="16" t="inlineStr">
        <is>
          <t>(88)Lavender</t>
        </is>
      </c>
      <c r="L1053" s="16" t="inlineStr">
        <is>
          <t>营业中</t>
        </is>
      </c>
      <c r="M1053" s="16" t="inlineStr">
        <is>
          <t>EERNG25B0188170</t>
        </is>
      </c>
      <c r="N1053" s="16">
        <f>LEFT(M1053,12)</f>
        <v/>
      </c>
      <c r="O1053" s="16" t="inlineStr">
        <is>
          <t>EERNG25B01, (88)Lavender, (170)170</t>
        </is>
      </c>
      <c r="P1053" s="16" t="n">
        <v>399</v>
      </c>
      <c r="Q1053" s="16" t="n">
        <v>399</v>
      </c>
      <c r="R1053" s="16" t="n"/>
      <c r="S1053" s="16" t="n"/>
      <c r="T1053" s="16" t="n">
        <v>2</v>
      </c>
    </row>
    <row r="1054" s="103">
      <c r="A1054" s="16" t="inlineStr">
        <is>
          <t>B331</t>
        </is>
      </c>
      <c r="B1054" s="16" t="inlineStr">
        <is>
          <t>上海区域</t>
        </is>
      </c>
      <c r="C1054" s="16" t="inlineStr">
        <is>
          <t>CN0Q</t>
        </is>
      </c>
      <c r="D1054" s="16" t="inlineStr">
        <is>
          <t>EE 苏州比斯特购物村</t>
        </is>
      </c>
      <c r="E1054" s="16" t="n">
        <v>4</v>
      </c>
      <c r="F1054" s="16" t="inlineStr">
        <is>
          <t>奥特莱斯</t>
        </is>
      </c>
      <c r="G1054" s="16" t="inlineStr">
        <is>
          <t>EERNG25B01</t>
        </is>
      </c>
      <c r="H1054" s="16" t="n">
        <v>399</v>
      </c>
      <c r="I1054" s="16" t="n">
        <v>399</v>
      </c>
      <c r="J1054" s="17" t="inlineStr">
        <is>
          <t>########</t>
        </is>
      </c>
      <c r="K1054" s="16" t="inlineStr">
        <is>
          <t>(88)Lavender</t>
        </is>
      </c>
      <c r="L1054" s="16" t="inlineStr">
        <is>
          <t>营业中</t>
        </is>
      </c>
      <c r="M1054" s="16" t="inlineStr">
        <is>
          <t>EERNG25B0188175</t>
        </is>
      </c>
      <c r="N1054" s="16">
        <f>LEFT(M1054,12)</f>
        <v/>
      </c>
      <c r="O1054" s="16" t="inlineStr">
        <is>
          <t>EERNG25B01, (88)Lavender, (175)175</t>
        </is>
      </c>
      <c r="P1054" s="16" t="n">
        <v>399</v>
      </c>
      <c r="Q1054" s="16" t="n">
        <v>399</v>
      </c>
      <c r="R1054" s="16" t="n"/>
      <c r="S1054" s="16" t="n"/>
      <c r="T1054" s="16" t="n">
        <v>1</v>
      </c>
    </row>
    <row r="1055" s="103">
      <c r="A1055" s="16" t="inlineStr">
        <is>
          <t>B331</t>
        </is>
      </c>
      <c r="B1055" s="16" t="inlineStr">
        <is>
          <t>上海区域</t>
        </is>
      </c>
      <c r="C1055" s="16" t="inlineStr">
        <is>
          <t>CN0Q</t>
        </is>
      </c>
      <c r="D1055" s="16" t="inlineStr">
        <is>
          <t>EE 苏州比斯特购物村</t>
        </is>
      </c>
      <c r="E1055" s="16" t="n">
        <v>4</v>
      </c>
      <c r="F1055" s="16" t="inlineStr">
        <is>
          <t>奥特莱斯</t>
        </is>
      </c>
      <c r="G1055" s="16" t="inlineStr">
        <is>
          <t>EERSF23E01</t>
        </is>
      </c>
      <c r="H1055" s="16" t="n">
        <v>399</v>
      </c>
      <c r="I1055" s="16" t="n">
        <v>399</v>
      </c>
      <c r="J1055" s="17" t="n">
        <v>45659</v>
      </c>
      <c r="K1055" s="16" t="inlineStr">
        <is>
          <t>(59)Navy</t>
        </is>
      </c>
      <c r="L1055" s="16" t="inlineStr">
        <is>
          <t>营业中</t>
        </is>
      </c>
      <c r="M1055" s="16" t="inlineStr">
        <is>
          <t>EERSF23E0159160</t>
        </is>
      </c>
      <c r="N1055" s="16">
        <f>LEFT(M1055,12)</f>
        <v/>
      </c>
      <c r="O1055" s="16" t="inlineStr">
        <is>
          <t>EERSF23E01, (59)Navy, (160)160</t>
        </is>
      </c>
      <c r="P1055" s="16" t="n">
        <v>399</v>
      </c>
      <c r="Q1055" s="16" t="n">
        <v>399</v>
      </c>
      <c r="R1055" s="16" t="n"/>
      <c r="S1055" s="16" t="n"/>
      <c r="T1055" s="16" t="n">
        <v>6</v>
      </c>
    </row>
    <row r="1056" s="103">
      <c r="A1056" s="16" t="inlineStr">
        <is>
          <t>B331</t>
        </is>
      </c>
      <c r="B1056" s="16" t="inlineStr">
        <is>
          <t>上海区域</t>
        </is>
      </c>
      <c r="C1056" s="16" t="inlineStr">
        <is>
          <t>CN0Q</t>
        </is>
      </c>
      <c r="D1056" s="16" t="inlineStr">
        <is>
          <t>EE 苏州比斯特购物村</t>
        </is>
      </c>
      <c r="E1056" s="16" t="n">
        <v>4</v>
      </c>
      <c r="F1056" s="16" t="inlineStr">
        <is>
          <t>奥特莱斯</t>
        </is>
      </c>
      <c r="G1056" s="16" t="inlineStr">
        <is>
          <t>EERSF23E01</t>
        </is>
      </c>
      <c r="H1056" s="16" t="n">
        <v>399</v>
      </c>
      <c r="I1056" s="16" t="n">
        <v>399</v>
      </c>
      <c r="J1056" s="17" t="n">
        <v>45659</v>
      </c>
      <c r="K1056" s="16" t="inlineStr">
        <is>
          <t>(59)Navy</t>
        </is>
      </c>
      <c r="L1056" s="16" t="inlineStr">
        <is>
          <t>营业中</t>
        </is>
      </c>
      <c r="M1056" s="16" t="inlineStr">
        <is>
          <t>EERSF23E0159165</t>
        </is>
      </c>
      <c r="N1056" s="16">
        <f>LEFT(M1056,12)</f>
        <v/>
      </c>
      <c r="O1056" s="16" t="inlineStr">
        <is>
          <t>EERSF23E01, (59)Navy, (165)165</t>
        </is>
      </c>
      <c r="P1056" s="16" t="n">
        <v>399</v>
      </c>
      <c r="Q1056" s="16" t="n">
        <v>399</v>
      </c>
      <c r="R1056" s="16" t="n"/>
      <c r="S1056" s="16" t="n"/>
      <c r="T1056" s="16" t="n">
        <v>6</v>
      </c>
    </row>
    <row r="1057" s="103">
      <c r="A1057" s="16" t="inlineStr">
        <is>
          <t>B331</t>
        </is>
      </c>
      <c r="B1057" s="16" t="inlineStr">
        <is>
          <t>上海区域</t>
        </is>
      </c>
      <c r="C1057" s="16" t="inlineStr">
        <is>
          <t>CN0Q</t>
        </is>
      </c>
      <c r="D1057" s="16" t="inlineStr">
        <is>
          <t>EE 苏州比斯特购物村</t>
        </is>
      </c>
      <c r="E1057" s="16" t="n">
        <v>4</v>
      </c>
      <c r="F1057" s="16" t="inlineStr">
        <is>
          <t>奥特莱斯</t>
        </is>
      </c>
      <c r="G1057" s="16" t="inlineStr">
        <is>
          <t>EERSF23E01</t>
        </is>
      </c>
      <c r="H1057" s="16" t="n">
        <v>399</v>
      </c>
      <c r="I1057" s="16" t="n">
        <v>399</v>
      </c>
      <c r="J1057" s="17" t="n">
        <v>45659</v>
      </c>
      <c r="K1057" s="16" t="inlineStr">
        <is>
          <t>(59)Navy</t>
        </is>
      </c>
      <c r="L1057" s="16" t="inlineStr">
        <is>
          <t>营业中</t>
        </is>
      </c>
      <c r="M1057" s="16" t="inlineStr">
        <is>
          <t>EERSF23E0159170</t>
        </is>
      </c>
      <c r="N1057" s="16">
        <f>LEFT(M1057,12)</f>
        <v/>
      </c>
      <c r="O1057" s="16" t="inlineStr">
        <is>
          <t>EERSF23E01, (59)Navy, (170)170</t>
        </is>
      </c>
      <c r="P1057" s="16" t="n">
        <v>399</v>
      </c>
      <c r="Q1057" s="16" t="n">
        <v>399</v>
      </c>
      <c r="R1057" s="16" t="n"/>
      <c r="S1057" s="16" t="n"/>
      <c r="T1057" s="16" t="n">
        <v>4</v>
      </c>
    </row>
    <row r="1058" s="103">
      <c r="A1058" s="16" t="inlineStr">
        <is>
          <t>B331</t>
        </is>
      </c>
      <c r="B1058" s="16" t="inlineStr">
        <is>
          <t>上海区域</t>
        </is>
      </c>
      <c r="C1058" s="16" t="inlineStr">
        <is>
          <t>CN0Q</t>
        </is>
      </c>
      <c r="D1058" s="16" t="inlineStr">
        <is>
          <t>EE 苏州比斯特购物村</t>
        </is>
      </c>
      <c r="E1058" s="16" t="n">
        <v>4</v>
      </c>
      <c r="F1058" s="16" t="inlineStr">
        <is>
          <t>奥特莱斯</t>
        </is>
      </c>
      <c r="G1058" s="16" t="inlineStr">
        <is>
          <t>EERSF23E02</t>
        </is>
      </c>
      <c r="H1058" s="16" t="n">
        <v>399</v>
      </c>
      <c r="I1058" s="16" t="n">
        <v>499</v>
      </c>
      <c r="J1058" s="17" t="inlineStr">
        <is>
          <t>########</t>
        </is>
      </c>
      <c r="K1058" s="16" t="inlineStr">
        <is>
          <t>(39)Ivory</t>
        </is>
      </c>
      <c r="L1058" s="16" t="inlineStr">
        <is>
          <t>营业中</t>
        </is>
      </c>
      <c r="M1058" s="16" t="inlineStr">
        <is>
          <t>EERSF23E0239160</t>
        </is>
      </c>
      <c r="N1058" s="16">
        <f>LEFT(M1058,12)</f>
        <v/>
      </c>
      <c r="O1058" s="16" t="inlineStr">
        <is>
          <t>EERSF23E02, (39)Ivory, (160)160</t>
        </is>
      </c>
      <c r="P1058" s="16" t="n">
        <v>399</v>
      </c>
      <c r="Q1058" s="16" t="n">
        <v>499</v>
      </c>
      <c r="R1058" s="16" t="n"/>
      <c r="S1058" s="16" t="n"/>
      <c r="T1058" s="16" t="n">
        <v>4</v>
      </c>
    </row>
    <row r="1059" s="103">
      <c r="A1059" s="16" t="inlineStr">
        <is>
          <t>B331</t>
        </is>
      </c>
      <c r="B1059" s="16" t="inlineStr">
        <is>
          <t>上海区域</t>
        </is>
      </c>
      <c r="C1059" s="16" t="inlineStr">
        <is>
          <t>CN0Q</t>
        </is>
      </c>
      <c r="D1059" s="16" t="inlineStr">
        <is>
          <t>EE 苏州比斯特购物村</t>
        </is>
      </c>
      <c r="E1059" s="16" t="n">
        <v>4</v>
      </c>
      <c r="F1059" s="16" t="inlineStr">
        <is>
          <t>奥特莱斯</t>
        </is>
      </c>
      <c r="G1059" s="16" t="inlineStr">
        <is>
          <t>EERSF23E02</t>
        </is>
      </c>
      <c r="H1059" s="16" t="n">
        <v>399</v>
      </c>
      <c r="I1059" s="16" t="n">
        <v>499</v>
      </c>
      <c r="J1059" s="17" t="inlineStr">
        <is>
          <t>########</t>
        </is>
      </c>
      <c r="K1059" s="16" t="inlineStr">
        <is>
          <t>(39)Ivory</t>
        </is>
      </c>
      <c r="L1059" s="16" t="inlineStr">
        <is>
          <t>营业中</t>
        </is>
      </c>
      <c r="M1059" s="16" t="inlineStr">
        <is>
          <t>EERSF23E0239165</t>
        </is>
      </c>
      <c r="N1059" s="16">
        <f>LEFT(M1059,12)</f>
        <v/>
      </c>
      <c r="O1059" s="16" t="inlineStr">
        <is>
          <t>EERSF23E02, (39)Ivory, (165)165</t>
        </is>
      </c>
      <c r="P1059" s="16" t="n">
        <v>399</v>
      </c>
      <c r="Q1059" s="16" t="n">
        <v>499</v>
      </c>
      <c r="R1059" s="16" t="n">
        <v>1</v>
      </c>
      <c r="S1059" s="16" t="n"/>
      <c r="T1059" s="16" t="n">
        <v>5</v>
      </c>
    </row>
    <row r="1060" s="103">
      <c r="A1060" s="16" t="inlineStr">
        <is>
          <t>B331</t>
        </is>
      </c>
      <c r="B1060" s="16" t="inlineStr">
        <is>
          <t>上海区域</t>
        </is>
      </c>
      <c r="C1060" s="16" t="inlineStr">
        <is>
          <t>CN0Q</t>
        </is>
      </c>
      <c r="D1060" s="16" t="inlineStr">
        <is>
          <t>EE 苏州比斯特购物村</t>
        </is>
      </c>
      <c r="E1060" s="16" t="n">
        <v>4</v>
      </c>
      <c r="F1060" s="16" t="inlineStr">
        <is>
          <t>奥特莱斯</t>
        </is>
      </c>
      <c r="G1060" s="16" t="inlineStr">
        <is>
          <t>EERSF23E02</t>
        </is>
      </c>
      <c r="H1060" s="16" t="n">
        <v>399</v>
      </c>
      <c r="I1060" s="16" t="n">
        <v>499</v>
      </c>
      <c r="J1060" s="17" t="inlineStr">
        <is>
          <t>########</t>
        </is>
      </c>
      <c r="K1060" s="16" t="inlineStr">
        <is>
          <t>(39)Ivory</t>
        </is>
      </c>
      <c r="L1060" s="16" t="inlineStr">
        <is>
          <t>营业中</t>
        </is>
      </c>
      <c r="M1060" s="16" t="inlineStr">
        <is>
          <t>EERSF23E0239170</t>
        </is>
      </c>
      <c r="N1060" s="16">
        <f>LEFT(M1060,12)</f>
        <v/>
      </c>
      <c r="O1060" s="16" t="inlineStr">
        <is>
          <t>EERSF23E02, (39)Ivory, (170)170</t>
        </is>
      </c>
      <c r="P1060" s="16" t="n">
        <v>399</v>
      </c>
      <c r="Q1060" s="16" t="n">
        <v>499</v>
      </c>
      <c r="R1060" s="16" t="n"/>
      <c r="S1060" s="16" t="n"/>
      <c r="T1060" s="16" t="n">
        <v>4</v>
      </c>
    </row>
    <row r="1061" s="103">
      <c r="A1061" s="16" t="inlineStr">
        <is>
          <t>B331</t>
        </is>
      </c>
      <c r="B1061" s="16" t="inlineStr">
        <is>
          <t>上海区域</t>
        </is>
      </c>
      <c r="C1061" s="16" t="inlineStr">
        <is>
          <t>CN0Q</t>
        </is>
      </c>
      <c r="D1061" s="16" t="inlineStr">
        <is>
          <t>EE 苏州比斯特购物村</t>
        </is>
      </c>
      <c r="E1061" s="16" t="n">
        <v>4</v>
      </c>
      <c r="F1061" s="16" t="inlineStr">
        <is>
          <t>奥特莱斯</t>
        </is>
      </c>
      <c r="G1061" s="16" t="inlineStr">
        <is>
          <t>EERSF23E02</t>
        </is>
      </c>
      <c r="H1061" s="16" t="n">
        <v>399</v>
      </c>
      <c r="I1061" s="16" t="n">
        <v>499</v>
      </c>
      <c r="J1061" s="17" t="inlineStr">
        <is>
          <t>########</t>
        </is>
      </c>
      <c r="K1061" s="16" t="inlineStr">
        <is>
          <t>(39)Ivory</t>
        </is>
      </c>
      <c r="L1061" s="16" t="inlineStr">
        <is>
          <t>营业中</t>
        </is>
      </c>
      <c r="M1061" s="16" t="inlineStr">
        <is>
          <t>EERSF23E0239175</t>
        </is>
      </c>
      <c r="N1061" s="16">
        <f>LEFT(M1061,12)</f>
        <v/>
      </c>
      <c r="O1061" s="16" t="inlineStr">
        <is>
          <t>EERSF23E02, (39)Ivory, (175)175</t>
        </is>
      </c>
      <c r="P1061" s="16" t="n">
        <v>399</v>
      </c>
      <c r="Q1061" s="16" t="n">
        <v>499</v>
      </c>
      <c r="R1061" s="16" t="n"/>
      <c r="S1061" s="16" t="n"/>
      <c r="T1061" s="16" t="n">
        <v>3</v>
      </c>
    </row>
    <row r="1062" s="103">
      <c r="A1062" s="16" t="inlineStr">
        <is>
          <t>B331</t>
        </is>
      </c>
      <c r="B1062" s="16" t="inlineStr">
        <is>
          <t>上海区域</t>
        </is>
      </c>
      <c r="C1062" s="16" t="inlineStr">
        <is>
          <t>CN0Q</t>
        </is>
      </c>
      <c r="D1062" s="16" t="inlineStr">
        <is>
          <t>EE 苏州比斯特购物村</t>
        </is>
      </c>
      <c r="E1062" s="16" t="n">
        <v>4</v>
      </c>
      <c r="F1062" s="16" t="inlineStr">
        <is>
          <t>奥特莱斯</t>
        </is>
      </c>
      <c r="G1062" s="16" t="inlineStr">
        <is>
          <t>EERSF23N51</t>
        </is>
      </c>
      <c r="H1062" s="16" t="n">
        <v>399</v>
      </c>
      <c r="I1062" s="16" t="n">
        <v>399</v>
      </c>
      <c r="J1062" s="17" t="inlineStr">
        <is>
          <t>########</t>
        </is>
      </c>
      <c r="K1062" s="16" t="inlineStr">
        <is>
          <t>(19)BLACK</t>
        </is>
      </c>
      <c r="L1062" s="16" t="inlineStr">
        <is>
          <t>营业中</t>
        </is>
      </c>
      <c r="M1062" s="16" t="inlineStr">
        <is>
          <t>EERSF23N5119160</t>
        </is>
      </c>
      <c r="N1062" s="16">
        <f>LEFT(M1062,12)</f>
        <v/>
      </c>
      <c r="O1062" s="16" t="inlineStr">
        <is>
          <t>EERSF23N51, (19)BLACK, (160)160</t>
        </is>
      </c>
      <c r="P1062" s="16" t="n">
        <v>399</v>
      </c>
      <c r="Q1062" s="16" t="n">
        <v>399</v>
      </c>
      <c r="R1062" s="16" t="n"/>
      <c r="S1062" s="16" t="n"/>
      <c r="T1062" s="16" t="n">
        <v>4</v>
      </c>
    </row>
    <row r="1063" s="103">
      <c r="A1063" s="16" t="inlineStr">
        <is>
          <t>B331</t>
        </is>
      </c>
      <c r="B1063" s="16" t="inlineStr">
        <is>
          <t>上海区域</t>
        </is>
      </c>
      <c r="C1063" s="16" t="inlineStr">
        <is>
          <t>CN0Q</t>
        </is>
      </c>
      <c r="D1063" s="16" t="inlineStr">
        <is>
          <t>EE 苏州比斯特购物村</t>
        </is>
      </c>
      <c r="E1063" s="16" t="n">
        <v>4</v>
      </c>
      <c r="F1063" s="16" t="inlineStr">
        <is>
          <t>奥特莱斯</t>
        </is>
      </c>
      <c r="G1063" s="16" t="inlineStr">
        <is>
          <t>EERSF23N51</t>
        </is>
      </c>
      <c r="H1063" s="16" t="n">
        <v>399</v>
      </c>
      <c r="I1063" s="16" t="n">
        <v>399</v>
      </c>
      <c r="J1063" s="17" t="inlineStr">
        <is>
          <t>########</t>
        </is>
      </c>
      <c r="K1063" s="16" t="inlineStr">
        <is>
          <t>(19)BLACK</t>
        </is>
      </c>
      <c r="L1063" s="16" t="inlineStr">
        <is>
          <t>营业中</t>
        </is>
      </c>
      <c r="M1063" s="16" t="inlineStr">
        <is>
          <t>EERSF23N5119165</t>
        </is>
      </c>
      <c r="N1063" s="16">
        <f>LEFT(M1063,12)</f>
        <v/>
      </c>
      <c r="O1063" s="16" t="inlineStr">
        <is>
          <t>EERSF23N51, (19)BLACK, (165)165</t>
        </is>
      </c>
      <c r="P1063" s="16" t="n">
        <v>399</v>
      </c>
      <c r="Q1063" s="16" t="n">
        <v>399</v>
      </c>
      <c r="R1063" s="16" t="n"/>
      <c r="S1063" s="16" t="n"/>
      <c r="T1063" s="16" t="n">
        <v>2</v>
      </c>
    </row>
    <row r="1064" s="103">
      <c r="A1064" s="16" t="inlineStr">
        <is>
          <t>B331</t>
        </is>
      </c>
      <c r="B1064" s="16" t="inlineStr">
        <is>
          <t>上海区域</t>
        </is>
      </c>
      <c r="C1064" s="16" t="inlineStr">
        <is>
          <t>CN0Q</t>
        </is>
      </c>
      <c r="D1064" s="16" t="inlineStr">
        <is>
          <t>EE 苏州比斯特购物村</t>
        </is>
      </c>
      <c r="E1064" s="16" t="n">
        <v>4</v>
      </c>
      <c r="F1064" s="16" t="inlineStr">
        <is>
          <t>奥特莱斯</t>
        </is>
      </c>
      <c r="G1064" s="16" t="inlineStr">
        <is>
          <t>EERSF23N51</t>
        </is>
      </c>
      <c r="H1064" s="16" t="n">
        <v>399</v>
      </c>
      <c r="I1064" s="16" t="n">
        <v>399</v>
      </c>
      <c r="J1064" s="17" t="inlineStr">
        <is>
          <t>########</t>
        </is>
      </c>
      <c r="K1064" s="16" t="inlineStr">
        <is>
          <t>(19)BLACK</t>
        </is>
      </c>
      <c r="L1064" s="16" t="inlineStr">
        <is>
          <t>营业中</t>
        </is>
      </c>
      <c r="M1064" s="16" t="inlineStr">
        <is>
          <t>EERSF23N5119170</t>
        </is>
      </c>
      <c r="N1064" s="16">
        <f>LEFT(M1064,12)</f>
        <v/>
      </c>
      <c r="O1064" s="16" t="inlineStr">
        <is>
          <t>EERSF23N51, (19)BLACK, (170)170</t>
        </is>
      </c>
      <c r="P1064" s="16" t="n">
        <v>399</v>
      </c>
      <c r="Q1064" s="16" t="n">
        <v>399</v>
      </c>
      <c r="R1064" s="16" t="n"/>
      <c r="S1064" s="16" t="n"/>
      <c r="T1064" s="16" t="n">
        <v>1</v>
      </c>
    </row>
    <row r="1065" s="103">
      <c r="A1065" s="16" t="inlineStr">
        <is>
          <t>B331</t>
        </is>
      </c>
      <c r="B1065" s="16" t="inlineStr">
        <is>
          <t>上海区域</t>
        </is>
      </c>
      <c r="C1065" s="16" t="inlineStr">
        <is>
          <t>CN0Q</t>
        </is>
      </c>
      <c r="D1065" s="16" t="inlineStr">
        <is>
          <t>EE 苏州比斯特购物村</t>
        </is>
      </c>
      <c r="E1065" s="16" t="n">
        <v>4</v>
      </c>
      <c r="F1065" s="16" t="inlineStr">
        <is>
          <t>奥特莱斯</t>
        </is>
      </c>
      <c r="G1065" s="16" t="inlineStr">
        <is>
          <t>EERSF23N51</t>
        </is>
      </c>
      <c r="H1065" s="16" t="n">
        <v>399</v>
      </c>
      <c r="I1065" s="16" t="n">
        <v>399</v>
      </c>
      <c r="J1065" s="17" t="inlineStr">
        <is>
          <t>########</t>
        </is>
      </c>
      <c r="K1065" s="16" t="inlineStr">
        <is>
          <t>(30)Yellow</t>
        </is>
      </c>
      <c r="L1065" s="16" t="inlineStr">
        <is>
          <t>营业中</t>
        </is>
      </c>
      <c r="M1065" s="16" t="inlineStr">
        <is>
          <t>EERSF23N5130160</t>
        </is>
      </c>
      <c r="N1065" s="16">
        <f>LEFT(M1065,12)</f>
        <v/>
      </c>
      <c r="O1065" s="16" t="inlineStr">
        <is>
          <t>EERSF23N51, (30)Yellow, (160)160</t>
        </is>
      </c>
      <c r="P1065" s="16" t="n">
        <v>399</v>
      </c>
      <c r="Q1065" s="16" t="n">
        <v>399</v>
      </c>
      <c r="R1065" s="16" t="n"/>
      <c r="S1065" s="16" t="n"/>
      <c r="T1065" s="16" t="n">
        <v>1</v>
      </c>
    </row>
    <row r="1066" s="103">
      <c r="A1066" s="16" t="inlineStr">
        <is>
          <t>B331</t>
        </is>
      </c>
      <c r="B1066" s="16" t="inlineStr">
        <is>
          <t>上海区域</t>
        </is>
      </c>
      <c r="C1066" s="16" t="inlineStr">
        <is>
          <t>CN0Q</t>
        </is>
      </c>
      <c r="D1066" s="16" t="inlineStr">
        <is>
          <t>EE 苏州比斯特购物村</t>
        </is>
      </c>
      <c r="E1066" s="16" t="n">
        <v>4</v>
      </c>
      <c r="F1066" s="16" t="inlineStr">
        <is>
          <t>奥特莱斯</t>
        </is>
      </c>
      <c r="G1066" s="16" t="inlineStr">
        <is>
          <t>EERSF23N51</t>
        </is>
      </c>
      <c r="H1066" s="16" t="n">
        <v>399</v>
      </c>
      <c r="I1066" s="16" t="n">
        <v>399</v>
      </c>
      <c r="J1066" s="17" t="inlineStr">
        <is>
          <t>########</t>
        </is>
      </c>
      <c r="K1066" s="16" t="inlineStr">
        <is>
          <t>(30)Yellow</t>
        </is>
      </c>
      <c r="L1066" s="16" t="inlineStr">
        <is>
          <t>营业中</t>
        </is>
      </c>
      <c r="M1066" s="16" t="inlineStr">
        <is>
          <t>EERSF23N5130165</t>
        </is>
      </c>
      <c r="N1066" s="16">
        <f>LEFT(M1066,12)</f>
        <v/>
      </c>
      <c r="O1066" s="16" t="inlineStr">
        <is>
          <t>EERSF23N51, (30)Yellow, (165)165</t>
        </is>
      </c>
      <c r="P1066" s="16" t="n">
        <v>399</v>
      </c>
      <c r="Q1066" s="16" t="n">
        <v>399</v>
      </c>
      <c r="R1066" s="16" t="n"/>
      <c r="S1066" s="16" t="n"/>
      <c r="T1066" s="16" t="n">
        <v>3</v>
      </c>
    </row>
    <row r="1067" s="103">
      <c r="A1067" s="16" t="inlineStr">
        <is>
          <t>B331</t>
        </is>
      </c>
      <c r="B1067" s="16" t="inlineStr">
        <is>
          <t>上海区域</t>
        </is>
      </c>
      <c r="C1067" s="16" t="inlineStr">
        <is>
          <t>CN0Q</t>
        </is>
      </c>
      <c r="D1067" s="16" t="inlineStr">
        <is>
          <t>EE 苏州比斯特购物村</t>
        </is>
      </c>
      <c r="E1067" s="16" t="n">
        <v>4</v>
      </c>
      <c r="F1067" s="16" t="inlineStr">
        <is>
          <t>奥特莱斯</t>
        </is>
      </c>
      <c r="G1067" s="16" t="inlineStr">
        <is>
          <t>EERSF23N51</t>
        </is>
      </c>
      <c r="H1067" s="16" t="n">
        <v>399</v>
      </c>
      <c r="I1067" s="16" t="n">
        <v>399</v>
      </c>
      <c r="J1067" s="17" t="inlineStr">
        <is>
          <t>########</t>
        </is>
      </c>
      <c r="K1067" s="16" t="inlineStr">
        <is>
          <t>(30)Yellow</t>
        </is>
      </c>
      <c r="L1067" s="16" t="inlineStr">
        <is>
          <t>营业中</t>
        </is>
      </c>
      <c r="M1067" s="16" t="inlineStr">
        <is>
          <t>EERSF23N5130170</t>
        </is>
      </c>
      <c r="N1067" s="16">
        <f>LEFT(M1067,12)</f>
        <v/>
      </c>
      <c r="O1067" s="16" t="inlineStr">
        <is>
          <t>EERSF23N51, (30)Yellow, (170)170</t>
        </is>
      </c>
      <c r="P1067" s="16" t="n">
        <v>399</v>
      </c>
      <c r="Q1067" s="16" t="n">
        <v>399</v>
      </c>
      <c r="R1067" s="16" t="n"/>
      <c r="S1067" s="16" t="n"/>
      <c r="T1067" s="16" t="n">
        <v>2</v>
      </c>
    </row>
    <row r="1068" s="103">
      <c r="A1068" s="16" t="inlineStr">
        <is>
          <t>B331</t>
        </is>
      </c>
      <c r="B1068" s="16" t="inlineStr">
        <is>
          <t>上海区域</t>
        </is>
      </c>
      <c r="C1068" s="16" t="inlineStr">
        <is>
          <t>CN0Q</t>
        </is>
      </c>
      <c r="D1068" s="16" t="inlineStr">
        <is>
          <t>EE 苏州比斯特购物村</t>
        </is>
      </c>
      <c r="E1068" s="16" t="n">
        <v>4</v>
      </c>
      <c r="F1068" s="16" t="inlineStr">
        <is>
          <t>奥特莱斯</t>
        </is>
      </c>
      <c r="G1068" s="16" t="inlineStr">
        <is>
          <t>EERSF23N51</t>
        </is>
      </c>
      <c r="H1068" s="16" t="n">
        <v>399</v>
      </c>
      <c r="I1068" s="16" t="n">
        <v>399</v>
      </c>
      <c r="J1068" s="17" t="inlineStr">
        <is>
          <t>########</t>
        </is>
      </c>
      <c r="K1068" s="16" t="inlineStr">
        <is>
          <t>(50)Blue</t>
        </is>
      </c>
      <c r="L1068" s="16" t="inlineStr">
        <is>
          <t>营业中</t>
        </is>
      </c>
      <c r="M1068" s="16" t="inlineStr">
        <is>
          <t>EERSF23N5150160</t>
        </is>
      </c>
      <c r="N1068" s="16">
        <f>LEFT(M1068,12)</f>
        <v/>
      </c>
      <c r="O1068" s="16" t="inlineStr">
        <is>
          <t>EERSF23N51, (50)Blue, (160)160</t>
        </is>
      </c>
      <c r="P1068" s="16" t="n">
        <v>399</v>
      </c>
      <c r="Q1068" s="16" t="n">
        <v>399</v>
      </c>
      <c r="R1068" s="16" t="n"/>
      <c r="S1068" s="16" t="n"/>
      <c r="T1068" s="16" t="n">
        <v>4</v>
      </c>
    </row>
    <row r="1069" s="103">
      <c r="A1069" s="16" t="inlineStr">
        <is>
          <t>B331</t>
        </is>
      </c>
      <c r="B1069" s="16" t="inlineStr">
        <is>
          <t>上海区域</t>
        </is>
      </c>
      <c r="C1069" s="16" t="inlineStr">
        <is>
          <t>CN0Q</t>
        </is>
      </c>
      <c r="D1069" s="16" t="inlineStr">
        <is>
          <t>EE 苏州比斯特购物村</t>
        </is>
      </c>
      <c r="E1069" s="16" t="n">
        <v>4</v>
      </c>
      <c r="F1069" s="16" t="inlineStr">
        <is>
          <t>奥特莱斯</t>
        </is>
      </c>
      <c r="G1069" s="16" t="inlineStr">
        <is>
          <t>EERSF23N51</t>
        </is>
      </c>
      <c r="H1069" s="16" t="n">
        <v>399</v>
      </c>
      <c r="I1069" s="16" t="n">
        <v>399</v>
      </c>
      <c r="J1069" s="17" t="inlineStr">
        <is>
          <t>########</t>
        </is>
      </c>
      <c r="K1069" s="16" t="inlineStr">
        <is>
          <t>(50)Blue</t>
        </is>
      </c>
      <c r="L1069" s="16" t="inlineStr">
        <is>
          <t>营业中</t>
        </is>
      </c>
      <c r="M1069" s="16" t="inlineStr">
        <is>
          <t>EERSF23N5150165</t>
        </is>
      </c>
      <c r="N1069" s="16">
        <f>LEFT(M1069,12)</f>
        <v/>
      </c>
      <c r="O1069" s="16" t="inlineStr">
        <is>
          <t>EERSF23N51, (50)Blue, (165)165</t>
        </is>
      </c>
      <c r="P1069" s="16" t="n">
        <v>399</v>
      </c>
      <c r="Q1069" s="16" t="n">
        <v>399</v>
      </c>
      <c r="R1069" s="16" t="n">
        <v>1</v>
      </c>
      <c r="S1069" s="16" t="n"/>
      <c r="T1069" s="16" t="n">
        <v>2</v>
      </c>
    </row>
    <row r="1070" s="103">
      <c r="A1070" s="16" t="inlineStr">
        <is>
          <t>B331</t>
        </is>
      </c>
      <c r="B1070" s="16" t="inlineStr">
        <is>
          <t>上海区域</t>
        </is>
      </c>
      <c r="C1070" s="16" t="inlineStr">
        <is>
          <t>CN0Q</t>
        </is>
      </c>
      <c r="D1070" s="16" t="inlineStr">
        <is>
          <t>EE 苏州比斯特购物村</t>
        </is>
      </c>
      <c r="E1070" s="16" t="n">
        <v>4</v>
      </c>
      <c r="F1070" s="16" t="inlineStr">
        <is>
          <t>奥特莱斯</t>
        </is>
      </c>
      <c r="G1070" s="16" t="inlineStr">
        <is>
          <t>EERSF23N51</t>
        </is>
      </c>
      <c r="H1070" s="16" t="n">
        <v>399</v>
      </c>
      <c r="I1070" s="16" t="n">
        <v>399</v>
      </c>
      <c r="J1070" s="17" t="inlineStr">
        <is>
          <t>########</t>
        </is>
      </c>
      <c r="K1070" s="16" t="inlineStr">
        <is>
          <t>(50)Blue</t>
        </is>
      </c>
      <c r="L1070" s="16" t="inlineStr">
        <is>
          <t>营业中</t>
        </is>
      </c>
      <c r="M1070" s="16" t="inlineStr">
        <is>
          <t>EERSF23N5150170</t>
        </is>
      </c>
      <c r="N1070" s="16">
        <f>LEFT(M1070,12)</f>
        <v/>
      </c>
      <c r="O1070" s="16" t="inlineStr">
        <is>
          <t>EERSF23N51, (50)Blue, (170)170</t>
        </is>
      </c>
      <c r="P1070" s="16" t="n">
        <v>399</v>
      </c>
      <c r="Q1070" s="16" t="n">
        <v>399</v>
      </c>
      <c r="R1070" s="16" t="n"/>
      <c r="S1070" s="16" t="n"/>
      <c r="T1070" s="16" t="n">
        <v>2</v>
      </c>
    </row>
    <row r="1071" s="103">
      <c r="A1071" s="16" t="inlineStr">
        <is>
          <t>B331</t>
        </is>
      </c>
      <c r="B1071" s="16" t="inlineStr">
        <is>
          <t>上海区域</t>
        </is>
      </c>
      <c r="C1071" s="16" t="inlineStr">
        <is>
          <t>CN0Q</t>
        </is>
      </c>
      <c r="D1071" s="16" t="inlineStr">
        <is>
          <t>EE 苏州比斯特购物村</t>
        </is>
      </c>
      <c r="E1071" s="16" t="n">
        <v>4</v>
      </c>
      <c r="F1071" s="16" t="inlineStr">
        <is>
          <t>奥特莱斯</t>
        </is>
      </c>
      <c r="G1071" s="16" t="inlineStr">
        <is>
          <t>EERSF23N51</t>
        </is>
      </c>
      <c r="H1071" s="16" t="n">
        <v>399</v>
      </c>
      <c r="I1071" s="16" t="n">
        <v>399</v>
      </c>
      <c r="J1071" s="17" t="inlineStr">
        <is>
          <t>########</t>
        </is>
      </c>
      <c r="K1071" s="16" t="inlineStr">
        <is>
          <t>(50)Blue</t>
        </is>
      </c>
      <c r="L1071" s="16" t="inlineStr">
        <is>
          <t>营业中</t>
        </is>
      </c>
      <c r="M1071" s="16" t="inlineStr">
        <is>
          <t>EERSF23N5150175</t>
        </is>
      </c>
      <c r="N1071" s="16">
        <f>LEFT(M1071,12)</f>
        <v/>
      </c>
      <c r="O1071" s="16" t="inlineStr">
        <is>
          <t>EERSF23N51, (50)Blue, (175)175</t>
        </is>
      </c>
      <c r="P1071" s="16" t="n">
        <v>399</v>
      </c>
      <c r="Q1071" s="16" t="n">
        <v>399</v>
      </c>
      <c r="R1071" s="16" t="n"/>
      <c r="S1071" s="16" t="n"/>
      <c r="T1071" s="16" t="n">
        <v>1</v>
      </c>
    </row>
    <row r="1072" s="103">
      <c r="A1072" s="16" t="inlineStr">
        <is>
          <t>B331</t>
        </is>
      </c>
      <c r="B1072" s="16" t="inlineStr">
        <is>
          <t>上海区域</t>
        </is>
      </c>
      <c r="C1072" s="16" t="inlineStr">
        <is>
          <t>CN0Q</t>
        </is>
      </c>
      <c r="D1072" s="16" t="inlineStr">
        <is>
          <t>EE 苏州比斯特购物村</t>
        </is>
      </c>
      <c r="E1072" s="16" t="n">
        <v>4</v>
      </c>
      <c r="F1072" s="16" t="inlineStr">
        <is>
          <t>奥特莱斯</t>
        </is>
      </c>
      <c r="G1072" s="16" t="inlineStr">
        <is>
          <t>EERSG23E01</t>
        </is>
      </c>
      <c r="H1072" s="16" t="n">
        <v>399</v>
      </c>
      <c r="I1072" s="16" t="n">
        <v>399</v>
      </c>
      <c r="J1072" s="17" t="inlineStr">
        <is>
          <t>########</t>
        </is>
      </c>
      <c r="K1072" s="16" t="inlineStr">
        <is>
          <t>(40)Green</t>
        </is>
      </c>
      <c r="L1072" s="16" t="inlineStr">
        <is>
          <t>营业中</t>
        </is>
      </c>
      <c r="M1072" s="16" t="inlineStr">
        <is>
          <t>EERSG23E0140160</t>
        </is>
      </c>
      <c r="N1072" s="16">
        <f>LEFT(M1072,12)</f>
        <v/>
      </c>
      <c r="O1072" s="16" t="inlineStr">
        <is>
          <t>EERSG23E01, (40)Green, (160)160</t>
        </is>
      </c>
      <c r="P1072" s="16" t="n">
        <v>399</v>
      </c>
      <c r="Q1072" s="16" t="n">
        <v>399</v>
      </c>
      <c r="R1072" s="16" t="n">
        <v>1</v>
      </c>
      <c r="S1072" s="16" t="n">
        <v>257</v>
      </c>
      <c r="T1072" s="16" t="n">
        <v>1</v>
      </c>
    </row>
    <row r="1073" s="103">
      <c r="A1073" s="16" t="inlineStr">
        <is>
          <t>B331</t>
        </is>
      </c>
      <c r="B1073" s="16" t="inlineStr">
        <is>
          <t>上海区域</t>
        </is>
      </c>
      <c r="C1073" s="16" t="inlineStr">
        <is>
          <t>CN0Q</t>
        </is>
      </c>
      <c r="D1073" s="16" t="inlineStr">
        <is>
          <t>EE 苏州比斯特购物村</t>
        </is>
      </c>
      <c r="E1073" s="16" t="n">
        <v>4</v>
      </c>
      <c r="F1073" s="16" t="inlineStr">
        <is>
          <t>奥特莱斯</t>
        </is>
      </c>
      <c r="G1073" s="16" t="inlineStr">
        <is>
          <t>EERSG23E01</t>
        </is>
      </c>
      <c r="H1073" s="16" t="n">
        <v>399</v>
      </c>
      <c r="I1073" s="16" t="n">
        <v>399</v>
      </c>
      <c r="J1073" s="17" t="inlineStr">
        <is>
          <t>########</t>
        </is>
      </c>
      <c r="K1073" s="16" t="inlineStr">
        <is>
          <t>(40)Green</t>
        </is>
      </c>
      <c r="L1073" s="16" t="inlineStr">
        <is>
          <t>营业中</t>
        </is>
      </c>
      <c r="M1073" s="16" t="inlineStr">
        <is>
          <t>EERSG23E0140165</t>
        </is>
      </c>
      <c r="N1073" s="16">
        <f>LEFT(M1073,12)</f>
        <v/>
      </c>
      <c r="O1073" s="16" t="inlineStr">
        <is>
          <t>EERSG23E01, (40)Green, (165)165</t>
        </is>
      </c>
      <c r="P1073" s="16" t="n">
        <v>399</v>
      </c>
      <c r="Q1073" s="16" t="n">
        <v>399</v>
      </c>
      <c r="R1073" s="16" t="n">
        <v>3</v>
      </c>
      <c r="S1073" s="16" t="n">
        <v>559</v>
      </c>
      <c r="T1073" s="16" t="n">
        <v>1</v>
      </c>
    </row>
    <row r="1074" s="103">
      <c r="A1074" s="16" t="inlineStr">
        <is>
          <t>B331</t>
        </is>
      </c>
      <c r="B1074" s="16" t="inlineStr">
        <is>
          <t>上海区域</t>
        </is>
      </c>
      <c r="C1074" s="16" t="inlineStr">
        <is>
          <t>CN0Q</t>
        </is>
      </c>
      <c r="D1074" s="16" t="inlineStr">
        <is>
          <t>EE 苏州比斯特购物村</t>
        </is>
      </c>
      <c r="E1074" s="16" t="n">
        <v>4</v>
      </c>
      <c r="F1074" s="16" t="inlineStr">
        <is>
          <t>奥特莱斯</t>
        </is>
      </c>
      <c r="G1074" s="16" t="inlineStr">
        <is>
          <t>EERSG23E01</t>
        </is>
      </c>
      <c r="H1074" s="16" t="n">
        <v>399</v>
      </c>
      <c r="I1074" s="16" t="n">
        <v>399</v>
      </c>
      <c r="J1074" s="17" t="inlineStr">
        <is>
          <t>########</t>
        </is>
      </c>
      <c r="K1074" s="16" t="inlineStr">
        <is>
          <t>(40)Green</t>
        </is>
      </c>
      <c r="L1074" s="16" t="inlineStr">
        <is>
          <t>营业中</t>
        </is>
      </c>
      <c r="M1074" s="16" t="inlineStr">
        <is>
          <t>EERSG23E0140170</t>
        </is>
      </c>
      <c r="N1074" s="16">
        <f>LEFT(M1074,12)</f>
        <v/>
      </c>
      <c r="O1074" s="16" t="inlineStr">
        <is>
          <t>EERSG23E01, (40)Green, (170)170</t>
        </is>
      </c>
      <c r="P1074" s="16" t="n">
        <v>399</v>
      </c>
      <c r="Q1074" s="16" t="n">
        <v>399</v>
      </c>
      <c r="R1074" s="16" t="n">
        <v>3</v>
      </c>
      <c r="S1074" s="16" t="n">
        <v>541</v>
      </c>
      <c r="T1074" s="16" t="n">
        <v>3</v>
      </c>
    </row>
    <row r="1075" s="103">
      <c r="A1075" s="16" t="inlineStr">
        <is>
          <t>B331</t>
        </is>
      </c>
      <c r="B1075" s="16" t="inlineStr">
        <is>
          <t>上海区域</t>
        </is>
      </c>
      <c r="C1075" s="16" t="inlineStr">
        <is>
          <t>CN0Q</t>
        </is>
      </c>
      <c r="D1075" s="16" t="inlineStr">
        <is>
          <t>EE 苏州比斯特购物村</t>
        </is>
      </c>
      <c r="E1075" s="16" t="n">
        <v>4</v>
      </c>
      <c r="F1075" s="16" t="inlineStr">
        <is>
          <t>奥特莱斯</t>
        </is>
      </c>
      <c r="G1075" s="16" t="inlineStr">
        <is>
          <t>EERSG23E01</t>
        </is>
      </c>
      <c r="H1075" s="16" t="n">
        <v>399</v>
      </c>
      <c r="I1075" s="16" t="n">
        <v>399</v>
      </c>
      <c r="J1075" s="17" t="inlineStr">
        <is>
          <t>########</t>
        </is>
      </c>
      <c r="K1075" s="16" t="inlineStr">
        <is>
          <t>(40)Green</t>
        </is>
      </c>
      <c r="L1075" s="16" t="inlineStr">
        <is>
          <t>营业中</t>
        </is>
      </c>
      <c r="M1075" s="16" t="inlineStr">
        <is>
          <t>EERSG23E0140175</t>
        </is>
      </c>
      <c r="N1075" s="16">
        <f>LEFT(M1075,12)</f>
        <v/>
      </c>
      <c r="O1075" s="16" t="inlineStr">
        <is>
          <t>EERSG23E01, (40)Green, (175)175</t>
        </is>
      </c>
      <c r="P1075" s="16" t="n">
        <v>399</v>
      </c>
      <c r="Q1075" s="16" t="n">
        <v>399</v>
      </c>
      <c r="R1075" s="16" t="n"/>
      <c r="S1075" s="16" t="n"/>
      <c r="T1075" s="16" t="n">
        <v>1</v>
      </c>
    </row>
    <row r="1076" s="103">
      <c r="A1076" s="16" t="inlineStr">
        <is>
          <t>B331</t>
        </is>
      </c>
      <c r="B1076" s="16" t="inlineStr">
        <is>
          <t>上海区域</t>
        </is>
      </c>
      <c r="C1076" s="16" t="inlineStr">
        <is>
          <t>CN0Q</t>
        </is>
      </c>
      <c r="D1076" s="16" t="inlineStr">
        <is>
          <t>EE 苏州比斯特购物村</t>
        </is>
      </c>
      <c r="E1076" s="16" t="n">
        <v>4</v>
      </c>
      <c r="F1076" s="16" t="inlineStr">
        <is>
          <t>奥特莱斯</t>
        </is>
      </c>
      <c r="G1076" s="16" t="inlineStr">
        <is>
          <t>EERSG23E01</t>
        </is>
      </c>
      <c r="H1076" s="16" t="n">
        <v>399</v>
      </c>
      <c r="I1076" s="16" t="n">
        <v>399</v>
      </c>
      <c r="J1076" s="17" t="inlineStr">
        <is>
          <t>########</t>
        </is>
      </c>
      <c r="K1076" s="16" t="inlineStr">
        <is>
          <t>(51)L/Blue</t>
        </is>
      </c>
      <c r="L1076" s="16" t="inlineStr">
        <is>
          <t>营业中</t>
        </is>
      </c>
      <c r="M1076" s="16" t="inlineStr">
        <is>
          <t>EERSG23E0151160</t>
        </is>
      </c>
      <c r="N1076" s="16">
        <f>LEFT(M1076,12)</f>
        <v/>
      </c>
      <c r="O1076" s="16" t="inlineStr">
        <is>
          <t>EERSG23E01, (51)L/Blue, (160)160</t>
        </is>
      </c>
      <c r="P1076" s="16" t="n">
        <v>399</v>
      </c>
      <c r="Q1076" s="16" t="n">
        <v>399</v>
      </c>
      <c r="R1076" s="16" t="n"/>
      <c r="S1076" s="16" t="n"/>
      <c r="T1076" s="16" t="n">
        <v>2</v>
      </c>
    </row>
    <row r="1077" s="103">
      <c r="A1077" s="16" t="inlineStr">
        <is>
          <t>B331</t>
        </is>
      </c>
      <c r="B1077" s="16" t="inlineStr">
        <is>
          <t>上海区域</t>
        </is>
      </c>
      <c r="C1077" s="16" t="inlineStr">
        <is>
          <t>CN0Q</t>
        </is>
      </c>
      <c r="D1077" s="16" t="inlineStr">
        <is>
          <t>EE 苏州比斯特购物村</t>
        </is>
      </c>
      <c r="E1077" s="16" t="n">
        <v>4</v>
      </c>
      <c r="F1077" s="16" t="inlineStr">
        <is>
          <t>奥特莱斯</t>
        </is>
      </c>
      <c r="G1077" s="16" t="inlineStr">
        <is>
          <t>EERSG23E01</t>
        </is>
      </c>
      <c r="H1077" s="16" t="n">
        <v>399</v>
      </c>
      <c r="I1077" s="16" t="n">
        <v>399</v>
      </c>
      <c r="J1077" s="17" t="inlineStr">
        <is>
          <t>########</t>
        </is>
      </c>
      <c r="K1077" s="16" t="inlineStr">
        <is>
          <t>(51)L/Blue</t>
        </is>
      </c>
      <c r="L1077" s="16" t="inlineStr">
        <is>
          <t>营业中</t>
        </is>
      </c>
      <c r="M1077" s="16" t="inlineStr">
        <is>
          <t>EERSG23E0151165</t>
        </is>
      </c>
      <c r="N1077" s="16">
        <f>LEFT(M1077,12)</f>
        <v/>
      </c>
      <c r="O1077" s="16" t="inlineStr">
        <is>
          <t>EERSG23E01, (51)L/Blue, (165)165</t>
        </is>
      </c>
      <c r="P1077" s="16" t="n">
        <v>399</v>
      </c>
      <c r="Q1077" s="16" t="n">
        <v>399</v>
      </c>
      <c r="R1077" s="16" t="n">
        <v>2</v>
      </c>
      <c r="S1077" s="16" t="n">
        <v>540</v>
      </c>
      <c r="T1077" s="16" t="n">
        <v>1</v>
      </c>
    </row>
    <row r="1078" s="103">
      <c r="A1078" s="16" t="inlineStr">
        <is>
          <t>B331</t>
        </is>
      </c>
      <c r="B1078" s="16" t="inlineStr">
        <is>
          <t>上海区域</t>
        </is>
      </c>
      <c r="C1078" s="16" t="inlineStr">
        <is>
          <t>CN0Q</t>
        </is>
      </c>
      <c r="D1078" s="16" t="inlineStr">
        <is>
          <t>EE 苏州比斯特购物村</t>
        </is>
      </c>
      <c r="E1078" s="16" t="n">
        <v>4</v>
      </c>
      <c r="F1078" s="16" t="inlineStr">
        <is>
          <t>奥特莱斯</t>
        </is>
      </c>
      <c r="G1078" s="16" t="inlineStr">
        <is>
          <t>EERSG23E01</t>
        </is>
      </c>
      <c r="H1078" s="16" t="n">
        <v>399</v>
      </c>
      <c r="I1078" s="16" t="n">
        <v>399</v>
      </c>
      <c r="J1078" s="17" t="inlineStr">
        <is>
          <t>########</t>
        </is>
      </c>
      <c r="K1078" s="16" t="inlineStr">
        <is>
          <t>(51)L/Blue</t>
        </is>
      </c>
      <c r="L1078" s="16" t="inlineStr">
        <is>
          <t>营业中</t>
        </is>
      </c>
      <c r="M1078" s="16" t="inlineStr">
        <is>
          <t>EERSG23E0151170</t>
        </is>
      </c>
      <c r="N1078" s="16">
        <f>LEFT(M1078,12)</f>
        <v/>
      </c>
      <c r="O1078" s="16" t="inlineStr">
        <is>
          <t>EERSG23E01, (51)L/Blue, (170)170</t>
        </is>
      </c>
      <c r="P1078" s="16" t="n">
        <v>399</v>
      </c>
      <c r="Q1078" s="16" t="n">
        <v>399</v>
      </c>
      <c r="R1078" s="16" t="n"/>
      <c r="S1078" s="16" t="n"/>
      <c r="T1078" s="16" t="n">
        <v>2</v>
      </c>
    </row>
    <row r="1079" s="103">
      <c r="A1079" s="16" t="inlineStr">
        <is>
          <t>B331</t>
        </is>
      </c>
      <c r="B1079" s="16" t="inlineStr">
        <is>
          <t>上海区域</t>
        </is>
      </c>
      <c r="C1079" s="16" t="inlineStr">
        <is>
          <t>CN0Q</t>
        </is>
      </c>
      <c r="D1079" s="16" t="inlineStr">
        <is>
          <t>EE 苏州比斯特购物村</t>
        </is>
      </c>
      <c r="E1079" s="16" t="n">
        <v>4</v>
      </c>
      <c r="F1079" s="16" t="inlineStr">
        <is>
          <t>奥特莱斯</t>
        </is>
      </c>
      <c r="G1079" s="16" t="inlineStr">
        <is>
          <t>EERSG23E01</t>
        </is>
      </c>
      <c r="H1079" s="16" t="n">
        <v>399</v>
      </c>
      <c r="I1079" s="16" t="n">
        <v>399</v>
      </c>
      <c r="J1079" s="17" t="inlineStr">
        <is>
          <t>########</t>
        </is>
      </c>
      <c r="K1079" s="16" t="inlineStr">
        <is>
          <t>(51)L/Blue</t>
        </is>
      </c>
      <c r="L1079" s="16" t="inlineStr">
        <is>
          <t>营业中</t>
        </is>
      </c>
      <c r="M1079" s="16" t="inlineStr">
        <is>
          <t>EERSG23E0151175</t>
        </is>
      </c>
      <c r="N1079" s="16">
        <f>LEFT(M1079,12)</f>
        <v/>
      </c>
      <c r="O1079" s="16" t="inlineStr">
        <is>
          <t>EERSG23E01, (51)L/Blue, (175)175</t>
        </is>
      </c>
      <c r="P1079" s="16" t="n">
        <v>399</v>
      </c>
      <c r="Q1079" s="16" t="n">
        <v>399</v>
      </c>
      <c r="R1079" s="16" t="n"/>
      <c r="S1079" s="16" t="n"/>
      <c r="T1079" s="16" t="n">
        <v>2</v>
      </c>
    </row>
    <row r="1080" s="103">
      <c r="A1080" s="16" t="inlineStr">
        <is>
          <t>B331</t>
        </is>
      </c>
      <c r="B1080" s="16" t="inlineStr">
        <is>
          <t>上海区域</t>
        </is>
      </c>
      <c r="C1080" s="16" t="inlineStr">
        <is>
          <t>CN0Q</t>
        </is>
      </c>
      <c r="D1080" s="16" t="inlineStr">
        <is>
          <t>EE 苏州比斯特购物村</t>
        </is>
      </c>
      <c r="E1080" s="16" t="n">
        <v>4</v>
      </c>
      <c r="F1080" s="16" t="inlineStr">
        <is>
          <t>奥特莱斯</t>
        </is>
      </c>
      <c r="G1080" s="16" t="inlineStr">
        <is>
          <t>EERSG23E01</t>
        </is>
      </c>
      <c r="H1080" s="16" t="n">
        <v>399</v>
      </c>
      <c r="I1080" s="16" t="n">
        <v>399</v>
      </c>
      <c r="J1080" s="17" t="inlineStr">
        <is>
          <t>########</t>
        </is>
      </c>
      <c r="K1080" s="16" t="inlineStr">
        <is>
          <t>(59)Navy</t>
        </is>
      </c>
      <c r="L1080" s="16" t="inlineStr">
        <is>
          <t>营业中</t>
        </is>
      </c>
      <c r="M1080" s="16" t="inlineStr">
        <is>
          <t>EERSG23E0159160</t>
        </is>
      </c>
      <c r="N1080" s="16">
        <f>LEFT(M1080,12)</f>
        <v/>
      </c>
      <c r="O1080" s="16" t="inlineStr">
        <is>
          <t>EERSG23E01, (59)Navy, (160)160</t>
        </is>
      </c>
      <c r="P1080" s="16" t="n">
        <v>399</v>
      </c>
      <c r="Q1080" s="16" t="n">
        <v>399</v>
      </c>
      <c r="R1080" s="16" t="n"/>
      <c r="S1080" s="16" t="n"/>
      <c r="T1080" s="16" t="n">
        <v>2</v>
      </c>
    </row>
    <row r="1081" s="103">
      <c r="A1081" s="16" t="inlineStr">
        <is>
          <t>B331</t>
        </is>
      </c>
      <c r="B1081" s="16" t="inlineStr">
        <is>
          <t>上海区域</t>
        </is>
      </c>
      <c r="C1081" s="16" t="inlineStr">
        <is>
          <t>CN0Q</t>
        </is>
      </c>
      <c r="D1081" s="16" t="inlineStr">
        <is>
          <t>EE 苏州比斯特购物村</t>
        </is>
      </c>
      <c r="E1081" s="16" t="n">
        <v>4</v>
      </c>
      <c r="F1081" s="16" t="inlineStr">
        <is>
          <t>奥特莱斯</t>
        </is>
      </c>
      <c r="G1081" s="16" t="inlineStr">
        <is>
          <t>EERSG23E01</t>
        </is>
      </c>
      <c r="H1081" s="16" t="n">
        <v>399</v>
      </c>
      <c r="I1081" s="16" t="n">
        <v>399</v>
      </c>
      <c r="J1081" s="17" t="inlineStr">
        <is>
          <t>########</t>
        </is>
      </c>
      <c r="K1081" s="16" t="inlineStr">
        <is>
          <t>(59)Navy</t>
        </is>
      </c>
      <c r="L1081" s="16" t="inlineStr">
        <is>
          <t>营业中</t>
        </is>
      </c>
      <c r="M1081" s="16" t="inlineStr">
        <is>
          <t>EERSG23E0159165</t>
        </is>
      </c>
      <c r="N1081" s="16">
        <f>LEFT(M1081,12)</f>
        <v/>
      </c>
      <c r="O1081" s="16" t="inlineStr">
        <is>
          <t>EERSG23E01, (59)Navy, (165)165</t>
        </is>
      </c>
      <c r="P1081" s="16" t="n">
        <v>399</v>
      </c>
      <c r="Q1081" s="16" t="n">
        <v>399</v>
      </c>
      <c r="R1081" s="16" t="n"/>
      <c r="S1081" s="16" t="n"/>
      <c r="T1081" s="16" t="n">
        <v>4</v>
      </c>
    </row>
    <row r="1082" s="103">
      <c r="A1082" s="16" t="inlineStr">
        <is>
          <t>B331</t>
        </is>
      </c>
      <c r="B1082" s="16" t="inlineStr">
        <is>
          <t>上海区域</t>
        </is>
      </c>
      <c r="C1082" s="16" t="inlineStr">
        <is>
          <t>CN0Q</t>
        </is>
      </c>
      <c r="D1082" s="16" t="inlineStr">
        <is>
          <t>EE 苏州比斯特购物村</t>
        </is>
      </c>
      <c r="E1082" s="16" t="n">
        <v>4</v>
      </c>
      <c r="F1082" s="16" t="inlineStr">
        <is>
          <t>奥特莱斯</t>
        </is>
      </c>
      <c r="G1082" s="16" t="inlineStr">
        <is>
          <t>EERSG23E01</t>
        </is>
      </c>
      <c r="H1082" s="16" t="n">
        <v>399</v>
      </c>
      <c r="I1082" s="16" t="n">
        <v>399</v>
      </c>
      <c r="J1082" s="17" t="inlineStr">
        <is>
          <t>########</t>
        </is>
      </c>
      <c r="K1082" s="16" t="inlineStr">
        <is>
          <t>(59)Navy</t>
        </is>
      </c>
      <c r="L1082" s="16" t="inlineStr">
        <is>
          <t>营业中</t>
        </is>
      </c>
      <c r="M1082" s="16" t="inlineStr">
        <is>
          <t>EERSG23E0159170</t>
        </is>
      </c>
      <c r="N1082" s="16">
        <f>LEFT(M1082,12)</f>
        <v/>
      </c>
      <c r="O1082" s="16" t="inlineStr">
        <is>
          <t>EERSG23E01, (59)Navy, (170)170</t>
        </is>
      </c>
      <c r="P1082" s="16" t="n">
        <v>399</v>
      </c>
      <c r="Q1082" s="16" t="n">
        <v>399</v>
      </c>
      <c r="R1082" s="16" t="n">
        <v>1</v>
      </c>
      <c r="S1082" s="16" t="n">
        <v>120</v>
      </c>
      <c r="T1082" s="16" t="n">
        <v>2</v>
      </c>
    </row>
    <row r="1083" s="103">
      <c r="A1083" s="16" t="inlineStr">
        <is>
          <t>B331</t>
        </is>
      </c>
      <c r="B1083" s="16" t="inlineStr">
        <is>
          <t>上海区域</t>
        </is>
      </c>
      <c r="C1083" s="16" t="inlineStr">
        <is>
          <t>CN0Q</t>
        </is>
      </c>
      <c r="D1083" s="16" t="inlineStr">
        <is>
          <t>EE 苏州比斯特购物村</t>
        </is>
      </c>
      <c r="E1083" s="16" t="n">
        <v>4</v>
      </c>
      <c r="F1083" s="16" t="inlineStr">
        <is>
          <t>奥特莱斯</t>
        </is>
      </c>
      <c r="G1083" s="16" t="inlineStr">
        <is>
          <t>EERSG23E01</t>
        </is>
      </c>
      <c r="H1083" s="16" t="n">
        <v>399</v>
      </c>
      <c r="I1083" s="16" t="n">
        <v>399</v>
      </c>
      <c r="J1083" s="17" t="inlineStr">
        <is>
          <t>########</t>
        </is>
      </c>
      <c r="K1083" s="16" t="inlineStr">
        <is>
          <t>(59)Navy</t>
        </is>
      </c>
      <c r="L1083" s="16" t="inlineStr">
        <is>
          <t>营业中</t>
        </is>
      </c>
      <c r="M1083" s="16" t="inlineStr">
        <is>
          <t>EERSG23E0159175</t>
        </is>
      </c>
      <c r="N1083" s="16">
        <f>LEFT(M1083,12)</f>
        <v/>
      </c>
      <c r="O1083" s="16" t="inlineStr">
        <is>
          <t>EERSG23E01, (59)Navy, (175)175</t>
        </is>
      </c>
      <c r="P1083" s="16" t="n">
        <v>399</v>
      </c>
      <c r="Q1083" s="16" t="n">
        <v>399</v>
      </c>
      <c r="R1083" s="16" t="n"/>
      <c r="S1083" s="16" t="n"/>
      <c r="T1083" s="16" t="n">
        <v>2</v>
      </c>
    </row>
    <row r="1084" s="103">
      <c r="A1084" s="16" t="inlineStr">
        <is>
          <t>B331</t>
        </is>
      </c>
      <c r="B1084" s="16" t="inlineStr">
        <is>
          <t>上海区域</t>
        </is>
      </c>
      <c r="C1084" s="16" t="inlineStr">
        <is>
          <t>CN0Q</t>
        </is>
      </c>
      <c r="D1084" s="16" t="inlineStr">
        <is>
          <t>EE 苏州比斯特购物村</t>
        </is>
      </c>
      <c r="E1084" s="16" t="n">
        <v>4</v>
      </c>
      <c r="F1084" s="16" t="inlineStr">
        <is>
          <t>奥特莱斯</t>
        </is>
      </c>
      <c r="G1084" s="16" t="inlineStr">
        <is>
          <t>EERSG23E1G</t>
        </is>
      </c>
      <c r="H1084" s="16" t="n">
        <v>499</v>
      </c>
      <c r="I1084" s="16" t="n">
        <v>499</v>
      </c>
      <c r="J1084" s="17" t="n">
        <v>46024</v>
      </c>
      <c r="K1084" s="16" t="inlineStr">
        <is>
          <t>(50)Blue</t>
        </is>
      </c>
      <c r="L1084" s="16" t="inlineStr">
        <is>
          <t>营业中</t>
        </is>
      </c>
      <c r="M1084" s="16" t="inlineStr">
        <is>
          <t>EERSG23E1G50170</t>
        </is>
      </c>
      <c r="N1084" s="16">
        <f>LEFT(M1084,12)</f>
        <v/>
      </c>
      <c r="O1084" s="16" t="inlineStr">
        <is>
          <t>EERSG23E1G, (50)Blue, (170)170</t>
        </is>
      </c>
      <c r="P1084" s="16" t="n">
        <v>499</v>
      </c>
      <c r="Q1084" s="16" t="n">
        <v>499</v>
      </c>
      <c r="R1084" s="16" t="n"/>
      <c r="S1084" s="16" t="n"/>
      <c r="T1084" s="16" t="n">
        <v>2</v>
      </c>
    </row>
    <row r="1085" s="103">
      <c r="A1085" s="16" t="inlineStr">
        <is>
          <t>B331</t>
        </is>
      </c>
      <c r="B1085" s="16" t="inlineStr">
        <is>
          <t>上海区域</t>
        </is>
      </c>
      <c r="C1085" s="16" t="inlineStr">
        <is>
          <t>CN0Q</t>
        </is>
      </c>
      <c r="D1085" s="16" t="inlineStr">
        <is>
          <t>EE 苏州比斯特购物村</t>
        </is>
      </c>
      <c r="E1085" s="16" t="n">
        <v>4</v>
      </c>
      <c r="F1085" s="16" t="inlineStr">
        <is>
          <t>奥特莱斯</t>
        </is>
      </c>
      <c r="G1085" s="16" t="inlineStr">
        <is>
          <t>EERSG23E1G</t>
        </is>
      </c>
      <c r="H1085" s="16" t="n">
        <v>499</v>
      </c>
      <c r="I1085" s="16" t="n">
        <v>499</v>
      </c>
      <c r="J1085" s="17" t="n">
        <v>46024</v>
      </c>
      <c r="K1085" s="16" t="inlineStr">
        <is>
          <t>(50)Blue</t>
        </is>
      </c>
      <c r="L1085" s="16" t="inlineStr">
        <is>
          <t>营业中</t>
        </is>
      </c>
      <c r="M1085" s="16" t="inlineStr">
        <is>
          <t>EERSG23E1G50175</t>
        </is>
      </c>
      <c r="N1085" s="16">
        <f>LEFT(M1085,12)</f>
        <v/>
      </c>
      <c r="O1085" s="16" t="inlineStr">
        <is>
          <t>EERSG23E1G, (50)Blue, (175)175</t>
        </is>
      </c>
      <c r="P1085" s="16" t="n">
        <v>499</v>
      </c>
      <c r="Q1085" s="16" t="n">
        <v>499</v>
      </c>
      <c r="R1085" s="16" t="n">
        <v>2</v>
      </c>
      <c r="S1085" s="16" t="n">
        <v>150</v>
      </c>
      <c r="T1085" s="16" t="n">
        <v>2</v>
      </c>
    </row>
    <row r="1086" s="103">
      <c r="A1086" s="16" t="inlineStr">
        <is>
          <t>B331</t>
        </is>
      </c>
      <c r="B1086" s="16" t="inlineStr">
        <is>
          <t>上海区域</t>
        </is>
      </c>
      <c r="C1086" s="16" t="inlineStr">
        <is>
          <t>CN0Q</t>
        </is>
      </c>
      <c r="D1086" s="16" t="inlineStr">
        <is>
          <t>EE 苏州比斯特购物村</t>
        </is>
      </c>
      <c r="E1086" s="16" t="n">
        <v>4</v>
      </c>
      <c r="F1086" s="16" t="inlineStr">
        <is>
          <t>奥特莱斯</t>
        </is>
      </c>
      <c r="G1086" s="16" t="inlineStr">
        <is>
          <t>EERSG23E1G</t>
        </is>
      </c>
      <c r="H1086" s="16" t="n">
        <v>499</v>
      </c>
      <c r="I1086" s="16" t="n">
        <v>499</v>
      </c>
      <c r="J1086" s="17" t="n">
        <v>46024</v>
      </c>
      <c r="K1086" s="16" t="inlineStr">
        <is>
          <t>(50)Blue</t>
        </is>
      </c>
      <c r="L1086" s="16" t="inlineStr">
        <is>
          <t>营业中</t>
        </is>
      </c>
      <c r="M1086" s="16" t="inlineStr">
        <is>
          <t>EERSG23E1G50180</t>
        </is>
      </c>
      <c r="N1086" s="16">
        <f>LEFT(M1086,12)</f>
        <v/>
      </c>
      <c r="O1086" s="16" t="inlineStr">
        <is>
          <t>EERSG23E1G, (50)Blue, (180)180</t>
        </is>
      </c>
      <c r="P1086" s="16" t="n">
        <v>499</v>
      </c>
      <c r="Q1086" s="16" t="n">
        <v>499</v>
      </c>
      <c r="R1086" s="16" t="n"/>
      <c r="S1086" s="16" t="n"/>
      <c r="T1086" s="16" t="n">
        <v>2</v>
      </c>
    </row>
    <row r="1087" s="103">
      <c r="A1087" s="16" t="inlineStr">
        <is>
          <t>B331</t>
        </is>
      </c>
      <c r="B1087" s="16" t="inlineStr">
        <is>
          <t>上海区域</t>
        </is>
      </c>
      <c r="C1087" s="16" t="inlineStr">
        <is>
          <t>CN0Q</t>
        </is>
      </c>
      <c r="D1087" s="16" t="inlineStr">
        <is>
          <t>EE 苏州比斯特购物村</t>
        </is>
      </c>
      <c r="E1087" s="16" t="n">
        <v>4</v>
      </c>
      <c r="F1087" s="16" t="inlineStr">
        <is>
          <t>奥特莱斯</t>
        </is>
      </c>
      <c r="G1087" s="16" t="inlineStr">
        <is>
          <t>EERSG23E1G</t>
        </is>
      </c>
      <c r="H1087" s="16" t="n">
        <v>499</v>
      </c>
      <c r="I1087" s="16" t="n">
        <v>499</v>
      </c>
      <c r="J1087" s="17" t="n">
        <v>46024</v>
      </c>
      <c r="K1087" s="16" t="inlineStr">
        <is>
          <t>(50)Blue</t>
        </is>
      </c>
      <c r="L1087" s="16" t="inlineStr">
        <is>
          <t>营业中</t>
        </is>
      </c>
      <c r="M1087" s="16" t="inlineStr">
        <is>
          <t>EERSG23E1G50185</t>
        </is>
      </c>
      <c r="N1087" s="16">
        <f>LEFT(M1087,12)</f>
        <v/>
      </c>
      <c r="O1087" s="16" t="inlineStr">
        <is>
          <t>EERSG23E1G, (50)Blue, (185)185</t>
        </is>
      </c>
      <c r="P1087" s="16" t="n">
        <v>499</v>
      </c>
      <c r="Q1087" s="16" t="n">
        <v>499</v>
      </c>
      <c r="R1087" s="16" t="n"/>
      <c r="S1087" s="16" t="n"/>
      <c r="T1087" s="16" t="n">
        <v>1</v>
      </c>
    </row>
    <row r="1088" s="103">
      <c r="A1088" s="16" t="inlineStr">
        <is>
          <t>B331</t>
        </is>
      </c>
      <c r="B1088" s="16" t="inlineStr">
        <is>
          <t>上海区域</t>
        </is>
      </c>
      <c r="C1088" s="16" t="inlineStr">
        <is>
          <t>CN0Q</t>
        </is>
      </c>
      <c r="D1088" s="16" t="inlineStr">
        <is>
          <t>EE 苏州比斯特购物村</t>
        </is>
      </c>
      <c r="E1088" s="16" t="n">
        <v>4</v>
      </c>
      <c r="F1088" s="16" t="inlineStr">
        <is>
          <t>奥特莱斯</t>
        </is>
      </c>
      <c r="G1088" s="16" t="inlineStr">
        <is>
          <t>EERSG23E1G</t>
        </is>
      </c>
      <c r="H1088" s="16" t="n">
        <v>499</v>
      </c>
      <c r="I1088" s="16" t="n">
        <v>499</v>
      </c>
      <c r="J1088" s="17" t="n">
        <v>46024</v>
      </c>
      <c r="K1088" s="16" t="inlineStr">
        <is>
          <t>(59)Navy</t>
        </is>
      </c>
      <c r="L1088" s="16" t="inlineStr">
        <is>
          <t>营业中</t>
        </is>
      </c>
      <c r="M1088" s="16" t="inlineStr">
        <is>
          <t>EERSG23E1G59170</t>
        </is>
      </c>
      <c r="N1088" s="16">
        <f>LEFT(M1088,12)</f>
        <v/>
      </c>
      <c r="O1088" s="16" t="inlineStr">
        <is>
          <t>EERSG23E1G, (59)Navy, (170)170</t>
        </is>
      </c>
      <c r="P1088" s="16" t="n">
        <v>499</v>
      </c>
      <c r="Q1088" s="16" t="n">
        <v>499</v>
      </c>
      <c r="R1088" s="16" t="n">
        <v>2</v>
      </c>
      <c r="S1088" s="16" t="n">
        <v>637</v>
      </c>
      <c r="T1088" s="16" t="n">
        <v>0</v>
      </c>
    </row>
    <row r="1089" s="103">
      <c r="A1089" s="16" t="inlineStr">
        <is>
          <t>B331</t>
        </is>
      </c>
      <c r="B1089" s="16" t="inlineStr">
        <is>
          <t>上海区域</t>
        </is>
      </c>
      <c r="C1089" s="16" t="inlineStr">
        <is>
          <t>CN0Q</t>
        </is>
      </c>
      <c r="D1089" s="16" t="inlineStr">
        <is>
          <t>EE 苏州比斯特购物村</t>
        </is>
      </c>
      <c r="E1089" s="16" t="n">
        <v>4</v>
      </c>
      <c r="F1089" s="16" t="inlineStr">
        <is>
          <t>奥特莱斯</t>
        </is>
      </c>
      <c r="G1089" s="16" t="inlineStr">
        <is>
          <t>EERSG23E1G</t>
        </is>
      </c>
      <c r="H1089" s="16" t="n">
        <v>499</v>
      </c>
      <c r="I1089" s="16" t="n">
        <v>499</v>
      </c>
      <c r="J1089" s="17" t="n">
        <v>46024</v>
      </c>
      <c r="K1089" s="16" t="inlineStr">
        <is>
          <t>(59)Navy</t>
        </is>
      </c>
      <c r="L1089" s="16" t="inlineStr">
        <is>
          <t>营业中</t>
        </is>
      </c>
      <c r="M1089" s="16" t="inlineStr">
        <is>
          <t>EERSG23E1G59175</t>
        </is>
      </c>
      <c r="N1089" s="16">
        <f>LEFT(M1089,12)</f>
        <v/>
      </c>
      <c r="O1089" s="16" t="inlineStr">
        <is>
          <t>EERSG23E1G, (59)Navy, (175)175</t>
        </is>
      </c>
      <c r="P1089" s="16" t="n">
        <v>499</v>
      </c>
      <c r="Q1089" s="16" t="n">
        <v>499</v>
      </c>
      <c r="R1089" s="16" t="n">
        <v>2</v>
      </c>
      <c r="S1089" s="16" t="n">
        <v>466</v>
      </c>
      <c r="T1089" s="16" t="n">
        <v>2</v>
      </c>
    </row>
    <row r="1090" s="103">
      <c r="A1090" s="16" t="inlineStr">
        <is>
          <t>B331</t>
        </is>
      </c>
      <c r="B1090" s="16" t="inlineStr">
        <is>
          <t>上海区域</t>
        </is>
      </c>
      <c r="C1090" s="16" t="inlineStr">
        <is>
          <t>CN0Q</t>
        </is>
      </c>
      <c r="D1090" s="16" t="inlineStr">
        <is>
          <t>EE 苏州比斯特购物村</t>
        </is>
      </c>
      <c r="E1090" s="16" t="n">
        <v>4</v>
      </c>
      <c r="F1090" s="16" t="inlineStr">
        <is>
          <t>奥特莱斯</t>
        </is>
      </c>
      <c r="G1090" s="16" t="inlineStr">
        <is>
          <t>EERSG23E1G</t>
        </is>
      </c>
      <c r="H1090" s="16" t="n">
        <v>499</v>
      </c>
      <c r="I1090" s="16" t="n">
        <v>499</v>
      </c>
      <c r="J1090" s="17" t="n">
        <v>46024</v>
      </c>
      <c r="K1090" s="16" t="inlineStr">
        <is>
          <t>(59)Navy</t>
        </is>
      </c>
      <c r="L1090" s="16" t="inlineStr">
        <is>
          <t>营业中</t>
        </is>
      </c>
      <c r="M1090" s="16" t="inlineStr">
        <is>
          <t>EERSG23E1G59180</t>
        </is>
      </c>
      <c r="N1090" s="16">
        <f>LEFT(M1090,12)</f>
        <v/>
      </c>
      <c r="O1090" s="16" t="inlineStr">
        <is>
          <t>EERSG23E1G, (59)Navy, (180)180</t>
        </is>
      </c>
      <c r="P1090" s="16" t="n">
        <v>499</v>
      </c>
      <c r="Q1090" s="16" t="n">
        <v>499</v>
      </c>
      <c r="R1090" s="16" t="n"/>
      <c r="S1090" s="16" t="n"/>
      <c r="T1090" s="16" t="n">
        <v>2</v>
      </c>
    </row>
    <row r="1091" s="103">
      <c r="A1091" s="16" t="inlineStr">
        <is>
          <t>B331</t>
        </is>
      </c>
      <c r="B1091" s="16" t="inlineStr">
        <is>
          <t>上海区域</t>
        </is>
      </c>
      <c r="C1091" s="16" t="inlineStr">
        <is>
          <t>CN0Q</t>
        </is>
      </c>
      <c r="D1091" s="16" t="inlineStr">
        <is>
          <t>EE 苏州比斯特购物村</t>
        </is>
      </c>
      <c r="E1091" s="16" t="n">
        <v>4</v>
      </c>
      <c r="F1091" s="16" t="inlineStr">
        <is>
          <t>奥特莱斯</t>
        </is>
      </c>
      <c r="G1091" s="16" t="inlineStr">
        <is>
          <t>EERSG23E1G</t>
        </is>
      </c>
      <c r="H1091" s="16" t="n">
        <v>499</v>
      </c>
      <c r="I1091" s="16" t="n">
        <v>499</v>
      </c>
      <c r="J1091" s="17" t="n">
        <v>46024</v>
      </c>
      <c r="K1091" s="16" t="inlineStr">
        <is>
          <t>(59)Navy</t>
        </is>
      </c>
      <c r="L1091" s="16" t="inlineStr">
        <is>
          <t>营业中</t>
        </is>
      </c>
      <c r="M1091" s="16" t="inlineStr">
        <is>
          <t>EERSG23E1G59185</t>
        </is>
      </c>
      <c r="N1091" s="16">
        <f>LEFT(M1091,12)</f>
        <v/>
      </c>
      <c r="O1091" s="16" t="inlineStr">
        <is>
          <t>EERSG23E1G, (59)Navy, (185)185</t>
        </is>
      </c>
      <c r="P1091" s="16" t="n">
        <v>499</v>
      </c>
      <c r="Q1091" s="16" t="n">
        <v>499</v>
      </c>
      <c r="R1091" s="16" t="n">
        <v>1</v>
      </c>
      <c r="S1091" s="16" t="n"/>
      <c r="T1091" s="16" t="n">
        <v>2</v>
      </c>
    </row>
    <row r="1092" s="103">
      <c r="A1092" s="16" t="inlineStr">
        <is>
          <t>B331</t>
        </is>
      </c>
      <c r="B1092" s="16" t="inlineStr">
        <is>
          <t>上海区域</t>
        </is>
      </c>
      <c r="C1092" s="16" t="inlineStr">
        <is>
          <t>CN0Q</t>
        </is>
      </c>
      <c r="D1092" s="16" t="inlineStr">
        <is>
          <t>EE 苏州比斯特购物村</t>
        </is>
      </c>
      <c r="E1092" s="16" t="n">
        <v>4</v>
      </c>
      <c r="F1092" s="16" t="inlineStr">
        <is>
          <t>奥特莱斯</t>
        </is>
      </c>
      <c r="G1092" s="16" t="inlineStr">
        <is>
          <t>EERSG24B01</t>
        </is>
      </c>
      <c r="H1092" s="16" t="n">
        <v>399</v>
      </c>
      <c r="I1092" s="16" t="n">
        <v>399</v>
      </c>
      <c r="J1092" s="17" t="inlineStr">
        <is>
          <t>########</t>
        </is>
      </c>
      <c r="K1092" s="16" t="inlineStr">
        <is>
          <t>(15)Grey</t>
        </is>
      </c>
      <c r="L1092" s="16" t="inlineStr">
        <is>
          <t>营业中</t>
        </is>
      </c>
      <c r="M1092" s="16" t="inlineStr">
        <is>
          <t>EERSG24B0115160</t>
        </is>
      </c>
      <c r="N1092" s="16">
        <f>LEFT(M1092,12)</f>
        <v/>
      </c>
      <c r="O1092" s="16" t="inlineStr">
        <is>
          <t>EERSG24B01, (15)Grey, (160)160</t>
        </is>
      </c>
      <c r="P1092" s="16" t="n">
        <v>399</v>
      </c>
      <c r="Q1092" s="16" t="n">
        <v>399</v>
      </c>
      <c r="R1092" s="16" t="n"/>
      <c r="S1092" s="16" t="n"/>
      <c r="T1092" s="16" t="n">
        <v>1</v>
      </c>
    </row>
    <row r="1093" s="103">
      <c r="A1093" s="16" t="inlineStr">
        <is>
          <t>B331</t>
        </is>
      </c>
      <c r="B1093" s="16" t="inlineStr">
        <is>
          <t>上海区域</t>
        </is>
      </c>
      <c r="C1093" s="16" t="inlineStr">
        <is>
          <t>CN0Q</t>
        </is>
      </c>
      <c r="D1093" s="16" t="inlineStr">
        <is>
          <t>EE 苏州比斯特购物村</t>
        </is>
      </c>
      <c r="E1093" s="16" t="n">
        <v>4</v>
      </c>
      <c r="F1093" s="16" t="inlineStr">
        <is>
          <t>奥特莱斯</t>
        </is>
      </c>
      <c r="G1093" s="16" t="inlineStr">
        <is>
          <t>EERSG24B01</t>
        </is>
      </c>
      <c r="H1093" s="16" t="n">
        <v>399</v>
      </c>
      <c r="I1093" s="16" t="n">
        <v>399</v>
      </c>
      <c r="J1093" s="17" t="inlineStr">
        <is>
          <t>########</t>
        </is>
      </c>
      <c r="K1093" s="16" t="inlineStr">
        <is>
          <t>(15)Grey</t>
        </is>
      </c>
      <c r="L1093" s="16" t="inlineStr">
        <is>
          <t>营业中</t>
        </is>
      </c>
      <c r="M1093" s="16" t="inlineStr">
        <is>
          <t>EERSG24B0115165</t>
        </is>
      </c>
      <c r="N1093" s="16">
        <f>LEFT(M1093,12)</f>
        <v/>
      </c>
      <c r="O1093" s="16" t="inlineStr">
        <is>
          <t>EERSG24B01, (15)Grey, (165)165</t>
        </is>
      </c>
      <c r="P1093" s="16" t="n">
        <v>399</v>
      </c>
      <c r="Q1093" s="16" t="n">
        <v>399</v>
      </c>
      <c r="R1093" s="16" t="n"/>
      <c r="S1093" s="16" t="n"/>
      <c r="T1093" s="16" t="n">
        <v>2</v>
      </c>
    </row>
    <row r="1094" s="103">
      <c r="A1094" s="16" t="inlineStr">
        <is>
          <t>B331</t>
        </is>
      </c>
      <c r="B1094" s="16" t="inlineStr">
        <is>
          <t>上海区域</t>
        </is>
      </c>
      <c r="C1094" s="16" t="inlineStr">
        <is>
          <t>CN0Q</t>
        </is>
      </c>
      <c r="D1094" s="16" t="inlineStr">
        <is>
          <t>EE 苏州比斯特购物村</t>
        </is>
      </c>
      <c r="E1094" s="16" t="n">
        <v>4</v>
      </c>
      <c r="F1094" s="16" t="inlineStr">
        <is>
          <t>奥特莱斯</t>
        </is>
      </c>
      <c r="G1094" s="16" t="inlineStr">
        <is>
          <t>EERSG24B01</t>
        </is>
      </c>
      <c r="H1094" s="16" t="n">
        <v>399</v>
      </c>
      <c r="I1094" s="16" t="n">
        <v>399</v>
      </c>
      <c r="J1094" s="17" t="inlineStr">
        <is>
          <t>########</t>
        </is>
      </c>
      <c r="K1094" s="16" t="inlineStr">
        <is>
          <t>(15)Grey</t>
        </is>
      </c>
      <c r="L1094" s="16" t="inlineStr">
        <is>
          <t>营业中</t>
        </is>
      </c>
      <c r="M1094" s="16" t="inlineStr">
        <is>
          <t>EERSG24B0115170</t>
        </is>
      </c>
      <c r="N1094" s="16">
        <f>LEFT(M1094,12)</f>
        <v/>
      </c>
      <c r="O1094" s="16" t="inlineStr">
        <is>
          <t>EERSG24B01, (15)Grey, (170)170</t>
        </is>
      </c>
      <c r="P1094" s="16" t="n">
        <v>399</v>
      </c>
      <c r="Q1094" s="16" t="n">
        <v>399</v>
      </c>
      <c r="R1094" s="16" t="n"/>
      <c r="S1094" s="16" t="n"/>
      <c r="T1094" s="16" t="n">
        <v>2</v>
      </c>
    </row>
    <row r="1095" s="103">
      <c r="A1095" s="16" t="inlineStr">
        <is>
          <t>B331</t>
        </is>
      </c>
      <c r="B1095" s="16" t="inlineStr">
        <is>
          <t>上海区域</t>
        </is>
      </c>
      <c r="C1095" s="16" t="inlineStr">
        <is>
          <t>CN0Q</t>
        </is>
      </c>
      <c r="D1095" s="16" t="inlineStr">
        <is>
          <t>EE 苏州比斯特购物村</t>
        </is>
      </c>
      <c r="E1095" s="16" t="n">
        <v>4</v>
      </c>
      <c r="F1095" s="16" t="inlineStr">
        <is>
          <t>奥特莱斯</t>
        </is>
      </c>
      <c r="G1095" s="16" t="inlineStr">
        <is>
          <t>EERSG24B01</t>
        </is>
      </c>
      <c r="H1095" s="16" t="n">
        <v>399</v>
      </c>
      <c r="I1095" s="16" t="n">
        <v>399</v>
      </c>
      <c r="J1095" s="17" t="inlineStr">
        <is>
          <t>########</t>
        </is>
      </c>
      <c r="K1095" s="16" t="inlineStr">
        <is>
          <t>(15)Grey</t>
        </is>
      </c>
      <c r="L1095" s="16" t="inlineStr">
        <is>
          <t>营业中</t>
        </is>
      </c>
      <c r="M1095" s="16" t="inlineStr">
        <is>
          <t>EERSG24B0115175</t>
        </is>
      </c>
      <c r="N1095" s="16">
        <f>LEFT(M1095,12)</f>
        <v/>
      </c>
      <c r="O1095" s="16" t="inlineStr">
        <is>
          <t>EERSG24B01, (15)Grey, (175)175</t>
        </is>
      </c>
      <c r="P1095" s="16" t="n">
        <v>399</v>
      </c>
      <c r="Q1095" s="16" t="n">
        <v>399</v>
      </c>
      <c r="R1095" s="16" t="n"/>
      <c r="S1095" s="16" t="n"/>
      <c r="T1095" s="16" t="n">
        <v>2</v>
      </c>
    </row>
    <row r="1096" s="103">
      <c r="A1096" s="16" t="inlineStr">
        <is>
          <t>B331</t>
        </is>
      </c>
      <c r="B1096" s="16" t="inlineStr">
        <is>
          <t>上海区域</t>
        </is>
      </c>
      <c r="C1096" s="16" t="inlineStr">
        <is>
          <t>CN0Q</t>
        </is>
      </c>
      <c r="D1096" s="16" t="inlineStr">
        <is>
          <t>EE 苏州比斯特购物村</t>
        </is>
      </c>
      <c r="E1096" s="16" t="n">
        <v>4</v>
      </c>
      <c r="F1096" s="16" t="inlineStr">
        <is>
          <t>奥特莱斯</t>
        </is>
      </c>
      <c r="G1096" s="16" t="inlineStr">
        <is>
          <t>EERSG24B01</t>
        </is>
      </c>
      <c r="H1096" s="16" t="n">
        <v>399</v>
      </c>
      <c r="I1096" s="16" t="n">
        <v>399</v>
      </c>
      <c r="J1096" s="17" t="inlineStr">
        <is>
          <t>########</t>
        </is>
      </c>
      <c r="K1096" s="16" t="inlineStr">
        <is>
          <t>(25)Pink</t>
        </is>
      </c>
      <c r="L1096" s="16" t="inlineStr">
        <is>
          <t>营业中</t>
        </is>
      </c>
      <c r="M1096" s="16" t="inlineStr">
        <is>
          <t>EERSG24B0125160</t>
        </is>
      </c>
      <c r="N1096" s="16">
        <f>LEFT(M1096,12)</f>
        <v/>
      </c>
      <c r="O1096" s="16" t="inlineStr">
        <is>
          <t>EERSG24B01, (25)Pink, (160)160</t>
        </is>
      </c>
      <c r="P1096" s="16" t="n">
        <v>399</v>
      </c>
      <c r="Q1096" s="16" t="n">
        <v>399</v>
      </c>
      <c r="R1096" s="16" t="n"/>
      <c r="S1096" s="16" t="n"/>
      <c r="T1096" s="16" t="n">
        <v>2</v>
      </c>
    </row>
    <row r="1097" s="103">
      <c r="A1097" s="16" t="inlineStr">
        <is>
          <t>B331</t>
        </is>
      </c>
      <c r="B1097" s="16" t="inlineStr">
        <is>
          <t>上海区域</t>
        </is>
      </c>
      <c r="C1097" s="16" t="inlineStr">
        <is>
          <t>CN0Q</t>
        </is>
      </c>
      <c r="D1097" s="16" t="inlineStr">
        <is>
          <t>EE 苏州比斯特购物村</t>
        </is>
      </c>
      <c r="E1097" s="16" t="n">
        <v>4</v>
      </c>
      <c r="F1097" s="16" t="inlineStr">
        <is>
          <t>奥特莱斯</t>
        </is>
      </c>
      <c r="G1097" s="16" t="inlineStr">
        <is>
          <t>EERSG24B01</t>
        </is>
      </c>
      <c r="H1097" s="16" t="n">
        <v>399</v>
      </c>
      <c r="I1097" s="16" t="n">
        <v>399</v>
      </c>
      <c r="J1097" s="17" t="inlineStr">
        <is>
          <t>########</t>
        </is>
      </c>
      <c r="K1097" s="16" t="inlineStr">
        <is>
          <t>(25)Pink</t>
        </is>
      </c>
      <c r="L1097" s="16" t="inlineStr">
        <is>
          <t>营业中</t>
        </is>
      </c>
      <c r="M1097" s="16" t="inlineStr">
        <is>
          <t>EERSG24B0125165</t>
        </is>
      </c>
      <c r="N1097" s="16">
        <f>LEFT(M1097,12)</f>
        <v/>
      </c>
      <c r="O1097" s="16" t="inlineStr">
        <is>
          <t>EERSG24B01, (25)Pink, (165)165</t>
        </is>
      </c>
      <c r="P1097" s="16" t="n">
        <v>399</v>
      </c>
      <c r="Q1097" s="16" t="n">
        <v>399</v>
      </c>
      <c r="R1097" s="16" t="n">
        <v>1</v>
      </c>
      <c r="S1097" s="16" t="n">
        <v>256</v>
      </c>
      <c r="T1097" s="16" t="n">
        <v>1</v>
      </c>
    </row>
    <row r="1098" s="103">
      <c r="A1098" s="16" t="inlineStr">
        <is>
          <t>B331</t>
        </is>
      </c>
      <c r="B1098" s="16" t="inlineStr">
        <is>
          <t>上海区域</t>
        </is>
      </c>
      <c r="C1098" s="16" t="inlineStr">
        <is>
          <t>CN0Q</t>
        </is>
      </c>
      <c r="D1098" s="16" t="inlineStr">
        <is>
          <t>EE 苏州比斯特购物村</t>
        </is>
      </c>
      <c r="E1098" s="16" t="n">
        <v>4</v>
      </c>
      <c r="F1098" s="16" t="inlineStr">
        <is>
          <t>奥特莱斯</t>
        </is>
      </c>
      <c r="G1098" s="16" t="inlineStr">
        <is>
          <t>EERSG24B01</t>
        </is>
      </c>
      <c r="H1098" s="16" t="n">
        <v>399</v>
      </c>
      <c r="I1098" s="16" t="n">
        <v>399</v>
      </c>
      <c r="J1098" s="17" t="inlineStr">
        <is>
          <t>########</t>
        </is>
      </c>
      <c r="K1098" s="16" t="inlineStr">
        <is>
          <t>(25)Pink</t>
        </is>
      </c>
      <c r="L1098" s="16" t="inlineStr">
        <is>
          <t>营业中</t>
        </is>
      </c>
      <c r="M1098" s="16" t="inlineStr">
        <is>
          <t>EERSG24B0125170</t>
        </is>
      </c>
      <c r="N1098" s="16">
        <f>LEFT(M1098,12)</f>
        <v/>
      </c>
      <c r="O1098" s="16" t="inlineStr">
        <is>
          <t>EERSG24B01, (25)Pink, (170)170</t>
        </is>
      </c>
      <c r="P1098" s="16" t="n">
        <v>399</v>
      </c>
      <c r="Q1098" s="16" t="n">
        <v>399</v>
      </c>
      <c r="R1098" s="16" t="n">
        <v>1</v>
      </c>
      <c r="S1098" s="16" t="n">
        <v>279</v>
      </c>
      <c r="T1098" s="16" t="n">
        <v>0</v>
      </c>
    </row>
    <row r="1099" s="103">
      <c r="A1099" s="16" t="inlineStr">
        <is>
          <t>B331</t>
        </is>
      </c>
      <c r="B1099" s="16" t="inlineStr">
        <is>
          <t>上海区域</t>
        </is>
      </c>
      <c r="C1099" s="16" t="inlineStr">
        <is>
          <t>CN0Q</t>
        </is>
      </c>
      <c r="D1099" s="16" t="inlineStr">
        <is>
          <t>EE 苏州比斯特购物村</t>
        </is>
      </c>
      <c r="E1099" s="16" t="n">
        <v>4</v>
      </c>
      <c r="F1099" s="16" t="inlineStr">
        <is>
          <t>奥特莱斯</t>
        </is>
      </c>
      <c r="G1099" s="16" t="inlineStr">
        <is>
          <t>EERSG24B01</t>
        </is>
      </c>
      <c r="H1099" s="16" t="n">
        <v>399</v>
      </c>
      <c r="I1099" s="16" t="n">
        <v>399</v>
      </c>
      <c r="J1099" s="17" t="inlineStr">
        <is>
          <t>########</t>
        </is>
      </c>
      <c r="K1099" s="16" t="inlineStr">
        <is>
          <t>(25)Pink</t>
        </is>
      </c>
      <c r="L1099" s="16" t="inlineStr">
        <is>
          <t>营业中</t>
        </is>
      </c>
      <c r="M1099" s="16" t="inlineStr">
        <is>
          <t>EERSG24B0125175</t>
        </is>
      </c>
      <c r="N1099" s="16">
        <f>LEFT(M1099,12)</f>
        <v/>
      </c>
      <c r="O1099" s="16" t="inlineStr">
        <is>
          <t>EERSG24B01, (25)Pink, (175)175</t>
        </is>
      </c>
      <c r="P1099" s="16" t="n">
        <v>399</v>
      </c>
      <c r="Q1099" s="16" t="n">
        <v>399</v>
      </c>
      <c r="R1099" s="16" t="n"/>
      <c r="S1099" s="16" t="n"/>
      <c r="T1099" s="16" t="n">
        <v>1</v>
      </c>
    </row>
    <row r="1100" s="103">
      <c r="A1100" s="16" t="inlineStr">
        <is>
          <t>B331</t>
        </is>
      </c>
      <c r="B1100" s="16" t="inlineStr">
        <is>
          <t>上海区域</t>
        </is>
      </c>
      <c r="C1100" s="16" t="inlineStr">
        <is>
          <t>CN0Q</t>
        </is>
      </c>
      <c r="D1100" s="16" t="inlineStr">
        <is>
          <t>EE 苏州比斯特购物村</t>
        </is>
      </c>
      <c r="E1100" s="16" t="n">
        <v>4</v>
      </c>
      <c r="F1100" s="16" t="inlineStr">
        <is>
          <t>奥特莱斯</t>
        </is>
      </c>
      <c r="G1100" s="16" t="inlineStr">
        <is>
          <t>EERSG25B01</t>
        </is>
      </c>
      <c r="H1100" s="16" t="n">
        <v>499</v>
      </c>
      <c r="I1100" s="16" t="n">
        <v>499</v>
      </c>
      <c r="J1100" s="17" t="inlineStr">
        <is>
          <t>########</t>
        </is>
      </c>
      <c r="K1100" s="16" t="inlineStr">
        <is>
          <t>(19)BLACK</t>
        </is>
      </c>
      <c r="L1100" s="16" t="inlineStr">
        <is>
          <t>营业中</t>
        </is>
      </c>
      <c r="M1100" s="16" t="inlineStr">
        <is>
          <t>EERSG25B0119160</t>
        </is>
      </c>
      <c r="N1100" s="16">
        <f>LEFT(M1100,12)</f>
        <v/>
      </c>
      <c r="O1100" s="16" t="inlineStr">
        <is>
          <t>EERSG25B01, (19)BLACK, (160)160</t>
        </is>
      </c>
      <c r="P1100" s="16" t="n">
        <v>499</v>
      </c>
      <c r="Q1100" s="16" t="n">
        <v>499</v>
      </c>
      <c r="R1100" s="16" t="n"/>
      <c r="S1100" s="16" t="n"/>
      <c r="T1100" s="16" t="n">
        <v>3</v>
      </c>
    </row>
    <row r="1101" s="103">
      <c r="A1101" s="16" t="inlineStr">
        <is>
          <t>B331</t>
        </is>
      </c>
      <c r="B1101" s="16" t="inlineStr">
        <is>
          <t>上海区域</t>
        </is>
      </c>
      <c r="C1101" s="16" t="inlineStr">
        <is>
          <t>CN0Q</t>
        </is>
      </c>
      <c r="D1101" s="16" t="inlineStr">
        <is>
          <t>EE 苏州比斯特购物村</t>
        </is>
      </c>
      <c r="E1101" s="16" t="n">
        <v>4</v>
      </c>
      <c r="F1101" s="16" t="inlineStr">
        <is>
          <t>奥特莱斯</t>
        </is>
      </c>
      <c r="G1101" s="16" t="inlineStr">
        <is>
          <t>EERSG25B01</t>
        </is>
      </c>
      <c r="H1101" s="16" t="n">
        <v>499</v>
      </c>
      <c r="I1101" s="16" t="n">
        <v>499</v>
      </c>
      <c r="J1101" s="17" t="inlineStr">
        <is>
          <t>########</t>
        </is>
      </c>
      <c r="K1101" s="16" t="inlineStr">
        <is>
          <t>(19)BLACK</t>
        </is>
      </c>
      <c r="L1101" s="16" t="inlineStr">
        <is>
          <t>营业中</t>
        </is>
      </c>
      <c r="M1101" s="16" t="inlineStr">
        <is>
          <t>EERSG25B0119165</t>
        </is>
      </c>
      <c r="N1101" s="16">
        <f>LEFT(M1101,12)</f>
        <v/>
      </c>
      <c r="O1101" s="16" t="inlineStr">
        <is>
          <t>EERSG25B01, (19)BLACK, (165)165</t>
        </is>
      </c>
      <c r="P1101" s="16" t="n">
        <v>499</v>
      </c>
      <c r="Q1101" s="16" t="n">
        <v>499</v>
      </c>
      <c r="R1101" s="16" t="n"/>
      <c r="S1101" s="16" t="n"/>
      <c r="T1101" s="16" t="n">
        <v>5</v>
      </c>
    </row>
    <row r="1102" s="103">
      <c r="A1102" s="16" t="inlineStr">
        <is>
          <t>B331</t>
        </is>
      </c>
      <c r="B1102" s="16" t="inlineStr">
        <is>
          <t>上海区域</t>
        </is>
      </c>
      <c r="C1102" s="16" t="inlineStr">
        <is>
          <t>CN0Q</t>
        </is>
      </c>
      <c r="D1102" s="16" t="inlineStr">
        <is>
          <t>EE 苏州比斯特购物村</t>
        </is>
      </c>
      <c r="E1102" s="16" t="n">
        <v>4</v>
      </c>
      <c r="F1102" s="16" t="inlineStr">
        <is>
          <t>奥特莱斯</t>
        </is>
      </c>
      <c r="G1102" s="16" t="inlineStr">
        <is>
          <t>EERSG25B01</t>
        </is>
      </c>
      <c r="H1102" s="16" t="n">
        <v>499</v>
      </c>
      <c r="I1102" s="16" t="n">
        <v>499</v>
      </c>
      <c r="J1102" s="17" t="inlineStr">
        <is>
          <t>########</t>
        </is>
      </c>
      <c r="K1102" s="16" t="inlineStr">
        <is>
          <t>(19)BLACK</t>
        </is>
      </c>
      <c r="L1102" s="16" t="inlineStr">
        <is>
          <t>营业中</t>
        </is>
      </c>
      <c r="M1102" s="16" t="inlineStr">
        <is>
          <t>EERSG25B0119170</t>
        </is>
      </c>
      <c r="N1102" s="16">
        <f>LEFT(M1102,12)</f>
        <v/>
      </c>
      <c r="O1102" s="16" t="inlineStr">
        <is>
          <t>EERSG25B01, (19)BLACK, (170)170</t>
        </is>
      </c>
      <c r="P1102" s="16" t="n">
        <v>499</v>
      </c>
      <c r="Q1102" s="16" t="n">
        <v>499</v>
      </c>
      <c r="R1102" s="16" t="n"/>
      <c r="S1102" s="16" t="n"/>
      <c r="T1102" s="16" t="n">
        <v>6</v>
      </c>
    </row>
    <row r="1103" s="103">
      <c r="A1103" s="16" t="inlineStr">
        <is>
          <t>B331</t>
        </is>
      </c>
      <c r="B1103" s="16" t="inlineStr">
        <is>
          <t>上海区域</t>
        </is>
      </c>
      <c r="C1103" s="16" t="inlineStr">
        <is>
          <t>CN0Q</t>
        </is>
      </c>
      <c r="D1103" s="16" t="inlineStr">
        <is>
          <t>EE 苏州比斯特购物村</t>
        </is>
      </c>
      <c r="E1103" s="16" t="n">
        <v>4</v>
      </c>
      <c r="F1103" s="16" t="inlineStr">
        <is>
          <t>奥特莱斯</t>
        </is>
      </c>
      <c r="G1103" s="16" t="inlineStr">
        <is>
          <t>EERSG25B01</t>
        </is>
      </c>
      <c r="H1103" s="16" t="n">
        <v>499</v>
      </c>
      <c r="I1103" s="16" t="n">
        <v>499</v>
      </c>
      <c r="J1103" s="17" t="inlineStr">
        <is>
          <t>########</t>
        </is>
      </c>
      <c r="K1103" s="16" t="inlineStr">
        <is>
          <t>(19)BLACK</t>
        </is>
      </c>
      <c r="L1103" s="16" t="inlineStr">
        <is>
          <t>营业中</t>
        </is>
      </c>
      <c r="M1103" s="16" t="inlineStr">
        <is>
          <t>EERSG25B0119175</t>
        </is>
      </c>
      <c r="N1103" s="16">
        <f>LEFT(M1103,12)</f>
        <v/>
      </c>
      <c r="O1103" s="16" t="inlineStr">
        <is>
          <t>EERSG25B01, (19)BLACK, (175)175</t>
        </is>
      </c>
      <c r="P1103" s="16" t="n">
        <v>499</v>
      </c>
      <c r="Q1103" s="16" t="n">
        <v>499</v>
      </c>
      <c r="R1103" s="16" t="n"/>
      <c r="S1103" s="16" t="n"/>
      <c r="T1103" s="16" t="n">
        <v>2</v>
      </c>
    </row>
    <row r="1104" s="103">
      <c r="A1104" s="16" t="inlineStr">
        <is>
          <t>B331</t>
        </is>
      </c>
      <c r="B1104" s="16" t="inlineStr">
        <is>
          <t>上海区域</t>
        </is>
      </c>
      <c r="C1104" s="16" t="inlineStr">
        <is>
          <t>CN0Q</t>
        </is>
      </c>
      <c r="D1104" s="16" t="inlineStr">
        <is>
          <t>EE 苏州比斯特购物村</t>
        </is>
      </c>
      <c r="E1104" s="16" t="n">
        <v>4</v>
      </c>
      <c r="F1104" s="16" t="inlineStr">
        <is>
          <t>奥特莱斯</t>
        </is>
      </c>
      <c r="G1104" s="16" t="inlineStr">
        <is>
          <t>EERSG25B01</t>
        </is>
      </c>
      <c r="H1104" s="16" t="n">
        <v>499</v>
      </c>
      <c r="I1104" s="16" t="n">
        <v>499</v>
      </c>
      <c r="J1104" s="17" t="inlineStr">
        <is>
          <t>########</t>
        </is>
      </c>
      <c r="K1104" s="16" t="inlineStr">
        <is>
          <t>(88)Lavender</t>
        </is>
      </c>
      <c r="L1104" s="16" t="inlineStr">
        <is>
          <t>营业中</t>
        </is>
      </c>
      <c r="M1104" s="16" t="inlineStr">
        <is>
          <t>EERSG25B0188160</t>
        </is>
      </c>
      <c r="N1104" s="16">
        <f>LEFT(M1104,12)</f>
        <v/>
      </c>
      <c r="O1104" s="16" t="inlineStr">
        <is>
          <t>EERSG25B01, (88)Lavender, (160)160</t>
        </is>
      </c>
      <c r="P1104" s="16" t="n">
        <v>499</v>
      </c>
      <c r="Q1104" s="16" t="n">
        <v>499</v>
      </c>
      <c r="R1104" s="16" t="n"/>
      <c r="S1104" s="16" t="n"/>
      <c r="T1104" s="16" t="n">
        <v>3</v>
      </c>
    </row>
    <row r="1105" s="103">
      <c r="A1105" s="16" t="inlineStr">
        <is>
          <t>B331</t>
        </is>
      </c>
      <c r="B1105" s="16" t="inlineStr">
        <is>
          <t>上海区域</t>
        </is>
      </c>
      <c r="C1105" s="16" t="inlineStr">
        <is>
          <t>CN0Q</t>
        </is>
      </c>
      <c r="D1105" s="16" t="inlineStr">
        <is>
          <t>EE 苏州比斯特购物村</t>
        </is>
      </c>
      <c r="E1105" s="16" t="n">
        <v>4</v>
      </c>
      <c r="F1105" s="16" t="inlineStr">
        <is>
          <t>奥特莱斯</t>
        </is>
      </c>
      <c r="G1105" s="16" t="inlineStr">
        <is>
          <t>EERSG25B01</t>
        </is>
      </c>
      <c r="H1105" s="16" t="n">
        <v>499</v>
      </c>
      <c r="I1105" s="16" t="n">
        <v>499</v>
      </c>
      <c r="J1105" s="17" t="inlineStr">
        <is>
          <t>########</t>
        </is>
      </c>
      <c r="K1105" s="16" t="inlineStr">
        <is>
          <t>(88)Lavender</t>
        </is>
      </c>
      <c r="L1105" s="16" t="inlineStr">
        <is>
          <t>营业中</t>
        </is>
      </c>
      <c r="M1105" s="16" t="inlineStr">
        <is>
          <t>EERSG25B0188165</t>
        </is>
      </c>
      <c r="N1105" s="16">
        <f>LEFT(M1105,12)</f>
        <v/>
      </c>
      <c r="O1105" s="16" t="inlineStr">
        <is>
          <t>EERSG25B01, (88)Lavender, (165)165</t>
        </is>
      </c>
      <c r="P1105" s="16" t="n">
        <v>499</v>
      </c>
      <c r="Q1105" s="16" t="n">
        <v>499</v>
      </c>
      <c r="R1105" s="16" t="n"/>
      <c r="S1105" s="16" t="n"/>
      <c r="T1105" s="16" t="n">
        <v>3</v>
      </c>
    </row>
    <row r="1106" s="103">
      <c r="A1106" s="16" t="inlineStr">
        <is>
          <t>B331</t>
        </is>
      </c>
      <c r="B1106" s="16" t="inlineStr">
        <is>
          <t>上海区域</t>
        </is>
      </c>
      <c r="C1106" s="16" t="inlineStr">
        <is>
          <t>CN0Q</t>
        </is>
      </c>
      <c r="D1106" s="16" t="inlineStr">
        <is>
          <t>EE 苏州比斯特购物村</t>
        </is>
      </c>
      <c r="E1106" s="16" t="n">
        <v>4</v>
      </c>
      <c r="F1106" s="16" t="inlineStr">
        <is>
          <t>奥特莱斯</t>
        </is>
      </c>
      <c r="G1106" s="16" t="inlineStr">
        <is>
          <t>EERSG25B01</t>
        </is>
      </c>
      <c r="H1106" s="16" t="n">
        <v>499</v>
      </c>
      <c r="I1106" s="16" t="n">
        <v>499</v>
      </c>
      <c r="J1106" s="17" t="inlineStr">
        <is>
          <t>########</t>
        </is>
      </c>
      <c r="K1106" s="16" t="inlineStr">
        <is>
          <t>(88)Lavender</t>
        </is>
      </c>
      <c r="L1106" s="16" t="inlineStr">
        <is>
          <t>营业中</t>
        </is>
      </c>
      <c r="M1106" s="16" t="inlineStr">
        <is>
          <t>EERSG25B0188170</t>
        </is>
      </c>
      <c r="N1106" s="16">
        <f>LEFT(M1106,12)</f>
        <v/>
      </c>
      <c r="O1106" s="16" t="inlineStr">
        <is>
          <t>EERSG25B01, (88)Lavender, (170)170</t>
        </is>
      </c>
      <c r="P1106" s="16" t="n">
        <v>499</v>
      </c>
      <c r="Q1106" s="16" t="n">
        <v>499</v>
      </c>
      <c r="R1106" s="16" t="n"/>
      <c r="S1106" s="16" t="n"/>
      <c r="T1106" s="16" t="n">
        <v>2</v>
      </c>
    </row>
    <row r="1107" s="103">
      <c r="A1107" s="16" t="inlineStr">
        <is>
          <t>B331</t>
        </is>
      </c>
      <c r="B1107" s="16" t="inlineStr">
        <is>
          <t>上海区域</t>
        </is>
      </c>
      <c r="C1107" s="16" t="inlineStr">
        <is>
          <t>CN0Q</t>
        </is>
      </c>
      <c r="D1107" s="16" t="inlineStr">
        <is>
          <t>EE 苏州比斯特购物村</t>
        </is>
      </c>
      <c r="E1107" s="16" t="n">
        <v>4</v>
      </c>
      <c r="F1107" s="16" t="inlineStr">
        <is>
          <t>奥特莱斯</t>
        </is>
      </c>
      <c r="G1107" s="16" t="inlineStr">
        <is>
          <t>EERSG25B01</t>
        </is>
      </c>
      <c r="H1107" s="16" t="n">
        <v>499</v>
      </c>
      <c r="I1107" s="16" t="n">
        <v>499</v>
      </c>
      <c r="J1107" s="17" t="inlineStr">
        <is>
          <t>########</t>
        </is>
      </c>
      <c r="K1107" s="16" t="inlineStr">
        <is>
          <t>(88)Lavender</t>
        </is>
      </c>
      <c r="L1107" s="16" t="inlineStr">
        <is>
          <t>营业中</t>
        </is>
      </c>
      <c r="M1107" s="16" t="inlineStr">
        <is>
          <t>EERSG25B0188175</t>
        </is>
      </c>
      <c r="N1107" s="16">
        <f>LEFT(M1107,12)</f>
        <v/>
      </c>
      <c r="O1107" s="16" t="inlineStr">
        <is>
          <t>EERSG25B01, (88)Lavender, (175)175</t>
        </is>
      </c>
      <c r="P1107" s="16" t="n">
        <v>499</v>
      </c>
      <c r="Q1107" s="16" t="n">
        <v>499</v>
      </c>
      <c r="R1107" s="16" t="n"/>
      <c r="S1107" s="16" t="n"/>
      <c r="T1107" s="16" t="n">
        <v>2</v>
      </c>
    </row>
    <row r="1108" s="103">
      <c r="A1108" s="16" t="inlineStr">
        <is>
          <t>B331</t>
        </is>
      </c>
      <c r="B1108" s="16" t="inlineStr">
        <is>
          <t>上海区域</t>
        </is>
      </c>
      <c r="C1108" s="16" t="inlineStr">
        <is>
          <t>CN0Q</t>
        </is>
      </c>
      <c r="D1108" s="16" t="inlineStr">
        <is>
          <t>EE 苏州比斯特购物村</t>
        </is>
      </c>
      <c r="E1108" s="16" t="n">
        <v>4</v>
      </c>
      <c r="F1108" s="16" t="inlineStr">
        <is>
          <t>奥特莱斯</t>
        </is>
      </c>
      <c r="G1108" s="16" t="inlineStr">
        <is>
          <t>EERSG25B1G</t>
        </is>
      </c>
      <c r="H1108" s="16" t="n">
        <v>499</v>
      </c>
      <c r="I1108" s="16" t="n">
        <v>499</v>
      </c>
      <c r="J1108" s="17" t="inlineStr">
        <is>
          <t>########</t>
        </is>
      </c>
      <c r="K1108" s="16" t="inlineStr">
        <is>
          <t>(20)Red</t>
        </is>
      </c>
      <c r="L1108" s="16" t="inlineStr">
        <is>
          <t>营业中</t>
        </is>
      </c>
      <c r="M1108" s="16" t="inlineStr">
        <is>
          <t>EERSG25B1G20170</t>
        </is>
      </c>
      <c r="N1108" s="16">
        <f>LEFT(M1108,12)</f>
        <v/>
      </c>
      <c r="O1108" s="16" t="inlineStr">
        <is>
          <t>EERSG25B1G, (20)Red, (170)170</t>
        </is>
      </c>
      <c r="P1108" s="16" t="n">
        <v>499</v>
      </c>
      <c r="Q1108" s="16" t="n">
        <v>499</v>
      </c>
      <c r="R1108" s="16" t="n"/>
      <c r="S1108" s="16" t="n"/>
      <c r="T1108" s="16" t="n">
        <v>2</v>
      </c>
    </row>
    <row r="1109" s="103">
      <c r="A1109" s="16" t="inlineStr">
        <is>
          <t>B331</t>
        </is>
      </c>
      <c r="B1109" s="16" t="inlineStr">
        <is>
          <t>上海区域</t>
        </is>
      </c>
      <c r="C1109" s="16" t="inlineStr">
        <is>
          <t>CN0Q</t>
        </is>
      </c>
      <c r="D1109" s="16" t="inlineStr">
        <is>
          <t>EE 苏州比斯特购物村</t>
        </is>
      </c>
      <c r="E1109" s="16" t="n">
        <v>4</v>
      </c>
      <c r="F1109" s="16" t="inlineStr">
        <is>
          <t>奥特莱斯</t>
        </is>
      </c>
      <c r="G1109" s="16" t="inlineStr">
        <is>
          <t>EERSG25B1G</t>
        </is>
      </c>
      <c r="H1109" s="16" t="n">
        <v>499</v>
      </c>
      <c r="I1109" s="16" t="n">
        <v>499</v>
      </c>
      <c r="J1109" s="17" t="inlineStr">
        <is>
          <t>########</t>
        </is>
      </c>
      <c r="K1109" s="16" t="inlineStr">
        <is>
          <t>(20)Red</t>
        </is>
      </c>
      <c r="L1109" s="16" t="inlineStr">
        <is>
          <t>营业中</t>
        </is>
      </c>
      <c r="M1109" s="16" t="inlineStr">
        <is>
          <t>EERSG25B1G20175</t>
        </is>
      </c>
      <c r="N1109" s="16">
        <f>LEFT(M1109,12)</f>
        <v/>
      </c>
      <c r="O1109" s="16" t="inlineStr">
        <is>
          <t>EERSG25B1G, (20)Red, (175)175</t>
        </is>
      </c>
      <c r="P1109" s="16" t="n">
        <v>499</v>
      </c>
      <c r="Q1109" s="16" t="n">
        <v>499</v>
      </c>
      <c r="R1109" s="16" t="n"/>
      <c r="S1109" s="16" t="n"/>
      <c r="T1109" s="16" t="n">
        <v>2</v>
      </c>
    </row>
    <row r="1110" s="103">
      <c r="A1110" s="16" t="inlineStr">
        <is>
          <t>B331</t>
        </is>
      </c>
      <c r="B1110" s="16" t="inlineStr">
        <is>
          <t>上海区域</t>
        </is>
      </c>
      <c r="C1110" s="16" t="inlineStr">
        <is>
          <t>CN0Q</t>
        </is>
      </c>
      <c r="D1110" s="16" t="inlineStr">
        <is>
          <t>EE 苏州比斯特购物村</t>
        </is>
      </c>
      <c r="E1110" s="16" t="n">
        <v>4</v>
      </c>
      <c r="F1110" s="16" t="inlineStr">
        <is>
          <t>奥特莱斯</t>
        </is>
      </c>
      <c r="G1110" s="16" t="inlineStr">
        <is>
          <t>EERSG25B1G</t>
        </is>
      </c>
      <c r="H1110" s="16" t="n">
        <v>499</v>
      </c>
      <c r="I1110" s="16" t="n">
        <v>499</v>
      </c>
      <c r="J1110" s="17" t="inlineStr">
        <is>
          <t>########</t>
        </is>
      </c>
      <c r="K1110" s="16" t="inlineStr">
        <is>
          <t>(20)Red</t>
        </is>
      </c>
      <c r="L1110" s="16" t="inlineStr">
        <is>
          <t>营业中</t>
        </is>
      </c>
      <c r="M1110" s="16" t="inlineStr">
        <is>
          <t>EERSG25B1G20180</t>
        </is>
      </c>
      <c r="N1110" s="16">
        <f>LEFT(M1110,12)</f>
        <v/>
      </c>
      <c r="O1110" s="16" t="inlineStr">
        <is>
          <t>EERSG25B1G, (20)Red, (180)180</t>
        </is>
      </c>
      <c r="P1110" s="16" t="n">
        <v>499</v>
      </c>
      <c r="Q1110" s="16" t="n">
        <v>499</v>
      </c>
      <c r="R1110" s="16" t="n"/>
      <c r="S1110" s="16" t="n"/>
      <c r="T1110" s="16" t="n">
        <v>2</v>
      </c>
    </row>
    <row r="1111" s="103">
      <c r="A1111" s="16" t="inlineStr">
        <is>
          <t>B331</t>
        </is>
      </c>
      <c r="B1111" s="16" t="inlineStr">
        <is>
          <t>上海区域</t>
        </is>
      </c>
      <c r="C1111" s="16" t="inlineStr">
        <is>
          <t>CN0Q</t>
        </is>
      </c>
      <c r="D1111" s="16" t="inlineStr">
        <is>
          <t>EE 苏州比斯特购物村</t>
        </is>
      </c>
      <c r="E1111" s="16" t="n">
        <v>4</v>
      </c>
      <c r="F1111" s="16" t="inlineStr">
        <is>
          <t>奥特莱斯</t>
        </is>
      </c>
      <c r="G1111" s="16" t="inlineStr">
        <is>
          <t>EERSG25B1G</t>
        </is>
      </c>
      <c r="H1111" s="16" t="n">
        <v>499</v>
      </c>
      <c r="I1111" s="16" t="n">
        <v>499</v>
      </c>
      <c r="J1111" s="17" t="inlineStr">
        <is>
          <t>########</t>
        </is>
      </c>
      <c r="K1111" s="16" t="inlineStr">
        <is>
          <t>(20)Red</t>
        </is>
      </c>
      <c r="L1111" s="16" t="inlineStr">
        <is>
          <t>营业中</t>
        </is>
      </c>
      <c r="M1111" s="16" t="inlineStr">
        <is>
          <t>EERSG25B1G20185</t>
        </is>
      </c>
      <c r="N1111" s="16">
        <f>LEFT(M1111,12)</f>
        <v/>
      </c>
      <c r="O1111" s="16" t="inlineStr">
        <is>
          <t>EERSG25B1G, (20)Red, (185)185</t>
        </is>
      </c>
      <c r="P1111" s="16" t="n">
        <v>499</v>
      </c>
      <c r="Q1111" s="16" t="n">
        <v>499</v>
      </c>
      <c r="R1111" s="16" t="n"/>
      <c r="S1111" s="16" t="n"/>
      <c r="T1111" s="16" t="n">
        <v>1</v>
      </c>
    </row>
    <row r="1112" s="103">
      <c r="A1112" s="16" t="inlineStr">
        <is>
          <t>B331</t>
        </is>
      </c>
      <c r="B1112" s="16" t="inlineStr">
        <is>
          <t>上海区域</t>
        </is>
      </c>
      <c r="C1112" s="16" t="inlineStr">
        <is>
          <t>CN0Q</t>
        </is>
      </c>
      <c r="D1112" s="16" t="inlineStr">
        <is>
          <t>EE 苏州比斯特购物村</t>
        </is>
      </c>
      <c r="E1112" s="16" t="n">
        <v>4</v>
      </c>
      <c r="F1112" s="16" t="inlineStr">
        <is>
          <t>奥特莱斯</t>
        </is>
      </c>
      <c r="G1112" s="16" t="inlineStr">
        <is>
          <t>EERSG25B1G</t>
        </is>
      </c>
      <c r="H1112" s="16" t="n">
        <v>499</v>
      </c>
      <c r="I1112" s="16" t="n">
        <v>499</v>
      </c>
      <c r="J1112" s="17" t="inlineStr">
        <is>
          <t>########</t>
        </is>
      </c>
      <c r="K1112" s="16" t="inlineStr">
        <is>
          <t>(40)Green</t>
        </is>
      </c>
      <c r="L1112" s="16" t="inlineStr">
        <is>
          <t>营业中</t>
        </is>
      </c>
      <c r="M1112" s="16" t="inlineStr">
        <is>
          <t>EERSG25B1G40170</t>
        </is>
      </c>
      <c r="N1112" s="16">
        <f>LEFT(M1112,12)</f>
        <v/>
      </c>
      <c r="O1112" s="16" t="inlineStr">
        <is>
          <t>EERSG25B1G, (40)Green, (170)170</t>
        </is>
      </c>
      <c r="P1112" s="16" t="n">
        <v>499</v>
      </c>
      <c r="Q1112" s="16" t="n">
        <v>499</v>
      </c>
      <c r="R1112" s="16" t="n">
        <v>2</v>
      </c>
      <c r="S1112" s="16" t="n"/>
      <c r="T1112" s="16" t="n">
        <v>4</v>
      </c>
    </row>
    <row r="1113" s="103">
      <c r="A1113" s="16" t="inlineStr">
        <is>
          <t>B331</t>
        </is>
      </c>
      <c r="B1113" s="16" t="inlineStr">
        <is>
          <t>上海区域</t>
        </is>
      </c>
      <c r="C1113" s="16" t="inlineStr">
        <is>
          <t>CN0Q</t>
        </is>
      </c>
      <c r="D1113" s="16" t="inlineStr">
        <is>
          <t>EE 苏州比斯特购物村</t>
        </is>
      </c>
      <c r="E1113" s="16" t="n">
        <v>4</v>
      </c>
      <c r="F1113" s="16" t="inlineStr">
        <is>
          <t>奥特莱斯</t>
        </is>
      </c>
      <c r="G1113" s="16" t="inlineStr">
        <is>
          <t>EERSG25B1G</t>
        </is>
      </c>
      <c r="H1113" s="16" t="n">
        <v>499</v>
      </c>
      <c r="I1113" s="16" t="n">
        <v>499</v>
      </c>
      <c r="J1113" s="17" t="inlineStr">
        <is>
          <t>########</t>
        </is>
      </c>
      <c r="K1113" s="16" t="inlineStr">
        <is>
          <t>(40)Green</t>
        </is>
      </c>
      <c r="L1113" s="16" t="inlineStr">
        <is>
          <t>营业中</t>
        </is>
      </c>
      <c r="M1113" s="16" t="inlineStr">
        <is>
          <t>EERSG25B1G40175</t>
        </is>
      </c>
      <c r="N1113" s="16">
        <f>LEFT(M1113,12)</f>
        <v/>
      </c>
      <c r="O1113" s="16" t="inlineStr">
        <is>
          <t>EERSG25B1G, (40)Green, (175)175</t>
        </is>
      </c>
      <c r="P1113" s="16" t="n">
        <v>499</v>
      </c>
      <c r="Q1113" s="16" t="n">
        <v>499</v>
      </c>
      <c r="R1113" s="16" t="n">
        <v>1</v>
      </c>
      <c r="S1113" s="16" t="n"/>
      <c r="T1113" s="16" t="n">
        <v>2</v>
      </c>
    </row>
    <row r="1114" s="103">
      <c r="A1114" s="16" t="inlineStr">
        <is>
          <t>B331</t>
        </is>
      </c>
      <c r="B1114" s="16" t="inlineStr">
        <is>
          <t>上海区域</t>
        </is>
      </c>
      <c r="C1114" s="16" t="inlineStr">
        <is>
          <t>CN0Q</t>
        </is>
      </c>
      <c r="D1114" s="16" t="inlineStr">
        <is>
          <t>EE 苏州比斯特购物村</t>
        </is>
      </c>
      <c r="E1114" s="16" t="n">
        <v>4</v>
      </c>
      <c r="F1114" s="16" t="inlineStr">
        <is>
          <t>奥特莱斯</t>
        </is>
      </c>
      <c r="G1114" s="16" t="inlineStr">
        <is>
          <t>EERSG25B1G</t>
        </is>
      </c>
      <c r="H1114" s="16" t="n">
        <v>499</v>
      </c>
      <c r="I1114" s="16" t="n">
        <v>499</v>
      </c>
      <c r="J1114" s="17" t="inlineStr">
        <is>
          <t>########</t>
        </is>
      </c>
      <c r="K1114" s="16" t="inlineStr">
        <is>
          <t>(40)Green</t>
        </is>
      </c>
      <c r="L1114" s="16" t="inlineStr">
        <is>
          <t>营业中</t>
        </is>
      </c>
      <c r="M1114" s="16" t="inlineStr">
        <is>
          <t>EERSG25B1G40180</t>
        </is>
      </c>
      <c r="N1114" s="16">
        <f>LEFT(M1114,12)</f>
        <v/>
      </c>
      <c r="O1114" s="16" t="inlineStr">
        <is>
          <t>EERSG25B1G, (40)Green, (180)180</t>
        </is>
      </c>
      <c r="P1114" s="16" t="n">
        <v>499</v>
      </c>
      <c r="Q1114" s="16" t="n">
        <v>499</v>
      </c>
      <c r="R1114" s="16" t="n">
        <v>1</v>
      </c>
      <c r="S1114" s="16" t="n"/>
      <c r="T1114" s="16" t="n">
        <v>2</v>
      </c>
    </row>
    <row r="1115" s="103">
      <c r="A1115" s="16" t="inlineStr">
        <is>
          <t>B331</t>
        </is>
      </c>
      <c r="B1115" s="16" t="inlineStr">
        <is>
          <t>上海区域</t>
        </is>
      </c>
      <c r="C1115" s="16" t="inlineStr">
        <is>
          <t>CN0Q</t>
        </is>
      </c>
      <c r="D1115" s="16" t="inlineStr">
        <is>
          <t>EE 苏州比斯特购物村</t>
        </is>
      </c>
      <c r="E1115" s="16" t="n">
        <v>4</v>
      </c>
      <c r="F1115" s="16" t="inlineStr">
        <is>
          <t>奥特莱斯</t>
        </is>
      </c>
      <c r="G1115" s="16" t="inlineStr">
        <is>
          <t>EERSG25B1G</t>
        </is>
      </c>
      <c r="H1115" s="16" t="n">
        <v>499</v>
      </c>
      <c r="I1115" s="16" t="n">
        <v>499</v>
      </c>
      <c r="J1115" s="17" t="inlineStr">
        <is>
          <t>########</t>
        </is>
      </c>
      <c r="K1115" s="16" t="inlineStr">
        <is>
          <t>(40)Green</t>
        </is>
      </c>
      <c r="L1115" s="16" t="inlineStr">
        <is>
          <t>营业中</t>
        </is>
      </c>
      <c r="M1115" s="16" t="inlineStr">
        <is>
          <t>EERSG25B1G40185</t>
        </is>
      </c>
      <c r="N1115" s="16">
        <f>LEFT(M1115,12)</f>
        <v/>
      </c>
      <c r="O1115" s="16" t="inlineStr">
        <is>
          <t>EERSG25B1G, (40)Green, (185)185</t>
        </is>
      </c>
      <c r="P1115" s="16" t="n">
        <v>499</v>
      </c>
      <c r="Q1115" s="16" t="n">
        <v>499</v>
      </c>
      <c r="R1115" s="16" t="n"/>
      <c r="S1115" s="16" t="n"/>
      <c r="T1115" s="16" t="n">
        <v>1</v>
      </c>
    </row>
    <row r="1116" s="103">
      <c r="A1116" s="16" t="inlineStr">
        <is>
          <t>B331</t>
        </is>
      </c>
      <c r="B1116" s="16" t="inlineStr">
        <is>
          <t>上海区域</t>
        </is>
      </c>
      <c r="C1116" s="16" t="inlineStr">
        <is>
          <t>CN0Q</t>
        </is>
      </c>
      <c r="D1116" s="16" t="inlineStr">
        <is>
          <t>EE 苏州比斯特购物村</t>
        </is>
      </c>
      <c r="E1116" s="16" t="n">
        <v>4</v>
      </c>
      <c r="F1116" s="16" t="inlineStr">
        <is>
          <t>奥特莱斯</t>
        </is>
      </c>
      <c r="G1116" s="16" t="inlineStr">
        <is>
          <t>EERSG64S01</t>
        </is>
      </c>
      <c r="H1116" s="16" t="n">
        <v>399</v>
      </c>
      <c r="I1116" s="16" t="n">
        <v>399</v>
      </c>
      <c r="J1116" s="17" t="inlineStr">
        <is>
          <t>########</t>
        </is>
      </c>
      <c r="K1116" s="16" t="inlineStr">
        <is>
          <t>(15)Grey</t>
        </is>
      </c>
      <c r="L1116" s="16" t="inlineStr">
        <is>
          <t>营业中</t>
        </is>
      </c>
      <c r="M1116" s="16" t="inlineStr">
        <is>
          <t>EERSG64S0115160</t>
        </is>
      </c>
      <c r="N1116" s="16">
        <f>LEFT(M1116,12)</f>
        <v/>
      </c>
      <c r="O1116" s="16" t="inlineStr">
        <is>
          <t>EERSG64S01, (15)Grey, (160)160</t>
        </is>
      </c>
      <c r="P1116" s="16" t="n">
        <v>399</v>
      </c>
      <c r="Q1116" s="16" t="n">
        <v>399</v>
      </c>
      <c r="R1116" s="16" t="n">
        <v>4</v>
      </c>
      <c r="S1116" s="16" t="n">
        <v>380</v>
      </c>
      <c r="T1116" s="16" t="n">
        <v>2</v>
      </c>
    </row>
    <row r="1117" s="103">
      <c r="A1117" s="16" t="inlineStr">
        <is>
          <t>B331</t>
        </is>
      </c>
      <c r="B1117" s="16" t="inlineStr">
        <is>
          <t>上海区域</t>
        </is>
      </c>
      <c r="C1117" s="16" t="inlineStr">
        <is>
          <t>CN0Q</t>
        </is>
      </c>
      <c r="D1117" s="16" t="inlineStr">
        <is>
          <t>EE 苏州比斯特购物村</t>
        </is>
      </c>
      <c r="E1117" s="16" t="n">
        <v>4</v>
      </c>
      <c r="F1117" s="16" t="inlineStr">
        <is>
          <t>奥特莱斯</t>
        </is>
      </c>
      <c r="G1117" s="16" t="inlineStr">
        <is>
          <t>EERSG64S01</t>
        </is>
      </c>
      <c r="H1117" s="16" t="n">
        <v>399</v>
      </c>
      <c r="I1117" s="16" t="n">
        <v>399</v>
      </c>
      <c r="J1117" s="17" t="inlineStr">
        <is>
          <t>########</t>
        </is>
      </c>
      <c r="K1117" s="16" t="inlineStr">
        <is>
          <t>(15)Grey</t>
        </is>
      </c>
      <c r="L1117" s="16" t="inlineStr">
        <is>
          <t>营业中</t>
        </is>
      </c>
      <c r="M1117" s="16" t="inlineStr">
        <is>
          <t>EERSG64S0115165</t>
        </is>
      </c>
      <c r="N1117" s="16">
        <f>LEFT(M1117,12)</f>
        <v/>
      </c>
      <c r="O1117" s="16" t="inlineStr">
        <is>
          <t>EERSG64S01, (15)Grey, (165)165</t>
        </is>
      </c>
      <c r="P1117" s="16" t="n">
        <v>399</v>
      </c>
      <c r="Q1117" s="16" t="n">
        <v>399</v>
      </c>
      <c r="R1117" s="16" t="n">
        <v>6</v>
      </c>
      <c r="S1117" s="16" t="n">
        <v>574</v>
      </c>
      <c r="T1117" s="16" t="n">
        <v>8</v>
      </c>
    </row>
    <row r="1118" s="103">
      <c r="A1118" s="16" t="inlineStr">
        <is>
          <t>B331</t>
        </is>
      </c>
      <c r="B1118" s="16" t="inlineStr">
        <is>
          <t>上海区域</t>
        </is>
      </c>
      <c r="C1118" s="16" t="inlineStr">
        <is>
          <t>CN0Q</t>
        </is>
      </c>
      <c r="D1118" s="16" t="inlineStr">
        <is>
          <t>EE 苏州比斯特购物村</t>
        </is>
      </c>
      <c r="E1118" s="16" t="n">
        <v>4</v>
      </c>
      <c r="F1118" s="16" t="inlineStr">
        <is>
          <t>奥特莱斯</t>
        </is>
      </c>
      <c r="G1118" s="16" t="inlineStr">
        <is>
          <t>EERSG64S01</t>
        </is>
      </c>
      <c r="H1118" s="16" t="n">
        <v>399</v>
      </c>
      <c r="I1118" s="16" t="n">
        <v>399</v>
      </c>
      <c r="J1118" s="17" t="inlineStr">
        <is>
          <t>########</t>
        </is>
      </c>
      <c r="K1118" s="16" t="inlineStr">
        <is>
          <t>(15)Grey</t>
        </is>
      </c>
      <c r="L1118" s="16" t="inlineStr">
        <is>
          <t>营业中</t>
        </is>
      </c>
      <c r="M1118" s="16" t="inlineStr">
        <is>
          <t>EERSG64S0115170</t>
        </is>
      </c>
      <c r="N1118" s="16">
        <f>LEFT(M1118,12)</f>
        <v/>
      </c>
      <c r="O1118" s="16" t="inlineStr">
        <is>
          <t>EERSG64S01, (15)Grey, (170)170</t>
        </is>
      </c>
      <c r="P1118" s="16" t="n">
        <v>399</v>
      </c>
      <c r="Q1118" s="16" t="n">
        <v>399</v>
      </c>
      <c r="R1118" s="16" t="n">
        <v>7</v>
      </c>
      <c r="S1118" s="16" t="n">
        <v>726</v>
      </c>
      <c r="T1118" s="16" t="n">
        <v>5</v>
      </c>
    </row>
    <row r="1119" s="103">
      <c r="A1119" s="16" t="inlineStr">
        <is>
          <t>B331</t>
        </is>
      </c>
      <c r="B1119" s="16" t="inlineStr">
        <is>
          <t>上海区域</t>
        </is>
      </c>
      <c r="C1119" s="16" t="inlineStr">
        <is>
          <t>CN0Q</t>
        </is>
      </c>
      <c r="D1119" s="16" t="inlineStr">
        <is>
          <t>EE 苏州比斯特购物村</t>
        </is>
      </c>
      <c r="E1119" s="16" t="n">
        <v>4</v>
      </c>
      <c r="F1119" s="16" t="inlineStr">
        <is>
          <t>奥特莱斯</t>
        </is>
      </c>
      <c r="G1119" s="16" t="inlineStr">
        <is>
          <t>EERSG64S01</t>
        </is>
      </c>
      <c r="H1119" s="16" t="n">
        <v>399</v>
      </c>
      <c r="I1119" s="16" t="n">
        <v>399</v>
      </c>
      <c r="J1119" s="17" t="inlineStr">
        <is>
          <t>########</t>
        </is>
      </c>
      <c r="K1119" s="16" t="inlineStr">
        <is>
          <t>(25)Pink</t>
        </is>
      </c>
      <c r="L1119" s="16" t="inlineStr">
        <is>
          <t>营业中</t>
        </is>
      </c>
      <c r="M1119" s="16" t="inlineStr">
        <is>
          <t>EERSG64S0125160</t>
        </is>
      </c>
      <c r="N1119" s="16">
        <f>LEFT(M1119,12)</f>
        <v/>
      </c>
      <c r="O1119" s="16" t="inlineStr">
        <is>
          <t>EERSG64S01, (25)Pink, (160)160</t>
        </is>
      </c>
      <c r="P1119" s="16" t="n">
        <v>399</v>
      </c>
      <c r="Q1119" s="16" t="n">
        <v>399</v>
      </c>
      <c r="R1119" s="16" t="n">
        <v>1</v>
      </c>
      <c r="S1119" s="16" t="n">
        <v>182</v>
      </c>
      <c r="T1119" s="16" t="n">
        <v>3</v>
      </c>
    </row>
    <row r="1120" s="103">
      <c r="A1120" s="16" t="inlineStr">
        <is>
          <t>B331</t>
        </is>
      </c>
      <c r="B1120" s="16" t="inlineStr">
        <is>
          <t>上海区域</t>
        </is>
      </c>
      <c r="C1120" s="16" t="inlineStr">
        <is>
          <t>CN0Q</t>
        </is>
      </c>
      <c r="D1120" s="16" t="inlineStr">
        <is>
          <t>EE 苏州比斯特购物村</t>
        </is>
      </c>
      <c r="E1120" s="16" t="n">
        <v>4</v>
      </c>
      <c r="F1120" s="16" t="inlineStr">
        <is>
          <t>奥特莱斯</t>
        </is>
      </c>
      <c r="G1120" s="16" t="inlineStr">
        <is>
          <t>EERSG64S01</t>
        </is>
      </c>
      <c r="H1120" s="16" t="n">
        <v>399</v>
      </c>
      <c r="I1120" s="16" t="n">
        <v>399</v>
      </c>
      <c r="J1120" s="17" t="inlineStr">
        <is>
          <t>########</t>
        </is>
      </c>
      <c r="K1120" s="16" t="inlineStr">
        <is>
          <t>(25)Pink</t>
        </is>
      </c>
      <c r="L1120" s="16" t="inlineStr">
        <is>
          <t>营业中</t>
        </is>
      </c>
      <c r="M1120" s="16" t="inlineStr">
        <is>
          <t>EERSG64S0125165</t>
        </is>
      </c>
      <c r="N1120" s="16">
        <f>LEFT(M1120,12)</f>
        <v/>
      </c>
      <c r="O1120" s="16" t="inlineStr">
        <is>
          <t>EERSG64S01, (25)Pink, (165)165</t>
        </is>
      </c>
      <c r="P1120" s="16" t="n">
        <v>399</v>
      </c>
      <c r="Q1120" s="16" t="n">
        <v>399</v>
      </c>
      <c r="R1120" s="16" t="n">
        <v>1</v>
      </c>
      <c r="S1120" s="16" t="n"/>
      <c r="T1120" s="16" t="n">
        <v>3</v>
      </c>
    </row>
    <row r="1121" s="103">
      <c r="A1121" s="16" t="inlineStr">
        <is>
          <t>B331</t>
        </is>
      </c>
      <c r="B1121" s="16" t="inlineStr">
        <is>
          <t>上海区域</t>
        </is>
      </c>
      <c r="C1121" s="16" t="inlineStr">
        <is>
          <t>CN0Q</t>
        </is>
      </c>
      <c r="D1121" s="16" t="inlineStr">
        <is>
          <t>EE 苏州比斯特购物村</t>
        </is>
      </c>
      <c r="E1121" s="16" t="n">
        <v>4</v>
      </c>
      <c r="F1121" s="16" t="inlineStr">
        <is>
          <t>奥特莱斯</t>
        </is>
      </c>
      <c r="G1121" s="16" t="inlineStr">
        <is>
          <t>EERSG64S01</t>
        </is>
      </c>
      <c r="H1121" s="16" t="n">
        <v>399</v>
      </c>
      <c r="I1121" s="16" t="n">
        <v>399</v>
      </c>
      <c r="J1121" s="17" t="inlineStr">
        <is>
          <t>########</t>
        </is>
      </c>
      <c r="K1121" s="16" t="inlineStr">
        <is>
          <t>(25)Pink</t>
        </is>
      </c>
      <c r="L1121" s="16" t="inlineStr">
        <is>
          <t>营业中</t>
        </is>
      </c>
      <c r="M1121" s="16" t="inlineStr">
        <is>
          <t>EERSG64S0125170</t>
        </is>
      </c>
      <c r="N1121" s="16">
        <f>LEFT(M1121,12)</f>
        <v/>
      </c>
      <c r="O1121" s="16" t="inlineStr">
        <is>
          <t>EERSG64S01, (25)Pink, (170)170</t>
        </is>
      </c>
      <c r="P1121" s="16" t="n">
        <v>399</v>
      </c>
      <c r="Q1121" s="16" t="n">
        <v>399</v>
      </c>
      <c r="R1121" s="16" t="n">
        <v>2</v>
      </c>
      <c r="S1121" s="16" t="n">
        <v>182</v>
      </c>
      <c r="T1121" s="16" t="n">
        <v>3</v>
      </c>
    </row>
    <row r="1122" s="103">
      <c r="A1122" s="16" t="inlineStr">
        <is>
          <t>B331</t>
        </is>
      </c>
      <c r="B1122" s="16" t="inlineStr">
        <is>
          <t>上海区域</t>
        </is>
      </c>
      <c r="C1122" s="16" t="inlineStr">
        <is>
          <t>CN0Q</t>
        </is>
      </c>
      <c r="D1122" s="16" t="inlineStr">
        <is>
          <t>EE 苏州比斯特购物村</t>
        </is>
      </c>
      <c r="E1122" s="16" t="n">
        <v>4</v>
      </c>
      <c r="F1122" s="16" t="inlineStr">
        <is>
          <t>奥特莱斯</t>
        </is>
      </c>
      <c r="G1122" s="16" t="inlineStr">
        <is>
          <t>EERSG64S01</t>
        </is>
      </c>
      <c r="H1122" s="16" t="n">
        <v>399</v>
      </c>
      <c r="I1122" s="16" t="n">
        <v>399</v>
      </c>
      <c r="J1122" s="17" t="inlineStr">
        <is>
          <t>########</t>
        </is>
      </c>
      <c r="K1122" s="16" t="inlineStr">
        <is>
          <t>(50)Blue</t>
        </is>
      </c>
      <c r="L1122" s="16" t="inlineStr">
        <is>
          <t>营业中</t>
        </is>
      </c>
      <c r="M1122" s="16" t="inlineStr">
        <is>
          <t>EERSG64S0150160</t>
        </is>
      </c>
      <c r="N1122" s="16">
        <f>LEFT(M1122,12)</f>
        <v/>
      </c>
      <c r="O1122" s="16" t="inlineStr">
        <is>
          <t>EERSG64S01, (50)Blue, (160)160</t>
        </is>
      </c>
      <c r="P1122" s="16" t="n">
        <v>399</v>
      </c>
      <c r="Q1122" s="16" t="n">
        <v>399</v>
      </c>
      <c r="R1122" s="16" t="n">
        <v>2</v>
      </c>
      <c r="S1122" s="16" t="n"/>
      <c r="T1122" s="16" t="n">
        <v>3</v>
      </c>
    </row>
    <row r="1123" s="103">
      <c r="A1123" s="16" t="inlineStr">
        <is>
          <t>B331</t>
        </is>
      </c>
      <c r="B1123" s="16" t="inlineStr">
        <is>
          <t>上海区域</t>
        </is>
      </c>
      <c r="C1123" s="16" t="inlineStr">
        <is>
          <t>CN0Q</t>
        </is>
      </c>
      <c r="D1123" s="16" t="inlineStr">
        <is>
          <t>EE 苏州比斯特购物村</t>
        </is>
      </c>
      <c r="E1123" s="16" t="n">
        <v>4</v>
      </c>
      <c r="F1123" s="16" t="inlineStr">
        <is>
          <t>奥特莱斯</t>
        </is>
      </c>
      <c r="G1123" s="16" t="inlineStr">
        <is>
          <t>EERSG64S01</t>
        </is>
      </c>
      <c r="H1123" s="16" t="n">
        <v>399</v>
      </c>
      <c r="I1123" s="16" t="n">
        <v>399</v>
      </c>
      <c r="J1123" s="17" t="inlineStr">
        <is>
          <t>########</t>
        </is>
      </c>
      <c r="K1123" s="16" t="inlineStr">
        <is>
          <t>(50)Blue</t>
        </is>
      </c>
      <c r="L1123" s="16" t="inlineStr">
        <is>
          <t>营业中</t>
        </is>
      </c>
      <c r="M1123" s="16" t="inlineStr">
        <is>
          <t>EERSG64S0150165</t>
        </is>
      </c>
      <c r="N1123" s="16">
        <f>LEFT(M1123,12)</f>
        <v/>
      </c>
      <c r="O1123" s="16" t="inlineStr">
        <is>
          <t>EERSG64S01, (50)Blue, (165)165</t>
        </is>
      </c>
      <c r="P1123" s="16" t="n">
        <v>399</v>
      </c>
      <c r="Q1123" s="16" t="n">
        <v>399</v>
      </c>
      <c r="R1123" s="16" t="n">
        <v>4</v>
      </c>
      <c r="S1123" s="16" t="n">
        <v>200</v>
      </c>
      <c r="T1123" s="16" t="n">
        <v>6</v>
      </c>
    </row>
    <row r="1124" s="103">
      <c r="A1124" s="16" t="inlineStr">
        <is>
          <t>B331</t>
        </is>
      </c>
      <c r="B1124" s="16" t="inlineStr">
        <is>
          <t>上海区域</t>
        </is>
      </c>
      <c r="C1124" s="16" t="inlineStr">
        <is>
          <t>CN0Q</t>
        </is>
      </c>
      <c r="D1124" s="16" t="inlineStr">
        <is>
          <t>EE 苏州比斯特购物村</t>
        </is>
      </c>
      <c r="E1124" s="16" t="n">
        <v>4</v>
      </c>
      <c r="F1124" s="16" t="inlineStr">
        <is>
          <t>奥特莱斯</t>
        </is>
      </c>
      <c r="G1124" s="16" t="inlineStr">
        <is>
          <t>EERSG64S01</t>
        </is>
      </c>
      <c r="H1124" s="16" t="n">
        <v>399</v>
      </c>
      <c r="I1124" s="16" t="n">
        <v>399</v>
      </c>
      <c r="J1124" s="17" t="inlineStr">
        <is>
          <t>########</t>
        </is>
      </c>
      <c r="K1124" s="16" t="inlineStr">
        <is>
          <t>(50)Blue</t>
        </is>
      </c>
      <c r="L1124" s="16" t="inlineStr">
        <is>
          <t>营业中</t>
        </is>
      </c>
      <c r="M1124" s="16" t="inlineStr">
        <is>
          <t>EERSG64S0150170</t>
        </is>
      </c>
      <c r="N1124" s="16">
        <f>LEFT(M1124,12)</f>
        <v/>
      </c>
      <c r="O1124" s="16" t="inlineStr">
        <is>
          <t>EERSG64S01, (50)Blue, (170)170</t>
        </is>
      </c>
      <c r="P1124" s="16" t="n">
        <v>399</v>
      </c>
      <c r="Q1124" s="16" t="n">
        <v>399</v>
      </c>
      <c r="R1124" s="16" t="n">
        <v>2</v>
      </c>
      <c r="S1124" s="16" t="n"/>
      <c r="T1124" s="16" t="n">
        <v>8</v>
      </c>
    </row>
    <row r="1125" s="103">
      <c r="A1125" s="16" t="inlineStr">
        <is>
          <t>B331</t>
        </is>
      </c>
      <c r="B1125" s="16" t="inlineStr">
        <is>
          <t>上海区域</t>
        </is>
      </c>
      <c r="C1125" s="16" t="inlineStr">
        <is>
          <t>CN0Q</t>
        </is>
      </c>
      <c r="D1125" s="16" t="inlineStr">
        <is>
          <t>EE 苏州比斯特购物村</t>
        </is>
      </c>
      <c r="E1125" s="16" t="n">
        <v>4</v>
      </c>
      <c r="F1125" s="16" t="inlineStr">
        <is>
          <t>奥特莱斯</t>
        </is>
      </c>
      <c r="G1125" s="16" t="inlineStr">
        <is>
          <t>EETAF24M01</t>
        </is>
      </c>
      <c r="H1125" s="16" t="n">
        <v>699</v>
      </c>
      <c r="I1125" s="16" t="n">
        <v>699</v>
      </c>
      <c r="J1125" s="17" t="n">
        <v>45719</v>
      </c>
      <c r="K1125" s="16" t="inlineStr">
        <is>
          <t>(17)D/Grey</t>
        </is>
      </c>
      <c r="L1125" s="16" t="inlineStr">
        <is>
          <t>营业中</t>
        </is>
      </c>
      <c r="M1125" s="16" t="inlineStr">
        <is>
          <t>EETAF24M0117160</t>
        </is>
      </c>
      <c r="N1125" s="16">
        <f>LEFT(M1125,12)</f>
        <v/>
      </c>
      <c r="O1125" s="16" t="inlineStr">
        <is>
          <t>EETAF24M01, (17)D/Grey, (160)160</t>
        </is>
      </c>
      <c r="P1125" s="16" t="n">
        <v>699</v>
      </c>
      <c r="Q1125" s="16" t="n">
        <v>699</v>
      </c>
      <c r="R1125" s="16" t="n"/>
      <c r="S1125" s="16" t="n"/>
      <c r="T1125" s="16" t="n">
        <v>4</v>
      </c>
    </row>
    <row r="1126" s="103">
      <c r="A1126" s="16" t="inlineStr">
        <is>
          <t>B331</t>
        </is>
      </c>
      <c r="B1126" s="16" t="inlineStr">
        <is>
          <t>上海区域</t>
        </is>
      </c>
      <c r="C1126" s="16" t="inlineStr">
        <is>
          <t>CN0Q</t>
        </is>
      </c>
      <c r="D1126" s="16" t="inlineStr">
        <is>
          <t>EE 苏州比斯特购物村</t>
        </is>
      </c>
      <c r="E1126" s="16" t="n">
        <v>4</v>
      </c>
      <c r="F1126" s="16" t="inlineStr">
        <is>
          <t>奥特莱斯</t>
        </is>
      </c>
      <c r="G1126" s="16" t="inlineStr">
        <is>
          <t>EETAF24M01</t>
        </is>
      </c>
      <c r="H1126" s="16" t="n">
        <v>699</v>
      </c>
      <c r="I1126" s="16" t="n">
        <v>699</v>
      </c>
      <c r="J1126" s="17" t="n">
        <v>45719</v>
      </c>
      <c r="K1126" s="16" t="inlineStr">
        <is>
          <t>(17)D/Grey</t>
        </is>
      </c>
      <c r="L1126" s="16" t="inlineStr">
        <is>
          <t>营业中</t>
        </is>
      </c>
      <c r="M1126" s="16" t="inlineStr">
        <is>
          <t>EETAF24M0117165</t>
        </is>
      </c>
      <c r="N1126" s="16">
        <f>LEFT(M1126,12)</f>
        <v/>
      </c>
      <c r="O1126" s="16" t="inlineStr">
        <is>
          <t>EETAF24M01, (17)D/Grey, (165)165</t>
        </is>
      </c>
      <c r="P1126" s="16" t="n">
        <v>699</v>
      </c>
      <c r="Q1126" s="16" t="n">
        <v>699</v>
      </c>
      <c r="R1126" s="16" t="n"/>
      <c r="S1126" s="16" t="n"/>
      <c r="T1126" s="16" t="n">
        <v>3</v>
      </c>
    </row>
    <row r="1127" s="103">
      <c r="A1127" s="16" t="inlineStr">
        <is>
          <t>B331</t>
        </is>
      </c>
      <c r="B1127" s="16" t="inlineStr">
        <is>
          <t>上海区域</t>
        </is>
      </c>
      <c r="C1127" s="16" t="inlineStr">
        <is>
          <t>CN0Q</t>
        </is>
      </c>
      <c r="D1127" s="16" t="inlineStr">
        <is>
          <t>EE 苏州比斯特购物村</t>
        </is>
      </c>
      <c r="E1127" s="16" t="n">
        <v>4</v>
      </c>
      <c r="F1127" s="16" t="inlineStr">
        <is>
          <t>奥特莱斯</t>
        </is>
      </c>
      <c r="G1127" s="16" t="inlineStr">
        <is>
          <t>EETAF24M01</t>
        </is>
      </c>
      <c r="H1127" s="16" t="n">
        <v>699</v>
      </c>
      <c r="I1127" s="16" t="n">
        <v>699</v>
      </c>
      <c r="J1127" s="17" t="n">
        <v>45719</v>
      </c>
      <c r="K1127" s="16" t="inlineStr">
        <is>
          <t>(17)D/Grey</t>
        </is>
      </c>
      <c r="L1127" s="16" t="inlineStr">
        <is>
          <t>营业中</t>
        </is>
      </c>
      <c r="M1127" s="16" t="inlineStr">
        <is>
          <t>EETAF24M0117170</t>
        </is>
      </c>
      <c r="N1127" s="16">
        <f>LEFT(M1127,12)</f>
        <v/>
      </c>
      <c r="O1127" s="16" t="inlineStr">
        <is>
          <t>EETAF24M01, (17)D/Grey, (170)170</t>
        </is>
      </c>
      <c r="P1127" s="16" t="n">
        <v>699</v>
      </c>
      <c r="Q1127" s="16" t="n">
        <v>699</v>
      </c>
      <c r="R1127" s="16" t="n"/>
      <c r="S1127" s="16" t="n"/>
      <c r="T1127" s="16" t="n">
        <v>2</v>
      </c>
    </row>
    <row r="1128" s="103">
      <c r="A1128" s="16" t="inlineStr">
        <is>
          <t>B331</t>
        </is>
      </c>
      <c r="B1128" s="16" t="inlineStr">
        <is>
          <t>上海区域</t>
        </is>
      </c>
      <c r="C1128" s="16" t="inlineStr">
        <is>
          <t>CN0Q</t>
        </is>
      </c>
      <c r="D1128" s="16" t="inlineStr">
        <is>
          <t>EE 苏州比斯特购物村</t>
        </is>
      </c>
      <c r="E1128" s="16" t="n">
        <v>4</v>
      </c>
      <c r="F1128" s="16" t="inlineStr">
        <is>
          <t>奥特莱斯</t>
        </is>
      </c>
      <c r="G1128" s="16" t="inlineStr">
        <is>
          <t>EETAF24M01</t>
        </is>
      </c>
      <c r="H1128" s="16" t="n">
        <v>699</v>
      </c>
      <c r="I1128" s="16" t="n">
        <v>699</v>
      </c>
      <c r="J1128" s="17" t="n">
        <v>45719</v>
      </c>
      <c r="K1128" s="16" t="inlineStr">
        <is>
          <t>(59)Navy</t>
        </is>
      </c>
      <c r="L1128" s="16" t="inlineStr">
        <is>
          <t>营业中</t>
        </is>
      </c>
      <c r="M1128" s="16" t="inlineStr">
        <is>
          <t>EETAF24M0159160</t>
        </is>
      </c>
      <c r="N1128" s="16">
        <f>LEFT(M1128,12)</f>
        <v/>
      </c>
      <c r="O1128" s="16" t="inlineStr">
        <is>
          <t>EETAF24M01, (59)Navy, (160)160</t>
        </is>
      </c>
      <c r="P1128" s="16" t="n">
        <v>699</v>
      </c>
      <c r="Q1128" s="16" t="n">
        <v>699</v>
      </c>
      <c r="R1128" s="16" t="n"/>
      <c r="S1128" s="16" t="n"/>
      <c r="T1128" s="16" t="n">
        <v>2</v>
      </c>
    </row>
    <row r="1129" s="103">
      <c r="A1129" s="16" t="inlineStr">
        <is>
          <t>B331</t>
        </is>
      </c>
      <c r="B1129" s="16" t="inlineStr">
        <is>
          <t>上海区域</t>
        </is>
      </c>
      <c r="C1129" s="16" t="inlineStr">
        <is>
          <t>CN0Q</t>
        </is>
      </c>
      <c r="D1129" s="16" t="inlineStr">
        <is>
          <t>EE 苏州比斯特购物村</t>
        </is>
      </c>
      <c r="E1129" s="16" t="n">
        <v>4</v>
      </c>
      <c r="F1129" s="16" t="inlineStr">
        <is>
          <t>奥特莱斯</t>
        </is>
      </c>
      <c r="G1129" s="16" t="inlineStr">
        <is>
          <t>EETAF24M01</t>
        </is>
      </c>
      <c r="H1129" s="16" t="n">
        <v>699</v>
      </c>
      <c r="I1129" s="16" t="n">
        <v>699</v>
      </c>
      <c r="J1129" s="17" t="n">
        <v>45719</v>
      </c>
      <c r="K1129" s="16" t="inlineStr">
        <is>
          <t>(59)Navy</t>
        </is>
      </c>
      <c r="L1129" s="16" t="inlineStr">
        <is>
          <t>营业中</t>
        </is>
      </c>
      <c r="M1129" s="16" t="inlineStr">
        <is>
          <t>EETAF24M0159165</t>
        </is>
      </c>
      <c r="N1129" s="16">
        <f>LEFT(M1129,12)</f>
        <v/>
      </c>
      <c r="O1129" s="16" t="inlineStr">
        <is>
          <t>EETAF24M01, (59)Navy, (165)165</t>
        </is>
      </c>
      <c r="P1129" s="16" t="n">
        <v>699</v>
      </c>
      <c r="Q1129" s="16" t="n">
        <v>699</v>
      </c>
      <c r="R1129" s="16" t="n"/>
      <c r="S1129" s="16" t="n"/>
      <c r="T1129" s="16" t="n">
        <v>3</v>
      </c>
    </row>
    <row r="1130" s="103">
      <c r="A1130" s="16" t="inlineStr">
        <is>
          <t>B331</t>
        </is>
      </c>
      <c r="B1130" s="16" t="inlineStr">
        <is>
          <t>上海区域</t>
        </is>
      </c>
      <c r="C1130" s="16" t="inlineStr">
        <is>
          <t>CN0Q</t>
        </is>
      </c>
      <c r="D1130" s="16" t="inlineStr">
        <is>
          <t>EE 苏州比斯特购物村</t>
        </is>
      </c>
      <c r="E1130" s="16" t="n">
        <v>4</v>
      </c>
      <c r="F1130" s="16" t="inlineStr">
        <is>
          <t>奥特莱斯</t>
        </is>
      </c>
      <c r="G1130" s="16" t="inlineStr">
        <is>
          <t>EETAF24M01</t>
        </is>
      </c>
      <c r="H1130" s="16" t="n">
        <v>699</v>
      </c>
      <c r="I1130" s="16" t="n">
        <v>699</v>
      </c>
      <c r="J1130" s="17" t="n">
        <v>45719</v>
      </c>
      <c r="K1130" s="16" t="inlineStr">
        <is>
          <t>(59)Navy</t>
        </is>
      </c>
      <c r="L1130" s="16" t="inlineStr">
        <is>
          <t>营业中</t>
        </is>
      </c>
      <c r="M1130" s="16" t="inlineStr">
        <is>
          <t>EETAF24M0159170</t>
        </is>
      </c>
      <c r="N1130" s="16">
        <f>LEFT(M1130,12)</f>
        <v/>
      </c>
      <c r="O1130" s="16" t="inlineStr">
        <is>
          <t>EETAF24M01, (59)Navy, (170)170</t>
        </is>
      </c>
      <c r="P1130" s="16" t="n">
        <v>699</v>
      </c>
      <c r="Q1130" s="16" t="n">
        <v>699</v>
      </c>
      <c r="R1130" s="16" t="n"/>
      <c r="S1130" s="16" t="n"/>
      <c r="T1130" s="16" t="n">
        <v>3</v>
      </c>
    </row>
    <row r="1131" s="103">
      <c r="A1131" s="16" t="inlineStr">
        <is>
          <t>B331</t>
        </is>
      </c>
      <c r="B1131" s="16" t="inlineStr">
        <is>
          <t>上海区域</t>
        </is>
      </c>
      <c r="C1131" s="16" t="inlineStr">
        <is>
          <t>CN0Q</t>
        </is>
      </c>
      <c r="D1131" s="16" t="inlineStr">
        <is>
          <t>EE 苏州比斯特购物村</t>
        </is>
      </c>
      <c r="E1131" s="16" t="n">
        <v>4</v>
      </c>
      <c r="F1131" s="16" t="inlineStr">
        <is>
          <t>奥特莱斯</t>
        </is>
      </c>
      <c r="G1131" s="16" t="inlineStr">
        <is>
          <t>EETAG24B03</t>
        </is>
      </c>
      <c r="H1131" s="16" t="n">
        <v>899</v>
      </c>
      <c r="I1131" s="16" t="n">
        <v>899</v>
      </c>
      <c r="J1131" s="17" t="inlineStr">
        <is>
          <t>########</t>
        </is>
      </c>
      <c r="K1131" s="16" t="inlineStr">
        <is>
          <t>(36)L/Beige</t>
        </is>
      </c>
      <c r="L1131" s="16" t="inlineStr">
        <is>
          <t>营业中</t>
        </is>
      </c>
      <c r="M1131" s="16" t="inlineStr">
        <is>
          <t>EETAG24B0336155</t>
        </is>
      </c>
      <c r="N1131" s="16">
        <f>LEFT(M1131,12)</f>
        <v/>
      </c>
      <c r="O1131" s="16" t="inlineStr">
        <is>
          <t>EETAG24B03, (36)L/Beige, (155)155</t>
        </is>
      </c>
      <c r="P1131" s="16" t="n">
        <v>899</v>
      </c>
      <c r="Q1131" s="16" t="n">
        <v>899</v>
      </c>
      <c r="R1131" s="16" t="n">
        <v>1</v>
      </c>
      <c r="S1131" s="16" t="n">
        <v>629</v>
      </c>
      <c r="T1131" s="16" t="n">
        <v>1</v>
      </c>
    </row>
    <row r="1132" s="103">
      <c r="A1132" s="16" t="inlineStr">
        <is>
          <t>B331</t>
        </is>
      </c>
      <c r="B1132" s="16" t="inlineStr">
        <is>
          <t>上海区域</t>
        </is>
      </c>
      <c r="C1132" s="16" t="inlineStr">
        <is>
          <t>CN0Q</t>
        </is>
      </c>
      <c r="D1132" s="16" t="inlineStr">
        <is>
          <t>EE 苏州比斯特购物村</t>
        </is>
      </c>
      <c r="E1132" s="16" t="n">
        <v>4</v>
      </c>
      <c r="F1132" s="16" t="inlineStr">
        <is>
          <t>奥特莱斯</t>
        </is>
      </c>
      <c r="G1132" s="16" t="inlineStr">
        <is>
          <t>EETAG24B03</t>
        </is>
      </c>
      <c r="H1132" s="16" t="n">
        <v>899</v>
      </c>
      <c r="I1132" s="16" t="n">
        <v>899</v>
      </c>
      <c r="J1132" s="17" t="inlineStr">
        <is>
          <t>########</t>
        </is>
      </c>
      <c r="K1132" s="16" t="inlineStr">
        <is>
          <t>(36)L/Beige</t>
        </is>
      </c>
      <c r="L1132" s="16" t="inlineStr">
        <is>
          <t>营业中</t>
        </is>
      </c>
      <c r="M1132" s="16" t="inlineStr">
        <is>
          <t>EETAG24B0336160</t>
        </is>
      </c>
      <c r="N1132" s="16">
        <f>LEFT(M1132,12)</f>
        <v/>
      </c>
      <c r="O1132" s="16" t="inlineStr">
        <is>
          <t>EETAG24B03, (36)L/Beige, (160)160</t>
        </is>
      </c>
      <c r="P1132" s="16" t="n">
        <v>899</v>
      </c>
      <c r="Q1132" s="16" t="n">
        <v>899</v>
      </c>
      <c r="R1132" s="16" t="n">
        <v>1</v>
      </c>
      <c r="S1132" s="16" t="n"/>
      <c r="T1132" s="16" t="n">
        <v>2</v>
      </c>
    </row>
    <row r="1133" s="103">
      <c r="A1133" s="16" t="inlineStr">
        <is>
          <t>B331</t>
        </is>
      </c>
      <c r="B1133" s="16" t="inlineStr">
        <is>
          <t>上海区域</t>
        </is>
      </c>
      <c r="C1133" s="16" t="inlineStr">
        <is>
          <t>CN0Q</t>
        </is>
      </c>
      <c r="D1133" s="16" t="inlineStr">
        <is>
          <t>EE 苏州比斯特购物村</t>
        </is>
      </c>
      <c r="E1133" s="16" t="n">
        <v>4</v>
      </c>
      <c r="F1133" s="16" t="inlineStr">
        <is>
          <t>奥特莱斯</t>
        </is>
      </c>
      <c r="G1133" s="16" t="inlineStr">
        <is>
          <t>EETAG24B03</t>
        </is>
      </c>
      <c r="H1133" s="16" t="n">
        <v>899</v>
      </c>
      <c r="I1133" s="16" t="n">
        <v>899</v>
      </c>
      <c r="J1133" s="17" t="inlineStr">
        <is>
          <t>########</t>
        </is>
      </c>
      <c r="K1133" s="16" t="inlineStr">
        <is>
          <t>(36)L/Beige</t>
        </is>
      </c>
      <c r="L1133" s="16" t="inlineStr">
        <is>
          <t>营业中</t>
        </is>
      </c>
      <c r="M1133" s="16" t="inlineStr">
        <is>
          <t>EETAG24B0336165</t>
        </is>
      </c>
      <c r="N1133" s="16">
        <f>LEFT(M1133,12)</f>
        <v/>
      </c>
      <c r="O1133" s="16" t="inlineStr">
        <is>
          <t>EETAG24B03, (36)L/Beige, (165)165</t>
        </is>
      </c>
      <c r="P1133" s="16" t="n">
        <v>899</v>
      </c>
      <c r="Q1133" s="16" t="n">
        <v>899</v>
      </c>
      <c r="R1133" s="16" t="n">
        <v>4</v>
      </c>
      <c r="S1133" s="18" t="n">
        <v>2319</v>
      </c>
      <c r="T1133" s="16" t="n">
        <v>0</v>
      </c>
    </row>
    <row r="1134" s="103">
      <c r="A1134" s="16" t="inlineStr">
        <is>
          <t>B331</t>
        </is>
      </c>
      <c r="B1134" s="16" t="inlineStr">
        <is>
          <t>上海区域</t>
        </is>
      </c>
      <c r="C1134" s="16" t="inlineStr">
        <is>
          <t>CN0Q</t>
        </is>
      </c>
      <c r="D1134" s="16" t="inlineStr">
        <is>
          <t>EE 苏州比斯特购物村</t>
        </is>
      </c>
      <c r="E1134" s="16" t="n">
        <v>4</v>
      </c>
      <c r="F1134" s="16" t="inlineStr">
        <is>
          <t>奥特莱斯</t>
        </is>
      </c>
      <c r="G1134" s="16" t="inlineStr">
        <is>
          <t>EETAG24B03</t>
        </is>
      </c>
      <c r="H1134" s="16" t="n">
        <v>899</v>
      </c>
      <c r="I1134" s="16" t="n">
        <v>899</v>
      </c>
      <c r="J1134" s="17" t="inlineStr">
        <is>
          <t>########</t>
        </is>
      </c>
      <c r="K1134" s="16" t="inlineStr">
        <is>
          <t>(36)L/Beige</t>
        </is>
      </c>
      <c r="L1134" s="16" t="inlineStr">
        <is>
          <t>营业中</t>
        </is>
      </c>
      <c r="M1134" s="16" t="inlineStr">
        <is>
          <t>EETAG24B0336170</t>
        </is>
      </c>
      <c r="N1134" s="16">
        <f>LEFT(M1134,12)</f>
        <v/>
      </c>
      <c r="O1134" s="16" t="inlineStr">
        <is>
          <t>EETAG24B03, (36)L/Beige, (170)170</t>
        </is>
      </c>
      <c r="P1134" s="16" t="n">
        <v>899</v>
      </c>
      <c r="Q1134" s="16" t="n">
        <v>899</v>
      </c>
      <c r="R1134" s="16" t="n"/>
      <c r="S1134" s="16" t="n"/>
      <c r="T1134" s="16" t="n">
        <v>2</v>
      </c>
    </row>
    <row r="1135" s="103">
      <c r="A1135" s="16" t="inlineStr">
        <is>
          <t>B331</t>
        </is>
      </c>
      <c r="B1135" s="16" t="inlineStr">
        <is>
          <t>上海区域</t>
        </is>
      </c>
      <c r="C1135" s="16" t="inlineStr">
        <is>
          <t>CN0Q</t>
        </is>
      </c>
      <c r="D1135" s="16" t="inlineStr">
        <is>
          <t>EE 苏州比斯特购物村</t>
        </is>
      </c>
      <c r="E1135" s="16" t="n">
        <v>4</v>
      </c>
      <c r="F1135" s="16" t="inlineStr">
        <is>
          <t>奥特莱斯</t>
        </is>
      </c>
      <c r="G1135" s="16" t="inlineStr">
        <is>
          <t>EETAG24B03</t>
        </is>
      </c>
      <c r="H1135" s="16" t="n">
        <v>899</v>
      </c>
      <c r="I1135" s="16" t="n">
        <v>899</v>
      </c>
      <c r="J1135" s="17" t="inlineStr">
        <is>
          <t>########</t>
        </is>
      </c>
      <c r="K1135" s="16" t="inlineStr">
        <is>
          <t>(59)Navy</t>
        </is>
      </c>
      <c r="L1135" s="16" t="inlineStr">
        <is>
          <t>营业中</t>
        </is>
      </c>
      <c r="M1135" s="16" t="inlineStr">
        <is>
          <t>EETAG24B0359155</t>
        </is>
      </c>
      <c r="N1135" s="16">
        <f>LEFT(M1135,12)</f>
        <v/>
      </c>
      <c r="O1135" s="16" t="inlineStr">
        <is>
          <t>EETAG24B03, (59)Navy, (155)155</t>
        </is>
      </c>
      <c r="P1135" s="16" t="n">
        <v>899</v>
      </c>
      <c r="Q1135" s="16" t="n">
        <v>899</v>
      </c>
      <c r="R1135" s="16" t="n"/>
      <c r="S1135" s="16" t="n"/>
      <c r="T1135" s="16" t="n">
        <v>2</v>
      </c>
    </row>
    <row r="1136" s="103">
      <c r="A1136" s="16" t="inlineStr">
        <is>
          <t>B331</t>
        </is>
      </c>
      <c r="B1136" s="16" t="inlineStr">
        <is>
          <t>上海区域</t>
        </is>
      </c>
      <c r="C1136" s="16" t="inlineStr">
        <is>
          <t>CN0Q</t>
        </is>
      </c>
      <c r="D1136" s="16" t="inlineStr">
        <is>
          <t>EE 苏州比斯特购物村</t>
        </is>
      </c>
      <c r="E1136" s="16" t="n">
        <v>4</v>
      </c>
      <c r="F1136" s="16" t="inlineStr">
        <is>
          <t>奥特莱斯</t>
        </is>
      </c>
      <c r="G1136" s="16" t="inlineStr">
        <is>
          <t>EETAG24B03</t>
        </is>
      </c>
      <c r="H1136" s="16" t="n">
        <v>899</v>
      </c>
      <c r="I1136" s="16" t="n">
        <v>899</v>
      </c>
      <c r="J1136" s="17" t="inlineStr">
        <is>
          <t>########</t>
        </is>
      </c>
      <c r="K1136" s="16" t="inlineStr">
        <is>
          <t>(59)Navy</t>
        </is>
      </c>
      <c r="L1136" s="16" t="inlineStr">
        <is>
          <t>营业中</t>
        </is>
      </c>
      <c r="M1136" s="16" t="inlineStr">
        <is>
          <t>EETAG24B0359160</t>
        </is>
      </c>
      <c r="N1136" s="16">
        <f>LEFT(M1136,12)</f>
        <v/>
      </c>
      <c r="O1136" s="16" t="inlineStr">
        <is>
          <t>EETAG24B03, (59)Navy, (160)160</t>
        </is>
      </c>
      <c r="P1136" s="16" t="n">
        <v>899</v>
      </c>
      <c r="Q1136" s="16" t="n">
        <v>899</v>
      </c>
      <c r="R1136" s="16" t="n">
        <v>2</v>
      </c>
      <c r="S1136" s="16" t="n">
        <v>573</v>
      </c>
      <c r="T1136" s="16" t="n">
        <v>1</v>
      </c>
    </row>
    <row r="1137" s="103">
      <c r="A1137" s="16" t="inlineStr">
        <is>
          <t>B331</t>
        </is>
      </c>
      <c r="B1137" s="16" t="inlineStr">
        <is>
          <t>上海区域</t>
        </is>
      </c>
      <c r="C1137" s="16" t="inlineStr">
        <is>
          <t>CN0Q</t>
        </is>
      </c>
      <c r="D1137" s="16" t="inlineStr">
        <is>
          <t>EE 苏州比斯特购物村</t>
        </is>
      </c>
      <c r="E1137" s="16" t="n">
        <v>4</v>
      </c>
      <c r="F1137" s="16" t="inlineStr">
        <is>
          <t>奥特莱斯</t>
        </is>
      </c>
      <c r="G1137" s="16" t="inlineStr">
        <is>
          <t>EETAG24B03</t>
        </is>
      </c>
      <c r="H1137" s="16" t="n">
        <v>899</v>
      </c>
      <c r="I1137" s="16" t="n">
        <v>899</v>
      </c>
      <c r="J1137" s="17" t="inlineStr">
        <is>
          <t>########</t>
        </is>
      </c>
      <c r="K1137" s="16" t="inlineStr">
        <is>
          <t>(59)Navy</t>
        </is>
      </c>
      <c r="L1137" s="16" t="inlineStr">
        <is>
          <t>营业中</t>
        </is>
      </c>
      <c r="M1137" s="16" t="inlineStr">
        <is>
          <t>EETAG24B0359165</t>
        </is>
      </c>
      <c r="N1137" s="16">
        <f>LEFT(M1137,12)</f>
        <v/>
      </c>
      <c r="O1137" s="16" t="inlineStr">
        <is>
          <t>EETAG24B03, (59)Navy, (165)165</t>
        </is>
      </c>
      <c r="P1137" s="16" t="n">
        <v>899</v>
      </c>
      <c r="Q1137" s="16" t="n">
        <v>899</v>
      </c>
      <c r="R1137" s="16" t="n">
        <v>2</v>
      </c>
      <c r="S1137" s="18" t="n">
        <v>1152</v>
      </c>
      <c r="T1137" s="16" t="n">
        <v>2</v>
      </c>
    </row>
    <row r="1138" s="103">
      <c r="A1138" s="16" t="inlineStr">
        <is>
          <t>B331</t>
        </is>
      </c>
      <c r="B1138" s="16" t="inlineStr">
        <is>
          <t>上海区域</t>
        </is>
      </c>
      <c r="C1138" s="16" t="inlineStr">
        <is>
          <t>CN0Q</t>
        </is>
      </c>
      <c r="D1138" s="16" t="inlineStr">
        <is>
          <t>EE 苏州比斯特购物村</t>
        </is>
      </c>
      <c r="E1138" s="16" t="n">
        <v>4</v>
      </c>
      <c r="F1138" s="16" t="inlineStr">
        <is>
          <t>奥特莱斯</t>
        </is>
      </c>
      <c r="G1138" s="16" t="inlineStr">
        <is>
          <t>EETAG24B03</t>
        </is>
      </c>
      <c r="H1138" s="16" t="n">
        <v>899</v>
      </c>
      <c r="I1138" s="16" t="n">
        <v>899</v>
      </c>
      <c r="J1138" s="17" t="inlineStr">
        <is>
          <t>########</t>
        </is>
      </c>
      <c r="K1138" s="16" t="inlineStr">
        <is>
          <t>(59)Navy</t>
        </is>
      </c>
      <c r="L1138" s="16" t="inlineStr">
        <is>
          <t>营业中</t>
        </is>
      </c>
      <c r="M1138" s="16" t="inlineStr">
        <is>
          <t>EETAG24B0359170</t>
        </is>
      </c>
      <c r="N1138" s="16">
        <f>LEFT(M1138,12)</f>
        <v/>
      </c>
      <c r="O1138" s="16" t="inlineStr">
        <is>
          <t>EETAG24B03, (59)Navy, (170)170</t>
        </is>
      </c>
      <c r="P1138" s="16" t="n">
        <v>899</v>
      </c>
      <c r="Q1138" s="16" t="n">
        <v>899</v>
      </c>
      <c r="R1138" s="16" t="n">
        <v>1</v>
      </c>
      <c r="S1138" s="16" t="n">
        <v>270</v>
      </c>
      <c r="T1138" s="16" t="n">
        <v>1</v>
      </c>
    </row>
    <row r="1139" s="103">
      <c r="A1139" s="16" t="inlineStr">
        <is>
          <t>B331</t>
        </is>
      </c>
      <c r="B1139" s="16" t="inlineStr">
        <is>
          <t>上海区域</t>
        </is>
      </c>
      <c r="C1139" s="16" t="inlineStr">
        <is>
          <t>CN0Q</t>
        </is>
      </c>
      <c r="D1139" s="16" t="inlineStr">
        <is>
          <t>EE 苏州比斯特购物村</t>
        </is>
      </c>
      <c r="E1139" s="16" t="n">
        <v>4</v>
      </c>
      <c r="F1139" s="16" t="inlineStr">
        <is>
          <t>奥特莱斯</t>
        </is>
      </c>
      <c r="G1139" s="16" t="inlineStr">
        <is>
          <t>EETAG24E02</t>
        </is>
      </c>
      <c r="H1139" s="16" t="n">
        <v>999</v>
      </c>
      <c r="I1139" s="16" t="n">
        <v>899</v>
      </c>
      <c r="J1139" s="17" t="inlineStr">
        <is>
          <t>########</t>
        </is>
      </c>
      <c r="K1139" s="16" t="inlineStr">
        <is>
          <t>(35)Beige</t>
        </is>
      </c>
      <c r="L1139" s="16" t="inlineStr">
        <is>
          <t>营业中</t>
        </is>
      </c>
      <c r="M1139" s="16" t="inlineStr">
        <is>
          <t>EETAG24E0235155</t>
        </is>
      </c>
      <c r="N1139" s="16">
        <f>LEFT(M1139,12)</f>
        <v/>
      </c>
      <c r="O1139" s="16" t="inlineStr">
        <is>
          <t>EETAG24E02, (35)Beige, (155)155</t>
        </is>
      </c>
      <c r="P1139" s="16" t="n">
        <v>999</v>
      </c>
      <c r="Q1139" s="16" t="n">
        <v>899</v>
      </c>
      <c r="R1139" s="16" t="n">
        <v>3</v>
      </c>
      <c r="S1139" s="18" t="n">
        <v>1202</v>
      </c>
      <c r="T1139" s="16" t="n">
        <v>6</v>
      </c>
    </row>
    <row r="1140" s="103">
      <c r="A1140" s="16" t="inlineStr">
        <is>
          <t>B331</t>
        </is>
      </c>
      <c r="B1140" s="16" t="inlineStr">
        <is>
          <t>上海区域</t>
        </is>
      </c>
      <c r="C1140" s="16" t="inlineStr">
        <is>
          <t>CN0Q</t>
        </is>
      </c>
      <c r="D1140" s="16" t="inlineStr">
        <is>
          <t>EE 苏州比斯特购物村</t>
        </is>
      </c>
      <c r="E1140" s="16" t="n">
        <v>4</v>
      </c>
      <c r="F1140" s="16" t="inlineStr">
        <is>
          <t>奥特莱斯</t>
        </is>
      </c>
      <c r="G1140" s="16" t="inlineStr">
        <is>
          <t>EETAG24E02</t>
        </is>
      </c>
      <c r="H1140" s="16" t="n">
        <v>999</v>
      </c>
      <c r="I1140" s="16" t="n">
        <v>899</v>
      </c>
      <c r="J1140" s="17" t="inlineStr">
        <is>
          <t>########</t>
        </is>
      </c>
      <c r="K1140" s="16" t="inlineStr">
        <is>
          <t>(35)Beige</t>
        </is>
      </c>
      <c r="L1140" s="16" t="inlineStr">
        <is>
          <t>营业中</t>
        </is>
      </c>
      <c r="M1140" s="16" t="inlineStr">
        <is>
          <t>EETAG24E0235160</t>
        </is>
      </c>
      <c r="N1140" s="16">
        <f>LEFT(M1140,12)</f>
        <v/>
      </c>
      <c r="O1140" s="16" t="inlineStr">
        <is>
          <t>EETAG24E02, (35)Beige, (160)160</t>
        </is>
      </c>
      <c r="P1140" s="16" t="n">
        <v>999</v>
      </c>
      <c r="Q1140" s="16" t="n">
        <v>899</v>
      </c>
      <c r="R1140" s="16" t="n"/>
      <c r="S1140" s="16" t="n"/>
      <c r="T1140" s="16" t="n">
        <v>3</v>
      </c>
    </row>
    <row r="1141" s="103">
      <c r="A1141" s="16" t="inlineStr">
        <is>
          <t>B331</t>
        </is>
      </c>
      <c r="B1141" s="16" t="inlineStr">
        <is>
          <t>上海区域</t>
        </is>
      </c>
      <c r="C1141" s="16" t="inlineStr">
        <is>
          <t>CN0Q</t>
        </is>
      </c>
      <c r="D1141" s="16" t="inlineStr">
        <is>
          <t>EE 苏州比斯特购物村</t>
        </is>
      </c>
      <c r="E1141" s="16" t="n">
        <v>4</v>
      </c>
      <c r="F1141" s="16" t="inlineStr">
        <is>
          <t>奥特莱斯</t>
        </is>
      </c>
      <c r="G1141" s="16" t="inlineStr">
        <is>
          <t>EETAG24E02</t>
        </is>
      </c>
      <c r="H1141" s="16" t="n">
        <v>999</v>
      </c>
      <c r="I1141" s="16" t="n">
        <v>899</v>
      </c>
      <c r="J1141" s="17" t="inlineStr">
        <is>
          <t>########</t>
        </is>
      </c>
      <c r="K1141" s="16" t="inlineStr">
        <is>
          <t>(35)Beige</t>
        </is>
      </c>
      <c r="L1141" s="16" t="inlineStr">
        <is>
          <t>营业中</t>
        </is>
      </c>
      <c r="M1141" s="16" t="inlineStr">
        <is>
          <t>EETAG24E0235165</t>
        </is>
      </c>
      <c r="N1141" s="16">
        <f>LEFT(M1141,12)</f>
        <v/>
      </c>
      <c r="O1141" s="16" t="inlineStr">
        <is>
          <t>EETAG24E02, (35)Beige, (165)165</t>
        </is>
      </c>
      <c r="P1141" s="16" t="n">
        <v>999</v>
      </c>
      <c r="Q1141" s="16" t="n">
        <v>899</v>
      </c>
      <c r="R1141" s="16" t="n">
        <v>0</v>
      </c>
      <c r="S1141" s="16" t="n">
        <v>-899</v>
      </c>
      <c r="T1141" s="16" t="n">
        <v>4</v>
      </c>
    </row>
    <row r="1142" s="103">
      <c r="A1142" s="16" t="inlineStr">
        <is>
          <t>B331</t>
        </is>
      </c>
      <c r="B1142" s="16" t="inlineStr">
        <is>
          <t>上海区域</t>
        </is>
      </c>
      <c r="C1142" s="16" t="inlineStr">
        <is>
          <t>CN0Q</t>
        </is>
      </c>
      <c r="D1142" s="16" t="inlineStr">
        <is>
          <t>EE 苏州比斯特购物村</t>
        </is>
      </c>
      <c r="E1142" s="16" t="n">
        <v>4</v>
      </c>
      <c r="F1142" s="16" t="inlineStr">
        <is>
          <t>奥特莱斯</t>
        </is>
      </c>
      <c r="G1142" s="16" t="inlineStr">
        <is>
          <t>EETAG24E02</t>
        </is>
      </c>
      <c r="H1142" s="16" t="n">
        <v>999</v>
      </c>
      <c r="I1142" s="16" t="n">
        <v>899</v>
      </c>
      <c r="J1142" s="17" t="inlineStr">
        <is>
          <t>########</t>
        </is>
      </c>
      <c r="K1142" s="16" t="inlineStr">
        <is>
          <t>(35)Beige</t>
        </is>
      </c>
      <c r="L1142" s="16" t="inlineStr">
        <is>
          <t>营业中</t>
        </is>
      </c>
      <c r="M1142" s="16" t="inlineStr">
        <is>
          <t>EETAG24E0235170</t>
        </is>
      </c>
      <c r="N1142" s="16">
        <f>LEFT(M1142,12)</f>
        <v/>
      </c>
      <c r="O1142" s="16" t="inlineStr">
        <is>
          <t>EETAG24E02, (35)Beige, (170)170</t>
        </is>
      </c>
      <c r="P1142" s="16" t="n">
        <v>999</v>
      </c>
      <c r="Q1142" s="16" t="n">
        <v>899</v>
      </c>
      <c r="R1142" s="16" t="n">
        <v>1</v>
      </c>
      <c r="S1142" s="16" t="n"/>
      <c r="T1142" s="16" t="n">
        <v>3</v>
      </c>
    </row>
    <row r="1143" s="103">
      <c r="A1143" s="16" t="inlineStr">
        <is>
          <t>B331</t>
        </is>
      </c>
      <c r="B1143" s="16" t="inlineStr">
        <is>
          <t>上海区域</t>
        </is>
      </c>
      <c r="C1143" s="16" t="inlineStr">
        <is>
          <t>CN0Q</t>
        </is>
      </c>
      <c r="D1143" s="16" t="inlineStr">
        <is>
          <t>EE 苏州比斯特购物村</t>
        </is>
      </c>
      <c r="E1143" s="16" t="n">
        <v>4</v>
      </c>
      <c r="F1143" s="16" t="inlineStr">
        <is>
          <t>奥特莱斯</t>
        </is>
      </c>
      <c r="G1143" s="16" t="inlineStr">
        <is>
          <t>EETAG24E02</t>
        </is>
      </c>
      <c r="H1143" s="16" t="n">
        <v>999</v>
      </c>
      <c r="I1143" s="16" t="n">
        <v>899</v>
      </c>
      <c r="J1143" s="17" t="inlineStr">
        <is>
          <t>########</t>
        </is>
      </c>
      <c r="K1143" s="16" t="inlineStr">
        <is>
          <t>(39)Ivory</t>
        </is>
      </c>
      <c r="L1143" s="16" t="inlineStr">
        <is>
          <t>营业中</t>
        </is>
      </c>
      <c r="M1143" s="16" t="inlineStr">
        <is>
          <t>EETAG24E0239155</t>
        </is>
      </c>
      <c r="N1143" s="16">
        <f>LEFT(M1143,12)</f>
        <v/>
      </c>
      <c r="O1143" s="16" t="inlineStr">
        <is>
          <t>EETAG24E02, (39)Ivory, (155)155</t>
        </is>
      </c>
      <c r="P1143" s="16" t="n">
        <v>999</v>
      </c>
      <c r="Q1143" s="16" t="n">
        <v>899</v>
      </c>
      <c r="R1143" s="16" t="n">
        <v>3</v>
      </c>
      <c r="S1143" s="16" t="n">
        <v>899</v>
      </c>
      <c r="T1143" s="16" t="n">
        <v>2</v>
      </c>
    </row>
    <row r="1144" s="103">
      <c r="A1144" s="16" t="inlineStr">
        <is>
          <t>B331</t>
        </is>
      </c>
      <c r="B1144" s="16" t="inlineStr">
        <is>
          <t>上海区域</t>
        </is>
      </c>
      <c r="C1144" s="16" t="inlineStr">
        <is>
          <t>CN0Q</t>
        </is>
      </c>
      <c r="D1144" s="16" t="inlineStr">
        <is>
          <t>EE 苏州比斯特购物村</t>
        </is>
      </c>
      <c r="E1144" s="16" t="n">
        <v>4</v>
      </c>
      <c r="F1144" s="16" t="inlineStr">
        <is>
          <t>奥特莱斯</t>
        </is>
      </c>
      <c r="G1144" s="16" t="inlineStr">
        <is>
          <t>EETAG24E02</t>
        </is>
      </c>
      <c r="H1144" s="16" t="n">
        <v>999</v>
      </c>
      <c r="I1144" s="16" t="n">
        <v>899</v>
      </c>
      <c r="J1144" s="17" t="inlineStr">
        <is>
          <t>########</t>
        </is>
      </c>
      <c r="K1144" s="16" t="inlineStr">
        <is>
          <t>(39)Ivory</t>
        </is>
      </c>
      <c r="L1144" s="16" t="inlineStr">
        <is>
          <t>营业中</t>
        </is>
      </c>
      <c r="M1144" s="16" t="inlineStr">
        <is>
          <t>EETAG24E0239160</t>
        </is>
      </c>
      <c r="N1144" s="16">
        <f>LEFT(M1144,12)</f>
        <v/>
      </c>
      <c r="O1144" s="16" t="inlineStr">
        <is>
          <t>EETAG24E02, (39)Ivory, (160)160</t>
        </is>
      </c>
      <c r="P1144" s="16" t="n">
        <v>999</v>
      </c>
      <c r="Q1144" s="16" t="n">
        <v>899</v>
      </c>
      <c r="R1144" s="16" t="n">
        <v>9</v>
      </c>
      <c r="S1144" s="18" t="n">
        <v>3501</v>
      </c>
      <c r="T1144" s="16" t="n">
        <v>10</v>
      </c>
    </row>
    <row r="1145" s="103">
      <c r="A1145" s="16" t="inlineStr">
        <is>
          <t>B331</t>
        </is>
      </c>
      <c r="B1145" s="16" t="inlineStr">
        <is>
          <t>上海区域</t>
        </is>
      </c>
      <c r="C1145" s="16" t="inlineStr">
        <is>
          <t>CN0Q</t>
        </is>
      </c>
      <c r="D1145" s="16" t="inlineStr">
        <is>
          <t>EE 苏州比斯特购物村</t>
        </is>
      </c>
      <c r="E1145" s="16" t="n">
        <v>4</v>
      </c>
      <c r="F1145" s="16" t="inlineStr">
        <is>
          <t>奥特莱斯</t>
        </is>
      </c>
      <c r="G1145" s="16" t="inlineStr">
        <is>
          <t>EETAG24E02</t>
        </is>
      </c>
      <c r="H1145" s="16" t="n">
        <v>999</v>
      </c>
      <c r="I1145" s="16" t="n">
        <v>899</v>
      </c>
      <c r="J1145" s="17" t="inlineStr">
        <is>
          <t>########</t>
        </is>
      </c>
      <c r="K1145" s="16" t="inlineStr">
        <is>
          <t>(39)Ivory</t>
        </is>
      </c>
      <c r="L1145" s="16" t="inlineStr">
        <is>
          <t>营业中</t>
        </is>
      </c>
      <c r="M1145" s="16" t="inlineStr">
        <is>
          <t>EETAG24E0239165</t>
        </is>
      </c>
      <c r="N1145" s="16">
        <f>LEFT(M1145,12)</f>
        <v/>
      </c>
      <c r="O1145" s="16" t="inlineStr">
        <is>
          <t>EETAG24E02, (39)Ivory, (165)165</t>
        </is>
      </c>
      <c r="P1145" s="16" t="n">
        <v>999</v>
      </c>
      <c r="Q1145" s="16" t="n">
        <v>899</v>
      </c>
      <c r="R1145" s="16" t="n">
        <v>6</v>
      </c>
      <c r="S1145" s="18" t="n">
        <v>2080</v>
      </c>
      <c r="T1145" s="16" t="n">
        <v>9</v>
      </c>
    </row>
    <row r="1146" s="103">
      <c r="A1146" s="16" t="inlineStr">
        <is>
          <t>B331</t>
        </is>
      </c>
      <c r="B1146" s="16" t="inlineStr">
        <is>
          <t>上海区域</t>
        </is>
      </c>
      <c r="C1146" s="16" t="inlineStr">
        <is>
          <t>CN0Q</t>
        </is>
      </c>
      <c r="D1146" s="16" t="inlineStr">
        <is>
          <t>EE 苏州比斯特购物村</t>
        </is>
      </c>
      <c r="E1146" s="16" t="n">
        <v>4</v>
      </c>
      <c r="F1146" s="16" t="inlineStr">
        <is>
          <t>奥特莱斯</t>
        </is>
      </c>
      <c r="G1146" s="16" t="inlineStr">
        <is>
          <t>EETAG24E02</t>
        </is>
      </c>
      <c r="H1146" s="16" t="n">
        <v>999</v>
      </c>
      <c r="I1146" s="16" t="n">
        <v>899</v>
      </c>
      <c r="J1146" s="17" t="inlineStr">
        <is>
          <t>########</t>
        </is>
      </c>
      <c r="K1146" s="16" t="inlineStr">
        <is>
          <t>(39)Ivory</t>
        </is>
      </c>
      <c r="L1146" s="16" t="inlineStr">
        <is>
          <t>营业中</t>
        </is>
      </c>
      <c r="M1146" s="16" t="inlineStr">
        <is>
          <t>EETAG24E0239170</t>
        </is>
      </c>
      <c r="N1146" s="16">
        <f>LEFT(M1146,12)</f>
        <v/>
      </c>
      <c r="O1146" s="16" t="inlineStr">
        <is>
          <t>EETAG24E02, (39)Ivory, (170)170</t>
        </is>
      </c>
      <c r="P1146" s="16" t="n">
        <v>999</v>
      </c>
      <c r="Q1146" s="16" t="n">
        <v>899</v>
      </c>
      <c r="R1146" s="16" t="n">
        <v>4</v>
      </c>
      <c r="S1146" s="18" t="n">
        <v>1155</v>
      </c>
      <c r="T1146" s="16" t="n">
        <v>5</v>
      </c>
    </row>
    <row r="1147" s="103">
      <c r="A1147" s="16" t="inlineStr">
        <is>
          <t>B331</t>
        </is>
      </c>
      <c r="B1147" s="16" t="inlineStr">
        <is>
          <t>上海区域</t>
        </is>
      </c>
      <c r="C1147" s="16" t="inlineStr">
        <is>
          <t>CN0Q</t>
        </is>
      </c>
      <c r="D1147" s="16" t="inlineStr">
        <is>
          <t>EE 苏州比斯特购物村</t>
        </is>
      </c>
      <c r="E1147" s="16" t="n">
        <v>4</v>
      </c>
      <c r="F1147" s="16" t="inlineStr">
        <is>
          <t>奥特莱斯</t>
        </is>
      </c>
      <c r="G1147" s="16" t="inlineStr">
        <is>
          <t>EETAG24E02</t>
        </is>
      </c>
      <c r="H1147" s="16" t="n">
        <v>999</v>
      </c>
      <c r="I1147" s="16" t="n">
        <v>899</v>
      </c>
      <c r="J1147" s="17" t="inlineStr">
        <is>
          <t>########</t>
        </is>
      </c>
      <c r="K1147" s="16" t="inlineStr">
        <is>
          <t>(59)Navy</t>
        </is>
      </c>
      <c r="L1147" s="16" t="inlineStr">
        <is>
          <t>营业中</t>
        </is>
      </c>
      <c r="M1147" s="16" t="inlineStr">
        <is>
          <t>EETAG24E0259155</t>
        </is>
      </c>
      <c r="N1147" s="16">
        <f>LEFT(M1147,12)</f>
        <v/>
      </c>
      <c r="O1147" s="16" t="inlineStr">
        <is>
          <t>EETAG24E02, (59)Navy, (155)155</t>
        </is>
      </c>
      <c r="P1147" s="16" t="n">
        <v>999</v>
      </c>
      <c r="Q1147" s="16" t="n">
        <v>899</v>
      </c>
      <c r="R1147" s="16" t="n">
        <v>1</v>
      </c>
      <c r="S1147" s="16" t="n">
        <v>566</v>
      </c>
      <c r="T1147" s="16" t="n">
        <v>1</v>
      </c>
    </row>
    <row r="1148" s="103">
      <c r="A1148" s="16" t="inlineStr">
        <is>
          <t>B331</t>
        </is>
      </c>
      <c r="B1148" s="16" t="inlineStr">
        <is>
          <t>上海区域</t>
        </is>
      </c>
      <c r="C1148" s="16" t="inlineStr">
        <is>
          <t>CN0Q</t>
        </is>
      </c>
      <c r="D1148" s="16" t="inlineStr">
        <is>
          <t>EE 苏州比斯特购物村</t>
        </is>
      </c>
      <c r="E1148" s="16" t="n">
        <v>4</v>
      </c>
      <c r="F1148" s="16" t="inlineStr">
        <is>
          <t>奥特莱斯</t>
        </is>
      </c>
      <c r="G1148" s="16" t="inlineStr">
        <is>
          <t>EETAG24E02</t>
        </is>
      </c>
      <c r="H1148" s="16" t="n">
        <v>999</v>
      </c>
      <c r="I1148" s="16" t="n">
        <v>899</v>
      </c>
      <c r="J1148" s="17" t="inlineStr">
        <is>
          <t>########</t>
        </is>
      </c>
      <c r="K1148" s="16" t="inlineStr">
        <is>
          <t>(59)Navy</t>
        </is>
      </c>
      <c r="L1148" s="16" t="inlineStr">
        <is>
          <t>营业中</t>
        </is>
      </c>
      <c r="M1148" s="16" t="inlineStr">
        <is>
          <t>EETAG24E0259160</t>
        </is>
      </c>
      <c r="N1148" s="16">
        <f>LEFT(M1148,12)</f>
        <v/>
      </c>
      <c r="O1148" s="16" t="inlineStr">
        <is>
          <t>EETAG24E02, (59)Navy, (160)160</t>
        </is>
      </c>
      <c r="P1148" s="16" t="n">
        <v>999</v>
      </c>
      <c r="Q1148" s="16" t="n">
        <v>899</v>
      </c>
      <c r="R1148" s="16" t="n">
        <v>7</v>
      </c>
      <c r="S1148" s="18" t="n">
        <v>3243</v>
      </c>
      <c r="T1148" s="16" t="n">
        <v>4</v>
      </c>
    </row>
    <row r="1149" s="103">
      <c r="A1149" s="16" t="inlineStr">
        <is>
          <t>B331</t>
        </is>
      </c>
      <c r="B1149" s="16" t="inlineStr">
        <is>
          <t>上海区域</t>
        </is>
      </c>
      <c r="C1149" s="16" t="inlineStr">
        <is>
          <t>CN0Q</t>
        </is>
      </c>
      <c r="D1149" s="16" t="inlineStr">
        <is>
          <t>EE 苏州比斯特购物村</t>
        </is>
      </c>
      <c r="E1149" s="16" t="n">
        <v>4</v>
      </c>
      <c r="F1149" s="16" t="inlineStr">
        <is>
          <t>奥特莱斯</t>
        </is>
      </c>
      <c r="G1149" s="16" t="inlineStr">
        <is>
          <t>EETAG24E02</t>
        </is>
      </c>
      <c r="H1149" s="16" t="n">
        <v>999</v>
      </c>
      <c r="I1149" s="16" t="n">
        <v>899</v>
      </c>
      <c r="J1149" s="17" t="inlineStr">
        <is>
          <t>########</t>
        </is>
      </c>
      <c r="K1149" s="16" t="inlineStr">
        <is>
          <t>(59)Navy</t>
        </is>
      </c>
      <c r="L1149" s="16" t="inlineStr">
        <is>
          <t>营业中</t>
        </is>
      </c>
      <c r="M1149" s="16" t="inlineStr">
        <is>
          <t>EETAG24E0259165</t>
        </is>
      </c>
      <c r="N1149" s="16">
        <f>LEFT(M1149,12)</f>
        <v/>
      </c>
      <c r="O1149" s="16" t="inlineStr">
        <is>
          <t>EETAG24E02, (59)Navy, (165)165</t>
        </is>
      </c>
      <c r="P1149" s="16" t="n">
        <v>999</v>
      </c>
      <c r="Q1149" s="16" t="n">
        <v>899</v>
      </c>
      <c r="R1149" s="16" t="n">
        <v>4</v>
      </c>
      <c r="S1149" s="18" t="n">
        <v>2304</v>
      </c>
      <c r="T1149" s="16" t="n">
        <v>4</v>
      </c>
    </row>
    <row r="1150" s="103">
      <c r="A1150" s="16" t="inlineStr">
        <is>
          <t>B331</t>
        </is>
      </c>
      <c r="B1150" s="16" t="inlineStr">
        <is>
          <t>上海区域</t>
        </is>
      </c>
      <c r="C1150" s="16" t="inlineStr">
        <is>
          <t>CN0Q</t>
        </is>
      </c>
      <c r="D1150" s="16" t="inlineStr">
        <is>
          <t>EE 苏州比斯特购物村</t>
        </is>
      </c>
      <c r="E1150" s="16" t="n">
        <v>4</v>
      </c>
      <c r="F1150" s="16" t="inlineStr">
        <is>
          <t>奥特莱斯</t>
        </is>
      </c>
      <c r="G1150" s="16" t="inlineStr">
        <is>
          <t>EETAG24E02</t>
        </is>
      </c>
      <c r="H1150" s="16" t="n">
        <v>999</v>
      </c>
      <c r="I1150" s="16" t="n">
        <v>899</v>
      </c>
      <c r="J1150" s="17" t="inlineStr">
        <is>
          <t>########</t>
        </is>
      </c>
      <c r="K1150" s="16" t="inlineStr">
        <is>
          <t>(59)Navy</t>
        </is>
      </c>
      <c r="L1150" s="16" t="inlineStr">
        <is>
          <t>营业中</t>
        </is>
      </c>
      <c r="M1150" s="16" t="inlineStr">
        <is>
          <t>EETAG24E0259170</t>
        </is>
      </c>
      <c r="N1150" s="16">
        <f>LEFT(M1150,12)</f>
        <v/>
      </c>
      <c r="O1150" s="16" t="inlineStr">
        <is>
          <t>EETAG24E02, (59)Navy, (170)170</t>
        </is>
      </c>
      <c r="P1150" s="16" t="n">
        <v>999</v>
      </c>
      <c r="Q1150" s="16" t="n">
        <v>899</v>
      </c>
      <c r="R1150" s="16" t="n">
        <v>4</v>
      </c>
      <c r="S1150" s="18" t="n">
        <v>1144</v>
      </c>
      <c r="T1150" s="16" t="n">
        <v>6</v>
      </c>
    </row>
    <row r="1151" s="103">
      <c r="A1151" s="16" t="inlineStr">
        <is>
          <t>B331</t>
        </is>
      </c>
      <c r="B1151" s="16" t="inlineStr">
        <is>
          <t>上海区域</t>
        </is>
      </c>
      <c r="C1151" s="16" t="inlineStr">
        <is>
          <t>CN0Q</t>
        </is>
      </c>
      <c r="D1151" s="16" t="inlineStr">
        <is>
          <t>EE 苏州比斯特购物村</t>
        </is>
      </c>
      <c r="E1151" s="16" t="n">
        <v>4</v>
      </c>
      <c r="F1151" s="16" t="inlineStr">
        <is>
          <t>奥特莱斯</t>
        </is>
      </c>
      <c r="G1151" s="16" t="inlineStr">
        <is>
          <t>EETAG24E04</t>
        </is>
      </c>
      <c r="H1151" s="16" t="n">
        <v>699</v>
      </c>
      <c r="I1151" s="16" t="n">
        <v>799</v>
      </c>
      <c r="J1151" s="17" t="inlineStr">
        <is>
          <t>########</t>
        </is>
      </c>
      <c r="K1151" s="16" t="inlineStr">
        <is>
          <t>(15)Grey</t>
        </is>
      </c>
      <c r="L1151" s="16" t="inlineStr">
        <is>
          <t>营业中</t>
        </is>
      </c>
      <c r="M1151" s="16" t="inlineStr">
        <is>
          <t>EETAG24E0415155</t>
        </is>
      </c>
      <c r="N1151" s="16">
        <f>LEFT(M1151,12)</f>
        <v/>
      </c>
      <c r="O1151" s="16" t="inlineStr">
        <is>
          <t>EETAG24E04, (15)Grey, (155)155</t>
        </is>
      </c>
      <c r="P1151" s="16" t="n">
        <v>699</v>
      </c>
      <c r="Q1151" s="16" t="n">
        <v>799</v>
      </c>
      <c r="R1151" s="16" t="n">
        <v>1</v>
      </c>
      <c r="S1151" s="16" t="n"/>
      <c r="T1151" s="16" t="n">
        <v>1</v>
      </c>
    </row>
    <row r="1152" s="103">
      <c r="A1152" s="16" t="inlineStr">
        <is>
          <t>B331</t>
        </is>
      </c>
      <c r="B1152" s="16" t="inlineStr">
        <is>
          <t>上海区域</t>
        </is>
      </c>
      <c r="C1152" s="16" t="inlineStr">
        <is>
          <t>CN0Q</t>
        </is>
      </c>
      <c r="D1152" s="16" t="inlineStr">
        <is>
          <t>EE 苏州比斯特购物村</t>
        </is>
      </c>
      <c r="E1152" s="16" t="n">
        <v>4</v>
      </c>
      <c r="F1152" s="16" t="inlineStr">
        <is>
          <t>奥特莱斯</t>
        </is>
      </c>
      <c r="G1152" s="16" t="inlineStr">
        <is>
          <t>EETAG24E04</t>
        </is>
      </c>
      <c r="H1152" s="16" t="n">
        <v>699</v>
      </c>
      <c r="I1152" s="16" t="n">
        <v>799</v>
      </c>
      <c r="J1152" s="17" t="inlineStr">
        <is>
          <t>########</t>
        </is>
      </c>
      <c r="K1152" s="16" t="inlineStr">
        <is>
          <t>(15)Grey</t>
        </is>
      </c>
      <c r="L1152" s="16" t="inlineStr">
        <is>
          <t>营业中</t>
        </is>
      </c>
      <c r="M1152" s="16" t="inlineStr">
        <is>
          <t>EETAG24E0415160</t>
        </is>
      </c>
      <c r="N1152" s="16">
        <f>LEFT(M1152,12)</f>
        <v/>
      </c>
      <c r="O1152" s="16" t="inlineStr">
        <is>
          <t>EETAG24E04, (15)Grey, (160)160</t>
        </is>
      </c>
      <c r="P1152" s="16" t="n">
        <v>699</v>
      </c>
      <c r="Q1152" s="16" t="n">
        <v>799</v>
      </c>
      <c r="R1152" s="16" t="n">
        <v>1</v>
      </c>
      <c r="S1152" s="16" t="n"/>
      <c r="T1152" s="16" t="n">
        <v>2</v>
      </c>
    </row>
    <row r="1153" s="103">
      <c r="A1153" s="16" t="inlineStr">
        <is>
          <t>B331</t>
        </is>
      </c>
      <c r="B1153" s="16" t="inlineStr">
        <is>
          <t>上海区域</t>
        </is>
      </c>
      <c r="C1153" s="16" t="inlineStr">
        <is>
          <t>CN0Q</t>
        </is>
      </c>
      <c r="D1153" s="16" t="inlineStr">
        <is>
          <t>EE 苏州比斯特购物村</t>
        </is>
      </c>
      <c r="E1153" s="16" t="n">
        <v>4</v>
      </c>
      <c r="F1153" s="16" t="inlineStr">
        <is>
          <t>奥特莱斯</t>
        </is>
      </c>
      <c r="G1153" s="16" t="inlineStr">
        <is>
          <t>EETAG24E04</t>
        </is>
      </c>
      <c r="H1153" s="16" t="n">
        <v>699</v>
      </c>
      <c r="I1153" s="16" t="n">
        <v>799</v>
      </c>
      <c r="J1153" s="17" t="inlineStr">
        <is>
          <t>########</t>
        </is>
      </c>
      <c r="K1153" s="16" t="inlineStr">
        <is>
          <t>(15)Grey</t>
        </is>
      </c>
      <c r="L1153" s="16" t="inlineStr">
        <is>
          <t>营业中</t>
        </is>
      </c>
      <c r="M1153" s="16" t="inlineStr">
        <is>
          <t>EETAG24E0415165</t>
        </is>
      </c>
      <c r="N1153" s="16">
        <f>LEFT(M1153,12)</f>
        <v/>
      </c>
      <c r="O1153" s="16" t="inlineStr">
        <is>
          <t>EETAG24E04, (15)Grey, (165)165</t>
        </is>
      </c>
      <c r="P1153" s="16" t="n">
        <v>699</v>
      </c>
      <c r="Q1153" s="16" t="n">
        <v>799</v>
      </c>
      <c r="R1153" s="16" t="n">
        <v>1</v>
      </c>
      <c r="S1153" s="16" t="n">
        <v>559</v>
      </c>
      <c r="T1153" s="16" t="n">
        <v>1</v>
      </c>
    </row>
    <row r="1154" s="103">
      <c r="A1154" s="16" t="inlineStr">
        <is>
          <t>B331</t>
        </is>
      </c>
      <c r="B1154" s="16" t="inlineStr">
        <is>
          <t>上海区域</t>
        </is>
      </c>
      <c r="C1154" s="16" t="inlineStr">
        <is>
          <t>CN0Q</t>
        </is>
      </c>
      <c r="D1154" s="16" t="inlineStr">
        <is>
          <t>EE 苏州比斯特购物村</t>
        </is>
      </c>
      <c r="E1154" s="16" t="n">
        <v>4</v>
      </c>
      <c r="F1154" s="16" t="inlineStr">
        <is>
          <t>奥特莱斯</t>
        </is>
      </c>
      <c r="G1154" s="16" t="inlineStr">
        <is>
          <t>EETAG24E04</t>
        </is>
      </c>
      <c r="H1154" s="16" t="n">
        <v>699</v>
      </c>
      <c r="I1154" s="16" t="n">
        <v>799</v>
      </c>
      <c r="J1154" s="17" t="inlineStr">
        <is>
          <t>########</t>
        </is>
      </c>
      <c r="K1154" s="16" t="inlineStr">
        <is>
          <t>(15)Grey</t>
        </is>
      </c>
      <c r="L1154" s="16" t="inlineStr">
        <is>
          <t>营业中</t>
        </is>
      </c>
      <c r="M1154" s="16" t="inlineStr">
        <is>
          <t>EETAG24E0415170</t>
        </is>
      </c>
      <c r="N1154" s="16">
        <f>LEFT(M1154,12)</f>
        <v/>
      </c>
      <c r="O1154" s="16" t="inlineStr">
        <is>
          <t>EETAG24E04, (15)Grey, (170)170</t>
        </is>
      </c>
      <c r="P1154" s="16" t="n">
        <v>699</v>
      </c>
      <c r="Q1154" s="16" t="n">
        <v>799</v>
      </c>
      <c r="R1154" s="16" t="n"/>
      <c r="S1154" s="16" t="n"/>
      <c r="T1154" s="16" t="n">
        <v>2</v>
      </c>
    </row>
    <row r="1155" s="103">
      <c r="A1155" s="16" t="inlineStr">
        <is>
          <t>B331</t>
        </is>
      </c>
      <c r="B1155" s="16" t="inlineStr">
        <is>
          <t>上海区域</t>
        </is>
      </c>
      <c r="C1155" s="16" t="inlineStr">
        <is>
          <t>CN0Q</t>
        </is>
      </c>
      <c r="D1155" s="16" t="inlineStr">
        <is>
          <t>EE 苏州比斯特购物村</t>
        </is>
      </c>
      <c r="E1155" s="16" t="n">
        <v>4</v>
      </c>
      <c r="F1155" s="16" t="inlineStr">
        <is>
          <t>奥特莱斯</t>
        </is>
      </c>
      <c r="G1155" s="16" t="inlineStr">
        <is>
          <t>EETAG24E04</t>
        </is>
      </c>
      <c r="H1155" s="16" t="n">
        <v>699</v>
      </c>
      <c r="I1155" s="16" t="n">
        <v>799</v>
      </c>
      <c r="J1155" s="17" t="inlineStr">
        <is>
          <t>########</t>
        </is>
      </c>
      <c r="K1155" s="16" t="inlineStr">
        <is>
          <t>(59)Navy</t>
        </is>
      </c>
      <c r="L1155" s="16" t="inlineStr">
        <is>
          <t>营业中</t>
        </is>
      </c>
      <c r="M1155" s="16" t="inlineStr">
        <is>
          <t>EETAG24E0459155</t>
        </is>
      </c>
      <c r="N1155" s="16">
        <f>LEFT(M1155,12)</f>
        <v/>
      </c>
      <c r="O1155" s="16" t="inlineStr">
        <is>
          <t>EETAG24E04, (59)Navy, (155)155</t>
        </is>
      </c>
      <c r="P1155" s="16" t="n">
        <v>699</v>
      </c>
      <c r="Q1155" s="16" t="n">
        <v>799</v>
      </c>
      <c r="R1155" s="16" t="n"/>
      <c r="S1155" s="16" t="n"/>
      <c r="T1155" s="16" t="n">
        <v>2</v>
      </c>
    </row>
    <row r="1156" s="103">
      <c r="A1156" s="16" t="inlineStr">
        <is>
          <t>B331</t>
        </is>
      </c>
      <c r="B1156" s="16" t="inlineStr">
        <is>
          <t>上海区域</t>
        </is>
      </c>
      <c r="C1156" s="16" t="inlineStr">
        <is>
          <t>CN0Q</t>
        </is>
      </c>
      <c r="D1156" s="16" t="inlineStr">
        <is>
          <t>EE 苏州比斯特购物村</t>
        </is>
      </c>
      <c r="E1156" s="16" t="n">
        <v>4</v>
      </c>
      <c r="F1156" s="16" t="inlineStr">
        <is>
          <t>奥特莱斯</t>
        </is>
      </c>
      <c r="G1156" s="16" t="inlineStr">
        <is>
          <t>EETAG24E04</t>
        </is>
      </c>
      <c r="H1156" s="16" t="n">
        <v>699</v>
      </c>
      <c r="I1156" s="16" t="n">
        <v>799</v>
      </c>
      <c r="J1156" s="17" t="inlineStr">
        <is>
          <t>########</t>
        </is>
      </c>
      <c r="K1156" s="16" t="inlineStr">
        <is>
          <t>(59)Navy</t>
        </is>
      </c>
      <c r="L1156" s="16" t="inlineStr">
        <is>
          <t>营业中</t>
        </is>
      </c>
      <c r="M1156" s="16" t="inlineStr">
        <is>
          <t>EETAG24E0459160</t>
        </is>
      </c>
      <c r="N1156" s="16">
        <f>LEFT(M1156,12)</f>
        <v/>
      </c>
      <c r="O1156" s="16" t="inlineStr">
        <is>
          <t>EETAG24E04, (59)Navy, (160)160</t>
        </is>
      </c>
      <c r="P1156" s="16" t="n">
        <v>699</v>
      </c>
      <c r="Q1156" s="16" t="n">
        <v>799</v>
      </c>
      <c r="R1156" s="16" t="n"/>
      <c r="S1156" s="16" t="n"/>
      <c r="T1156" s="16" t="n">
        <v>3</v>
      </c>
    </row>
    <row r="1157" s="103">
      <c r="A1157" s="16" t="inlineStr">
        <is>
          <t>B331</t>
        </is>
      </c>
      <c r="B1157" s="16" t="inlineStr">
        <is>
          <t>上海区域</t>
        </is>
      </c>
      <c r="C1157" s="16" t="inlineStr">
        <is>
          <t>CN0Q</t>
        </is>
      </c>
      <c r="D1157" s="16" t="inlineStr">
        <is>
          <t>EE 苏州比斯特购物村</t>
        </is>
      </c>
      <c r="E1157" s="16" t="n">
        <v>4</v>
      </c>
      <c r="F1157" s="16" t="inlineStr">
        <is>
          <t>奥特莱斯</t>
        </is>
      </c>
      <c r="G1157" s="16" t="inlineStr">
        <is>
          <t>EETAG24E04</t>
        </is>
      </c>
      <c r="H1157" s="16" t="n">
        <v>699</v>
      </c>
      <c r="I1157" s="16" t="n">
        <v>799</v>
      </c>
      <c r="J1157" s="17" t="inlineStr">
        <is>
          <t>########</t>
        </is>
      </c>
      <c r="K1157" s="16" t="inlineStr">
        <is>
          <t>(59)Navy</t>
        </is>
      </c>
      <c r="L1157" s="16" t="inlineStr">
        <is>
          <t>营业中</t>
        </is>
      </c>
      <c r="M1157" s="16" t="inlineStr">
        <is>
          <t>EETAG24E0459165</t>
        </is>
      </c>
      <c r="N1157" s="16">
        <f>LEFT(M1157,12)</f>
        <v/>
      </c>
      <c r="O1157" s="16" t="inlineStr">
        <is>
          <t>EETAG24E04, (59)Navy, (165)165</t>
        </is>
      </c>
      <c r="P1157" s="16" t="n">
        <v>699</v>
      </c>
      <c r="Q1157" s="16" t="n">
        <v>799</v>
      </c>
      <c r="R1157" s="16" t="n">
        <v>1</v>
      </c>
      <c r="S1157" s="16" t="n">
        <v>519</v>
      </c>
      <c r="T1157" s="16" t="n">
        <v>2</v>
      </c>
    </row>
    <row r="1158" s="103">
      <c r="A1158" s="16" t="inlineStr">
        <is>
          <t>B331</t>
        </is>
      </c>
      <c r="B1158" s="16" t="inlineStr">
        <is>
          <t>上海区域</t>
        </is>
      </c>
      <c r="C1158" s="16" t="inlineStr">
        <is>
          <t>CN0Q</t>
        </is>
      </c>
      <c r="D1158" s="16" t="inlineStr">
        <is>
          <t>EE 苏州比斯特购物村</t>
        </is>
      </c>
      <c r="E1158" s="16" t="n">
        <v>4</v>
      </c>
      <c r="F1158" s="16" t="inlineStr">
        <is>
          <t>奥特莱斯</t>
        </is>
      </c>
      <c r="G1158" s="16" t="inlineStr">
        <is>
          <t>EETAG24E04</t>
        </is>
      </c>
      <c r="H1158" s="16" t="n">
        <v>699</v>
      </c>
      <c r="I1158" s="16" t="n">
        <v>799</v>
      </c>
      <c r="J1158" s="17" t="inlineStr">
        <is>
          <t>########</t>
        </is>
      </c>
      <c r="K1158" s="16" t="inlineStr">
        <is>
          <t>(59)Navy</t>
        </is>
      </c>
      <c r="L1158" s="16" t="inlineStr">
        <is>
          <t>营业中</t>
        </is>
      </c>
      <c r="M1158" s="16" t="inlineStr">
        <is>
          <t>EETAG24E0459170</t>
        </is>
      </c>
      <c r="N1158" s="16">
        <f>LEFT(M1158,12)</f>
        <v/>
      </c>
      <c r="O1158" s="16" t="inlineStr">
        <is>
          <t>EETAG24E04, (59)Navy, (170)170</t>
        </is>
      </c>
      <c r="P1158" s="16" t="n">
        <v>699</v>
      </c>
      <c r="Q1158" s="16" t="n">
        <v>799</v>
      </c>
      <c r="R1158" s="16" t="n"/>
      <c r="S1158" s="16" t="n"/>
      <c r="T1158" s="16" t="n">
        <v>2</v>
      </c>
    </row>
    <row r="1159" s="103">
      <c r="A1159" s="16" t="inlineStr">
        <is>
          <t>B331</t>
        </is>
      </c>
      <c r="B1159" s="16" t="inlineStr">
        <is>
          <t>上海区域</t>
        </is>
      </c>
      <c r="C1159" s="16" t="inlineStr">
        <is>
          <t>CN0Q</t>
        </is>
      </c>
      <c r="D1159" s="16" t="inlineStr">
        <is>
          <t>EE 苏州比斯特购物村</t>
        </is>
      </c>
      <c r="E1159" s="16" t="n">
        <v>4</v>
      </c>
      <c r="F1159" s="16" t="inlineStr">
        <is>
          <t>奥特莱斯</t>
        </is>
      </c>
      <c r="G1159" s="16" t="inlineStr">
        <is>
          <t>EETCF23M02</t>
        </is>
      </c>
      <c r="H1159" s="16" t="n">
        <v>699</v>
      </c>
      <c r="I1159" s="16" t="n">
        <v>799</v>
      </c>
      <c r="J1159" s="17" t="inlineStr">
        <is>
          <t>########</t>
        </is>
      </c>
      <c r="K1159" s="16" t="inlineStr">
        <is>
          <t>(19)BLACK</t>
        </is>
      </c>
      <c r="L1159" s="16" t="inlineStr">
        <is>
          <t>营业中</t>
        </is>
      </c>
      <c r="M1159" s="16" t="inlineStr">
        <is>
          <t>EETCF23M0219155</t>
        </is>
      </c>
      <c r="N1159" s="16">
        <f>LEFT(M1159,12)</f>
        <v/>
      </c>
      <c r="O1159" s="16" t="inlineStr">
        <is>
          <t>EETCF23M02, (19)BLACK, (155)155</t>
        </is>
      </c>
      <c r="P1159" s="16" t="n">
        <v>699</v>
      </c>
      <c r="Q1159" s="16" t="n">
        <v>799</v>
      </c>
      <c r="R1159" s="16" t="n"/>
      <c r="S1159" s="16" t="n"/>
      <c r="T1159" s="16" t="n">
        <v>1</v>
      </c>
    </row>
    <row r="1160" s="103">
      <c r="A1160" s="16" t="inlineStr">
        <is>
          <t>B331</t>
        </is>
      </c>
      <c r="B1160" s="16" t="inlineStr">
        <is>
          <t>上海区域</t>
        </is>
      </c>
      <c r="C1160" s="16" t="inlineStr">
        <is>
          <t>CN0Q</t>
        </is>
      </c>
      <c r="D1160" s="16" t="inlineStr">
        <is>
          <t>EE 苏州比斯特购物村</t>
        </is>
      </c>
      <c r="E1160" s="16" t="n">
        <v>4</v>
      </c>
      <c r="F1160" s="16" t="inlineStr">
        <is>
          <t>奥特莱斯</t>
        </is>
      </c>
      <c r="G1160" s="16" t="inlineStr">
        <is>
          <t>EETCF23M02</t>
        </is>
      </c>
      <c r="H1160" s="16" t="n">
        <v>699</v>
      </c>
      <c r="I1160" s="16" t="n">
        <v>799</v>
      </c>
      <c r="J1160" s="17" t="inlineStr">
        <is>
          <t>########</t>
        </is>
      </c>
      <c r="K1160" s="16" t="inlineStr">
        <is>
          <t>(19)BLACK</t>
        </is>
      </c>
      <c r="L1160" s="16" t="inlineStr">
        <is>
          <t>营业中</t>
        </is>
      </c>
      <c r="M1160" s="16" t="inlineStr">
        <is>
          <t>EETCF23M0219160</t>
        </is>
      </c>
      <c r="N1160" s="16">
        <f>LEFT(M1160,12)</f>
        <v/>
      </c>
      <c r="O1160" s="16" t="inlineStr">
        <is>
          <t>EETCF23M02, (19)BLACK, (160)160</t>
        </is>
      </c>
      <c r="P1160" s="16" t="n">
        <v>699</v>
      </c>
      <c r="Q1160" s="16" t="n">
        <v>799</v>
      </c>
      <c r="R1160" s="16" t="n"/>
      <c r="S1160" s="16" t="n"/>
      <c r="T1160" s="16" t="n">
        <v>2</v>
      </c>
    </row>
    <row r="1161" s="103">
      <c r="A1161" s="16" t="inlineStr">
        <is>
          <t>B331</t>
        </is>
      </c>
      <c r="B1161" s="16" t="inlineStr">
        <is>
          <t>上海区域</t>
        </is>
      </c>
      <c r="C1161" s="16" t="inlineStr">
        <is>
          <t>CN0Q</t>
        </is>
      </c>
      <c r="D1161" s="16" t="inlineStr">
        <is>
          <t>EE 苏州比斯特购物村</t>
        </is>
      </c>
      <c r="E1161" s="16" t="n">
        <v>4</v>
      </c>
      <c r="F1161" s="16" t="inlineStr">
        <is>
          <t>奥特莱斯</t>
        </is>
      </c>
      <c r="G1161" s="16" t="inlineStr">
        <is>
          <t>EETCF23M02</t>
        </is>
      </c>
      <c r="H1161" s="16" t="n">
        <v>699</v>
      </c>
      <c r="I1161" s="16" t="n">
        <v>799</v>
      </c>
      <c r="J1161" s="17" t="inlineStr">
        <is>
          <t>########</t>
        </is>
      </c>
      <c r="K1161" s="16" t="inlineStr">
        <is>
          <t>(19)BLACK</t>
        </is>
      </c>
      <c r="L1161" s="16" t="inlineStr">
        <is>
          <t>营业中</t>
        </is>
      </c>
      <c r="M1161" s="16" t="inlineStr">
        <is>
          <t>EETCF23M0219165</t>
        </is>
      </c>
      <c r="N1161" s="16">
        <f>LEFT(M1161,12)</f>
        <v/>
      </c>
      <c r="O1161" s="16" t="inlineStr">
        <is>
          <t>EETCF23M02, (19)BLACK, (165)165</t>
        </is>
      </c>
      <c r="P1161" s="16" t="n">
        <v>699</v>
      </c>
      <c r="Q1161" s="16" t="n">
        <v>799</v>
      </c>
      <c r="R1161" s="16" t="n"/>
      <c r="S1161" s="16" t="n"/>
      <c r="T1161" s="16" t="n">
        <v>2</v>
      </c>
    </row>
    <row r="1162" s="103">
      <c r="A1162" s="16" t="inlineStr">
        <is>
          <t>B331</t>
        </is>
      </c>
      <c r="B1162" s="16" t="inlineStr">
        <is>
          <t>上海区域</t>
        </is>
      </c>
      <c r="C1162" s="16" t="inlineStr">
        <is>
          <t>CN0Q</t>
        </is>
      </c>
      <c r="D1162" s="16" t="inlineStr">
        <is>
          <t>EE 苏州比斯特购物村</t>
        </is>
      </c>
      <c r="E1162" s="16" t="n">
        <v>4</v>
      </c>
      <c r="F1162" s="16" t="inlineStr">
        <is>
          <t>奥特莱斯</t>
        </is>
      </c>
      <c r="G1162" s="16" t="inlineStr">
        <is>
          <t>EETCF23M02</t>
        </is>
      </c>
      <c r="H1162" s="16" t="n">
        <v>699</v>
      </c>
      <c r="I1162" s="16" t="n">
        <v>799</v>
      </c>
      <c r="J1162" s="17" t="inlineStr">
        <is>
          <t>########</t>
        </is>
      </c>
      <c r="K1162" s="16" t="inlineStr">
        <is>
          <t>(19)BLACK</t>
        </is>
      </c>
      <c r="L1162" s="16" t="inlineStr">
        <is>
          <t>营业中</t>
        </is>
      </c>
      <c r="M1162" s="16" t="inlineStr">
        <is>
          <t>EETCF23M0219170</t>
        </is>
      </c>
      <c r="N1162" s="16">
        <f>LEFT(M1162,12)</f>
        <v/>
      </c>
      <c r="O1162" s="16" t="inlineStr">
        <is>
          <t>EETCF23M02, (19)BLACK, (170)170</t>
        </is>
      </c>
      <c r="P1162" s="16" t="n">
        <v>699</v>
      </c>
      <c r="Q1162" s="16" t="n">
        <v>799</v>
      </c>
      <c r="R1162" s="16" t="n"/>
      <c r="S1162" s="16" t="n"/>
      <c r="T1162" s="16" t="n">
        <v>1</v>
      </c>
    </row>
    <row r="1163" s="103">
      <c r="A1163" s="16" t="inlineStr">
        <is>
          <t>B331</t>
        </is>
      </c>
      <c r="B1163" s="16" t="inlineStr">
        <is>
          <t>上海区域</t>
        </is>
      </c>
      <c r="C1163" s="16" t="inlineStr">
        <is>
          <t>CN0Q</t>
        </is>
      </c>
      <c r="D1163" s="16" t="inlineStr">
        <is>
          <t>EE 苏州比斯特购物村</t>
        </is>
      </c>
      <c r="E1163" s="16" t="n">
        <v>4</v>
      </c>
      <c r="F1163" s="16" t="inlineStr">
        <is>
          <t>奥特莱斯</t>
        </is>
      </c>
      <c r="G1163" s="16" t="inlineStr">
        <is>
          <t>EETCF23M02</t>
        </is>
      </c>
      <c r="H1163" s="16" t="n">
        <v>699</v>
      </c>
      <c r="I1163" s="16" t="n">
        <v>799</v>
      </c>
      <c r="J1163" s="17" t="inlineStr">
        <is>
          <t>########</t>
        </is>
      </c>
      <c r="K1163" s="16" t="inlineStr">
        <is>
          <t>(36)L/Beige</t>
        </is>
      </c>
      <c r="L1163" s="16" t="inlineStr">
        <is>
          <t>营业中</t>
        </is>
      </c>
      <c r="M1163" s="16" t="inlineStr">
        <is>
          <t>EETCF23M0236155</t>
        </is>
      </c>
      <c r="N1163" s="16">
        <f>LEFT(M1163,12)</f>
        <v/>
      </c>
      <c r="O1163" s="16" t="inlineStr">
        <is>
          <t>EETCF23M02, (36)L/Beige, (155)155</t>
        </is>
      </c>
      <c r="P1163" s="16" t="n">
        <v>699</v>
      </c>
      <c r="Q1163" s="16" t="n">
        <v>799</v>
      </c>
      <c r="R1163" s="16" t="n"/>
      <c r="S1163" s="16" t="n"/>
      <c r="T1163" s="16" t="n">
        <v>2</v>
      </c>
    </row>
    <row r="1164" s="103">
      <c r="A1164" s="16" t="inlineStr">
        <is>
          <t>B331</t>
        </is>
      </c>
      <c r="B1164" s="16" t="inlineStr">
        <is>
          <t>上海区域</t>
        </is>
      </c>
      <c r="C1164" s="16" t="inlineStr">
        <is>
          <t>CN0Q</t>
        </is>
      </c>
      <c r="D1164" s="16" t="inlineStr">
        <is>
          <t>EE 苏州比斯特购物村</t>
        </is>
      </c>
      <c r="E1164" s="16" t="n">
        <v>4</v>
      </c>
      <c r="F1164" s="16" t="inlineStr">
        <is>
          <t>奥特莱斯</t>
        </is>
      </c>
      <c r="G1164" s="16" t="inlineStr">
        <is>
          <t>EETCF23M02</t>
        </is>
      </c>
      <c r="H1164" s="16" t="n">
        <v>699</v>
      </c>
      <c r="I1164" s="16" t="n">
        <v>799</v>
      </c>
      <c r="J1164" s="17" t="inlineStr">
        <is>
          <t>########</t>
        </is>
      </c>
      <c r="K1164" s="16" t="inlineStr">
        <is>
          <t>(36)L/Beige</t>
        </is>
      </c>
      <c r="L1164" s="16" t="inlineStr">
        <is>
          <t>营业中</t>
        </is>
      </c>
      <c r="M1164" s="16" t="inlineStr">
        <is>
          <t>EETCF23M0236160</t>
        </is>
      </c>
      <c r="N1164" s="16">
        <f>LEFT(M1164,12)</f>
        <v/>
      </c>
      <c r="O1164" s="16" t="inlineStr">
        <is>
          <t>EETCF23M02, (36)L/Beige, (160)160</t>
        </is>
      </c>
      <c r="P1164" s="16" t="n">
        <v>699</v>
      </c>
      <c r="Q1164" s="16" t="n">
        <v>799</v>
      </c>
      <c r="R1164" s="16" t="n"/>
      <c r="S1164" s="16" t="n"/>
      <c r="T1164" s="16" t="n">
        <v>4</v>
      </c>
    </row>
    <row r="1165" s="103">
      <c r="A1165" s="16" t="inlineStr">
        <is>
          <t>B331</t>
        </is>
      </c>
      <c r="B1165" s="16" t="inlineStr">
        <is>
          <t>上海区域</t>
        </is>
      </c>
      <c r="C1165" s="16" t="inlineStr">
        <is>
          <t>CN0Q</t>
        </is>
      </c>
      <c r="D1165" s="16" t="inlineStr">
        <is>
          <t>EE 苏州比斯特购物村</t>
        </is>
      </c>
      <c r="E1165" s="16" t="n">
        <v>4</v>
      </c>
      <c r="F1165" s="16" t="inlineStr">
        <is>
          <t>奥特莱斯</t>
        </is>
      </c>
      <c r="G1165" s="16" t="inlineStr">
        <is>
          <t>EETCF23M02</t>
        </is>
      </c>
      <c r="H1165" s="16" t="n">
        <v>699</v>
      </c>
      <c r="I1165" s="16" t="n">
        <v>799</v>
      </c>
      <c r="J1165" s="17" t="inlineStr">
        <is>
          <t>########</t>
        </is>
      </c>
      <c r="K1165" s="16" t="inlineStr">
        <is>
          <t>(36)L/Beige</t>
        </is>
      </c>
      <c r="L1165" s="16" t="inlineStr">
        <is>
          <t>营业中</t>
        </is>
      </c>
      <c r="M1165" s="16" t="inlineStr">
        <is>
          <t>EETCF23M0236165</t>
        </is>
      </c>
      <c r="N1165" s="16">
        <f>LEFT(M1165,12)</f>
        <v/>
      </c>
      <c r="O1165" s="16" t="inlineStr">
        <is>
          <t>EETCF23M02, (36)L/Beige, (165)165</t>
        </is>
      </c>
      <c r="P1165" s="16" t="n">
        <v>699</v>
      </c>
      <c r="Q1165" s="16" t="n">
        <v>799</v>
      </c>
      <c r="R1165" s="16" t="n"/>
      <c r="S1165" s="16" t="n"/>
      <c r="T1165" s="16" t="n">
        <v>4</v>
      </c>
    </row>
    <row r="1166" s="103">
      <c r="A1166" s="16" t="inlineStr">
        <is>
          <t>B331</t>
        </is>
      </c>
      <c r="B1166" s="16" t="inlineStr">
        <is>
          <t>上海区域</t>
        </is>
      </c>
      <c r="C1166" s="16" t="inlineStr">
        <is>
          <t>CN0Q</t>
        </is>
      </c>
      <c r="D1166" s="16" t="inlineStr">
        <is>
          <t>EE 苏州比斯特购物村</t>
        </is>
      </c>
      <c r="E1166" s="16" t="n">
        <v>4</v>
      </c>
      <c r="F1166" s="16" t="inlineStr">
        <is>
          <t>奥特莱斯</t>
        </is>
      </c>
      <c r="G1166" s="16" t="inlineStr">
        <is>
          <t>EETCF23M02</t>
        </is>
      </c>
      <c r="H1166" s="16" t="n">
        <v>699</v>
      </c>
      <c r="I1166" s="16" t="n">
        <v>799</v>
      </c>
      <c r="J1166" s="17" t="inlineStr">
        <is>
          <t>########</t>
        </is>
      </c>
      <c r="K1166" s="16" t="inlineStr">
        <is>
          <t>(36)L/Beige</t>
        </is>
      </c>
      <c r="L1166" s="16" t="inlineStr">
        <is>
          <t>营业中</t>
        </is>
      </c>
      <c r="M1166" s="16" t="inlineStr">
        <is>
          <t>EETCF23M0236170</t>
        </is>
      </c>
      <c r="N1166" s="16">
        <f>LEFT(M1166,12)</f>
        <v/>
      </c>
      <c r="O1166" s="16" t="inlineStr">
        <is>
          <t>EETCF23M02, (36)L/Beige, (170)170</t>
        </is>
      </c>
      <c r="P1166" s="16" t="n">
        <v>699</v>
      </c>
      <c r="Q1166" s="16" t="n">
        <v>799</v>
      </c>
      <c r="R1166" s="16" t="n"/>
      <c r="S1166" s="16" t="n"/>
      <c r="T1166" s="16" t="n">
        <v>3</v>
      </c>
    </row>
    <row r="1167" s="103">
      <c r="A1167" s="16" t="inlineStr">
        <is>
          <t>B331</t>
        </is>
      </c>
      <c r="B1167" s="16" t="inlineStr">
        <is>
          <t>上海区域</t>
        </is>
      </c>
      <c r="C1167" s="16" t="inlineStr">
        <is>
          <t>CN0Q</t>
        </is>
      </c>
      <c r="D1167" s="16" t="inlineStr">
        <is>
          <t>EE 苏州比斯特购物村</t>
        </is>
      </c>
      <c r="E1167" s="16" t="n">
        <v>4</v>
      </c>
      <c r="F1167" s="16" t="inlineStr">
        <is>
          <t>奥特莱斯</t>
        </is>
      </c>
      <c r="G1167" s="16" t="inlineStr">
        <is>
          <t>EETCF24E01</t>
        </is>
      </c>
      <c r="H1167" s="16" t="n">
        <v>699</v>
      </c>
      <c r="I1167" s="16" t="n">
        <v>699</v>
      </c>
      <c r="J1167" s="17" t="n">
        <v>45719</v>
      </c>
      <c r="K1167" s="16" t="inlineStr">
        <is>
          <t>(35)Beige</t>
        </is>
      </c>
      <c r="L1167" s="16" t="inlineStr">
        <is>
          <t>营业中</t>
        </is>
      </c>
      <c r="M1167" s="16" t="inlineStr">
        <is>
          <t>EETCF24E0135155</t>
        </is>
      </c>
      <c r="N1167" s="16">
        <f>LEFT(M1167,12)</f>
        <v/>
      </c>
      <c r="O1167" s="16" t="inlineStr">
        <is>
          <t>EETCF24E01, (35)Beige, (155)155</t>
        </is>
      </c>
      <c r="P1167" s="16" t="n">
        <v>699</v>
      </c>
      <c r="Q1167" s="16" t="n">
        <v>699</v>
      </c>
      <c r="R1167" s="16" t="n"/>
      <c r="S1167" s="16" t="n"/>
      <c r="T1167" s="16" t="n">
        <v>3</v>
      </c>
    </row>
    <row r="1168" s="103">
      <c r="A1168" s="16" t="inlineStr">
        <is>
          <t>B331</t>
        </is>
      </c>
      <c r="B1168" s="16" t="inlineStr">
        <is>
          <t>上海区域</t>
        </is>
      </c>
      <c r="C1168" s="16" t="inlineStr">
        <is>
          <t>CN0Q</t>
        </is>
      </c>
      <c r="D1168" s="16" t="inlineStr">
        <is>
          <t>EE 苏州比斯特购物村</t>
        </is>
      </c>
      <c r="E1168" s="16" t="n">
        <v>4</v>
      </c>
      <c r="F1168" s="16" t="inlineStr">
        <is>
          <t>奥特莱斯</t>
        </is>
      </c>
      <c r="G1168" s="16" t="inlineStr">
        <is>
          <t>EETCF24E01</t>
        </is>
      </c>
      <c r="H1168" s="16" t="n">
        <v>699</v>
      </c>
      <c r="I1168" s="16" t="n">
        <v>699</v>
      </c>
      <c r="J1168" s="17" t="n">
        <v>45719</v>
      </c>
      <c r="K1168" s="16" t="inlineStr">
        <is>
          <t>(35)Beige</t>
        </is>
      </c>
      <c r="L1168" s="16" t="inlineStr">
        <is>
          <t>营业中</t>
        </is>
      </c>
      <c r="M1168" s="16" t="inlineStr">
        <is>
          <t>EETCF24E0135160</t>
        </is>
      </c>
      <c r="N1168" s="16">
        <f>LEFT(M1168,12)</f>
        <v/>
      </c>
      <c r="O1168" s="16" t="inlineStr">
        <is>
          <t>EETCF24E01, (35)Beige, (160)160</t>
        </is>
      </c>
      <c r="P1168" s="16" t="n">
        <v>699</v>
      </c>
      <c r="Q1168" s="16" t="n">
        <v>699</v>
      </c>
      <c r="R1168" s="16" t="n"/>
      <c r="S1168" s="16" t="n"/>
      <c r="T1168" s="16" t="n">
        <v>4</v>
      </c>
    </row>
    <row r="1169" s="103">
      <c r="A1169" s="16" t="inlineStr">
        <is>
          <t>B331</t>
        </is>
      </c>
      <c r="B1169" s="16" t="inlineStr">
        <is>
          <t>上海区域</t>
        </is>
      </c>
      <c r="C1169" s="16" t="inlineStr">
        <is>
          <t>CN0Q</t>
        </is>
      </c>
      <c r="D1169" s="16" t="inlineStr">
        <is>
          <t>EE 苏州比斯特购物村</t>
        </is>
      </c>
      <c r="E1169" s="16" t="n">
        <v>4</v>
      </c>
      <c r="F1169" s="16" t="inlineStr">
        <is>
          <t>奥特莱斯</t>
        </is>
      </c>
      <c r="G1169" s="16" t="inlineStr">
        <is>
          <t>EETCF24E01</t>
        </is>
      </c>
      <c r="H1169" s="16" t="n">
        <v>699</v>
      </c>
      <c r="I1169" s="16" t="n">
        <v>699</v>
      </c>
      <c r="J1169" s="17" t="n">
        <v>45719</v>
      </c>
      <c r="K1169" s="16" t="inlineStr">
        <is>
          <t>(35)Beige</t>
        </is>
      </c>
      <c r="L1169" s="16" t="inlineStr">
        <is>
          <t>营业中</t>
        </is>
      </c>
      <c r="M1169" s="16" t="inlineStr">
        <is>
          <t>EETCF24E0135165</t>
        </is>
      </c>
      <c r="N1169" s="16">
        <f>LEFT(M1169,12)</f>
        <v/>
      </c>
      <c r="O1169" s="16" t="inlineStr">
        <is>
          <t>EETCF24E01, (35)Beige, (165)165</t>
        </is>
      </c>
      <c r="P1169" s="16" t="n">
        <v>699</v>
      </c>
      <c r="Q1169" s="16" t="n">
        <v>699</v>
      </c>
      <c r="R1169" s="16" t="n"/>
      <c r="S1169" s="16" t="n"/>
      <c r="T1169" s="16" t="n">
        <v>4</v>
      </c>
    </row>
    <row r="1170" s="103">
      <c r="A1170" s="16" t="inlineStr">
        <is>
          <t>B331</t>
        </is>
      </c>
      <c r="B1170" s="16" t="inlineStr">
        <is>
          <t>上海区域</t>
        </is>
      </c>
      <c r="C1170" s="16" t="inlineStr">
        <is>
          <t>CN0Q</t>
        </is>
      </c>
      <c r="D1170" s="16" t="inlineStr">
        <is>
          <t>EE 苏州比斯特购物村</t>
        </is>
      </c>
      <c r="E1170" s="16" t="n">
        <v>4</v>
      </c>
      <c r="F1170" s="16" t="inlineStr">
        <is>
          <t>奥特莱斯</t>
        </is>
      </c>
      <c r="G1170" s="16" t="inlineStr">
        <is>
          <t>EETCF24E01</t>
        </is>
      </c>
      <c r="H1170" s="16" t="n">
        <v>699</v>
      </c>
      <c r="I1170" s="16" t="n">
        <v>699</v>
      </c>
      <c r="J1170" s="17" t="n">
        <v>45719</v>
      </c>
      <c r="K1170" s="16" t="inlineStr">
        <is>
          <t>(35)Beige</t>
        </is>
      </c>
      <c r="L1170" s="16" t="inlineStr">
        <is>
          <t>营业中</t>
        </is>
      </c>
      <c r="M1170" s="16" t="inlineStr">
        <is>
          <t>EETCF24E0135170</t>
        </is>
      </c>
      <c r="N1170" s="16">
        <f>LEFT(M1170,12)</f>
        <v/>
      </c>
      <c r="O1170" s="16" t="inlineStr">
        <is>
          <t>EETCF24E01, (35)Beige, (170)170</t>
        </is>
      </c>
      <c r="P1170" s="16" t="n">
        <v>699</v>
      </c>
      <c r="Q1170" s="16" t="n">
        <v>699</v>
      </c>
      <c r="R1170" s="16" t="n"/>
      <c r="S1170" s="16" t="n"/>
      <c r="T1170" s="16" t="n">
        <v>3</v>
      </c>
    </row>
    <row r="1171" s="103">
      <c r="A1171" s="16" t="inlineStr">
        <is>
          <t>B331</t>
        </is>
      </c>
      <c r="B1171" s="16" t="inlineStr">
        <is>
          <t>上海区域</t>
        </is>
      </c>
      <c r="C1171" s="16" t="inlineStr">
        <is>
          <t>CN0Q</t>
        </is>
      </c>
      <c r="D1171" s="16" t="inlineStr">
        <is>
          <t>EE 苏州比斯特购物村</t>
        </is>
      </c>
      <c r="E1171" s="16" t="n">
        <v>4</v>
      </c>
      <c r="F1171" s="16" t="inlineStr">
        <is>
          <t>奥特莱斯</t>
        </is>
      </c>
      <c r="G1171" s="16" t="inlineStr">
        <is>
          <t>EETCF24E01</t>
        </is>
      </c>
      <c r="H1171" s="16" t="n">
        <v>699</v>
      </c>
      <c r="I1171" s="16" t="n">
        <v>699</v>
      </c>
      <c r="J1171" s="17" t="n">
        <v>45719</v>
      </c>
      <c r="K1171" s="16" t="inlineStr">
        <is>
          <t>(36)L/Beige</t>
        </is>
      </c>
      <c r="L1171" s="16" t="inlineStr">
        <is>
          <t>营业中</t>
        </is>
      </c>
      <c r="M1171" s="16" t="inlineStr">
        <is>
          <t>EETCF24E0136160</t>
        </is>
      </c>
      <c r="N1171" s="16">
        <f>LEFT(M1171,12)</f>
        <v/>
      </c>
      <c r="O1171" s="16" t="inlineStr">
        <is>
          <t>EETCF24E01, (36)L/Beige, (160)160</t>
        </is>
      </c>
      <c r="P1171" s="16" t="n">
        <v>699</v>
      </c>
      <c r="Q1171" s="16" t="n">
        <v>699</v>
      </c>
      <c r="R1171" s="16" t="n"/>
      <c r="S1171" s="16" t="n"/>
      <c r="T1171" s="16" t="n">
        <v>2</v>
      </c>
    </row>
    <row r="1172" s="103">
      <c r="A1172" s="16" t="inlineStr">
        <is>
          <t>B331</t>
        </is>
      </c>
      <c r="B1172" s="16" t="inlineStr">
        <is>
          <t>上海区域</t>
        </is>
      </c>
      <c r="C1172" s="16" t="inlineStr">
        <is>
          <t>CN0Q</t>
        </is>
      </c>
      <c r="D1172" s="16" t="inlineStr">
        <is>
          <t>EE 苏州比斯特购物村</t>
        </is>
      </c>
      <c r="E1172" s="16" t="n">
        <v>4</v>
      </c>
      <c r="F1172" s="16" t="inlineStr">
        <is>
          <t>奥特莱斯</t>
        </is>
      </c>
      <c r="G1172" s="16" t="inlineStr">
        <is>
          <t>EETCF24E01</t>
        </is>
      </c>
      <c r="H1172" s="16" t="n">
        <v>699</v>
      </c>
      <c r="I1172" s="16" t="n">
        <v>699</v>
      </c>
      <c r="J1172" s="17" t="n">
        <v>45719</v>
      </c>
      <c r="K1172" s="16" t="inlineStr">
        <is>
          <t>(36)L/Beige</t>
        </is>
      </c>
      <c r="L1172" s="16" t="inlineStr">
        <is>
          <t>营业中</t>
        </is>
      </c>
      <c r="M1172" s="16" t="inlineStr">
        <is>
          <t>EETCF24E0136165</t>
        </is>
      </c>
      <c r="N1172" s="16">
        <f>LEFT(M1172,12)</f>
        <v/>
      </c>
      <c r="O1172" s="16" t="inlineStr">
        <is>
          <t>EETCF24E01, (36)L/Beige, (165)165</t>
        </is>
      </c>
      <c r="P1172" s="16" t="n">
        <v>699</v>
      </c>
      <c r="Q1172" s="16" t="n">
        <v>699</v>
      </c>
      <c r="R1172" s="16" t="n"/>
      <c r="S1172" s="16" t="n"/>
      <c r="T1172" s="16" t="n">
        <v>3</v>
      </c>
    </row>
    <row r="1173" s="103">
      <c r="A1173" s="16" t="inlineStr">
        <is>
          <t>B331</t>
        </is>
      </c>
      <c r="B1173" s="16" t="inlineStr">
        <is>
          <t>上海区域</t>
        </is>
      </c>
      <c r="C1173" s="16" t="inlineStr">
        <is>
          <t>CN0Q</t>
        </is>
      </c>
      <c r="D1173" s="16" t="inlineStr">
        <is>
          <t>EE 苏州比斯特购物村</t>
        </is>
      </c>
      <c r="E1173" s="16" t="n">
        <v>4</v>
      </c>
      <c r="F1173" s="16" t="inlineStr">
        <is>
          <t>奥特莱斯</t>
        </is>
      </c>
      <c r="G1173" s="16" t="inlineStr">
        <is>
          <t>EETCF24E01</t>
        </is>
      </c>
      <c r="H1173" s="16" t="n">
        <v>699</v>
      </c>
      <c r="I1173" s="16" t="n">
        <v>699</v>
      </c>
      <c r="J1173" s="17" t="n">
        <v>45719</v>
      </c>
      <c r="K1173" s="16" t="inlineStr">
        <is>
          <t>(36)L/Beige</t>
        </is>
      </c>
      <c r="L1173" s="16" t="inlineStr">
        <is>
          <t>营业中</t>
        </is>
      </c>
      <c r="M1173" s="16" t="inlineStr">
        <is>
          <t>EETCF24E0136170</t>
        </is>
      </c>
      <c r="N1173" s="16">
        <f>LEFT(M1173,12)</f>
        <v/>
      </c>
      <c r="O1173" s="16" t="inlineStr">
        <is>
          <t>EETCF24E01, (36)L/Beige, (170)170</t>
        </is>
      </c>
      <c r="P1173" s="16" t="n">
        <v>699</v>
      </c>
      <c r="Q1173" s="16" t="n">
        <v>699</v>
      </c>
      <c r="R1173" s="16" t="n"/>
      <c r="S1173" s="16" t="n"/>
      <c r="T1173" s="16" t="n">
        <v>2</v>
      </c>
    </row>
    <row r="1174" s="103">
      <c r="A1174" s="16" t="inlineStr">
        <is>
          <t>B331</t>
        </is>
      </c>
      <c r="B1174" s="16" t="inlineStr">
        <is>
          <t>上海区域</t>
        </is>
      </c>
      <c r="C1174" s="16" t="inlineStr">
        <is>
          <t>CN0Q</t>
        </is>
      </c>
      <c r="D1174" s="16" t="inlineStr">
        <is>
          <t>EE 苏州比斯特购物村</t>
        </is>
      </c>
      <c r="E1174" s="16" t="n">
        <v>4</v>
      </c>
      <c r="F1174" s="16" t="inlineStr">
        <is>
          <t>奥特莱斯</t>
        </is>
      </c>
      <c r="G1174" s="16" t="inlineStr">
        <is>
          <t>EETCF24E01</t>
        </is>
      </c>
      <c r="H1174" s="16" t="n">
        <v>699</v>
      </c>
      <c r="I1174" s="16" t="n">
        <v>699</v>
      </c>
      <c r="J1174" s="17" t="n">
        <v>45719</v>
      </c>
      <c r="K1174" s="16" t="inlineStr">
        <is>
          <t>(59)Navy</t>
        </is>
      </c>
      <c r="L1174" s="16" t="inlineStr">
        <is>
          <t>营业中</t>
        </is>
      </c>
      <c r="M1174" s="16" t="inlineStr">
        <is>
          <t>EETCF24E0159155</t>
        </is>
      </c>
      <c r="N1174" s="16">
        <f>LEFT(M1174,12)</f>
        <v/>
      </c>
      <c r="O1174" s="16" t="inlineStr">
        <is>
          <t>EETCF24E01, (59)Navy, (155)155</t>
        </is>
      </c>
      <c r="P1174" s="16" t="n">
        <v>699</v>
      </c>
      <c r="Q1174" s="16" t="n">
        <v>699</v>
      </c>
      <c r="R1174" s="16" t="n"/>
      <c r="S1174" s="16" t="n"/>
      <c r="T1174" s="16" t="n">
        <v>3</v>
      </c>
    </row>
    <row r="1175" s="103">
      <c r="A1175" s="16" t="inlineStr">
        <is>
          <t>B331</t>
        </is>
      </c>
      <c r="B1175" s="16" t="inlineStr">
        <is>
          <t>上海区域</t>
        </is>
      </c>
      <c r="C1175" s="16" t="inlineStr">
        <is>
          <t>CN0Q</t>
        </is>
      </c>
      <c r="D1175" s="16" t="inlineStr">
        <is>
          <t>EE 苏州比斯特购物村</t>
        </is>
      </c>
      <c r="E1175" s="16" t="n">
        <v>4</v>
      </c>
      <c r="F1175" s="16" t="inlineStr">
        <is>
          <t>奥特莱斯</t>
        </is>
      </c>
      <c r="G1175" s="16" t="inlineStr">
        <is>
          <t>EETCF24E01</t>
        </is>
      </c>
      <c r="H1175" s="16" t="n">
        <v>699</v>
      </c>
      <c r="I1175" s="16" t="n">
        <v>699</v>
      </c>
      <c r="J1175" s="17" t="n">
        <v>45719</v>
      </c>
      <c r="K1175" s="16" t="inlineStr">
        <is>
          <t>(59)Navy</t>
        </is>
      </c>
      <c r="L1175" s="16" t="inlineStr">
        <is>
          <t>营业中</t>
        </is>
      </c>
      <c r="M1175" s="16" t="inlineStr">
        <is>
          <t>EETCF24E0159160</t>
        </is>
      </c>
      <c r="N1175" s="16">
        <f>LEFT(M1175,12)</f>
        <v/>
      </c>
      <c r="O1175" s="16" t="inlineStr">
        <is>
          <t>EETCF24E01, (59)Navy, (160)160</t>
        </is>
      </c>
      <c r="P1175" s="16" t="n">
        <v>699</v>
      </c>
      <c r="Q1175" s="16" t="n">
        <v>699</v>
      </c>
      <c r="R1175" s="16" t="n"/>
      <c r="S1175" s="16" t="n"/>
      <c r="T1175" s="16" t="n">
        <v>10</v>
      </c>
    </row>
    <row r="1176" s="103">
      <c r="A1176" s="16" t="inlineStr">
        <is>
          <t>B331</t>
        </is>
      </c>
      <c r="B1176" s="16" t="inlineStr">
        <is>
          <t>上海区域</t>
        </is>
      </c>
      <c r="C1176" s="16" t="inlineStr">
        <is>
          <t>CN0Q</t>
        </is>
      </c>
      <c r="D1176" s="16" t="inlineStr">
        <is>
          <t>EE 苏州比斯特购物村</t>
        </is>
      </c>
      <c r="E1176" s="16" t="n">
        <v>4</v>
      </c>
      <c r="F1176" s="16" t="inlineStr">
        <is>
          <t>奥特莱斯</t>
        </is>
      </c>
      <c r="G1176" s="16" t="inlineStr">
        <is>
          <t>EETCF24E01</t>
        </is>
      </c>
      <c r="H1176" s="16" t="n">
        <v>699</v>
      </c>
      <c r="I1176" s="16" t="n">
        <v>699</v>
      </c>
      <c r="J1176" s="17" t="n">
        <v>45719</v>
      </c>
      <c r="K1176" s="16" t="inlineStr">
        <is>
          <t>(59)Navy</t>
        </is>
      </c>
      <c r="L1176" s="16" t="inlineStr">
        <is>
          <t>营业中</t>
        </is>
      </c>
      <c r="M1176" s="16" t="inlineStr">
        <is>
          <t>EETCF24E0159165</t>
        </is>
      </c>
      <c r="N1176" s="16">
        <f>LEFT(M1176,12)</f>
        <v/>
      </c>
      <c r="O1176" s="16" t="inlineStr">
        <is>
          <t>EETCF24E01, (59)Navy, (165)165</t>
        </is>
      </c>
      <c r="P1176" s="16" t="n">
        <v>699</v>
      </c>
      <c r="Q1176" s="16" t="n">
        <v>699</v>
      </c>
      <c r="R1176" s="16" t="n"/>
      <c r="S1176" s="16" t="n"/>
      <c r="T1176" s="16" t="n">
        <v>6</v>
      </c>
    </row>
    <row r="1177" s="103">
      <c r="A1177" s="16" t="inlineStr">
        <is>
          <t>B331</t>
        </is>
      </c>
      <c r="B1177" s="16" t="inlineStr">
        <is>
          <t>上海区域</t>
        </is>
      </c>
      <c r="C1177" s="16" t="inlineStr">
        <is>
          <t>CN0Q</t>
        </is>
      </c>
      <c r="D1177" s="16" t="inlineStr">
        <is>
          <t>EE 苏州比斯特购物村</t>
        </is>
      </c>
      <c r="E1177" s="16" t="n">
        <v>4</v>
      </c>
      <c r="F1177" s="16" t="inlineStr">
        <is>
          <t>奥特莱斯</t>
        </is>
      </c>
      <c r="G1177" s="16" t="inlineStr">
        <is>
          <t>EETCF24E01</t>
        </is>
      </c>
      <c r="H1177" s="16" t="n">
        <v>699</v>
      </c>
      <c r="I1177" s="16" t="n">
        <v>699</v>
      </c>
      <c r="J1177" s="17" t="n">
        <v>45719</v>
      </c>
      <c r="K1177" s="16" t="inlineStr">
        <is>
          <t>(59)Navy</t>
        </is>
      </c>
      <c r="L1177" s="16" t="inlineStr">
        <is>
          <t>营业中</t>
        </is>
      </c>
      <c r="M1177" s="16" t="inlineStr">
        <is>
          <t>EETCF24E0159170</t>
        </is>
      </c>
      <c r="N1177" s="16">
        <f>LEFT(M1177,12)</f>
        <v/>
      </c>
      <c r="O1177" s="16" t="inlineStr">
        <is>
          <t>EETCF24E01, (59)Navy, (170)170</t>
        </is>
      </c>
      <c r="P1177" s="16" t="n">
        <v>699</v>
      </c>
      <c r="Q1177" s="16" t="n">
        <v>699</v>
      </c>
      <c r="R1177" s="16" t="n"/>
      <c r="S1177" s="16" t="n"/>
      <c r="T1177" s="16" t="n">
        <v>4</v>
      </c>
    </row>
    <row r="1178" s="103">
      <c r="A1178" s="16" t="inlineStr">
        <is>
          <t>B331</t>
        </is>
      </c>
      <c r="B1178" s="16" t="inlineStr">
        <is>
          <t>上海区域</t>
        </is>
      </c>
      <c r="C1178" s="16" t="inlineStr">
        <is>
          <t>CN0Q</t>
        </is>
      </c>
      <c r="D1178" s="16" t="inlineStr">
        <is>
          <t>EE 苏州比斯特购物村</t>
        </is>
      </c>
      <c r="E1178" s="16" t="n">
        <v>4</v>
      </c>
      <c r="F1178" s="16" t="inlineStr">
        <is>
          <t>奥特莱斯</t>
        </is>
      </c>
      <c r="G1178" s="16" t="inlineStr">
        <is>
          <t>EETCF24M02</t>
        </is>
      </c>
      <c r="H1178" s="16" t="n">
        <v>899</v>
      </c>
      <c r="I1178" s="16" t="n">
        <v>899</v>
      </c>
      <c r="J1178" s="17" t="inlineStr">
        <is>
          <t>########</t>
        </is>
      </c>
      <c r="K1178" s="16" t="inlineStr">
        <is>
          <t>(35)Beige</t>
        </is>
      </c>
      <c r="L1178" s="16" t="inlineStr">
        <is>
          <t>营业中</t>
        </is>
      </c>
      <c r="M1178" s="16" t="inlineStr">
        <is>
          <t>EETCF24M0235155</t>
        </is>
      </c>
      <c r="N1178" s="16">
        <f>LEFT(M1178,12)</f>
        <v/>
      </c>
      <c r="O1178" s="16" t="inlineStr">
        <is>
          <t>EETCF24M02, (35)Beige, (155)155</t>
        </is>
      </c>
      <c r="P1178" s="16" t="n">
        <v>899</v>
      </c>
      <c r="Q1178" s="16" t="n">
        <v>899</v>
      </c>
      <c r="R1178" s="16" t="n">
        <v>2</v>
      </c>
      <c r="S1178" s="16" t="n">
        <v>854</v>
      </c>
      <c r="T1178" s="16" t="n">
        <v>2</v>
      </c>
    </row>
    <row r="1179" s="103">
      <c r="A1179" s="16" t="inlineStr">
        <is>
          <t>B331</t>
        </is>
      </c>
      <c r="B1179" s="16" t="inlineStr">
        <is>
          <t>上海区域</t>
        </is>
      </c>
      <c r="C1179" s="16" t="inlineStr">
        <is>
          <t>CN0Q</t>
        </is>
      </c>
      <c r="D1179" s="16" t="inlineStr">
        <is>
          <t>EE 苏州比斯特购物村</t>
        </is>
      </c>
      <c r="E1179" s="16" t="n">
        <v>4</v>
      </c>
      <c r="F1179" s="16" t="inlineStr">
        <is>
          <t>奥特莱斯</t>
        </is>
      </c>
      <c r="G1179" s="16" t="inlineStr">
        <is>
          <t>EETCF24M02</t>
        </is>
      </c>
      <c r="H1179" s="16" t="n">
        <v>899</v>
      </c>
      <c r="I1179" s="16" t="n">
        <v>899</v>
      </c>
      <c r="J1179" s="17" t="inlineStr">
        <is>
          <t>########</t>
        </is>
      </c>
      <c r="K1179" s="16" t="inlineStr">
        <is>
          <t>(35)Beige</t>
        </is>
      </c>
      <c r="L1179" s="16" t="inlineStr">
        <is>
          <t>营业中</t>
        </is>
      </c>
      <c r="M1179" s="16" t="inlineStr">
        <is>
          <t>EETCF24M0235160</t>
        </is>
      </c>
      <c r="N1179" s="16">
        <f>LEFT(M1179,12)</f>
        <v/>
      </c>
      <c r="O1179" s="16" t="inlineStr">
        <is>
          <t>EETCF24M02, (35)Beige, (160)160</t>
        </is>
      </c>
      <c r="P1179" s="16" t="n">
        <v>899</v>
      </c>
      <c r="Q1179" s="16" t="n">
        <v>899</v>
      </c>
      <c r="R1179" s="16" t="n"/>
      <c r="S1179" s="16" t="n"/>
      <c r="T1179" s="16" t="n">
        <v>4</v>
      </c>
    </row>
    <row r="1180" s="103">
      <c r="A1180" s="16" t="inlineStr">
        <is>
          <t>B331</t>
        </is>
      </c>
      <c r="B1180" s="16" t="inlineStr">
        <is>
          <t>上海区域</t>
        </is>
      </c>
      <c r="C1180" s="16" t="inlineStr">
        <is>
          <t>CN0Q</t>
        </is>
      </c>
      <c r="D1180" s="16" t="inlineStr">
        <is>
          <t>EE 苏州比斯特购物村</t>
        </is>
      </c>
      <c r="E1180" s="16" t="n">
        <v>4</v>
      </c>
      <c r="F1180" s="16" t="inlineStr">
        <is>
          <t>奥特莱斯</t>
        </is>
      </c>
      <c r="G1180" s="16" t="inlineStr">
        <is>
          <t>EETCF24M02</t>
        </is>
      </c>
      <c r="H1180" s="16" t="n">
        <v>899</v>
      </c>
      <c r="I1180" s="16" t="n">
        <v>899</v>
      </c>
      <c r="J1180" s="17" t="inlineStr">
        <is>
          <t>########</t>
        </is>
      </c>
      <c r="K1180" s="16" t="inlineStr">
        <is>
          <t>(35)Beige</t>
        </is>
      </c>
      <c r="L1180" s="16" t="inlineStr">
        <is>
          <t>营业中</t>
        </is>
      </c>
      <c r="M1180" s="16" t="inlineStr">
        <is>
          <t>EETCF24M0235165</t>
        </is>
      </c>
      <c r="N1180" s="16">
        <f>LEFT(M1180,12)</f>
        <v/>
      </c>
      <c r="O1180" s="16" t="inlineStr">
        <is>
          <t>EETCF24M02, (35)Beige, (165)165</t>
        </is>
      </c>
      <c r="P1180" s="16" t="n">
        <v>899</v>
      </c>
      <c r="Q1180" s="16" t="n">
        <v>899</v>
      </c>
      <c r="R1180" s="16" t="n">
        <v>2</v>
      </c>
      <c r="S1180" s="16" t="n">
        <v>822</v>
      </c>
      <c r="T1180" s="16" t="n">
        <v>3</v>
      </c>
    </row>
    <row r="1181" s="103">
      <c r="A1181" s="16" t="inlineStr">
        <is>
          <t>B331</t>
        </is>
      </c>
      <c r="B1181" s="16" t="inlineStr">
        <is>
          <t>上海区域</t>
        </is>
      </c>
      <c r="C1181" s="16" t="inlineStr">
        <is>
          <t>CN0Q</t>
        </is>
      </c>
      <c r="D1181" s="16" t="inlineStr">
        <is>
          <t>EE 苏州比斯特购物村</t>
        </is>
      </c>
      <c r="E1181" s="16" t="n">
        <v>4</v>
      </c>
      <c r="F1181" s="16" t="inlineStr">
        <is>
          <t>奥特莱斯</t>
        </is>
      </c>
      <c r="G1181" s="16" t="inlineStr">
        <is>
          <t>EETCF24M02</t>
        </is>
      </c>
      <c r="H1181" s="16" t="n">
        <v>899</v>
      </c>
      <c r="I1181" s="16" t="n">
        <v>899</v>
      </c>
      <c r="J1181" s="17" t="inlineStr">
        <is>
          <t>########</t>
        </is>
      </c>
      <c r="K1181" s="16" t="inlineStr">
        <is>
          <t>(35)Beige</t>
        </is>
      </c>
      <c r="L1181" s="16" t="inlineStr">
        <is>
          <t>营业中</t>
        </is>
      </c>
      <c r="M1181" s="16" t="inlineStr">
        <is>
          <t>EETCF24M0235170</t>
        </is>
      </c>
      <c r="N1181" s="16">
        <f>LEFT(M1181,12)</f>
        <v/>
      </c>
      <c r="O1181" s="16" t="inlineStr">
        <is>
          <t>EETCF24M02, (35)Beige, (170)170</t>
        </is>
      </c>
      <c r="P1181" s="16" t="n">
        <v>899</v>
      </c>
      <c r="Q1181" s="16" t="n">
        <v>899</v>
      </c>
      <c r="R1181" s="16" t="n">
        <v>1</v>
      </c>
      <c r="S1181" s="16" t="n"/>
      <c r="T1181" s="16" t="n">
        <v>3</v>
      </c>
    </row>
    <row r="1182" s="103">
      <c r="A1182" s="16" t="inlineStr">
        <is>
          <t>B331</t>
        </is>
      </c>
      <c r="B1182" s="16" t="inlineStr">
        <is>
          <t>上海区域</t>
        </is>
      </c>
      <c r="C1182" s="16" t="inlineStr">
        <is>
          <t>CN0Q</t>
        </is>
      </c>
      <c r="D1182" s="16" t="inlineStr">
        <is>
          <t>EE 苏州比斯特购物村</t>
        </is>
      </c>
      <c r="E1182" s="16" t="n">
        <v>4</v>
      </c>
      <c r="F1182" s="16" t="inlineStr">
        <is>
          <t>奥特莱斯</t>
        </is>
      </c>
      <c r="G1182" s="16" t="inlineStr">
        <is>
          <t>EETCF24M02</t>
        </is>
      </c>
      <c r="H1182" s="16" t="n">
        <v>899</v>
      </c>
      <c r="I1182" s="16" t="n">
        <v>899</v>
      </c>
      <c r="J1182" s="17" t="inlineStr">
        <is>
          <t>########</t>
        </is>
      </c>
      <c r="K1182" s="16" t="inlineStr">
        <is>
          <t>(35)Beige</t>
        </is>
      </c>
      <c r="L1182" s="16" t="inlineStr">
        <is>
          <t>营业中</t>
        </is>
      </c>
      <c r="M1182" s="16" t="inlineStr">
        <is>
          <t>EETCF24M0235175</t>
        </is>
      </c>
      <c r="N1182" s="16">
        <f>LEFT(M1182,12)</f>
        <v/>
      </c>
      <c r="O1182" s="16" t="inlineStr">
        <is>
          <t>EETCF24M02, (35)Beige, (175)175</t>
        </is>
      </c>
      <c r="P1182" s="16" t="n">
        <v>899</v>
      </c>
      <c r="Q1182" s="16" t="n">
        <v>899</v>
      </c>
      <c r="R1182" s="16" t="n"/>
      <c r="S1182" s="16" t="n"/>
      <c r="T1182" s="16" t="n">
        <v>2</v>
      </c>
    </row>
    <row r="1183" s="103">
      <c r="A1183" s="16" t="inlineStr">
        <is>
          <t>B331</t>
        </is>
      </c>
      <c r="B1183" s="16" t="inlineStr">
        <is>
          <t>上海区域</t>
        </is>
      </c>
      <c r="C1183" s="16" t="inlineStr">
        <is>
          <t>CN0Q</t>
        </is>
      </c>
      <c r="D1183" s="16" t="inlineStr">
        <is>
          <t>EE 苏州比斯特购物村</t>
        </is>
      </c>
      <c r="E1183" s="16" t="n">
        <v>4</v>
      </c>
      <c r="F1183" s="16" t="inlineStr">
        <is>
          <t>奥特莱斯</t>
        </is>
      </c>
      <c r="G1183" s="16" t="inlineStr">
        <is>
          <t>EETCF24M02</t>
        </is>
      </c>
      <c r="H1183" s="16" t="n">
        <v>899</v>
      </c>
      <c r="I1183" s="16" t="n">
        <v>899</v>
      </c>
      <c r="J1183" s="17" t="inlineStr">
        <is>
          <t>########</t>
        </is>
      </c>
      <c r="K1183" s="16" t="inlineStr">
        <is>
          <t>(59)Navy</t>
        </is>
      </c>
      <c r="L1183" s="16" t="inlineStr">
        <is>
          <t>营业中</t>
        </is>
      </c>
      <c r="M1183" s="16" t="inlineStr">
        <is>
          <t>EETCF24M0259155</t>
        </is>
      </c>
      <c r="N1183" s="16">
        <f>LEFT(M1183,12)</f>
        <v/>
      </c>
      <c r="O1183" s="16" t="inlineStr">
        <is>
          <t>EETCF24M02, (59)Navy, (155)155</t>
        </is>
      </c>
      <c r="P1183" s="16" t="n">
        <v>899</v>
      </c>
      <c r="Q1183" s="16" t="n">
        <v>899</v>
      </c>
      <c r="R1183" s="16" t="n"/>
      <c r="S1183" s="16" t="n"/>
      <c r="T1183" s="16" t="n">
        <v>2</v>
      </c>
    </row>
    <row r="1184" s="103">
      <c r="A1184" s="16" t="inlineStr">
        <is>
          <t>B331</t>
        </is>
      </c>
      <c r="B1184" s="16" t="inlineStr">
        <is>
          <t>上海区域</t>
        </is>
      </c>
      <c r="C1184" s="16" t="inlineStr">
        <is>
          <t>CN0Q</t>
        </is>
      </c>
      <c r="D1184" s="16" t="inlineStr">
        <is>
          <t>EE 苏州比斯特购物村</t>
        </is>
      </c>
      <c r="E1184" s="16" t="n">
        <v>4</v>
      </c>
      <c r="F1184" s="16" t="inlineStr">
        <is>
          <t>奥特莱斯</t>
        </is>
      </c>
      <c r="G1184" s="16" t="inlineStr">
        <is>
          <t>EETCF24M02</t>
        </is>
      </c>
      <c r="H1184" s="16" t="n">
        <v>899</v>
      </c>
      <c r="I1184" s="16" t="n">
        <v>899</v>
      </c>
      <c r="J1184" s="17" t="inlineStr">
        <is>
          <t>########</t>
        </is>
      </c>
      <c r="K1184" s="16" t="inlineStr">
        <is>
          <t>(59)Navy</t>
        </is>
      </c>
      <c r="L1184" s="16" t="inlineStr">
        <is>
          <t>营业中</t>
        </is>
      </c>
      <c r="M1184" s="16" t="inlineStr">
        <is>
          <t>EETCF24M0259160</t>
        </is>
      </c>
      <c r="N1184" s="16">
        <f>LEFT(M1184,12)</f>
        <v/>
      </c>
      <c r="O1184" s="16" t="inlineStr">
        <is>
          <t>EETCF24M02, (59)Navy, (160)160</t>
        </is>
      </c>
      <c r="P1184" s="16" t="n">
        <v>899</v>
      </c>
      <c r="Q1184" s="16" t="n">
        <v>899</v>
      </c>
      <c r="R1184" s="16" t="n"/>
      <c r="S1184" s="16" t="n"/>
      <c r="T1184" s="16" t="n">
        <v>6</v>
      </c>
    </row>
    <row r="1185" s="103">
      <c r="A1185" s="16" t="inlineStr">
        <is>
          <t>B331</t>
        </is>
      </c>
      <c r="B1185" s="16" t="inlineStr">
        <is>
          <t>上海区域</t>
        </is>
      </c>
      <c r="C1185" s="16" t="inlineStr">
        <is>
          <t>CN0Q</t>
        </is>
      </c>
      <c r="D1185" s="16" t="inlineStr">
        <is>
          <t>EE 苏州比斯特购物村</t>
        </is>
      </c>
      <c r="E1185" s="16" t="n">
        <v>4</v>
      </c>
      <c r="F1185" s="16" t="inlineStr">
        <is>
          <t>奥特莱斯</t>
        </is>
      </c>
      <c r="G1185" s="16" t="inlineStr">
        <is>
          <t>EETCF24M02</t>
        </is>
      </c>
      <c r="H1185" s="16" t="n">
        <v>899</v>
      </c>
      <c r="I1185" s="16" t="n">
        <v>899</v>
      </c>
      <c r="J1185" s="17" t="inlineStr">
        <is>
          <t>########</t>
        </is>
      </c>
      <c r="K1185" s="16" t="inlineStr">
        <is>
          <t>(59)Navy</t>
        </is>
      </c>
      <c r="L1185" s="16" t="inlineStr">
        <is>
          <t>营业中</t>
        </is>
      </c>
      <c r="M1185" s="16" t="inlineStr">
        <is>
          <t>EETCF24M0259165</t>
        </is>
      </c>
      <c r="N1185" s="16">
        <f>LEFT(M1185,12)</f>
        <v/>
      </c>
      <c r="O1185" s="16" t="inlineStr">
        <is>
          <t>EETCF24M02, (59)Navy, (165)165</t>
        </is>
      </c>
      <c r="P1185" s="16" t="n">
        <v>899</v>
      </c>
      <c r="Q1185" s="16" t="n">
        <v>899</v>
      </c>
      <c r="R1185" s="16" t="n">
        <v>2</v>
      </c>
      <c r="S1185" s="16" t="n">
        <v>807</v>
      </c>
      <c r="T1185" s="16" t="n">
        <v>4</v>
      </c>
    </row>
    <row r="1186" s="103">
      <c r="A1186" s="16" t="inlineStr">
        <is>
          <t>B331</t>
        </is>
      </c>
      <c r="B1186" s="16" t="inlineStr">
        <is>
          <t>上海区域</t>
        </is>
      </c>
      <c r="C1186" s="16" t="inlineStr">
        <is>
          <t>CN0Q</t>
        </is>
      </c>
      <c r="D1186" s="16" t="inlineStr">
        <is>
          <t>EE 苏州比斯特购物村</t>
        </is>
      </c>
      <c r="E1186" s="16" t="n">
        <v>4</v>
      </c>
      <c r="F1186" s="16" t="inlineStr">
        <is>
          <t>奥特莱斯</t>
        </is>
      </c>
      <c r="G1186" s="16" t="inlineStr">
        <is>
          <t>EETCF24M02</t>
        </is>
      </c>
      <c r="H1186" s="16" t="n">
        <v>899</v>
      </c>
      <c r="I1186" s="16" t="n">
        <v>899</v>
      </c>
      <c r="J1186" s="17" t="inlineStr">
        <is>
          <t>########</t>
        </is>
      </c>
      <c r="K1186" s="16" t="inlineStr">
        <is>
          <t>(59)Navy</t>
        </is>
      </c>
      <c r="L1186" s="16" t="inlineStr">
        <is>
          <t>营业中</t>
        </is>
      </c>
      <c r="M1186" s="16" t="inlineStr">
        <is>
          <t>EETCF24M0259170</t>
        </is>
      </c>
      <c r="N1186" s="16">
        <f>LEFT(M1186,12)</f>
        <v/>
      </c>
      <c r="O1186" s="16" t="inlineStr">
        <is>
          <t>EETCF24M02, (59)Navy, (170)170</t>
        </is>
      </c>
      <c r="P1186" s="16" t="n">
        <v>899</v>
      </c>
      <c r="Q1186" s="16" t="n">
        <v>899</v>
      </c>
      <c r="R1186" s="16" t="n"/>
      <c r="S1186" s="16" t="n"/>
      <c r="T1186" s="16" t="n">
        <v>4</v>
      </c>
    </row>
    <row r="1187" s="103">
      <c r="A1187" s="16" t="inlineStr">
        <is>
          <t>B331</t>
        </is>
      </c>
      <c r="B1187" s="16" t="inlineStr">
        <is>
          <t>上海区域</t>
        </is>
      </c>
      <c r="C1187" s="16" t="inlineStr">
        <is>
          <t>CN0Q</t>
        </is>
      </c>
      <c r="D1187" s="16" t="inlineStr">
        <is>
          <t>EE 苏州比斯特购物村</t>
        </is>
      </c>
      <c r="E1187" s="16" t="n">
        <v>4</v>
      </c>
      <c r="F1187" s="16" t="inlineStr">
        <is>
          <t>奥特莱斯</t>
        </is>
      </c>
      <c r="G1187" s="16" t="inlineStr">
        <is>
          <t>EETCF24M02</t>
        </is>
      </c>
      <c r="H1187" s="16" t="n">
        <v>899</v>
      </c>
      <c r="I1187" s="16" t="n">
        <v>899</v>
      </c>
      <c r="J1187" s="17" t="inlineStr">
        <is>
          <t>########</t>
        </is>
      </c>
      <c r="K1187" s="16" t="inlineStr">
        <is>
          <t>(59)Navy</t>
        </is>
      </c>
      <c r="L1187" s="16" t="inlineStr">
        <is>
          <t>营业中</t>
        </is>
      </c>
      <c r="M1187" s="16" t="inlineStr">
        <is>
          <t>EETCF24M0259175</t>
        </is>
      </c>
      <c r="N1187" s="16">
        <f>LEFT(M1187,12)</f>
        <v/>
      </c>
      <c r="O1187" s="16" t="inlineStr">
        <is>
          <t>EETCF24M02, (59)Navy, (175)175</t>
        </is>
      </c>
      <c r="P1187" s="16" t="n">
        <v>899</v>
      </c>
      <c r="Q1187" s="16" t="n">
        <v>899</v>
      </c>
      <c r="R1187" s="16" t="n"/>
      <c r="S1187" s="16" t="n"/>
      <c r="T1187" s="16" t="n">
        <v>2</v>
      </c>
    </row>
    <row r="1188" s="103">
      <c r="A1188" s="16" t="inlineStr">
        <is>
          <t>B331</t>
        </is>
      </c>
      <c r="B1188" s="16" t="inlineStr">
        <is>
          <t>上海区域</t>
        </is>
      </c>
      <c r="C1188" s="16" t="inlineStr">
        <is>
          <t>CN0Q</t>
        </is>
      </c>
      <c r="D1188" s="16" t="inlineStr">
        <is>
          <t>EE 苏州比斯特购物村</t>
        </is>
      </c>
      <c r="E1188" s="16" t="n">
        <v>4</v>
      </c>
      <c r="F1188" s="16" t="inlineStr">
        <is>
          <t>奥特莱斯</t>
        </is>
      </c>
      <c r="G1188" s="16" t="inlineStr">
        <is>
          <t>EETCF37N51</t>
        </is>
      </c>
      <c r="H1188" s="16" t="n">
        <v>899</v>
      </c>
      <c r="I1188" s="16" t="n">
        <v>899</v>
      </c>
      <c r="J1188" s="17" t="n">
        <v>45812</v>
      </c>
      <c r="K1188" s="16" t="inlineStr">
        <is>
          <t>(03)D/NAVY</t>
        </is>
      </c>
      <c r="L1188" s="16" t="inlineStr">
        <is>
          <t>营业中</t>
        </is>
      </c>
      <c r="M1188" s="16" t="inlineStr">
        <is>
          <t>EETCF37N5103155</t>
        </is>
      </c>
      <c r="N1188" s="16">
        <f>LEFT(M1188,12)</f>
        <v/>
      </c>
      <c r="O1188" s="16" t="inlineStr">
        <is>
          <t>EETCF37N51, (03)D/NAVY, (155)155</t>
        </is>
      </c>
      <c r="P1188" s="16" t="n">
        <v>899</v>
      </c>
      <c r="Q1188" s="16" t="n">
        <v>899</v>
      </c>
      <c r="R1188" s="16" t="n">
        <v>1</v>
      </c>
      <c r="S1188" s="16" t="n">
        <v>405</v>
      </c>
      <c r="T1188" s="16" t="n">
        <v>1</v>
      </c>
    </row>
    <row r="1189" s="103">
      <c r="A1189" s="16" t="inlineStr">
        <is>
          <t>B331</t>
        </is>
      </c>
      <c r="B1189" s="16" t="inlineStr">
        <is>
          <t>上海区域</t>
        </is>
      </c>
      <c r="C1189" s="16" t="inlineStr">
        <is>
          <t>CN0Q</t>
        </is>
      </c>
      <c r="D1189" s="16" t="inlineStr">
        <is>
          <t>EE 苏州比斯特购物村</t>
        </is>
      </c>
      <c r="E1189" s="16" t="n">
        <v>4</v>
      </c>
      <c r="F1189" s="16" t="inlineStr">
        <is>
          <t>奥特莱斯</t>
        </is>
      </c>
      <c r="G1189" s="16" t="inlineStr">
        <is>
          <t>EETCF37N51</t>
        </is>
      </c>
      <c r="H1189" s="16" t="n">
        <v>899</v>
      </c>
      <c r="I1189" s="16" t="n">
        <v>899</v>
      </c>
      <c r="J1189" s="17" t="n">
        <v>45812</v>
      </c>
      <c r="K1189" s="16" t="inlineStr">
        <is>
          <t>(03)D/NAVY</t>
        </is>
      </c>
      <c r="L1189" s="16" t="inlineStr">
        <is>
          <t>营业中</t>
        </is>
      </c>
      <c r="M1189" s="16" t="inlineStr">
        <is>
          <t>EETCF37N5103160</t>
        </is>
      </c>
      <c r="N1189" s="16">
        <f>LEFT(M1189,12)</f>
        <v/>
      </c>
      <c r="O1189" s="16" t="inlineStr">
        <is>
          <t>EETCF37N51, (03)D/NAVY, (160)160</t>
        </is>
      </c>
      <c r="P1189" s="16" t="n">
        <v>899</v>
      </c>
      <c r="Q1189" s="16" t="n">
        <v>899</v>
      </c>
      <c r="R1189" s="16" t="n">
        <v>2</v>
      </c>
      <c r="S1189" s="16" t="n">
        <v>827</v>
      </c>
      <c r="T1189" s="16" t="n">
        <v>2</v>
      </c>
    </row>
    <row r="1190" s="103">
      <c r="A1190" s="16" t="inlineStr">
        <is>
          <t>B331</t>
        </is>
      </c>
      <c r="B1190" s="16" t="inlineStr">
        <is>
          <t>上海区域</t>
        </is>
      </c>
      <c r="C1190" s="16" t="inlineStr">
        <is>
          <t>CN0Q</t>
        </is>
      </c>
      <c r="D1190" s="16" t="inlineStr">
        <is>
          <t>EE 苏州比斯特购物村</t>
        </is>
      </c>
      <c r="E1190" s="16" t="n">
        <v>4</v>
      </c>
      <c r="F1190" s="16" t="inlineStr">
        <is>
          <t>奥特莱斯</t>
        </is>
      </c>
      <c r="G1190" s="16" t="inlineStr">
        <is>
          <t>EETCF37N51</t>
        </is>
      </c>
      <c r="H1190" s="16" t="n">
        <v>899</v>
      </c>
      <c r="I1190" s="16" t="n">
        <v>899</v>
      </c>
      <c r="J1190" s="17" t="n">
        <v>45812</v>
      </c>
      <c r="K1190" s="16" t="inlineStr">
        <is>
          <t>(03)D/NAVY</t>
        </is>
      </c>
      <c r="L1190" s="16" t="inlineStr">
        <is>
          <t>营业中</t>
        </is>
      </c>
      <c r="M1190" s="16" t="inlineStr">
        <is>
          <t>EETCF37N5103165</t>
        </is>
      </c>
      <c r="N1190" s="16">
        <f>LEFT(M1190,12)</f>
        <v/>
      </c>
      <c r="O1190" s="16" t="inlineStr">
        <is>
          <t>EETCF37N51, (03)D/NAVY, (165)165</t>
        </is>
      </c>
      <c r="P1190" s="16" t="n">
        <v>899</v>
      </c>
      <c r="Q1190" s="16" t="n">
        <v>899</v>
      </c>
      <c r="R1190" s="16" t="n">
        <v>1</v>
      </c>
      <c r="S1190" s="16" t="n">
        <v>450</v>
      </c>
      <c r="T1190" s="16" t="n">
        <v>3</v>
      </c>
    </row>
    <row r="1191" s="103">
      <c r="A1191" s="16" t="inlineStr">
        <is>
          <t>B331</t>
        </is>
      </c>
      <c r="B1191" s="16" t="inlineStr">
        <is>
          <t>上海区域</t>
        </is>
      </c>
      <c r="C1191" s="16" t="inlineStr">
        <is>
          <t>CN0Q</t>
        </is>
      </c>
      <c r="D1191" s="16" t="inlineStr">
        <is>
          <t>EE 苏州比斯特购物村</t>
        </is>
      </c>
      <c r="E1191" s="16" t="n">
        <v>4</v>
      </c>
      <c r="F1191" s="16" t="inlineStr">
        <is>
          <t>奥特莱斯</t>
        </is>
      </c>
      <c r="G1191" s="16" t="inlineStr">
        <is>
          <t>EETCF37N51</t>
        </is>
      </c>
      <c r="H1191" s="16" t="n">
        <v>899</v>
      </c>
      <c r="I1191" s="16" t="n">
        <v>899</v>
      </c>
      <c r="J1191" s="17" t="n">
        <v>45812</v>
      </c>
      <c r="K1191" s="16" t="inlineStr">
        <is>
          <t>(03)D/NAVY</t>
        </is>
      </c>
      <c r="L1191" s="16" t="inlineStr">
        <is>
          <t>营业中</t>
        </is>
      </c>
      <c r="M1191" s="16" t="inlineStr">
        <is>
          <t>EETCF37N5103170</t>
        </is>
      </c>
      <c r="N1191" s="16">
        <f>LEFT(M1191,12)</f>
        <v/>
      </c>
      <c r="O1191" s="16" t="inlineStr">
        <is>
          <t>EETCF37N51, (03)D/NAVY, (170)170</t>
        </is>
      </c>
      <c r="P1191" s="16" t="n">
        <v>899</v>
      </c>
      <c r="Q1191" s="16" t="n">
        <v>899</v>
      </c>
      <c r="R1191" s="16" t="n"/>
      <c r="S1191" s="16" t="n"/>
      <c r="T1191" s="16" t="n">
        <v>2</v>
      </c>
    </row>
    <row r="1192" s="103">
      <c r="A1192" s="16" t="inlineStr">
        <is>
          <t>B331</t>
        </is>
      </c>
      <c r="B1192" s="16" t="inlineStr">
        <is>
          <t>上海区域</t>
        </is>
      </c>
      <c r="C1192" s="16" t="inlineStr">
        <is>
          <t>CN0Q</t>
        </is>
      </c>
      <c r="D1192" s="16" t="inlineStr">
        <is>
          <t>EE 苏州比斯特购物村</t>
        </is>
      </c>
      <c r="E1192" s="16" t="n">
        <v>4</v>
      </c>
      <c r="F1192" s="16" t="inlineStr">
        <is>
          <t>奥特莱斯</t>
        </is>
      </c>
      <c r="G1192" s="16" t="inlineStr">
        <is>
          <t>EETCF37N51</t>
        </is>
      </c>
      <c r="H1192" s="16" t="n">
        <v>899</v>
      </c>
      <c r="I1192" s="16" t="n">
        <v>899</v>
      </c>
      <c r="J1192" s="17" t="n">
        <v>45812</v>
      </c>
      <c r="K1192" s="16" t="inlineStr">
        <is>
          <t>(36)L/Beige</t>
        </is>
      </c>
      <c r="L1192" s="16" t="inlineStr">
        <is>
          <t>营业中</t>
        </is>
      </c>
      <c r="M1192" s="16" t="inlineStr">
        <is>
          <t>EETCF37N5136155</t>
        </is>
      </c>
      <c r="N1192" s="16">
        <f>LEFT(M1192,12)</f>
        <v/>
      </c>
      <c r="O1192" s="16" t="inlineStr">
        <is>
          <t>EETCF37N51, (36)L/Beige, (155)155</t>
        </is>
      </c>
      <c r="P1192" s="16" t="n">
        <v>899</v>
      </c>
      <c r="Q1192" s="16" t="n">
        <v>899</v>
      </c>
      <c r="R1192" s="16" t="n">
        <v>1</v>
      </c>
      <c r="S1192" s="16" t="n">
        <v>405</v>
      </c>
      <c r="T1192" s="16" t="n">
        <v>0</v>
      </c>
    </row>
    <row r="1193" s="103">
      <c r="A1193" s="16" t="inlineStr">
        <is>
          <t>B331</t>
        </is>
      </c>
      <c r="B1193" s="16" t="inlineStr">
        <is>
          <t>上海区域</t>
        </is>
      </c>
      <c r="C1193" s="16" t="inlineStr">
        <is>
          <t>CN0Q</t>
        </is>
      </c>
      <c r="D1193" s="16" t="inlineStr">
        <is>
          <t>EE 苏州比斯特购物村</t>
        </is>
      </c>
      <c r="E1193" s="16" t="n">
        <v>4</v>
      </c>
      <c r="F1193" s="16" t="inlineStr">
        <is>
          <t>奥特莱斯</t>
        </is>
      </c>
      <c r="G1193" s="16" t="inlineStr">
        <is>
          <t>EETCF37N51</t>
        </is>
      </c>
      <c r="H1193" s="16" t="n">
        <v>899</v>
      </c>
      <c r="I1193" s="16" t="n">
        <v>899</v>
      </c>
      <c r="J1193" s="17" t="n">
        <v>45812</v>
      </c>
      <c r="K1193" s="16" t="inlineStr">
        <is>
          <t>(36)L/Beige</t>
        </is>
      </c>
      <c r="L1193" s="16" t="inlineStr">
        <is>
          <t>营业中</t>
        </is>
      </c>
      <c r="M1193" s="16" t="inlineStr">
        <is>
          <t>EETCF37N5136160</t>
        </is>
      </c>
      <c r="N1193" s="16">
        <f>LEFT(M1193,12)</f>
        <v/>
      </c>
      <c r="O1193" s="16" t="inlineStr">
        <is>
          <t>EETCF37N51, (36)L/Beige, (160)160</t>
        </is>
      </c>
      <c r="P1193" s="16" t="n">
        <v>899</v>
      </c>
      <c r="Q1193" s="16" t="n">
        <v>899</v>
      </c>
      <c r="R1193" s="16" t="n">
        <v>1</v>
      </c>
      <c r="S1193" s="16" t="n">
        <v>410</v>
      </c>
      <c r="T1193" s="16" t="n">
        <v>3</v>
      </c>
    </row>
    <row r="1194" s="103">
      <c r="A1194" s="16" t="inlineStr">
        <is>
          <t>B331</t>
        </is>
      </c>
      <c r="B1194" s="16" t="inlineStr">
        <is>
          <t>上海区域</t>
        </is>
      </c>
      <c r="C1194" s="16" t="inlineStr">
        <is>
          <t>CN0Q</t>
        </is>
      </c>
      <c r="D1194" s="16" t="inlineStr">
        <is>
          <t>EE 苏州比斯特购物村</t>
        </is>
      </c>
      <c r="E1194" s="16" t="n">
        <v>4</v>
      </c>
      <c r="F1194" s="16" t="inlineStr">
        <is>
          <t>奥特莱斯</t>
        </is>
      </c>
      <c r="G1194" s="16" t="inlineStr">
        <is>
          <t>EETCF37N51</t>
        </is>
      </c>
      <c r="H1194" s="16" t="n">
        <v>899</v>
      </c>
      <c r="I1194" s="16" t="n">
        <v>899</v>
      </c>
      <c r="J1194" s="17" t="n">
        <v>45812</v>
      </c>
      <c r="K1194" s="16" t="inlineStr">
        <is>
          <t>(36)L/Beige</t>
        </is>
      </c>
      <c r="L1194" s="16" t="inlineStr">
        <is>
          <t>营业中</t>
        </is>
      </c>
      <c r="M1194" s="16" t="inlineStr">
        <is>
          <t>EETCF37N5136165</t>
        </is>
      </c>
      <c r="N1194" s="16">
        <f>LEFT(M1194,12)</f>
        <v/>
      </c>
      <c r="O1194" s="16" t="inlineStr">
        <is>
          <t>EETCF37N51, (36)L/Beige, (165)165</t>
        </is>
      </c>
      <c r="P1194" s="16" t="n">
        <v>899</v>
      </c>
      <c r="Q1194" s="16" t="n">
        <v>899</v>
      </c>
      <c r="R1194" s="16" t="n">
        <v>2</v>
      </c>
      <c r="S1194" s="16" t="n">
        <v>870</v>
      </c>
      <c r="T1194" s="16" t="n">
        <v>0</v>
      </c>
    </row>
    <row r="1195" s="103">
      <c r="A1195" s="16" t="inlineStr">
        <is>
          <t>B331</t>
        </is>
      </c>
      <c r="B1195" s="16" t="inlineStr">
        <is>
          <t>上海区域</t>
        </is>
      </c>
      <c r="C1195" s="16" t="inlineStr">
        <is>
          <t>CN0Q</t>
        </is>
      </c>
      <c r="D1195" s="16" t="inlineStr">
        <is>
          <t>EE 苏州比斯特购物村</t>
        </is>
      </c>
      <c r="E1195" s="16" t="n">
        <v>4</v>
      </c>
      <c r="F1195" s="16" t="inlineStr">
        <is>
          <t>奥特莱斯</t>
        </is>
      </c>
      <c r="G1195" s="16" t="inlineStr">
        <is>
          <t>EETCF37N51</t>
        </is>
      </c>
      <c r="H1195" s="16" t="n">
        <v>899</v>
      </c>
      <c r="I1195" s="16" t="n">
        <v>899</v>
      </c>
      <c r="J1195" s="17" t="n">
        <v>45812</v>
      </c>
      <c r="K1195" s="16" t="inlineStr">
        <is>
          <t>(36)L/Beige</t>
        </is>
      </c>
      <c r="L1195" s="16" t="inlineStr">
        <is>
          <t>营业中</t>
        </is>
      </c>
      <c r="M1195" s="16" t="inlineStr">
        <is>
          <t>EETCF37N5136170</t>
        </is>
      </c>
      <c r="N1195" s="16">
        <f>LEFT(M1195,12)</f>
        <v/>
      </c>
      <c r="O1195" s="16" t="inlineStr">
        <is>
          <t>EETCF37N51, (36)L/Beige, (170)170</t>
        </is>
      </c>
      <c r="P1195" s="16" t="n">
        <v>899</v>
      </c>
      <c r="Q1195" s="16" t="n">
        <v>899</v>
      </c>
      <c r="R1195" s="16" t="n"/>
      <c r="S1195" s="16" t="n"/>
      <c r="T1195" s="16" t="n">
        <v>1</v>
      </c>
    </row>
    <row r="1196" s="103">
      <c r="A1196" s="16" t="inlineStr">
        <is>
          <t>B331</t>
        </is>
      </c>
      <c r="B1196" s="16" t="inlineStr">
        <is>
          <t>上海区域</t>
        </is>
      </c>
      <c r="C1196" s="16" t="inlineStr">
        <is>
          <t>CN0Q</t>
        </is>
      </c>
      <c r="D1196" s="16" t="inlineStr">
        <is>
          <t>EE 苏州比斯特购物村</t>
        </is>
      </c>
      <c r="E1196" s="16" t="n">
        <v>4</v>
      </c>
      <c r="F1196" s="16" t="inlineStr">
        <is>
          <t>奥特莱斯</t>
        </is>
      </c>
      <c r="G1196" s="16" t="inlineStr">
        <is>
          <t>EETCG12D1G</t>
        </is>
      </c>
      <c r="H1196" s="16" t="n">
        <v>999</v>
      </c>
      <c r="I1196" s="16" t="n">
        <v>999</v>
      </c>
      <c r="J1196" s="17" t="inlineStr">
        <is>
          <t>########</t>
        </is>
      </c>
      <c r="K1196" s="16" t="inlineStr">
        <is>
          <t>(35)Beige</t>
        </is>
      </c>
      <c r="L1196" s="16" t="inlineStr">
        <is>
          <t>营业中</t>
        </is>
      </c>
      <c r="M1196" s="16" t="inlineStr">
        <is>
          <t>EETCG12D1G35030</t>
        </is>
      </c>
      <c r="N1196" s="16">
        <f>LEFT(M1196,12)</f>
        <v/>
      </c>
      <c r="O1196" s="16" t="inlineStr">
        <is>
          <t>EETCG12D1G, (35)Beige, 30(170/76A)</t>
        </is>
      </c>
      <c r="P1196" s="16" t="n">
        <v>999</v>
      </c>
      <c r="Q1196" s="16" t="n">
        <v>999</v>
      </c>
      <c r="R1196" s="16" t="n"/>
      <c r="S1196" s="16" t="n"/>
      <c r="T1196" s="16" t="n">
        <v>3</v>
      </c>
    </row>
    <row r="1197" s="103">
      <c r="A1197" s="16" t="inlineStr">
        <is>
          <t>B331</t>
        </is>
      </c>
      <c r="B1197" s="16" t="inlineStr">
        <is>
          <t>上海区域</t>
        </is>
      </c>
      <c r="C1197" s="16" t="inlineStr">
        <is>
          <t>CN0Q</t>
        </is>
      </c>
      <c r="D1197" s="16" t="inlineStr">
        <is>
          <t>EE 苏州比斯特购物村</t>
        </is>
      </c>
      <c r="E1197" s="16" t="n">
        <v>4</v>
      </c>
      <c r="F1197" s="16" t="inlineStr">
        <is>
          <t>奥特莱斯</t>
        </is>
      </c>
      <c r="G1197" s="16" t="inlineStr">
        <is>
          <t>EETCG12D1G</t>
        </is>
      </c>
      <c r="H1197" s="16" t="n">
        <v>999</v>
      </c>
      <c r="I1197" s="16" t="n">
        <v>999</v>
      </c>
      <c r="J1197" s="17" t="inlineStr">
        <is>
          <t>########</t>
        </is>
      </c>
      <c r="K1197" s="16" t="inlineStr">
        <is>
          <t>(35)Beige</t>
        </is>
      </c>
      <c r="L1197" s="16" t="inlineStr">
        <is>
          <t>营业中</t>
        </is>
      </c>
      <c r="M1197" s="16" t="inlineStr">
        <is>
          <t>EETCG12D1G35032</t>
        </is>
      </c>
      <c r="N1197" s="16">
        <f>LEFT(M1197,12)</f>
        <v/>
      </c>
      <c r="O1197" s="16" t="inlineStr">
        <is>
          <t>EETCG12D1G, (35)Beige, 32(175/80A)</t>
        </is>
      </c>
      <c r="P1197" s="16" t="n">
        <v>999</v>
      </c>
      <c r="Q1197" s="16" t="n">
        <v>999</v>
      </c>
      <c r="R1197" s="16" t="n"/>
      <c r="S1197" s="16" t="n"/>
      <c r="T1197" s="16" t="n">
        <v>3</v>
      </c>
    </row>
    <row r="1198" s="103">
      <c r="A1198" s="16" t="inlineStr">
        <is>
          <t>B331</t>
        </is>
      </c>
      <c r="B1198" s="16" t="inlineStr">
        <is>
          <t>上海区域</t>
        </is>
      </c>
      <c r="C1198" s="16" t="inlineStr">
        <is>
          <t>CN0Q</t>
        </is>
      </c>
      <c r="D1198" s="16" t="inlineStr">
        <is>
          <t>EE 苏州比斯特购物村</t>
        </is>
      </c>
      <c r="E1198" s="16" t="n">
        <v>4</v>
      </c>
      <c r="F1198" s="16" t="inlineStr">
        <is>
          <t>奥特莱斯</t>
        </is>
      </c>
      <c r="G1198" s="16" t="inlineStr">
        <is>
          <t>EETCG12D1G</t>
        </is>
      </c>
      <c r="H1198" s="16" t="n">
        <v>999</v>
      </c>
      <c r="I1198" s="16" t="n">
        <v>999</v>
      </c>
      <c r="J1198" s="17" t="inlineStr">
        <is>
          <t>########</t>
        </is>
      </c>
      <c r="K1198" s="16" t="inlineStr">
        <is>
          <t>(35)Beige</t>
        </is>
      </c>
      <c r="L1198" s="16" t="inlineStr">
        <is>
          <t>营业中</t>
        </is>
      </c>
      <c r="M1198" s="16" t="inlineStr">
        <is>
          <t>EETCG12D1G35034</t>
        </is>
      </c>
      <c r="N1198" s="16">
        <f>LEFT(M1198,12)</f>
        <v/>
      </c>
      <c r="O1198" s="16" t="inlineStr">
        <is>
          <t>EETCG12D1G, (35)Beige, 34(180/84A)</t>
        </is>
      </c>
      <c r="P1198" s="16" t="n">
        <v>999</v>
      </c>
      <c r="Q1198" s="16" t="n">
        <v>999</v>
      </c>
      <c r="R1198" s="16" t="n"/>
      <c r="S1198" s="16" t="n"/>
      <c r="T1198" s="16" t="n">
        <v>3</v>
      </c>
    </row>
    <row r="1199" s="103">
      <c r="A1199" s="16" t="inlineStr">
        <is>
          <t>B331</t>
        </is>
      </c>
      <c r="B1199" s="16" t="inlineStr">
        <is>
          <t>上海区域</t>
        </is>
      </c>
      <c r="C1199" s="16" t="inlineStr">
        <is>
          <t>CN0Q</t>
        </is>
      </c>
      <c r="D1199" s="16" t="inlineStr">
        <is>
          <t>EE 苏州比斯特购物村</t>
        </is>
      </c>
      <c r="E1199" s="16" t="n">
        <v>4</v>
      </c>
      <c r="F1199" s="16" t="inlineStr">
        <is>
          <t>奥特莱斯</t>
        </is>
      </c>
      <c r="G1199" s="16" t="inlineStr">
        <is>
          <t>EETCG12E02</t>
        </is>
      </c>
      <c r="H1199" s="16" t="n">
        <v>799</v>
      </c>
      <c r="I1199" s="16" t="n">
        <v>799</v>
      </c>
      <c r="J1199" s="17" t="inlineStr">
        <is>
          <t>########</t>
        </is>
      </c>
      <c r="K1199" s="16" t="inlineStr">
        <is>
          <t>(59)Navy</t>
        </is>
      </c>
      <c r="L1199" s="16" t="inlineStr">
        <is>
          <t>营业中</t>
        </is>
      </c>
      <c r="M1199" s="16" t="inlineStr">
        <is>
          <t>EETCG12E0259155</t>
        </is>
      </c>
      <c r="N1199" s="16">
        <f>LEFT(M1199,12)</f>
        <v/>
      </c>
      <c r="O1199" s="16" t="inlineStr">
        <is>
          <t>EETCG12E02, (59)Navy, (155)155</t>
        </is>
      </c>
      <c r="P1199" s="16" t="n">
        <v>799</v>
      </c>
      <c r="Q1199" s="16" t="n">
        <v>799</v>
      </c>
      <c r="R1199" s="16" t="n"/>
      <c r="S1199" s="16" t="n"/>
      <c r="T1199" s="16" t="n">
        <v>3</v>
      </c>
    </row>
    <row r="1200" s="103">
      <c r="A1200" s="16" t="inlineStr">
        <is>
          <t>B331</t>
        </is>
      </c>
      <c r="B1200" s="16" t="inlineStr">
        <is>
          <t>上海区域</t>
        </is>
      </c>
      <c r="C1200" s="16" t="inlineStr">
        <is>
          <t>CN0Q</t>
        </is>
      </c>
      <c r="D1200" s="16" t="inlineStr">
        <is>
          <t>EE 苏州比斯特购物村</t>
        </is>
      </c>
      <c r="E1200" s="16" t="n">
        <v>4</v>
      </c>
      <c r="F1200" s="16" t="inlineStr">
        <is>
          <t>奥特莱斯</t>
        </is>
      </c>
      <c r="G1200" s="16" t="inlineStr">
        <is>
          <t>EETCG12E02</t>
        </is>
      </c>
      <c r="H1200" s="16" t="n">
        <v>799</v>
      </c>
      <c r="I1200" s="16" t="n">
        <v>799</v>
      </c>
      <c r="J1200" s="17" t="inlineStr">
        <is>
          <t>########</t>
        </is>
      </c>
      <c r="K1200" s="16" t="inlineStr">
        <is>
          <t>(59)Navy</t>
        </is>
      </c>
      <c r="L1200" s="16" t="inlineStr">
        <is>
          <t>营业中</t>
        </is>
      </c>
      <c r="M1200" s="16" t="inlineStr">
        <is>
          <t>EETCG12E0259160</t>
        </is>
      </c>
      <c r="N1200" s="16">
        <f>LEFT(M1200,12)</f>
        <v/>
      </c>
      <c r="O1200" s="16" t="inlineStr">
        <is>
          <t>EETCG12E02, (59)Navy, (160)160</t>
        </is>
      </c>
      <c r="P1200" s="16" t="n">
        <v>799</v>
      </c>
      <c r="Q1200" s="16" t="n">
        <v>799</v>
      </c>
      <c r="R1200" s="16" t="n"/>
      <c r="S1200" s="16" t="n"/>
      <c r="T1200" s="16" t="n">
        <v>3</v>
      </c>
    </row>
    <row r="1201" s="103">
      <c r="A1201" s="16" t="inlineStr">
        <is>
          <t>B331</t>
        </is>
      </c>
      <c r="B1201" s="16" t="inlineStr">
        <is>
          <t>上海区域</t>
        </is>
      </c>
      <c r="C1201" s="16" t="inlineStr">
        <is>
          <t>CN0Q</t>
        </is>
      </c>
      <c r="D1201" s="16" t="inlineStr">
        <is>
          <t>EE 苏州比斯特购物村</t>
        </is>
      </c>
      <c r="E1201" s="16" t="n">
        <v>4</v>
      </c>
      <c r="F1201" s="16" t="inlineStr">
        <is>
          <t>奥特莱斯</t>
        </is>
      </c>
      <c r="G1201" s="16" t="inlineStr">
        <is>
          <t>EETCG12E02</t>
        </is>
      </c>
      <c r="H1201" s="16" t="n">
        <v>799</v>
      </c>
      <c r="I1201" s="16" t="n">
        <v>799</v>
      </c>
      <c r="J1201" s="17" t="inlineStr">
        <is>
          <t>########</t>
        </is>
      </c>
      <c r="K1201" s="16" t="inlineStr">
        <is>
          <t>(59)Navy</t>
        </is>
      </c>
      <c r="L1201" s="16" t="inlineStr">
        <is>
          <t>营业中</t>
        </is>
      </c>
      <c r="M1201" s="16" t="inlineStr">
        <is>
          <t>EETCG12E0259165</t>
        </is>
      </c>
      <c r="N1201" s="16">
        <f>LEFT(M1201,12)</f>
        <v/>
      </c>
      <c r="O1201" s="16" t="inlineStr">
        <is>
          <t>EETCG12E02, (59)Navy, (165)165</t>
        </is>
      </c>
      <c r="P1201" s="16" t="n">
        <v>799</v>
      </c>
      <c r="Q1201" s="16" t="n">
        <v>799</v>
      </c>
      <c r="R1201" s="16" t="n"/>
      <c r="S1201" s="16" t="n"/>
      <c r="T1201" s="16" t="n">
        <v>2</v>
      </c>
    </row>
    <row r="1202" s="103">
      <c r="A1202" s="16" t="inlineStr">
        <is>
          <t>B331</t>
        </is>
      </c>
      <c r="B1202" s="16" t="inlineStr">
        <is>
          <t>上海区域</t>
        </is>
      </c>
      <c r="C1202" s="16" t="inlineStr">
        <is>
          <t>CN0Q</t>
        </is>
      </c>
      <c r="D1202" s="16" t="inlineStr">
        <is>
          <t>EE 苏州比斯特购物村</t>
        </is>
      </c>
      <c r="E1202" s="16" t="n">
        <v>4</v>
      </c>
      <c r="F1202" s="16" t="inlineStr">
        <is>
          <t>奥特莱斯</t>
        </is>
      </c>
      <c r="G1202" s="16" t="inlineStr">
        <is>
          <t>EETCG12E02</t>
        </is>
      </c>
      <c r="H1202" s="16" t="n">
        <v>799</v>
      </c>
      <c r="I1202" s="16" t="n">
        <v>799</v>
      </c>
      <c r="J1202" s="17" t="inlineStr">
        <is>
          <t>########</t>
        </is>
      </c>
      <c r="K1202" s="16" t="inlineStr">
        <is>
          <t>(59)Navy</t>
        </is>
      </c>
      <c r="L1202" s="16" t="inlineStr">
        <is>
          <t>营业中</t>
        </is>
      </c>
      <c r="M1202" s="16" t="inlineStr">
        <is>
          <t>EETCG12E0259170</t>
        </is>
      </c>
      <c r="N1202" s="16">
        <f>LEFT(M1202,12)</f>
        <v/>
      </c>
      <c r="O1202" s="16" t="inlineStr">
        <is>
          <t>EETCG12E02, (59)Navy, (170)170</t>
        </is>
      </c>
      <c r="P1202" s="16" t="n">
        <v>799</v>
      </c>
      <c r="Q1202" s="16" t="n">
        <v>799</v>
      </c>
      <c r="R1202" s="16" t="n"/>
      <c r="S1202" s="16" t="n"/>
      <c r="T1202" s="16" t="n">
        <v>1</v>
      </c>
    </row>
    <row r="1203" s="103">
      <c r="A1203" s="16" t="inlineStr">
        <is>
          <t>B331</t>
        </is>
      </c>
      <c r="B1203" s="16" t="inlineStr">
        <is>
          <t>上海区域</t>
        </is>
      </c>
      <c r="C1203" s="16" t="inlineStr">
        <is>
          <t>CN0Q</t>
        </is>
      </c>
      <c r="D1203" s="16" t="inlineStr">
        <is>
          <t>EE 苏州比斯特购物村</t>
        </is>
      </c>
      <c r="E1203" s="16" t="n">
        <v>4</v>
      </c>
      <c r="F1203" s="16" t="inlineStr">
        <is>
          <t>奥特莱斯</t>
        </is>
      </c>
      <c r="G1203" s="16" t="inlineStr">
        <is>
          <t>EETCG23E01</t>
        </is>
      </c>
      <c r="H1203" s="16" t="n">
        <v>799</v>
      </c>
      <c r="I1203" s="16" t="n">
        <v>799</v>
      </c>
      <c r="J1203" s="17" t="inlineStr">
        <is>
          <t>########</t>
        </is>
      </c>
      <c r="K1203" s="16" t="inlineStr">
        <is>
          <t>(35)Beige</t>
        </is>
      </c>
      <c r="L1203" s="16" t="inlineStr">
        <is>
          <t>营业中</t>
        </is>
      </c>
      <c r="M1203" s="16" t="inlineStr">
        <is>
          <t>EETCG23E0135155</t>
        </is>
      </c>
      <c r="N1203" s="16">
        <f>LEFT(M1203,12)</f>
        <v/>
      </c>
      <c r="O1203" s="16" t="inlineStr">
        <is>
          <t>EETCG23E01, (35)Beige, (155)155</t>
        </is>
      </c>
      <c r="P1203" s="16" t="n">
        <v>799</v>
      </c>
      <c r="Q1203" s="16" t="n">
        <v>799</v>
      </c>
      <c r="R1203" s="16" t="n"/>
      <c r="S1203" s="16" t="n"/>
      <c r="T1203" s="16" t="n">
        <v>2</v>
      </c>
    </row>
    <row r="1204" s="103">
      <c r="A1204" s="16" t="inlineStr">
        <is>
          <t>B331</t>
        </is>
      </c>
      <c r="B1204" s="16" t="inlineStr">
        <is>
          <t>上海区域</t>
        </is>
      </c>
      <c r="C1204" s="16" t="inlineStr">
        <is>
          <t>CN0Q</t>
        </is>
      </c>
      <c r="D1204" s="16" t="inlineStr">
        <is>
          <t>EE 苏州比斯特购物村</t>
        </is>
      </c>
      <c r="E1204" s="16" t="n">
        <v>4</v>
      </c>
      <c r="F1204" s="16" t="inlineStr">
        <is>
          <t>奥特莱斯</t>
        </is>
      </c>
      <c r="G1204" s="16" t="inlineStr">
        <is>
          <t>EETCG23E01</t>
        </is>
      </c>
      <c r="H1204" s="16" t="n">
        <v>799</v>
      </c>
      <c r="I1204" s="16" t="n">
        <v>799</v>
      </c>
      <c r="J1204" s="17" t="inlineStr">
        <is>
          <t>########</t>
        </is>
      </c>
      <c r="K1204" s="16" t="inlineStr">
        <is>
          <t>(35)Beige</t>
        </is>
      </c>
      <c r="L1204" s="16" t="inlineStr">
        <is>
          <t>营业中</t>
        </is>
      </c>
      <c r="M1204" s="16" t="inlineStr">
        <is>
          <t>EETCG23E0135160</t>
        </is>
      </c>
      <c r="N1204" s="16">
        <f>LEFT(M1204,12)</f>
        <v/>
      </c>
      <c r="O1204" s="16" t="inlineStr">
        <is>
          <t>EETCG23E01, (35)Beige, (160)160</t>
        </is>
      </c>
      <c r="P1204" s="16" t="n">
        <v>799</v>
      </c>
      <c r="Q1204" s="16" t="n">
        <v>799</v>
      </c>
      <c r="R1204" s="16" t="n">
        <v>2</v>
      </c>
      <c r="S1204" s="16" t="n">
        <v>760</v>
      </c>
      <c r="T1204" s="16" t="n">
        <v>0</v>
      </c>
    </row>
    <row r="1205" s="103">
      <c r="A1205" s="16" t="inlineStr">
        <is>
          <t>B331</t>
        </is>
      </c>
      <c r="B1205" s="16" t="inlineStr">
        <is>
          <t>上海区域</t>
        </is>
      </c>
      <c r="C1205" s="16" t="inlineStr">
        <is>
          <t>CN0Q</t>
        </is>
      </c>
      <c r="D1205" s="16" t="inlineStr">
        <is>
          <t>EE 苏州比斯特购物村</t>
        </is>
      </c>
      <c r="E1205" s="16" t="n">
        <v>4</v>
      </c>
      <c r="F1205" s="16" t="inlineStr">
        <is>
          <t>奥特莱斯</t>
        </is>
      </c>
      <c r="G1205" s="16" t="inlineStr">
        <is>
          <t>EETCG23E01</t>
        </is>
      </c>
      <c r="H1205" s="16" t="n">
        <v>799</v>
      </c>
      <c r="I1205" s="16" t="n">
        <v>799</v>
      </c>
      <c r="J1205" s="17" t="inlineStr">
        <is>
          <t>########</t>
        </is>
      </c>
      <c r="K1205" s="16" t="inlineStr">
        <is>
          <t>(35)Beige</t>
        </is>
      </c>
      <c r="L1205" s="16" t="inlineStr">
        <is>
          <t>营业中</t>
        </is>
      </c>
      <c r="M1205" s="16" t="inlineStr">
        <is>
          <t>EETCG23E0135165</t>
        </is>
      </c>
      <c r="N1205" s="16">
        <f>LEFT(M1205,12)</f>
        <v/>
      </c>
      <c r="O1205" s="16" t="inlineStr">
        <is>
          <t>EETCG23E01, (35)Beige, (165)165</t>
        </is>
      </c>
      <c r="P1205" s="16" t="n">
        <v>799</v>
      </c>
      <c r="Q1205" s="16" t="n">
        <v>799</v>
      </c>
      <c r="R1205" s="16" t="n">
        <v>1</v>
      </c>
      <c r="S1205" s="16" t="n">
        <v>519</v>
      </c>
      <c r="T1205" s="16" t="n">
        <v>1</v>
      </c>
    </row>
    <row r="1206" s="103">
      <c r="A1206" s="16" t="inlineStr">
        <is>
          <t>B331</t>
        </is>
      </c>
      <c r="B1206" s="16" t="inlineStr">
        <is>
          <t>上海区域</t>
        </is>
      </c>
      <c r="C1206" s="16" t="inlineStr">
        <is>
          <t>CN0Q</t>
        </is>
      </c>
      <c r="D1206" s="16" t="inlineStr">
        <is>
          <t>EE 苏州比斯特购物村</t>
        </is>
      </c>
      <c r="E1206" s="16" t="n">
        <v>4</v>
      </c>
      <c r="F1206" s="16" t="inlineStr">
        <is>
          <t>奥特莱斯</t>
        </is>
      </c>
      <c r="G1206" s="16" t="inlineStr">
        <is>
          <t>EETCG23E01</t>
        </is>
      </c>
      <c r="H1206" s="16" t="n">
        <v>799</v>
      </c>
      <c r="I1206" s="16" t="n">
        <v>799</v>
      </c>
      <c r="J1206" s="17" t="inlineStr">
        <is>
          <t>########</t>
        </is>
      </c>
      <c r="K1206" s="16" t="inlineStr">
        <is>
          <t>(35)Beige</t>
        </is>
      </c>
      <c r="L1206" s="16" t="inlineStr">
        <is>
          <t>营业中</t>
        </is>
      </c>
      <c r="M1206" s="16" t="inlineStr">
        <is>
          <t>EETCG23E0135170</t>
        </is>
      </c>
      <c r="N1206" s="16">
        <f>LEFT(M1206,12)</f>
        <v/>
      </c>
      <c r="O1206" s="16" t="inlineStr">
        <is>
          <t>EETCG23E01, (35)Beige, (170)170</t>
        </is>
      </c>
      <c r="P1206" s="16" t="n">
        <v>799</v>
      </c>
      <c r="Q1206" s="16" t="n">
        <v>799</v>
      </c>
      <c r="R1206" s="16" t="n"/>
      <c r="S1206" s="16" t="n"/>
      <c r="T1206" s="16" t="n">
        <v>2</v>
      </c>
    </row>
    <row r="1207" s="103">
      <c r="A1207" s="16" t="inlineStr">
        <is>
          <t>B331</t>
        </is>
      </c>
      <c r="B1207" s="16" t="inlineStr">
        <is>
          <t>上海区域</t>
        </is>
      </c>
      <c r="C1207" s="16" t="inlineStr">
        <is>
          <t>CN0Q</t>
        </is>
      </c>
      <c r="D1207" s="16" t="inlineStr">
        <is>
          <t>EE 苏州比斯特购物村</t>
        </is>
      </c>
      <c r="E1207" s="16" t="n">
        <v>4</v>
      </c>
      <c r="F1207" s="16" t="inlineStr">
        <is>
          <t>奥特莱斯</t>
        </is>
      </c>
      <c r="G1207" s="16" t="inlineStr">
        <is>
          <t>EETCG23E01</t>
        </is>
      </c>
      <c r="H1207" s="16" t="n">
        <v>799</v>
      </c>
      <c r="I1207" s="16" t="n">
        <v>799</v>
      </c>
      <c r="J1207" s="17" t="inlineStr">
        <is>
          <t>########</t>
        </is>
      </c>
      <c r="K1207" s="16" t="inlineStr">
        <is>
          <t>(59)Navy</t>
        </is>
      </c>
      <c r="L1207" s="16" t="inlineStr">
        <is>
          <t>营业中</t>
        </is>
      </c>
      <c r="M1207" s="16" t="inlineStr">
        <is>
          <t>EETCG23E0159155</t>
        </is>
      </c>
      <c r="N1207" s="16">
        <f>LEFT(M1207,12)</f>
        <v/>
      </c>
      <c r="O1207" s="16" t="inlineStr">
        <is>
          <t>EETCG23E01, (59)Navy, (155)155</t>
        </is>
      </c>
      <c r="P1207" s="16" t="n">
        <v>799</v>
      </c>
      <c r="Q1207" s="16" t="n">
        <v>799</v>
      </c>
      <c r="R1207" s="16" t="n">
        <v>2</v>
      </c>
      <c r="S1207" s="16" t="n">
        <v>761</v>
      </c>
      <c r="T1207" s="16" t="n">
        <v>0</v>
      </c>
    </row>
    <row r="1208" s="103">
      <c r="A1208" s="16" t="inlineStr">
        <is>
          <t>B331</t>
        </is>
      </c>
      <c r="B1208" s="16" t="inlineStr">
        <is>
          <t>上海区域</t>
        </is>
      </c>
      <c r="C1208" s="16" t="inlineStr">
        <is>
          <t>CN0Q</t>
        </is>
      </c>
      <c r="D1208" s="16" t="inlineStr">
        <is>
          <t>EE 苏州比斯特购物村</t>
        </is>
      </c>
      <c r="E1208" s="16" t="n">
        <v>4</v>
      </c>
      <c r="F1208" s="16" t="inlineStr">
        <is>
          <t>奥特莱斯</t>
        </is>
      </c>
      <c r="G1208" s="16" t="inlineStr">
        <is>
          <t>EETCG23E01</t>
        </is>
      </c>
      <c r="H1208" s="16" t="n">
        <v>799</v>
      </c>
      <c r="I1208" s="16" t="n">
        <v>799</v>
      </c>
      <c r="J1208" s="17" t="inlineStr">
        <is>
          <t>########</t>
        </is>
      </c>
      <c r="K1208" s="16" t="inlineStr">
        <is>
          <t>(59)Navy</t>
        </is>
      </c>
      <c r="L1208" s="16" t="inlineStr">
        <is>
          <t>营业中</t>
        </is>
      </c>
      <c r="M1208" s="16" t="inlineStr">
        <is>
          <t>EETCG23E0159160</t>
        </is>
      </c>
      <c r="N1208" s="16">
        <f>LEFT(M1208,12)</f>
        <v/>
      </c>
      <c r="O1208" s="16" t="inlineStr">
        <is>
          <t>EETCG23E01, (59)Navy, (160)160</t>
        </is>
      </c>
      <c r="P1208" s="16" t="n">
        <v>799</v>
      </c>
      <c r="Q1208" s="16" t="n">
        <v>799</v>
      </c>
      <c r="R1208" s="16" t="n">
        <v>2</v>
      </c>
      <c r="S1208" s="16" t="n">
        <v>559</v>
      </c>
      <c r="T1208" s="16" t="n">
        <v>1</v>
      </c>
    </row>
    <row r="1209" s="103">
      <c r="A1209" s="16" t="inlineStr">
        <is>
          <t>B331</t>
        </is>
      </c>
      <c r="B1209" s="16" t="inlineStr">
        <is>
          <t>上海区域</t>
        </is>
      </c>
      <c r="C1209" s="16" t="inlineStr">
        <is>
          <t>CN0Q</t>
        </is>
      </c>
      <c r="D1209" s="16" t="inlineStr">
        <is>
          <t>EE 苏州比斯特购物村</t>
        </is>
      </c>
      <c r="E1209" s="16" t="n">
        <v>4</v>
      </c>
      <c r="F1209" s="16" t="inlineStr">
        <is>
          <t>奥特莱斯</t>
        </is>
      </c>
      <c r="G1209" s="16" t="inlineStr">
        <is>
          <t>EETCG23E01</t>
        </is>
      </c>
      <c r="H1209" s="16" t="n">
        <v>799</v>
      </c>
      <c r="I1209" s="16" t="n">
        <v>799</v>
      </c>
      <c r="J1209" s="17" t="inlineStr">
        <is>
          <t>########</t>
        </is>
      </c>
      <c r="K1209" s="16" t="inlineStr">
        <is>
          <t>(59)Navy</t>
        </is>
      </c>
      <c r="L1209" s="16" t="inlineStr">
        <is>
          <t>营业中</t>
        </is>
      </c>
      <c r="M1209" s="16" t="inlineStr">
        <is>
          <t>EETCG23E0159165</t>
        </is>
      </c>
      <c r="N1209" s="16">
        <f>LEFT(M1209,12)</f>
        <v/>
      </c>
      <c r="O1209" s="16" t="inlineStr">
        <is>
          <t>EETCG23E01, (59)Navy, (165)165</t>
        </is>
      </c>
      <c r="P1209" s="16" t="n">
        <v>799</v>
      </c>
      <c r="Q1209" s="16" t="n">
        <v>799</v>
      </c>
      <c r="R1209" s="16" t="n">
        <v>1</v>
      </c>
      <c r="S1209" s="16" t="n">
        <v>559</v>
      </c>
      <c r="T1209" s="16" t="n">
        <v>1</v>
      </c>
    </row>
    <row r="1210" s="103">
      <c r="A1210" s="16" t="inlineStr">
        <is>
          <t>B331</t>
        </is>
      </c>
      <c r="B1210" s="16" t="inlineStr">
        <is>
          <t>上海区域</t>
        </is>
      </c>
      <c r="C1210" s="16" t="inlineStr">
        <is>
          <t>CN0Q</t>
        </is>
      </c>
      <c r="D1210" s="16" t="inlineStr">
        <is>
          <t>EE 苏州比斯特购物村</t>
        </is>
      </c>
      <c r="E1210" s="16" t="n">
        <v>4</v>
      </c>
      <c r="F1210" s="16" t="inlineStr">
        <is>
          <t>奥特莱斯</t>
        </is>
      </c>
      <c r="G1210" s="16" t="inlineStr">
        <is>
          <t>EETCG23E01</t>
        </is>
      </c>
      <c r="H1210" s="16" t="n">
        <v>799</v>
      </c>
      <c r="I1210" s="16" t="n">
        <v>799</v>
      </c>
      <c r="J1210" s="17" t="inlineStr">
        <is>
          <t>########</t>
        </is>
      </c>
      <c r="K1210" s="16" t="inlineStr">
        <is>
          <t>(59)Navy</t>
        </is>
      </c>
      <c r="L1210" s="16" t="inlineStr">
        <is>
          <t>营业中</t>
        </is>
      </c>
      <c r="M1210" s="16" t="inlineStr">
        <is>
          <t>EETCG23E0159170</t>
        </is>
      </c>
      <c r="N1210" s="16">
        <f>LEFT(M1210,12)</f>
        <v/>
      </c>
      <c r="O1210" s="16" t="inlineStr">
        <is>
          <t>EETCG23E01, (59)Navy, (170)170</t>
        </is>
      </c>
      <c r="P1210" s="16" t="n">
        <v>799</v>
      </c>
      <c r="Q1210" s="16" t="n">
        <v>799</v>
      </c>
      <c r="R1210" s="16" t="n">
        <v>1</v>
      </c>
      <c r="S1210" s="16" t="n"/>
      <c r="T1210" s="16" t="n">
        <v>2</v>
      </c>
    </row>
    <row r="1211" s="103">
      <c r="A1211" s="16" t="inlineStr">
        <is>
          <t>B331</t>
        </is>
      </c>
      <c r="B1211" s="16" t="inlineStr">
        <is>
          <t>上海区域</t>
        </is>
      </c>
      <c r="C1211" s="16" t="inlineStr">
        <is>
          <t>CN0Q</t>
        </is>
      </c>
      <c r="D1211" s="16" t="inlineStr">
        <is>
          <t>EE 苏州比斯特购物村</t>
        </is>
      </c>
      <c r="E1211" s="16" t="n">
        <v>4</v>
      </c>
      <c r="F1211" s="16" t="inlineStr">
        <is>
          <t>奥特莱斯</t>
        </is>
      </c>
      <c r="G1211" s="16" t="inlineStr">
        <is>
          <t>EETCG23E02</t>
        </is>
      </c>
      <c r="H1211" s="16" t="n">
        <v>899</v>
      </c>
      <c r="I1211" s="16" t="n">
        <v>999</v>
      </c>
      <c r="J1211" s="17" t="n">
        <v>46085</v>
      </c>
      <c r="K1211" s="16" t="inlineStr">
        <is>
          <t>(35)Beige</t>
        </is>
      </c>
      <c r="L1211" s="16" t="inlineStr">
        <is>
          <t>营业中</t>
        </is>
      </c>
      <c r="M1211" s="16" t="inlineStr">
        <is>
          <t>EETCG23E0235155</t>
        </is>
      </c>
      <c r="N1211" s="16">
        <f>LEFT(M1211,12)</f>
        <v/>
      </c>
      <c r="O1211" s="16" t="inlineStr">
        <is>
          <t>EETCG23E02, (35)Beige, (155)155</t>
        </is>
      </c>
      <c r="P1211" s="16" t="n">
        <v>899</v>
      </c>
      <c r="Q1211" s="16" t="n">
        <v>999</v>
      </c>
      <c r="R1211" s="16" t="n"/>
      <c r="S1211" s="16" t="n"/>
      <c r="T1211" s="16" t="n">
        <v>3</v>
      </c>
    </row>
    <row r="1212" s="103">
      <c r="A1212" s="16" t="inlineStr">
        <is>
          <t>B331</t>
        </is>
      </c>
      <c r="B1212" s="16" t="inlineStr">
        <is>
          <t>上海区域</t>
        </is>
      </c>
      <c r="C1212" s="16" t="inlineStr">
        <is>
          <t>CN0Q</t>
        </is>
      </c>
      <c r="D1212" s="16" t="inlineStr">
        <is>
          <t>EE 苏州比斯特购物村</t>
        </is>
      </c>
      <c r="E1212" s="16" t="n">
        <v>4</v>
      </c>
      <c r="F1212" s="16" t="inlineStr">
        <is>
          <t>奥特莱斯</t>
        </is>
      </c>
      <c r="G1212" s="16" t="inlineStr">
        <is>
          <t>EETCG23E02</t>
        </is>
      </c>
      <c r="H1212" s="16" t="n">
        <v>899</v>
      </c>
      <c r="I1212" s="16" t="n">
        <v>999</v>
      </c>
      <c r="J1212" s="17" t="n">
        <v>46085</v>
      </c>
      <c r="K1212" s="16" t="inlineStr">
        <is>
          <t>(35)Beige</t>
        </is>
      </c>
      <c r="L1212" s="16" t="inlineStr">
        <is>
          <t>营业中</t>
        </is>
      </c>
      <c r="M1212" s="16" t="inlineStr">
        <is>
          <t>EETCG23E0235160</t>
        </is>
      </c>
      <c r="N1212" s="16">
        <f>LEFT(M1212,12)</f>
        <v/>
      </c>
      <c r="O1212" s="16" t="inlineStr">
        <is>
          <t>EETCG23E02, (35)Beige, (160)160</t>
        </is>
      </c>
      <c r="P1212" s="16" t="n">
        <v>899</v>
      </c>
      <c r="Q1212" s="16" t="n">
        <v>999</v>
      </c>
      <c r="R1212" s="16" t="n"/>
      <c r="S1212" s="16" t="n"/>
      <c r="T1212" s="16" t="n">
        <v>2</v>
      </c>
    </row>
    <row r="1213" s="103">
      <c r="A1213" s="16" t="inlineStr">
        <is>
          <t>B331</t>
        </is>
      </c>
      <c r="B1213" s="16" t="inlineStr">
        <is>
          <t>上海区域</t>
        </is>
      </c>
      <c r="C1213" s="16" t="inlineStr">
        <is>
          <t>CN0Q</t>
        </is>
      </c>
      <c r="D1213" s="16" t="inlineStr">
        <is>
          <t>EE 苏州比斯特购物村</t>
        </is>
      </c>
      <c r="E1213" s="16" t="n">
        <v>4</v>
      </c>
      <c r="F1213" s="16" t="inlineStr">
        <is>
          <t>奥特莱斯</t>
        </is>
      </c>
      <c r="G1213" s="16" t="inlineStr">
        <is>
          <t>EETCG23E02</t>
        </is>
      </c>
      <c r="H1213" s="16" t="n">
        <v>899</v>
      </c>
      <c r="I1213" s="16" t="n">
        <v>999</v>
      </c>
      <c r="J1213" s="17" t="n">
        <v>46085</v>
      </c>
      <c r="K1213" s="16" t="inlineStr">
        <is>
          <t>(35)Beige</t>
        </is>
      </c>
      <c r="L1213" s="16" t="inlineStr">
        <is>
          <t>营业中</t>
        </is>
      </c>
      <c r="M1213" s="16" t="inlineStr">
        <is>
          <t>EETCG23E0235165</t>
        </is>
      </c>
      <c r="N1213" s="16">
        <f>LEFT(M1213,12)</f>
        <v/>
      </c>
      <c r="O1213" s="16" t="inlineStr">
        <is>
          <t>EETCG23E02, (35)Beige, (165)165</t>
        </is>
      </c>
      <c r="P1213" s="16" t="n">
        <v>899</v>
      </c>
      <c r="Q1213" s="16" t="n">
        <v>999</v>
      </c>
      <c r="R1213" s="16" t="n"/>
      <c r="S1213" s="16" t="n"/>
      <c r="T1213" s="16" t="n">
        <v>3</v>
      </c>
    </row>
    <row r="1214" s="103">
      <c r="A1214" s="16" t="inlineStr">
        <is>
          <t>B331</t>
        </is>
      </c>
      <c r="B1214" s="16" t="inlineStr">
        <is>
          <t>上海区域</t>
        </is>
      </c>
      <c r="C1214" s="16" t="inlineStr">
        <is>
          <t>CN0Q</t>
        </is>
      </c>
      <c r="D1214" s="16" t="inlineStr">
        <is>
          <t>EE 苏州比斯特购物村</t>
        </is>
      </c>
      <c r="E1214" s="16" t="n">
        <v>4</v>
      </c>
      <c r="F1214" s="16" t="inlineStr">
        <is>
          <t>奥特莱斯</t>
        </is>
      </c>
      <c r="G1214" s="16" t="inlineStr">
        <is>
          <t>EETCG23E02</t>
        </is>
      </c>
      <c r="H1214" s="16" t="n">
        <v>899</v>
      </c>
      <c r="I1214" s="16" t="n">
        <v>999</v>
      </c>
      <c r="J1214" s="17" t="n">
        <v>46085</v>
      </c>
      <c r="K1214" s="16" t="inlineStr">
        <is>
          <t>(35)Beige</t>
        </is>
      </c>
      <c r="L1214" s="16" t="inlineStr">
        <is>
          <t>营业中</t>
        </is>
      </c>
      <c r="M1214" s="16" t="inlineStr">
        <is>
          <t>EETCG23E0235170</t>
        </is>
      </c>
      <c r="N1214" s="16">
        <f>LEFT(M1214,12)</f>
        <v/>
      </c>
      <c r="O1214" s="16" t="inlineStr">
        <is>
          <t>EETCG23E02, (35)Beige, (170)170</t>
        </is>
      </c>
      <c r="P1214" s="16" t="n">
        <v>899</v>
      </c>
      <c r="Q1214" s="16" t="n">
        <v>999</v>
      </c>
      <c r="R1214" s="16" t="n"/>
      <c r="S1214" s="16" t="n"/>
      <c r="T1214" s="16" t="n">
        <v>2</v>
      </c>
    </row>
    <row r="1215" s="103">
      <c r="A1215" s="16" t="inlineStr">
        <is>
          <t>B331</t>
        </is>
      </c>
      <c r="B1215" s="16" t="inlineStr">
        <is>
          <t>上海区域</t>
        </is>
      </c>
      <c r="C1215" s="16" t="inlineStr">
        <is>
          <t>CN0Q</t>
        </is>
      </c>
      <c r="D1215" s="16" t="inlineStr">
        <is>
          <t>EE 苏州比斯特购物村</t>
        </is>
      </c>
      <c r="E1215" s="16" t="n">
        <v>4</v>
      </c>
      <c r="F1215" s="16" t="inlineStr">
        <is>
          <t>奥特莱斯</t>
        </is>
      </c>
      <c r="G1215" s="16" t="inlineStr">
        <is>
          <t>EETCG23E02</t>
        </is>
      </c>
      <c r="H1215" s="16" t="n">
        <v>899</v>
      </c>
      <c r="I1215" s="16" t="n">
        <v>999</v>
      </c>
      <c r="J1215" s="17" t="n">
        <v>46085</v>
      </c>
      <c r="K1215" s="16" t="inlineStr">
        <is>
          <t>(59)Navy</t>
        </is>
      </c>
      <c r="L1215" s="16" t="inlineStr">
        <is>
          <t>营业中</t>
        </is>
      </c>
      <c r="M1215" s="16" t="inlineStr">
        <is>
          <t>EETCG23E0259155</t>
        </is>
      </c>
      <c r="N1215" s="16">
        <f>LEFT(M1215,12)</f>
        <v/>
      </c>
      <c r="O1215" s="16" t="inlineStr">
        <is>
          <t>EETCG23E02, (59)Navy, (155)155</t>
        </is>
      </c>
      <c r="P1215" s="16" t="n">
        <v>899</v>
      </c>
      <c r="Q1215" s="16" t="n">
        <v>999</v>
      </c>
      <c r="R1215" s="16" t="n"/>
      <c r="S1215" s="16" t="n"/>
      <c r="T1215" s="16" t="n">
        <v>2</v>
      </c>
    </row>
    <row r="1216" s="103">
      <c r="A1216" s="16" t="inlineStr">
        <is>
          <t>B331</t>
        </is>
      </c>
      <c r="B1216" s="16" t="inlineStr">
        <is>
          <t>上海区域</t>
        </is>
      </c>
      <c r="C1216" s="16" t="inlineStr">
        <is>
          <t>CN0Q</t>
        </is>
      </c>
      <c r="D1216" s="16" t="inlineStr">
        <is>
          <t>EE 苏州比斯特购物村</t>
        </is>
      </c>
      <c r="E1216" s="16" t="n">
        <v>4</v>
      </c>
      <c r="F1216" s="16" t="inlineStr">
        <is>
          <t>奥特莱斯</t>
        </is>
      </c>
      <c r="G1216" s="16" t="inlineStr">
        <is>
          <t>EETCG23E02</t>
        </is>
      </c>
      <c r="H1216" s="16" t="n">
        <v>899</v>
      </c>
      <c r="I1216" s="16" t="n">
        <v>999</v>
      </c>
      <c r="J1216" s="17" t="n">
        <v>46085</v>
      </c>
      <c r="K1216" s="16" t="inlineStr">
        <is>
          <t>(59)Navy</t>
        </is>
      </c>
      <c r="L1216" s="16" t="inlineStr">
        <is>
          <t>营业中</t>
        </is>
      </c>
      <c r="M1216" s="16" t="inlineStr">
        <is>
          <t>EETCG23E0259160</t>
        </is>
      </c>
      <c r="N1216" s="16">
        <f>LEFT(M1216,12)</f>
        <v/>
      </c>
      <c r="O1216" s="16" t="inlineStr">
        <is>
          <t>EETCG23E02, (59)Navy, (160)160</t>
        </is>
      </c>
      <c r="P1216" s="16" t="n">
        <v>899</v>
      </c>
      <c r="Q1216" s="16" t="n">
        <v>999</v>
      </c>
      <c r="R1216" s="16" t="n">
        <v>1</v>
      </c>
      <c r="S1216" s="16" t="n"/>
      <c r="T1216" s="16" t="n">
        <v>2</v>
      </c>
    </row>
    <row r="1217" s="103">
      <c r="A1217" s="16" t="inlineStr">
        <is>
          <t>B331</t>
        </is>
      </c>
      <c r="B1217" s="16" t="inlineStr">
        <is>
          <t>上海区域</t>
        </is>
      </c>
      <c r="C1217" s="16" t="inlineStr">
        <is>
          <t>CN0Q</t>
        </is>
      </c>
      <c r="D1217" s="16" t="inlineStr">
        <is>
          <t>EE 苏州比斯特购物村</t>
        </is>
      </c>
      <c r="E1217" s="16" t="n">
        <v>4</v>
      </c>
      <c r="F1217" s="16" t="inlineStr">
        <is>
          <t>奥特莱斯</t>
        </is>
      </c>
      <c r="G1217" s="16" t="inlineStr">
        <is>
          <t>EETCG23E02</t>
        </is>
      </c>
      <c r="H1217" s="16" t="n">
        <v>899</v>
      </c>
      <c r="I1217" s="16" t="n">
        <v>999</v>
      </c>
      <c r="J1217" s="17" t="n">
        <v>46085</v>
      </c>
      <c r="K1217" s="16" t="inlineStr">
        <is>
          <t>(59)Navy</t>
        </is>
      </c>
      <c r="L1217" s="16" t="inlineStr">
        <is>
          <t>营业中</t>
        </is>
      </c>
      <c r="M1217" s="16" t="inlineStr">
        <is>
          <t>EETCG23E0259165</t>
        </is>
      </c>
      <c r="N1217" s="16">
        <f>LEFT(M1217,12)</f>
        <v/>
      </c>
      <c r="O1217" s="16" t="inlineStr">
        <is>
          <t>EETCG23E02, (59)Navy, (165)165</t>
        </is>
      </c>
      <c r="P1217" s="16" t="n">
        <v>899</v>
      </c>
      <c r="Q1217" s="16" t="n">
        <v>999</v>
      </c>
      <c r="R1217" s="16" t="n">
        <v>1</v>
      </c>
      <c r="S1217" s="16" t="n">
        <v>644</v>
      </c>
      <c r="T1217" s="16" t="n">
        <v>2</v>
      </c>
    </row>
    <row r="1218" s="103">
      <c r="A1218" s="16" t="inlineStr">
        <is>
          <t>B331</t>
        </is>
      </c>
      <c r="B1218" s="16" t="inlineStr">
        <is>
          <t>上海区域</t>
        </is>
      </c>
      <c r="C1218" s="16" t="inlineStr">
        <is>
          <t>CN0Q</t>
        </is>
      </c>
      <c r="D1218" s="16" t="inlineStr">
        <is>
          <t>EE 苏州比斯特购物村</t>
        </is>
      </c>
      <c r="E1218" s="16" t="n">
        <v>4</v>
      </c>
      <c r="F1218" s="16" t="inlineStr">
        <is>
          <t>奥特莱斯</t>
        </is>
      </c>
      <c r="G1218" s="16" t="inlineStr">
        <is>
          <t>EETCG23E02</t>
        </is>
      </c>
      <c r="H1218" s="16" t="n">
        <v>899</v>
      </c>
      <c r="I1218" s="16" t="n">
        <v>999</v>
      </c>
      <c r="J1218" s="17" t="n">
        <v>46085</v>
      </c>
      <c r="K1218" s="16" t="inlineStr">
        <is>
          <t>(59)Navy</t>
        </is>
      </c>
      <c r="L1218" s="16" t="inlineStr">
        <is>
          <t>营业中</t>
        </is>
      </c>
      <c r="M1218" s="16" t="inlineStr">
        <is>
          <t>EETCG23E0259170</t>
        </is>
      </c>
      <c r="N1218" s="16">
        <f>LEFT(M1218,12)</f>
        <v/>
      </c>
      <c r="O1218" s="16" t="inlineStr">
        <is>
          <t>EETCG23E02, (59)Navy, (170)170</t>
        </is>
      </c>
      <c r="P1218" s="16" t="n">
        <v>899</v>
      </c>
      <c r="Q1218" s="16" t="n">
        <v>999</v>
      </c>
      <c r="R1218" s="16" t="n"/>
      <c r="S1218" s="16" t="n"/>
      <c r="T1218" s="16" t="n">
        <v>2</v>
      </c>
    </row>
    <row r="1219" s="103">
      <c r="A1219" s="16" t="inlineStr">
        <is>
          <t>B331</t>
        </is>
      </c>
      <c r="B1219" s="16" t="inlineStr">
        <is>
          <t>上海区域</t>
        </is>
      </c>
      <c r="C1219" s="16" t="inlineStr">
        <is>
          <t>CN0Q</t>
        </is>
      </c>
      <c r="D1219" s="16" t="inlineStr">
        <is>
          <t>EE 苏州比斯特购物村</t>
        </is>
      </c>
      <c r="E1219" s="16" t="n">
        <v>4</v>
      </c>
      <c r="F1219" s="16" t="inlineStr">
        <is>
          <t>奥特莱斯</t>
        </is>
      </c>
      <c r="G1219" s="16" t="inlineStr">
        <is>
          <t>EETCG23E1G</t>
        </is>
      </c>
      <c r="H1219" s="16" t="n">
        <v>899</v>
      </c>
      <c r="I1219" s="16" t="n">
        <v>899</v>
      </c>
      <c r="J1219" s="17" t="inlineStr">
        <is>
          <t>########</t>
        </is>
      </c>
      <c r="K1219" s="16" t="inlineStr">
        <is>
          <t>(35)Beige</t>
        </is>
      </c>
      <c r="L1219" s="16" t="inlineStr">
        <is>
          <t>营业中</t>
        </is>
      </c>
      <c r="M1219" s="16" t="inlineStr">
        <is>
          <t>EETCG23E1G35030</t>
        </is>
      </c>
      <c r="N1219" s="16">
        <f>LEFT(M1219,12)</f>
        <v/>
      </c>
      <c r="O1219" s="16" t="inlineStr">
        <is>
          <t>EETCG23E1G, (35)Beige, 30(170/76A)</t>
        </is>
      </c>
      <c r="P1219" s="16" t="n">
        <v>899</v>
      </c>
      <c r="Q1219" s="16" t="n">
        <v>899</v>
      </c>
      <c r="R1219" s="16" t="n"/>
      <c r="S1219" s="16" t="n"/>
      <c r="T1219" s="16" t="n">
        <v>2</v>
      </c>
    </row>
    <row r="1220" s="103">
      <c r="A1220" s="16" t="inlineStr">
        <is>
          <t>B331</t>
        </is>
      </c>
      <c r="B1220" s="16" t="inlineStr">
        <is>
          <t>上海区域</t>
        </is>
      </c>
      <c r="C1220" s="16" t="inlineStr">
        <is>
          <t>CN0Q</t>
        </is>
      </c>
      <c r="D1220" s="16" t="inlineStr">
        <is>
          <t>EE 苏州比斯特购物村</t>
        </is>
      </c>
      <c r="E1220" s="16" t="n">
        <v>4</v>
      </c>
      <c r="F1220" s="16" t="inlineStr">
        <is>
          <t>奥特莱斯</t>
        </is>
      </c>
      <c r="G1220" s="16" t="inlineStr">
        <is>
          <t>EETCG23E1G</t>
        </is>
      </c>
      <c r="H1220" s="16" t="n">
        <v>899</v>
      </c>
      <c r="I1220" s="16" t="n">
        <v>899</v>
      </c>
      <c r="J1220" s="17" t="inlineStr">
        <is>
          <t>########</t>
        </is>
      </c>
      <c r="K1220" s="16" t="inlineStr">
        <is>
          <t>(35)Beige</t>
        </is>
      </c>
      <c r="L1220" s="16" t="inlineStr">
        <is>
          <t>营业中</t>
        </is>
      </c>
      <c r="M1220" s="16" t="inlineStr">
        <is>
          <t>EETCG23E1G35032</t>
        </is>
      </c>
      <c r="N1220" s="16">
        <f>LEFT(M1220,12)</f>
        <v/>
      </c>
      <c r="O1220" s="16" t="inlineStr">
        <is>
          <t>EETCG23E1G, (35)Beige, 32(175/80A)</t>
        </is>
      </c>
      <c r="P1220" s="16" t="n">
        <v>899</v>
      </c>
      <c r="Q1220" s="16" t="n">
        <v>899</v>
      </c>
      <c r="R1220" s="16" t="n">
        <v>0</v>
      </c>
      <c r="S1220" s="16" t="n">
        <v>0</v>
      </c>
      <c r="T1220" s="16" t="n">
        <v>2</v>
      </c>
    </row>
    <row r="1221" s="103">
      <c r="A1221" s="16" t="inlineStr">
        <is>
          <t>B331</t>
        </is>
      </c>
      <c r="B1221" s="16" t="inlineStr">
        <is>
          <t>上海区域</t>
        </is>
      </c>
      <c r="C1221" s="16" t="inlineStr">
        <is>
          <t>CN0Q</t>
        </is>
      </c>
      <c r="D1221" s="16" t="inlineStr">
        <is>
          <t>EE 苏州比斯特购物村</t>
        </is>
      </c>
      <c r="E1221" s="16" t="n">
        <v>4</v>
      </c>
      <c r="F1221" s="16" t="inlineStr">
        <is>
          <t>奥特莱斯</t>
        </is>
      </c>
      <c r="G1221" s="16" t="inlineStr">
        <is>
          <t>EETCG23E1G</t>
        </is>
      </c>
      <c r="H1221" s="16" t="n">
        <v>899</v>
      </c>
      <c r="I1221" s="16" t="n">
        <v>899</v>
      </c>
      <c r="J1221" s="17" t="inlineStr">
        <is>
          <t>########</t>
        </is>
      </c>
      <c r="K1221" s="16" t="inlineStr">
        <is>
          <t>(35)Beige</t>
        </is>
      </c>
      <c r="L1221" s="16" t="inlineStr">
        <is>
          <t>营业中</t>
        </is>
      </c>
      <c r="M1221" s="16" t="inlineStr">
        <is>
          <t>EETCG23E1G35034</t>
        </is>
      </c>
      <c r="N1221" s="16">
        <f>LEFT(M1221,12)</f>
        <v/>
      </c>
      <c r="O1221" s="16" t="inlineStr">
        <is>
          <t>EETCG23E1G, (35)Beige, 34(180/84A)</t>
        </is>
      </c>
      <c r="P1221" s="16" t="n">
        <v>899</v>
      </c>
      <c r="Q1221" s="16" t="n">
        <v>899</v>
      </c>
      <c r="R1221" s="16" t="n"/>
      <c r="S1221" s="16" t="n"/>
      <c r="T1221" s="16" t="n">
        <v>2</v>
      </c>
    </row>
    <row r="1222" s="103">
      <c r="A1222" s="16" t="inlineStr">
        <is>
          <t>B331</t>
        </is>
      </c>
      <c r="B1222" s="16" t="inlineStr">
        <is>
          <t>上海区域</t>
        </is>
      </c>
      <c r="C1222" s="16" t="inlineStr">
        <is>
          <t>CN0Q</t>
        </is>
      </c>
      <c r="D1222" s="16" t="inlineStr">
        <is>
          <t>EE 苏州比斯特购物村</t>
        </is>
      </c>
      <c r="E1222" s="16" t="n">
        <v>4</v>
      </c>
      <c r="F1222" s="16" t="inlineStr">
        <is>
          <t>奥特莱斯</t>
        </is>
      </c>
      <c r="G1222" s="16" t="inlineStr">
        <is>
          <t>EETCG23E1G</t>
        </is>
      </c>
      <c r="H1222" s="16" t="n">
        <v>899</v>
      </c>
      <c r="I1222" s="16" t="n">
        <v>899</v>
      </c>
      <c r="J1222" s="17" t="inlineStr">
        <is>
          <t>########</t>
        </is>
      </c>
      <c r="K1222" s="16" t="inlineStr">
        <is>
          <t>(35)Beige</t>
        </is>
      </c>
      <c r="L1222" s="16" t="inlineStr">
        <is>
          <t>营业中</t>
        </is>
      </c>
      <c r="M1222" s="16" t="inlineStr">
        <is>
          <t>EETCG23E1G35036</t>
        </is>
      </c>
      <c r="N1222" s="16">
        <f>LEFT(M1222,12)</f>
        <v/>
      </c>
      <c r="O1222" s="16" t="inlineStr">
        <is>
          <t>EETCG23E1G, (35)Beige, 36(185/88A)</t>
        </is>
      </c>
      <c r="P1222" s="16" t="n">
        <v>899</v>
      </c>
      <c r="Q1222" s="16" t="n">
        <v>899</v>
      </c>
      <c r="R1222" s="16" t="n"/>
      <c r="S1222" s="16" t="n"/>
      <c r="T1222" s="16" t="n">
        <v>1</v>
      </c>
    </row>
    <row r="1223" s="103">
      <c r="A1223" s="16" t="inlineStr">
        <is>
          <t>B331</t>
        </is>
      </c>
      <c r="B1223" s="16" t="inlineStr">
        <is>
          <t>上海区域</t>
        </is>
      </c>
      <c r="C1223" s="16" t="inlineStr">
        <is>
          <t>CN0Q</t>
        </is>
      </c>
      <c r="D1223" s="16" t="inlineStr">
        <is>
          <t>EE 苏州比斯特购物村</t>
        </is>
      </c>
      <c r="E1223" s="16" t="n">
        <v>4</v>
      </c>
      <c r="F1223" s="16" t="inlineStr">
        <is>
          <t>奥特莱斯</t>
        </is>
      </c>
      <c r="G1223" s="16" t="inlineStr">
        <is>
          <t>EETCG23E1G</t>
        </is>
      </c>
      <c r="H1223" s="16" t="n">
        <v>899</v>
      </c>
      <c r="I1223" s="16" t="n">
        <v>899</v>
      </c>
      <c r="J1223" s="17" t="inlineStr">
        <is>
          <t>########</t>
        </is>
      </c>
      <c r="K1223" s="16" t="inlineStr">
        <is>
          <t>(49)Khaki</t>
        </is>
      </c>
      <c r="L1223" s="16" t="inlineStr">
        <is>
          <t>营业中</t>
        </is>
      </c>
      <c r="M1223" s="16" t="inlineStr">
        <is>
          <t>EETCG23E1G49030</t>
        </is>
      </c>
      <c r="N1223" s="16">
        <f>LEFT(M1223,12)</f>
        <v/>
      </c>
      <c r="O1223" s="16" t="inlineStr">
        <is>
          <t>EETCG23E1G, (49)Khaki, 30(170/76A)</t>
        </is>
      </c>
      <c r="P1223" s="16" t="n">
        <v>899</v>
      </c>
      <c r="Q1223" s="16" t="n">
        <v>899</v>
      </c>
      <c r="R1223" s="16" t="n">
        <v>1</v>
      </c>
      <c r="S1223" s="16" t="n">
        <v>568</v>
      </c>
      <c r="T1223" s="16" t="n">
        <v>1</v>
      </c>
    </row>
    <row r="1224" s="103">
      <c r="A1224" s="16" t="inlineStr">
        <is>
          <t>B331</t>
        </is>
      </c>
      <c r="B1224" s="16" t="inlineStr">
        <is>
          <t>上海区域</t>
        </is>
      </c>
      <c r="C1224" s="16" t="inlineStr">
        <is>
          <t>CN0Q</t>
        </is>
      </c>
      <c r="D1224" s="16" t="inlineStr">
        <is>
          <t>EE 苏州比斯特购物村</t>
        </is>
      </c>
      <c r="E1224" s="16" t="n">
        <v>4</v>
      </c>
      <c r="F1224" s="16" t="inlineStr">
        <is>
          <t>奥特莱斯</t>
        </is>
      </c>
      <c r="G1224" s="16" t="inlineStr">
        <is>
          <t>EETCG23E1G</t>
        </is>
      </c>
      <c r="H1224" s="16" t="n">
        <v>899</v>
      </c>
      <c r="I1224" s="16" t="n">
        <v>899</v>
      </c>
      <c r="J1224" s="17" t="inlineStr">
        <is>
          <t>########</t>
        </is>
      </c>
      <c r="K1224" s="16" t="inlineStr">
        <is>
          <t>(49)Khaki</t>
        </is>
      </c>
      <c r="L1224" s="16" t="inlineStr">
        <is>
          <t>营业中</t>
        </is>
      </c>
      <c r="M1224" s="16" t="inlineStr">
        <is>
          <t>EETCG23E1G49032</t>
        </is>
      </c>
      <c r="N1224" s="16">
        <f>LEFT(M1224,12)</f>
        <v/>
      </c>
      <c r="O1224" s="16" t="inlineStr">
        <is>
          <t>EETCG23E1G, (49)Khaki, 32(175/80A)</t>
        </is>
      </c>
      <c r="P1224" s="16" t="n">
        <v>899</v>
      </c>
      <c r="Q1224" s="16" t="n">
        <v>899</v>
      </c>
      <c r="R1224" s="16" t="n"/>
      <c r="S1224" s="16" t="n"/>
      <c r="T1224" s="16" t="n">
        <v>2</v>
      </c>
    </row>
    <row r="1225" s="103">
      <c r="A1225" s="16" t="inlineStr">
        <is>
          <t>B331</t>
        </is>
      </c>
      <c r="B1225" s="16" t="inlineStr">
        <is>
          <t>上海区域</t>
        </is>
      </c>
      <c r="C1225" s="16" t="inlineStr">
        <is>
          <t>CN0Q</t>
        </is>
      </c>
      <c r="D1225" s="16" t="inlineStr">
        <is>
          <t>EE 苏州比斯特购物村</t>
        </is>
      </c>
      <c r="E1225" s="16" t="n">
        <v>4</v>
      </c>
      <c r="F1225" s="16" t="inlineStr">
        <is>
          <t>奥特莱斯</t>
        </is>
      </c>
      <c r="G1225" s="16" t="inlineStr">
        <is>
          <t>EETCG23E1G</t>
        </is>
      </c>
      <c r="H1225" s="16" t="n">
        <v>899</v>
      </c>
      <c r="I1225" s="16" t="n">
        <v>899</v>
      </c>
      <c r="J1225" s="17" t="inlineStr">
        <is>
          <t>########</t>
        </is>
      </c>
      <c r="K1225" s="16" t="inlineStr">
        <is>
          <t>(49)Khaki</t>
        </is>
      </c>
      <c r="L1225" s="16" t="inlineStr">
        <is>
          <t>营业中</t>
        </is>
      </c>
      <c r="M1225" s="16" t="inlineStr">
        <is>
          <t>EETCG23E1G49034</t>
        </is>
      </c>
      <c r="N1225" s="16">
        <f>LEFT(M1225,12)</f>
        <v/>
      </c>
      <c r="O1225" s="16" t="inlineStr">
        <is>
          <t>EETCG23E1G, (49)Khaki, 34(180/84A)</t>
        </is>
      </c>
      <c r="P1225" s="16" t="n">
        <v>899</v>
      </c>
      <c r="Q1225" s="16" t="n">
        <v>899</v>
      </c>
      <c r="R1225" s="16" t="n">
        <v>1</v>
      </c>
      <c r="S1225" s="16" t="n"/>
      <c r="T1225" s="16" t="n">
        <v>2</v>
      </c>
    </row>
    <row r="1226" s="103">
      <c r="A1226" s="16" t="inlineStr">
        <is>
          <t>B331</t>
        </is>
      </c>
      <c r="B1226" s="16" t="inlineStr">
        <is>
          <t>上海区域</t>
        </is>
      </c>
      <c r="C1226" s="16" t="inlineStr">
        <is>
          <t>CN0Q</t>
        </is>
      </c>
      <c r="D1226" s="16" t="inlineStr">
        <is>
          <t>EE 苏州比斯特购物村</t>
        </is>
      </c>
      <c r="E1226" s="16" t="n">
        <v>4</v>
      </c>
      <c r="F1226" s="16" t="inlineStr">
        <is>
          <t>奥特莱斯</t>
        </is>
      </c>
      <c r="G1226" s="16" t="inlineStr">
        <is>
          <t>EETCG23E1G</t>
        </is>
      </c>
      <c r="H1226" s="16" t="n">
        <v>899</v>
      </c>
      <c r="I1226" s="16" t="n">
        <v>899</v>
      </c>
      <c r="J1226" s="17" t="inlineStr">
        <is>
          <t>########</t>
        </is>
      </c>
      <c r="K1226" s="16" t="inlineStr">
        <is>
          <t>(49)Khaki</t>
        </is>
      </c>
      <c r="L1226" s="16" t="inlineStr">
        <is>
          <t>营业中</t>
        </is>
      </c>
      <c r="M1226" s="16" t="inlineStr">
        <is>
          <t>EETCG23E1G49036</t>
        </is>
      </c>
      <c r="N1226" s="16">
        <f>LEFT(M1226,12)</f>
        <v/>
      </c>
      <c r="O1226" s="16" t="inlineStr">
        <is>
          <t>EETCG23E1G, (49)Khaki, 36(185/88A)</t>
        </is>
      </c>
      <c r="P1226" s="16" t="n">
        <v>899</v>
      </c>
      <c r="Q1226" s="16" t="n">
        <v>899</v>
      </c>
      <c r="R1226" s="16" t="n"/>
      <c r="S1226" s="16" t="n"/>
      <c r="T1226" s="16" t="n">
        <v>1</v>
      </c>
    </row>
    <row r="1227" s="103">
      <c r="A1227" s="16" t="inlineStr">
        <is>
          <t>B331</t>
        </is>
      </c>
      <c r="B1227" s="16" t="inlineStr">
        <is>
          <t>上海区域</t>
        </is>
      </c>
      <c r="C1227" s="16" t="inlineStr">
        <is>
          <t>CN0Q</t>
        </is>
      </c>
      <c r="D1227" s="16" t="inlineStr">
        <is>
          <t>EE 苏州比斯特购物村</t>
        </is>
      </c>
      <c r="E1227" s="16" t="n">
        <v>4</v>
      </c>
      <c r="F1227" s="16" t="inlineStr">
        <is>
          <t>奥特莱斯</t>
        </is>
      </c>
      <c r="G1227" s="16" t="inlineStr">
        <is>
          <t>EETCG23E1G</t>
        </is>
      </c>
      <c r="H1227" s="16" t="n">
        <v>899</v>
      </c>
      <c r="I1227" s="16" t="n">
        <v>899</v>
      </c>
      <c r="J1227" s="17" t="inlineStr">
        <is>
          <t>########</t>
        </is>
      </c>
      <c r="K1227" s="16" t="inlineStr">
        <is>
          <t>(59)Navy</t>
        </is>
      </c>
      <c r="L1227" s="16" t="inlineStr">
        <is>
          <t>营业中</t>
        </is>
      </c>
      <c r="M1227" s="16" t="inlineStr">
        <is>
          <t>EETCG23E1G59030</t>
        </is>
      </c>
      <c r="N1227" s="16">
        <f>LEFT(M1227,12)</f>
        <v/>
      </c>
      <c r="O1227" s="16" t="inlineStr">
        <is>
          <t>EETCG23E1G, (59)Navy, 30(170/76A)</t>
        </is>
      </c>
      <c r="P1227" s="16" t="n">
        <v>899</v>
      </c>
      <c r="Q1227" s="16" t="n">
        <v>899</v>
      </c>
      <c r="R1227" s="16" t="n">
        <v>1</v>
      </c>
      <c r="S1227" s="16" t="n">
        <v>573</v>
      </c>
      <c r="T1227" s="16" t="n">
        <v>1</v>
      </c>
    </row>
    <row r="1228" s="103">
      <c r="A1228" s="16" t="inlineStr">
        <is>
          <t>B331</t>
        </is>
      </c>
      <c r="B1228" s="16" t="inlineStr">
        <is>
          <t>上海区域</t>
        </is>
      </c>
      <c r="C1228" s="16" t="inlineStr">
        <is>
          <t>CN0Q</t>
        </is>
      </c>
      <c r="D1228" s="16" t="inlineStr">
        <is>
          <t>EE 苏州比斯特购物村</t>
        </is>
      </c>
      <c r="E1228" s="16" t="n">
        <v>4</v>
      </c>
      <c r="F1228" s="16" t="inlineStr">
        <is>
          <t>奥特莱斯</t>
        </is>
      </c>
      <c r="G1228" s="16" t="inlineStr">
        <is>
          <t>EETCG23E1G</t>
        </is>
      </c>
      <c r="H1228" s="16" t="n">
        <v>899</v>
      </c>
      <c r="I1228" s="16" t="n">
        <v>899</v>
      </c>
      <c r="J1228" s="17" t="inlineStr">
        <is>
          <t>########</t>
        </is>
      </c>
      <c r="K1228" s="16" t="inlineStr">
        <is>
          <t>(59)Navy</t>
        </is>
      </c>
      <c r="L1228" s="16" t="inlineStr">
        <is>
          <t>营业中</t>
        </is>
      </c>
      <c r="M1228" s="16" t="inlineStr">
        <is>
          <t>EETCG23E1G59032</t>
        </is>
      </c>
      <c r="N1228" s="16">
        <f>LEFT(M1228,12)</f>
        <v/>
      </c>
      <c r="O1228" s="16" t="inlineStr">
        <is>
          <t>EETCG23E1G, (59)Navy, 32(175/80A)</t>
        </is>
      </c>
      <c r="P1228" s="16" t="n">
        <v>899</v>
      </c>
      <c r="Q1228" s="16" t="n">
        <v>899</v>
      </c>
      <c r="R1228" s="16" t="n">
        <v>1</v>
      </c>
      <c r="S1228" s="16" t="n">
        <v>569</v>
      </c>
      <c r="T1228" s="16" t="n">
        <v>1</v>
      </c>
    </row>
    <row r="1229" s="103">
      <c r="A1229" s="16" t="inlineStr">
        <is>
          <t>B331</t>
        </is>
      </c>
      <c r="B1229" s="16" t="inlineStr">
        <is>
          <t>上海区域</t>
        </is>
      </c>
      <c r="C1229" s="16" t="inlineStr">
        <is>
          <t>CN0Q</t>
        </is>
      </c>
      <c r="D1229" s="16" t="inlineStr">
        <is>
          <t>EE 苏州比斯特购物村</t>
        </is>
      </c>
      <c r="E1229" s="16" t="n">
        <v>4</v>
      </c>
      <c r="F1229" s="16" t="inlineStr">
        <is>
          <t>奥特莱斯</t>
        </is>
      </c>
      <c r="G1229" s="16" t="inlineStr">
        <is>
          <t>EETCG23E1G</t>
        </is>
      </c>
      <c r="H1229" s="16" t="n">
        <v>899</v>
      </c>
      <c r="I1229" s="16" t="n">
        <v>899</v>
      </c>
      <c r="J1229" s="17" t="inlineStr">
        <is>
          <t>########</t>
        </is>
      </c>
      <c r="K1229" s="16" t="inlineStr">
        <is>
          <t>(59)Navy</t>
        </is>
      </c>
      <c r="L1229" s="16" t="inlineStr">
        <is>
          <t>营业中</t>
        </is>
      </c>
      <c r="M1229" s="16" t="inlineStr">
        <is>
          <t>EETCG23E1G59034</t>
        </is>
      </c>
      <c r="N1229" s="16">
        <f>LEFT(M1229,12)</f>
        <v/>
      </c>
      <c r="O1229" s="16" t="inlineStr">
        <is>
          <t>EETCG23E1G, (59)Navy, 34(180/84A)</t>
        </is>
      </c>
      <c r="P1229" s="16" t="n">
        <v>899</v>
      </c>
      <c r="Q1229" s="16" t="n">
        <v>899</v>
      </c>
      <c r="R1229" s="16" t="n">
        <v>2</v>
      </c>
      <c r="S1229" s="16" t="n">
        <v>843</v>
      </c>
      <c r="T1229" s="16" t="n">
        <v>0</v>
      </c>
    </row>
    <row r="1230" s="103">
      <c r="A1230" s="16" t="inlineStr">
        <is>
          <t>B331</t>
        </is>
      </c>
      <c r="B1230" s="16" t="inlineStr">
        <is>
          <t>上海区域</t>
        </is>
      </c>
      <c r="C1230" s="16" t="inlineStr">
        <is>
          <t>CN0Q</t>
        </is>
      </c>
      <c r="D1230" s="16" t="inlineStr">
        <is>
          <t>EE 苏州比斯特购物村</t>
        </is>
      </c>
      <c r="E1230" s="16" t="n">
        <v>4</v>
      </c>
      <c r="F1230" s="16" t="inlineStr">
        <is>
          <t>奥特莱斯</t>
        </is>
      </c>
      <c r="G1230" s="16" t="inlineStr">
        <is>
          <t>EETCG23E1G</t>
        </is>
      </c>
      <c r="H1230" s="16" t="n">
        <v>899</v>
      </c>
      <c r="I1230" s="16" t="n">
        <v>899</v>
      </c>
      <c r="J1230" s="17" t="inlineStr">
        <is>
          <t>########</t>
        </is>
      </c>
      <c r="K1230" s="16" t="inlineStr">
        <is>
          <t>(59)Navy</t>
        </is>
      </c>
      <c r="L1230" s="16" t="inlineStr">
        <is>
          <t>营业中</t>
        </is>
      </c>
      <c r="M1230" s="16" t="inlineStr">
        <is>
          <t>EETCG23E1G59036</t>
        </is>
      </c>
      <c r="N1230" s="16">
        <f>LEFT(M1230,12)</f>
        <v/>
      </c>
      <c r="O1230" s="16" t="inlineStr">
        <is>
          <t>EETCG23E1G, (59)Navy, 36(185/88A)</t>
        </is>
      </c>
      <c r="P1230" s="16" t="n">
        <v>899</v>
      </c>
      <c r="Q1230" s="16" t="n">
        <v>899</v>
      </c>
      <c r="R1230" s="16" t="n"/>
      <c r="S1230" s="16" t="n"/>
      <c r="T1230" s="16" t="n">
        <v>1</v>
      </c>
    </row>
    <row r="1231" s="103">
      <c r="A1231" s="16" t="inlineStr">
        <is>
          <t>B331</t>
        </is>
      </c>
      <c r="B1231" s="16" t="inlineStr">
        <is>
          <t>上海区域</t>
        </is>
      </c>
      <c r="C1231" s="16" t="inlineStr">
        <is>
          <t>CN0Q</t>
        </is>
      </c>
      <c r="D1231" s="16" t="inlineStr">
        <is>
          <t>EE 苏州比斯特购物村</t>
        </is>
      </c>
      <c r="E1231" s="16" t="n">
        <v>4</v>
      </c>
      <c r="F1231" s="16" t="inlineStr">
        <is>
          <t>奥特莱斯</t>
        </is>
      </c>
      <c r="G1231" s="16" t="inlineStr">
        <is>
          <t>EETCG24E01</t>
        </is>
      </c>
      <c r="H1231" s="16" t="n">
        <v>699</v>
      </c>
      <c r="I1231" s="16" t="n">
        <v>699</v>
      </c>
      <c r="J1231" s="17" t="inlineStr">
        <is>
          <t>########</t>
        </is>
      </c>
      <c r="K1231" s="16" t="inlineStr">
        <is>
          <t>(35)Beige</t>
        </is>
      </c>
      <c r="L1231" s="16" t="inlineStr">
        <is>
          <t>营业中</t>
        </is>
      </c>
      <c r="M1231" s="16" t="inlineStr">
        <is>
          <t>EETCG24E0135155</t>
        </is>
      </c>
      <c r="N1231" s="16">
        <f>LEFT(M1231,12)</f>
        <v/>
      </c>
      <c r="O1231" s="16" t="inlineStr">
        <is>
          <t>EETCG24E01, (35)Beige, (155)155</t>
        </is>
      </c>
      <c r="P1231" s="16" t="n">
        <v>699</v>
      </c>
      <c r="Q1231" s="16" t="n">
        <v>699</v>
      </c>
      <c r="R1231" s="16" t="n">
        <v>1</v>
      </c>
      <c r="S1231" s="16" t="n"/>
      <c r="T1231" s="16" t="n">
        <v>1</v>
      </c>
    </row>
    <row r="1232" s="103">
      <c r="A1232" s="16" t="inlineStr">
        <is>
          <t>B331</t>
        </is>
      </c>
      <c r="B1232" s="16" t="inlineStr">
        <is>
          <t>上海区域</t>
        </is>
      </c>
      <c r="C1232" s="16" t="inlineStr">
        <is>
          <t>CN0Q</t>
        </is>
      </c>
      <c r="D1232" s="16" t="inlineStr">
        <is>
          <t>EE 苏州比斯特购物村</t>
        </is>
      </c>
      <c r="E1232" s="16" t="n">
        <v>4</v>
      </c>
      <c r="F1232" s="16" t="inlineStr">
        <is>
          <t>奥特莱斯</t>
        </is>
      </c>
      <c r="G1232" s="16" t="inlineStr">
        <is>
          <t>EETCG24E01</t>
        </is>
      </c>
      <c r="H1232" s="16" t="n">
        <v>699</v>
      </c>
      <c r="I1232" s="16" t="n">
        <v>699</v>
      </c>
      <c r="J1232" s="17" t="inlineStr">
        <is>
          <t>########</t>
        </is>
      </c>
      <c r="K1232" s="16" t="inlineStr">
        <is>
          <t>(35)Beige</t>
        </is>
      </c>
      <c r="L1232" s="16" t="inlineStr">
        <is>
          <t>营业中</t>
        </is>
      </c>
      <c r="M1232" s="16" t="inlineStr">
        <is>
          <t>EETCG24E0135160</t>
        </is>
      </c>
      <c r="N1232" s="16">
        <f>LEFT(M1232,12)</f>
        <v/>
      </c>
      <c r="O1232" s="16" t="inlineStr">
        <is>
          <t>EETCG24E01, (35)Beige, (160)160</t>
        </is>
      </c>
      <c r="P1232" s="16" t="n">
        <v>699</v>
      </c>
      <c r="Q1232" s="16" t="n">
        <v>699</v>
      </c>
      <c r="R1232" s="16" t="n"/>
      <c r="S1232" s="16" t="n"/>
      <c r="T1232" s="16" t="n">
        <v>3</v>
      </c>
    </row>
    <row r="1233" s="103">
      <c r="A1233" s="16" t="inlineStr">
        <is>
          <t>B331</t>
        </is>
      </c>
      <c r="B1233" s="16" t="inlineStr">
        <is>
          <t>上海区域</t>
        </is>
      </c>
      <c r="C1233" s="16" t="inlineStr">
        <is>
          <t>CN0Q</t>
        </is>
      </c>
      <c r="D1233" s="16" t="inlineStr">
        <is>
          <t>EE 苏州比斯特购物村</t>
        </is>
      </c>
      <c r="E1233" s="16" t="n">
        <v>4</v>
      </c>
      <c r="F1233" s="16" t="inlineStr">
        <is>
          <t>奥特莱斯</t>
        </is>
      </c>
      <c r="G1233" s="16" t="inlineStr">
        <is>
          <t>EETCG24E01</t>
        </is>
      </c>
      <c r="H1233" s="16" t="n">
        <v>699</v>
      </c>
      <c r="I1233" s="16" t="n">
        <v>699</v>
      </c>
      <c r="J1233" s="17" t="inlineStr">
        <is>
          <t>########</t>
        </is>
      </c>
      <c r="K1233" s="16" t="inlineStr">
        <is>
          <t>(35)Beige</t>
        </is>
      </c>
      <c r="L1233" s="16" t="inlineStr">
        <is>
          <t>营业中</t>
        </is>
      </c>
      <c r="M1233" s="16" t="inlineStr">
        <is>
          <t>EETCG24E0135165</t>
        </is>
      </c>
      <c r="N1233" s="16">
        <f>LEFT(M1233,12)</f>
        <v/>
      </c>
      <c r="O1233" s="16" t="inlineStr">
        <is>
          <t>EETCG24E01, (35)Beige, (165)165</t>
        </is>
      </c>
      <c r="P1233" s="16" t="n">
        <v>699</v>
      </c>
      <c r="Q1233" s="16" t="n">
        <v>699</v>
      </c>
      <c r="R1233" s="16" t="n">
        <v>1</v>
      </c>
      <c r="S1233" s="16" t="n">
        <v>451</v>
      </c>
      <c r="T1233" s="16" t="n">
        <v>4</v>
      </c>
    </row>
    <row r="1234" s="103">
      <c r="A1234" s="16" t="inlineStr">
        <is>
          <t>B331</t>
        </is>
      </c>
      <c r="B1234" s="16" t="inlineStr">
        <is>
          <t>上海区域</t>
        </is>
      </c>
      <c r="C1234" s="16" t="inlineStr">
        <is>
          <t>CN0Q</t>
        </is>
      </c>
      <c r="D1234" s="16" t="inlineStr">
        <is>
          <t>EE 苏州比斯特购物村</t>
        </is>
      </c>
      <c r="E1234" s="16" t="n">
        <v>4</v>
      </c>
      <c r="F1234" s="16" t="inlineStr">
        <is>
          <t>奥特莱斯</t>
        </is>
      </c>
      <c r="G1234" s="16" t="inlineStr">
        <is>
          <t>EETCG24E01</t>
        </is>
      </c>
      <c r="H1234" s="16" t="n">
        <v>699</v>
      </c>
      <c r="I1234" s="16" t="n">
        <v>699</v>
      </c>
      <c r="J1234" s="17" t="inlineStr">
        <is>
          <t>########</t>
        </is>
      </c>
      <c r="K1234" s="16" t="inlineStr">
        <is>
          <t>(35)Beige</t>
        </is>
      </c>
      <c r="L1234" s="16" t="inlineStr">
        <is>
          <t>营业中</t>
        </is>
      </c>
      <c r="M1234" s="16" t="inlineStr">
        <is>
          <t>EETCG24E0135170</t>
        </is>
      </c>
      <c r="N1234" s="16">
        <f>LEFT(M1234,12)</f>
        <v/>
      </c>
      <c r="O1234" s="16" t="inlineStr">
        <is>
          <t>EETCG24E01, (35)Beige, (170)170</t>
        </is>
      </c>
      <c r="P1234" s="16" t="n">
        <v>699</v>
      </c>
      <c r="Q1234" s="16" t="n">
        <v>699</v>
      </c>
      <c r="R1234" s="16" t="n">
        <v>1</v>
      </c>
      <c r="S1234" s="16" t="n">
        <v>454</v>
      </c>
      <c r="T1234" s="16" t="n">
        <v>3</v>
      </c>
    </row>
    <row r="1235" s="103">
      <c r="A1235" s="16" t="inlineStr">
        <is>
          <t>B331</t>
        </is>
      </c>
      <c r="B1235" s="16" t="inlineStr">
        <is>
          <t>上海区域</t>
        </is>
      </c>
      <c r="C1235" s="16" t="inlineStr">
        <is>
          <t>CN0Q</t>
        </is>
      </c>
      <c r="D1235" s="16" t="inlineStr">
        <is>
          <t>EE 苏州比斯特购物村</t>
        </is>
      </c>
      <c r="E1235" s="16" t="n">
        <v>4</v>
      </c>
      <c r="F1235" s="16" t="inlineStr">
        <is>
          <t>奥特莱斯</t>
        </is>
      </c>
      <c r="G1235" s="16" t="inlineStr">
        <is>
          <t>EETCG24E01</t>
        </is>
      </c>
      <c r="H1235" s="16" t="n">
        <v>699</v>
      </c>
      <c r="I1235" s="16" t="n">
        <v>699</v>
      </c>
      <c r="J1235" s="17" t="inlineStr">
        <is>
          <t>########</t>
        </is>
      </c>
      <c r="K1235" s="16" t="inlineStr">
        <is>
          <t>(35)Beige</t>
        </is>
      </c>
      <c r="L1235" s="16" t="inlineStr">
        <is>
          <t>营业中</t>
        </is>
      </c>
      <c r="M1235" s="16" t="inlineStr">
        <is>
          <t>EETCG24E0135175</t>
        </is>
      </c>
      <c r="N1235" s="16">
        <f>LEFT(M1235,12)</f>
        <v/>
      </c>
      <c r="O1235" s="16" t="inlineStr">
        <is>
          <t>EETCG24E01, (35)Beige, (175)175</t>
        </is>
      </c>
      <c r="P1235" s="16" t="n">
        <v>699</v>
      </c>
      <c r="Q1235" s="16" t="n">
        <v>699</v>
      </c>
      <c r="R1235" s="16" t="n"/>
      <c r="S1235" s="16" t="n"/>
      <c r="T1235" s="16" t="n">
        <v>2</v>
      </c>
    </row>
    <row r="1236" s="103">
      <c r="A1236" s="16" t="inlineStr">
        <is>
          <t>B331</t>
        </is>
      </c>
      <c r="B1236" s="16" t="inlineStr">
        <is>
          <t>上海区域</t>
        </is>
      </c>
      <c r="C1236" s="16" t="inlineStr">
        <is>
          <t>CN0Q</t>
        </is>
      </c>
      <c r="D1236" s="16" t="inlineStr">
        <is>
          <t>EE 苏州比斯特购物村</t>
        </is>
      </c>
      <c r="E1236" s="16" t="n">
        <v>4</v>
      </c>
      <c r="F1236" s="16" t="inlineStr">
        <is>
          <t>奥特莱斯</t>
        </is>
      </c>
      <c r="G1236" s="16" t="inlineStr">
        <is>
          <t>EETCG24E01</t>
        </is>
      </c>
      <c r="H1236" s="16" t="n">
        <v>699</v>
      </c>
      <c r="I1236" s="16" t="n">
        <v>699</v>
      </c>
      <c r="J1236" s="17" t="inlineStr">
        <is>
          <t>########</t>
        </is>
      </c>
      <c r="K1236" s="16" t="inlineStr">
        <is>
          <t>(59)Navy</t>
        </is>
      </c>
      <c r="L1236" s="16" t="inlineStr">
        <is>
          <t>营业中</t>
        </is>
      </c>
      <c r="M1236" s="16" t="inlineStr">
        <is>
          <t>EETCG24E0159155</t>
        </is>
      </c>
      <c r="N1236" s="16">
        <f>LEFT(M1236,12)</f>
        <v/>
      </c>
      <c r="O1236" s="16" t="inlineStr">
        <is>
          <t>EETCG24E01, (59)Navy, (155)155</t>
        </is>
      </c>
      <c r="P1236" s="16" t="n">
        <v>699</v>
      </c>
      <c r="Q1236" s="16" t="n">
        <v>699</v>
      </c>
      <c r="R1236" s="16" t="n"/>
      <c r="S1236" s="16" t="n"/>
      <c r="T1236" s="16" t="n">
        <v>2</v>
      </c>
    </row>
    <row r="1237" s="103">
      <c r="A1237" s="16" t="inlineStr">
        <is>
          <t>B331</t>
        </is>
      </c>
      <c r="B1237" s="16" t="inlineStr">
        <is>
          <t>上海区域</t>
        </is>
      </c>
      <c r="C1237" s="16" t="inlineStr">
        <is>
          <t>CN0Q</t>
        </is>
      </c>
      <c r="D1237" s="16" t="inlineStr">
        <is>
          <t>EE 苏州比斯特购物村</t>
        </is>
      </c>
      <c r="E1237" s="16" t="n">
        <v>4</v>
      </c>
      <c r="F1237" s="16" t="inlineStr">
        <is>
          <t>奥特莱斯</t>
        </is>
      </c>
      <c r="G1237" s="16" t="inlineStr">
        <is>
          <t>EETCG24E01</t>
        </is>
      </c>
      <c r="H1237" s="16" t="n">
        <v>699</v>
      </c>
      <c r="I1237" s="16" t="n">
        <v>699</v>
      </c>
      <c r="J1237" s="17" t="inlineStr">
        <is>
          <t>########</t>
        </is>
      </c>
      <c r="K1237" s="16" t="inlineStr">
        <is>
          <t>(59)Navy</t>
        </is>
      </c>
      <c r="L1237" s="16" t="inlineStr">
        <is>
          <t>营业中</t>
        </is>
      </c>
      <c r="M1237" s="16" t="inlineStr">
        <is>
          <t>EETCG24E0159160</t>
        </is>
      </c>
      <c r="N1237" s="16">
        <f>LEFT(M1237,12)</f>
        <v/>
      </c>
      <c r="O1237" s="16" t="inlineStr">
        <is>
          <t>EETCG24E01, (59)Navy, (160)160</t>
        </is>
      </c>
      <c r="P1237" s="16" t="n">
        <v>699</v>
      </c>
      <c r="Q1237" s="16" t="n">
        <v>699</v>
      </c>
      <c r="R1237" s="16" t="n"/>
      <c r="S1237" s="16" t="n"/>
      <c r="T1237" s="16" t="n">
        <v>5</v>
      </c>
    </row>
    <row r="1238" s="103">
      <c r="A1238" s="16" t="inlineStr">
        <is>
          <t>B331</t>
        </is>
      </c>
      <c r="B1238" s="16" t="inlineStr">
        <is>
          <t>上海区域</t>
        </is>
      </c>
      <c r="C1238" s="16" t="inlineStr">
        <is>
          <t>CN0Q</t>
        </is>
      </c>
      <c r="D1238" s="16" t="inlineStr">
        <is>
          <t>EE 苏州比斯特购物村</t>
        </is>
      </c>
      <c r="E1238" s="16" t="n">
        <v>4</v>
      </c>
      <c r="F1238" s="16" t="inlineStr">
        <is>
          <t>奥特莱斯</t>
        </is>
      </c>
      <c r="G1238" s="16" t="inlineStr">
        <is>
          <t>EETCG24E01</t>
        </is>
      </c>
      <c r="H1238" s="16" t="n">
        <v>699</v>
      </c>
      <c r="I1238" s="16" t="n">
        <v>699</v>
      </c>
      <c r="J1238" s="17" t="inlineStr">
        <is>
          <t>########</t>
        </is>
      </c>
      <c r="K1238" s="16" t="inlineStr">
        <is>
          <t>(59)Navy</t>
        </is>
      </c>
      <c r="L1238" s="16" t="inlineStr">
        <is>
          <t>营业中</t>
        </is>
      </c>
      <c r="M1238" s="16" t="inlineStr">
        <is>
          <t>EETCG24E0159165</t>
        </is>
      </c>
      <c r="N1238" s="16">
        <f>LEFT(M1238,12)</f>
        <v/>
      </c>
      <c r="O1238" s="16" t="inlineStr">
        <is>
          <t>EETCG24E01, (59)Navy, (165)165</t>
        </is>
      </c>
      <c r="P1238" s="16" t="n">
        <v>699</v>
      </c>
      <c r="Q1238" s="16" t="n">
        <v>699</v>
      </c>
      <c r="R1238" s="16" t="n">
        <v>2</v>
      </c>
      <c r="S1238" s="16" t="n">
        <v>913</v>
      </c>
      <c r="T1238" s="16" t="n">
        <v>3</v>
      </c>
    </row>
    <row r="1239" s="103">
      <c r="A1239" s="16" t="inlineStr">
        <is>
          <t>B331</t>
        </is>
      </c>
      <c r="B1239" s="16" t="inlineStr">
        <is>
          <t>上海区域</t>
        </is>
      </c>
      <c r="C1239" s="16" t="inlineStr">
        <is>
          <t>CN0Q</t>
        </is>
      </c>
      <c r="D1239" s="16" t="inlineStr">
        <is>
          <t>EE 苏州比斯特购物村</t>
        </is>
      </c>
      <c r="E1239" s="16" t="n">
        <v>4</v>
      </c>
      <c r="F1239" s="16" t="inlineStr">
        <is>
          <t>奥特莱斯</t>
        </is>
      </c>
      <c r="G1239" s="16" t="inlineStr">
        <is>
          <t>EETCG24E01</t>
        </is>
      </c>
      <c r="H1239" s="16" t="n">
        <v>699</v>
      </c>
      <c r="I1239" s="16" t="n">
        <v>699</v>
      </c>
      <c r="J1239" s="17" t="inlineStr">
        <is>
          <t>########</t>
        </is>
      </c>
      <c r="K1239" s="16" t="inlineStr">
        <is>
          <t>(59)Navy</t>
        </is>
      </c>
      <c r="L1239" s="16" t="inlineStr">
        <is>
          <t>营业中</t>
        </is>
      </c>
      <c r="M1239" s="16" t="inlineStr">
        <is>
          <t>EETCG24E0159170</t>
        </is>
      </c>
      <c r="N1239" s="16">
        <f>LEFT(M1239,12)</f>
        <v/>
      </c>
      <c r="O1239" s="16" t="inlineStr">
        <is>
          <t>EETCG24E01, (59)Navy, (170)170</t>
        </is>
      </c>
      <c r="P1239" s="16" t="n">
        <v>699</v>
      </c>
      <c r="Q1239" s="16" t="n">
        <v>699</v>
      </c>
      <c r="R1239" s="16" t="n">
        <v>2</v>
      </c>
      <c r="S1239" s="16" t="n">
        <v>446</v>
      </c>
      <c r="T1239" s="16" t="n">
        <v>4</v>
      </c>
    </row>
    <row r="1240" s="103">
      <c r="A1240" s="16" t="inlineStr">
        <is>
          <t>B331</t>
        </is>
      </c>
      <c r="B1240" s="16" t="inlineStr">
        <is>
          <t>上海区域</t>
        </is>
      </c>
      <c r="C1240" s="16" t="inlineStr">
        <is>
          <t>CN0Q</t>
        </is>
      </c>
      <c r="D1240" s="16" t="inlineStr">
        <is>
          <t>EE 苏州比斯特购物村</t>
        </is>
      </c>
      <c r="E1240" s="16" t="n">
        <v>4</v>
      </c>
      <c r="F1240" s="16" t="inlineStr">
        <is>
          <t>奥特莱斯</t>
        </is>
      </c>
      <c r="G1240" s="16" t="inlineStr">
        <is>
          <t>EETCG24E01</t>
        </is>
      </c>
      <c r="H1240" s="16" t="n">
        <v>699</v>
      </c>
      <c r="I1240" s="16" t="n">
        <v>699</v>
      </c>
      <c r="J1240" s="17" t="inlineStr">
        <is>
          <t>########</t>
        </is>
      </c>
      <c r="K1240" s="16" t="inlineStr">
        <is>
          <t>(59)Navy</t>
        </is>
      </c>
      <c r="L1240" s="16" t="inlineStr">
        <is>
          <t>营业中</t>
        </is>
      </c>
      <c r="M1240" s="16" t="inlineStr">
        <is>
          <t>EETCG24E0159175</t>
        </is>
      </c>
      <c r="N1240" s="16">
        <f>LEFT(M1240,12)</f>
        <v/>
      </c>
      <c r="O1240" s="16" t="inlineStr">
        <is>
          <t>EETCG24E01, (59)Navy, (175)175</t>
        </is>
      </c>
      <c r="P1240" s="16" t="n">
        <v>699</v>
      </c>
      <c r="Q1240" s="16" t="n">
        <v>699</v>
      </c>
      <c r="R1240" s="16" t="n"/>
      <c r="S1240" s="16" t="n"/>
      <c r="T1240" s="16" t="n">
        <v>2</v>
      </c>
    </row>
    <row r="1241" s="103">
      <c r="A1241" s="16" t="inlineStr">
        <is>
          <t>B331</t>
        </is>
      </c>
      <c r="B1241" s="16" t="inlineStr">
        <is>
          <t>上海区域</t>
        </is>
      </c>
      <c r="C1241" s="16" t="inlineStr">
        <is>
          <t>CN0Q</t>
        </is>
      </c>
      <c r="D1241" s="16" t="inlineStr">
        <is>
          <t>EE 苏州比斯特购物村</t>
        </is>
      </c>
      <c r="E1241" s="16" t="n">
        <v>4</v>
      </c>
      <c r="F1241" s="16" t="inlineStr">
        <is>
          <t>奥特莱斯</t>
        </is>
      </c>
      <c r="G1241" s="16" t="inlineStr">
        <is>
          <t>EETCG24E06</t>
        </is>
      </c>
      <c r="H1241" s="16" t="n">
        <v>1299</v>
      </c>
      <c r="I1241" s="16" t="n">
        <v>1299</v>
      </c>
      <c r="J1241" s="17" t="inlineStr">
        <is>
          <t>########</t>
        </is>
      </c>
      <c r="K1241" s="16" t="inlineStr">
        <is>
          <t>(19)BLACK</t>
        </is>
      </c>
      <c r="L1241" s="16" t="inlineStr">
        <is>
          <t>营业中</t>
        </is>
      </c>
      <c r="M1241" s="16" t="inlineStr">
        <is>
          <t>EETCG24E0619155</t>
        </is>
      </c>
      <c r="N1241" s="16">
        <f>LEFT(M1241,12)</f>
        <v/>
      </c>
      <c r="O1241" s="16" t="inlineStr">
        <is>
          <t>EETCG24E06, (19)BLACK, (155)155</t>
        </is>
      </c>
      <c r="P1241" s="16" t="n">
        <v>1299</v>
      </c>
      <c r="Q1241" s="16" t="n">
        <v>1299</v>
      </c>
      <c r="R1241" s="16" t="n">
        <v>2</v>
      </c>
      <c r="S1241" s="18" t="n">
        <v>1692</v>
      </c>
      <c r="T1241" s="16" t="n">
        <v>0</v>
      </c>
    </row>
    <row r="1242" s="103">
      <c r="A1242" s="16" t="inlineStr">
        <is>
          <t>B331</t>
        </is>
      </c>
      <c r="B1242" s="16" t="inlineStr">
        <is>
          <t>上海区域</t>
        </is>
      </c>
      <c r="C1242" s="16" t="inlineStr">
        <is>
          <t>CN0Q</t>
        </is>
      </c>
      <c r="D1242" s="16" t="inlineStr">
        <is>
          <t>EE 苏州比斯特购物村</t>
        </is>
      </c>
      <c r="E1242" s="16" t="n">
        <v>4</v>
      </c>
      <c r="F1242" s="16" t="inlineStr">
        <is>
          <t>奥特莱斯</t>
        </is>
      </c>
      <c r="G1242" s="16" t="inlineStr">
        <is>
          <t>EETCG24E06</t>
        </is>
      </c>
      <c r="H1242" s="16" t="n">
        <v>1299</v>
      </c>
      <c r="I1242" s="16" t="n">
        <v>1299</v>
      </c>
      <c r="J1242" s="17" t="inlineStr">
        <is>
          <t>########</t>
        </is>
      </c>
      <c r="K1242" s="16" t="inlineStr">
        <is>
          <t>(19)BLACK</t>
        </is>
      </c>
      <c r="L1242" s="16" t="inlineStr">
        <is>
          <t>营业中</t>
        </is>
      </c>
      <c r="M1242" s="16" t="inlineStr">
        <is>
          <t>EETCG24E0619160</t>
        </is>
      </c>
      <c r="N1242" s="16">
        <f>LEFT(M1242,12)</f>
        <v/>
      </c>
      <c r="O1242" s="16" t="inlineStr">
        <is>
          <t>EETCG24E06, (19)BLACK, (160)160</t>
        </is>
      </c>
      <c r="P1242" s="16" t="n">
        <v>1299</v>
      </c>
      <c r="Q1242" s="16" t="n">
        <v>1299</v>
      </c>
      <c r="R1242" s="16" t="n">
        <v>3</v>
      </c>
      <c r="S1242" s="18" t="n">
        <v>1680</v>
      </c>
      <c r="T1242" s="16" t="n">
        <v>0</v>
      </c>
    </row>
    <row r="1243" s="103">
      <c r="A1243" s="16" t="inlineStr">
        <is>
          <t>B331</t>
        </is>
      </c>
      <c r="B1243" s="16" t="inlineStr">
        <is>
          <t>上海区域</t>
        </is>
      </c>
      <c r="C1243" s="16" t="inlineStr">
        <is>
          <t>CN0Q</t>
        </is>
      </c>
      <c r="D1243" s="16" t="inlineStr">
        <is>
          <t>EE 苏州比斯特购物村</t>
        </is>
      </c>
      <c r="E1243" s="16" t="n">
        <v>4</v>
      </c>
      <c r="F1243" s="16" t="inlineStr">
        <is>
          <t>奥特莱斯</t>
        </is>
      </c>
      <c r="G1243" s="16" t="inlineStr">
        <is>
          <t>EETCG24E06</t>
        </is>
      </c>
      <c r="H1243" s="16" t="n">
        <v>1299</v>
      </c>
      <c r="I1243" s="16" t="n">
        <v>1299</v>
      </c>
      <c r="J1243" s="17" t="inlineStr">
        <is>
          <t>########</t>
        </is>
      </c>
      <c r="K1243" s="16" t="inlineStr">
        <is>
          <t>(19)BLACK</t>
        </is>
      </c>
      <c r="L1243" s="16" t="inlineStr">
        <is>
          <t>营业中</t>
        </is>
      </c>
      <c r="M1243" s="16" t="inlineStr">
        <is>
          <t>EETCG24E0619165</t>
        </is>
      </c>
      <c r="N1243" s="16">
        <f>LEFT(M1243,12)</f>
        <v/>
      </c>
      <c r="O1243" s="16" t="inlineStr">
        <is>
          <t>EETCG24E06, (19)BLACK, (165)165</t>
        </is>
      </c>
      <c r="P1243" s="16" t="n">
        <v>1299</v>
      </c>
      <c r="Q1243" s="16" t="n">
        <v>1299</v>
      </c>
      <c r="R1243" s="16" t="n">
        <v>3</v>
      </c>
      <c r="S1243" s="18" t="n">
        <v>1234</v>
      </c>
      <c r="T1243" s="16" t="n">
        <v>1</v>
      </c>
    </row>
    <row r="1244" s="103">
      <c r="A1244" s="16" t="inlineStr">
        <is>
          <t>B331</t>
        </is>
      </c>
      <c r="B1244" s="16" t="inlineStr">
        <is>
          <t>上海区域</t>
        </is>
      </c>
      <c r="C1244" s="16" t="inlineStr">
        <is>
          <t>CN0Q</t>
        </is>
      </c>
      <c r="D1244" s="16" t="inlineStr">
        <is>
          <t>EE 苏州比斯特购物村</t>
        </is>
      </c>
      <c r="E1244" s="16" t="n">
        <v>4</v>
      </c>
      <c r="F1244" s="16" t="inlineStr">
        <is>
          <t>奥特莱斯</t>
        </is>
      </c>
      <c r="G1244" s="16" t="inlineStr">
        <is>
          <t>EETCG24E06</t>
        </is>
      </c>
      <c r="H1244" s="16" t="n">
        <v>1299</v>
      </c>
      <c r="I1244" s="16" t="n">
        <v>1299</v>
      </c>
      <c r="J1244" s="17" t="inlineStr">
        <is>
          <t>########</t>
        </is>
      </c>
      <c r="K1244" s="16" t="inlineStr">
        <is>
          <t>(19)BLACK</t>
        </is>
      </c>
      <c r="L1244" s="16" t="inlineStr">
        <is>
          <t>营业中</t>
        </is>
      </c>
      <c r="M1244" s="16" t="inlineStr">
        <is>
          <t>EETCG24E0619170</t>
        </is>
      </c>
      <c r="N1244" s="16">
        <f>LEFT(M1244,12)</f>
        <v/>
      </c>
      <c r="O1244" s="16" t="inlineStr">
        <is>
          <t>EETCG24E06, (19)BLACK, (170)170</t>
        </is>
      </c>
      <c r="P1244" s="16" t="n">
        <v>1299</v>
      </c>
      <c r="Q1244" s="16" t="n">
        <v>1299</v>
      </c>
      <c r="R1244" s="16" t="n">
        <v>1</v>
      </c>
      <c r="S1244" s="16" t="n"/>
      <c r="T1244" s="16" t="n">
        <v>2</v>
      </c>
    </row>
    <row r="1245" s="103">
      <c r="A1245" s="16" t="inlineStr">
        <is>
          <t>B331</t>
        </is>
      </c>
      <c r="B1245" s="16" t="inlineStr">
        <is>
          <t>上海区域</t>
        </is>
      </c>
      <c r="C1245" s="16" t="inlineStr">
        <is>
          <t>CN0Q</t>
        </is>
      </c>
      <c r="D1245" s="16" t="inlineStr">
        <is>
          <t>EE 苏州比斯特购物村</t>
        </is>
      </c>
      <c r="E1245" s="16" t="n">
        <v>4</v>
      </c>
      <c r="F1245" s="16" t="inlineStr">
        <is>
          <t>奥特莱斯</t>
        </is>
      </c>
      <c r="G1245" s="16" t="inlineStr">
        <is>
          <t>EETCG24E06</t>
        </is>
      </c>
      <c r="H1245" s="16" t="n">
        <v>1299</v>
      </c>
      <c r="I1245" s="16" t="n">
        <v>1299</v>
      </c>
      <c r="J1245" s="17" t="inlineStr">
        <is>
          <t>########</t>
        </is>
      </c>
      <c r="K1245" s="16" t="inlineStr">
        <is>
          <t>(36)L/Beige</t>
        </is>
      </c>
      <c r="L1245" s="16" t="inlineStr">
        <is>
          <t>营业中</t>
        </is>
      </c>
      <c r="M1245" s="16" t="inlineStr">
        <is>
          <t>EETCG24E0636155</t>
        </is>
      </c>
      <c r="N1245" s="16">
        <f>LEFT(M1245,12)</f>
        <v/>
      </c>
      <c r="O1245" s="16" t="inlineStr">
        <is>
          <t>EETCG24E06, (36)L/Beige, (155)155</t>
        </is>
      </c>
      <c r="P1245" s="16" t="n">
        <v>1299</v>
      </c>
      <c r="Q1245" s="16" t="n">
        <v>1299</v>
      </c>
      <c r="R1245" s="16" t="n">
        <v>3</v>
      </c>
      <c r="S1245" s="16" t="n">
        <v>909</v>
      </c>
      <c r="T1245" s="16" t="n">
        <v>0</v>
      </c>
    </row>
    <row r="1246" s="103">
      <c r="A1246" s="16" t="inlineStr">
        <is>
          <t>B331</t>
        </is>
      </c>
      <c r="B1246" s="16" t="inlineStr">
        <is>
          <t>上海区域</t>
        </is>
      </c>
      <c r="C1246" s="16" t="inlineStr">
        <is>
          <t>CN0Q</t>
        </is>
      </c>
      <c r="D1246" s="16" t="inlineStr">
        <is>
          <t>EE 苏州比斯特购物村</t>
        </is>
      </c>
      <c r="E1246" s="16" t="n">
        <v>4</v>
      </c>
      <c r="F1246" s="16" t="inlineStr">
        <is>
          <t>奥特莱斯</t>
        </is>
      </c>
      <c r="G1246" s="16" t="inlineStr">
        <is>
          <t>EETCG24E06</t>
        </is>
      </c>
      <c r="H1246" s="16" t="n">
        <v>1299</v>
      </c>
      <c r="I1246" s="16" t="n">
        <v>1299</v>
      </c>
      <c r="J1246" s="17" t="inlineStr">
        <is>
          <t>########</t>
        </is>
      </c>
      <c r="K1246" s="16" t="inlineStr">
        <is>
          <t>(36)L/Beige</t>
        </is>
      </c>
      <c r="L1246" s="16" t="inlineStr">
        <is>
          <t>营业中</t>
        </is>
      </c>
      <c r="M1246" s="16" t="inlineStr">
        <is>
          <t>EETCG24E0636160</t>
        </is>
      </c>
      <c r="N1246" s="16">
        <f>LEFT(M1246,12)</f>
        <v/>
      </c>
      <c r="O1246" s="16" t="inlineStr">
        <is>
          <t>EETCG24E06, (36)L/Beige, (160)160</t>
        </is>
      </c>
      <c r="P1246" s="16" t="n">
        <v>1299</v>
      </c>
      <c r="Q1246" s="16" t="n">
        <v>1299</v>
      </c>
      <c r="R1246" s="16" t="n">
        <v>9</v>
      </c>
      <c r="S1246" s="18" t="n">
        <v>4534</v>
      </c>
      <c r="T1246" s="16" t="n">
        <v>0</v>
      </c>
    </row>
    <row r="1247" s="103">
      <c r="A1247" s="16" t="inlineStr">
        <is>
          <t>B331</t>
        </is>
      </c>
      <c r="B1247" s="16" t="inlineStr">
        <is>
          <t>上海区域</t>
        </is>
      </c>
      <c r="C1247" s="16" t="inlineStr">
        <is>
          <t>CN0Q</t>
        </is>
      </c>
      <c r="D1247" s="16" t="inlineStr">
        <is>
          <t>EE 苏州比斯特购物村</t>
        </is>
      </c>
      <c r="E1247" s="16" t="n">
        <v>4</v>
      </c>
      <c r="F1247" s="16" t="inlineStr">
        <is>
          <t>奥特莱斯</t>
        </is>
      </c>
      <c r="G1247" s="16" t="inlineStr">
        <is>
          <t>EETCG24E06</t>
        </is>
      </c>
      <c r="H1247" s="16" t="n">
        <v>1299</v>
      </c>
      <c r="I1247" s="16" t="n">
        <v>1299</v>
      </c>
      <c r="J1247" s="17" t="inlineStr">
        <is>
          <t>########</t>
        </is>
      </c>
      <c r="K1247" s="16" t="inlineStr">
        <is>
          <t>(36)L/Beige</t>
        </is>
      </c>
      <c r="L1247" s="16" t="inlineStr">
        <is>
          <t>营业中</t>
        </is>
      </c>
      <c r="M1247" s="16" t="inlineStr">
        <is>
          <t>EETCG24E0636165</t>
        </is>
      </c>
      <c r="N1247" s="16">
        <f>LEFT(M1247,12)</f>
        <v/>
      </c>
      <c r="O1247" s="16" t="inlineStr">
        <is>
          <t>EETCG24E06, (36)L/Beige, (165)165</t>
        </is>
      </c>
      <c r="P1247" s="16" t="n">
        <v>1299</v>
      </c>
      <c r="Q1247" s="16" t="n">
        <v>1299</v>
      </c>
      <c r="R1247" s="16" t="n">
        <v>5</v>
      </c>
      <c r="S1247" s="18" t="n">
        <v>1685</v>
      </c>
      <c r="T1247" s="16" t="n">
        <v>5</v>
      </c>
    </row>
    <row r="1248" s="103">
      <c r="A1248" s="16" t="inlineStr">
        <is>
          <t>B331</t>
        </is>
      </c>
      <c r="B1248" s="16" t="inlineStr">
        <is>
          <t>上海区域</t>
        </is>
      </c>
      <c r="C1248" s="16" t="inlineStr">
        <is>
          <t>CN0Q</t>
        </is>
      </c>
      <c r="D1248" s="16" t="inlineStr">
        <is>
          <t>EE 苏州比斯特购物村</t>
        </is>
      </c>
      <c r="E1248" s="16" t="n">
        <v>4</v>
      </c>
      <c r="F1248" s="16" t="inlineStr">
        <is>
          <t>奥特莱斯</t>
        </is>
      </c>
      <c r="G1248" s="16" t="inlineStr">
        <is>
          <t>EETCG24E06</t>
        </is>
      </c>
      <c r="H1248" s="16" t="n">
        <v>1299</v>
      </c>
      <c r="I1248" s="16" t="n">
        <v>1299</v>
      </c>
      <c r="J1248" s="17" t="inlineStr">
        <is>
          <t>########</t>
        </is>
      </c>
      <c r="K1248" s="16" t="inlineStr">
        <is>
          <t>(36)L/Beige</t>
        </is>
      </c>
      <c r="L1248" s="16" t="inlineStr">
        <is>
          <t>营业中</t>
        </is>
      </c>
      <c r="M1248" s="16" t="inlineStr">
        <is>
          <t>EETCG24E0636170</t>
        </is>
      </c>
      <c r="N1248" s="16">
        <f>LEFT(M1248,12)</f>
        <v/>
      </c>
      <c r="O1248" s="16" t="inlineStr">
        <is>
          <t>EETCG24E06, (36)L/Beige, (170)170</t>
        </is>
      </c>
      <c r="P1248" s="16" t="n">
        <v>1299</v>
      </c>
      <c r="Q1248" s="16" t="n">
        <v>1299</v>
      </c>
      <c r="R1248" s="16" t="n">
        <v>5</v>
      </c>
      <c r="S1248" s="18" t="n">
        <v>1685</v>
      </c>
      <c r="T1248" s="16" t="n">
        <v>4</v>
      </c>
    </row>
    <row r="1249" s="103">
      <c r="A1249" s="16" t="inlineStr">
        <is>
          <t>B331</t>
        </is>
      </c>
      <c r="B1249" s="16" t="inlineStr">
        <is>
          <t>上海区域</t>
        </is>
      </c>
      <c r="C1249" s="16" t="inlineStr">
        <is>
          <t>CN0Q</t>
        </is>
      </c>
      <c r="D1249" s="16" t="inlineStr">
        <is>
          <t>EE 苏州比斯特购物村</t>
        </is>
      </c>
      <c r="E1249" s="16" t="n">
        <v>4</v>
      </c>
      <c r="F1249" s="16" t="inlineStr">
        <is>
          <t>奥特莱斯</t>
        </is>
      </c>
      <c r="G1249" s="16" t="inlineStr">
        <is>
          <t>EETCG24E06</t>
        </is>
      </c>
      <c r="H1249" s="16" t="n">
        <v>1299</v>
      </c>
      <c r="I1249" s="16" t="n">
        <v>1299</v>
      </c>
      <c r="J1249" s="17" t="inlineStr">
        <is>
          <t>########</t>
        </is>
      </c>
      <c r="K1249" s="16" t="inlineStr">
        <is>
          <t>(41)L/Green</t>
        </is>
      </c>
      <c r="L1249" s="16" t="inlineStr">
        <is>
          <t>营业中</t>
        </is>
      </c>
      <c r="M1249" s="16" t="inlineStr">
        <is>
          <t>EETCG24E0641155</t>
        </is>
      </c>
      <c r="N1249" s="16">
        <f>LEFT(M1249,12)</f>
        <v/>
      </c>
      <c r="O1249" s="16" t="inlineStr">
        <is>
          <t>EETCG24E06, (41)L/Green, (155)155</t>
        </is>
      </c>
      <c r="P1249" s="16" t="n">
        <v>1299</v>
      </c>
      <c r="Q1249" s="16" t="n">
        <v>1299</v>
      </c>
      <c r="R1249" s="16" t="n"/>
      <c r="S1249" s="16" t="n"/>
      <c r="T1249" s="16" t="n">
        <v>3</v>
      </c>
    </row>
    <row r="1250" s="103">
      <c r="A1250" s="16" t="inlineStr">
        <is>
          <t>B331</t>
        </is>
      </c>
      <c r="B1250" s="16" t="inlineStr">
        <is>
          <t>上海区域</t>
        </is>
      </c>
      <c r="C1250" s="16" t="inlineStr">
        <is>
          <t>CN0Q</t>
        </is>
      </c>
      <c r="D1250" s="16" t="inlineStr">
        <is>
          <t>EE 苏州比斯特购物村</t>
        </is>
      </c>
      <c r="E1250" s="16" t="n">
        <v>4</v>
      </c>
      <c r="F1250" s="16" t="inlineStr">
        <is>
          <t>奥特莱斯</t>
        </is>
      </c>
      <c r="G1250" s="16" t="inlineStr">
        <is>
          <t>EETCG24E06</t>
        </is>
      </c>
      <c r="H1250" s="16" t="n">
        <v>1299</v>
      </c>
      <c r="I1250" s="16" t="n">
        <v>1299</v>
      </c>
      <c r="J1250" s="17" t="inlineStr">
        <is>
          <t>########</t>
        </is>
      </c>
      <c r="K1250" s="16" t="inlineStr">
        <is>
          <t>(41)L/Green</t>
        </is>
      </c>
      <c r="L1250" s="16" t="inlineStr">
        <is>
          <t>营业中</t>
        </is>
      </c>
      <c r="M1250" s="16" t="inlineStr">
        <is>
          <t>EETCG24E0641160</t>
        </is>
      </c>
      <c r="N1250" s="16">
        <f>LEFT(M1250,12)</f>
        <v/>
      </c>
      <c r="O1250" s="16" t="inlineStr">
        <is>
          <t>EETCG24E06, (41)L/Green, (160)160</t>
        </is>
      </c>
      <c r="P1250" s="16" t="n">
        <v>1299</v>
      </c>
      <c r="Q1250" s="16" t="n">
        <v>1299</v>
      </c>
      <c r="R1250" s="16" t="n">
        <v>2</v>
      </c>
      <c r="S1250" s="16" t="n">
        <v>837</v>
      </c>
      <c r="T1250" s="16" t="n">
        <v>1</v>
      </c>
    </row>
    <row r="1251" s="103">
      <c r="A1251" s="16" t="inlineStr">
        <is>
          <t>B331</t>
        </is>
      </c>
      <c r="B1251" s="16" t="inlineStr">
        <is>
          <t>上海区域</t>
        </is>
      </c>
      <c r="C1251" s="16" t="inlineStr">
        <is>
          <t>CN0Q</t>
        </is>
      </c>
      <c r="D1251" s="16" t="inlineStr">
        <is>
          <t>EE 苏州比斯特购物村</t>
        </is>
      </c>
      <c r="E1251" s="16" t="n">
        <v>4</v>
      </c>
      <c r="F1251" s="16" t="inlineStr">
        <is>
          <t>奥特莱斯</t>
        </is>
      </c>
      <c r="G1251" s="16" t="inlineStr">
        <is>
          <t>EETCG24E06</t>
        </is>
      </c>
      <c r="H1251" s="16" t="n">
        <v>1299</v>
      </c>
      <c r="I1251" s="16" t="n">
        <v>1299</v>
      </c>
      <c r="J1251" s="17" t="inlineStr">
        <is>
          <t>########</t>
        </is>
      </c>
      <c r="K1251" s="16" t="inlineStr">
        <is>
          <t>(41)L/Green</t>
        </is>
      </c>
      <c r="L1251" s="16" t="inlineStr">
        <is>
          <t>营业中</t>
        </is>
      </c>
      <c r="M1251" s="16" t="inlineStr">
        <is>
          <t>EETCG24E0641165</t>
        </is>
      </c>
      <c r="N1251" s="16">
        <f>LEFT(M1251,12)</f>
        <v/>
      </c>
      <c r="O1251" s="16" t="inlineStr">
        <is>
          <t>EETCG24E06, (41)L/Green, (165)165</t>
        </is>
      </c>
      <c r="P1251" s="16" t="n">
        <v>1299</v>
      </c>
      <c r="Q1251" s="16" t="n">
        <v>1299</v>
      </c>
      <c r="R1251" s="16" t="n">
        <v>4</v>
      </c>
      <c r="S1251" s="18" t="n">
        <v>3244</v>
      </c>
      <c r="T1251" s="16" t="n">
        <v>4</v>
      </c>
    </row>
    <row r="1252" s="103">
      <c r="A1252" s="16" t="inlineStr">
        <is>
          <t>B331</t>
        </is>
      </c>
      <c r="B1252" s="16" t="inlineStr">
        <is>
          <t>上海区域</t>
        </is>
      </c>
      <c r="C1252" s="16" t="inlineStr">
        <is>
          <t>CN0Q</t>
        </is>
      </c>
      <c r="D1252" s="16" t="inlineStr">
        <is>
          <t>EE 苏州比斯特购物村</t>
        </is>
      </c>
      <c r="E1252" s="16" t="n">
        <v>4</v>
      </c>
      <c r="F1252" s="16" t="inlineStr">
        <is>
          <t>奥特莱斯</t>
        </is>
      </c>
      <c r="G1252" s="16" t="inlineStr">
        <is>
          <t>EETCG24E06</t>
        </is>
      </c>
      <c r="H1252" s="16" t="n">
        <v>1299</v>
      </c>
      <c r="I1252" s="16" t="n">
        <v>1299</v>
      </c>
      <c r="J1252" s="17" t="inlineStr">
        <is>
          <t>########</t>
        </is>
      </c>
      <c r="K1252" s="16" t="inlineStr">
        <is>
          <t>(41)L/Green</t>
        </is>
      </c>
      <c r="L1252" s="16" t="inlineStr">
        <is>
          <t>营业中</t>
        </is>
      </c>
      <c r="M1252" s="16" t="inlineStr">
        <is>
          <t>EETCG24E0641170</t>
        </is>
      </c>
      <c r="N1252" s="16">
        <f>LEFT(M1252,12)</f>
        <v/>
      </c>
      <c r="O1252" s="16" t="inlineStr">
        <is>
          <t>EETCG24E06, (41)L/Green, (170)170</t>
        </is>
      </c>
      <c r="P1252" s="16" t="n">
        <v>1299</v>
      </c>
      <c r="Q1252" s="16" t="n">
        <v>1299</v>
      </c>
      <c r="R1252" s="16" t="n">
        <v>1</v>
      </c>
      <c r="S1252" s="16" t="n">
        <v>837</v>
      </c>
      <c r="T1252" s="16" t="n">
        <v>2</v>
      </c>
    </row>
    <row r="1253" s="103">
      <c r="A1253" s="16" t="inlineStr">
        <is>
          <t>B331</t>
        </is>
      </c>
      <c r="B1253" s="16" t="inlineStr">
        <is>
          <t>上海区域</t>
        </is>
      </c>
      <c r="C1253" s="16" t="inlineStr">
        <is>
          <t>CN0Q</t>
        </is>
      </c>
      <c r="D1253" s="16" t="inlineStr">
        <is>
          <t>EE 苏州比斯特购物村</t>
        </is>
      </c>
      <c r="E1253" s="16" t="n">
        <v>4</v>
      </c>
      <c r="F1253" s="16" t="inlineStr">
        <is>
          <t>奥特莱斯</t>
        </is>
      </c>
      <c r="G1253" s="16" t="inlineStr">
        <is>
          <t>EETCG64S01</t>
        </is>
      </c>
      <c r="H1253" s="16" t="n">
        <v>799</v>
      </c>
      <c r="I1253" s="16" t="n">
        <v>799</v>
      </c>
      <c r="J1253" s="17" t="inlineStr">
        <is>
          <t>########</t>
        </is>
      </c>
      <c r="K1253" s="16" t="inlineStr">
        <is>
          <t>(15)Grey</t>
        </is>
      </c>
      <c r="L1253" s="16" t="inlineStr">
        <is>
          <t>营业中</t>
        </is>
      </c>
      <c r="M1253" s="16" t="inlineStr">
        <is>
          <t>EETCG64S0115160</t>
        </is>
      </c>
      <c r="N1253" s="16">
        <f>LEFT(M1253,12)</f>
        <v/>
      </c>
      <c r="O1253" s="16" t="inlineStr">
        <is>
          <t>EETCG64S01, (15)Grey, (160)160</t>
        </is>
      </c>
      <c r="P1253" s="16" t="n">
        <v>799</v>
      </c>
      <c r="Q1253" s="16" t="n">
        <v>799</v>
      </c>
      <c r="R1253" s="16" t="n">
        <v>1</v>
      </c>
      <c r="S1253" s="16" t="n">
        <v>400</v>
      </c>
      <c r="T1253" s="16" t="n">
        <v>2</v>
      </c>
    </row>
    <row r="1254" s="103">
      <c r="A1254" s="16" t="inlineStr">
        <is>
          <t>B331</t>
        </is>
      </c>
      <c r="B1254" s="16" t="inlineStr">
        <is>
          <t>上海区域</t>
        </is>
      </c>
      <c r="C1254" s="16" t="inlineStr">
        <is>
          <t>CN0Q</t>
        </is>
      </c>
      <c r="D1254" s="16" t="inlineStr">
        <is>
          <t>EE 苏州比斯特购物村</t>
        </is>
      </c>
      <c r="E1254" s="16" t="n">
        <v>4</v>
      </c>
      <c r="F1254" s="16" t="inlineStr">
        <is>
          <t>奥特莱斯</t>
        </is>
      </c>
      <c r="G1254" s="16" t="inlineStr">
        <is>
          <t>EETCG64S01</t>
        </is>
      </c>
      <c r="H1254" s="16" t="n">
        <v>799</v>
      </c>
      <c r="I1254" s="16" t="n">
        <v>799</v>
      </c>
      <c r="J1254" s="17" t="inlineStr">
        <is>
          <t>########</t>
        </is>
      </c>
      <c r="K1254" s="16" t="inlineStr">
        <is>
          <t>(15)Grey</t>
        </is>
      </c>
      <c r="L1254" s="16" t="inlineStr">
        <is>
          <t>营业中</t>
        </is>
      </c>
      <c r="M1254" s="16" t="inlineStr">
        <is>
          <t>EETCG64S0115165</t>
        </is>
      </c>
      <c r="N1254" s="16">
        <f>LEFT(M1254,12)</f>
        <v/>
      </c>
      <c r="O1254" s="16" t="inlineStr">
        <is>
          <t>EETCG64S01, (15)Grey, (165)165</t>
        </is>
      </c>
      <c r="P1254" s="16" t="n">
        <v>799</v>
      </c>
      <c r="Q1254" s="16" t="n">
        <v>799</v>
      </c>
      <c r="R1254" s="16" t="n"/>
      <c r="S1254" s="16" t="n"/>
      <c r="T1254" s="16" t="n">
        <v>2</v>
      </c>
    </row>
    <row r="1255" s="103">
      <c r="A1255" s="16" t="inlineStr">
        <is>
          <t>B331</t>
        </is>
      </c>
      <c r="B1255" s="16" t="inlineStr">
        <is>
          <t>上海区域</t>
        </is>
      </c>
      <c r="C1255" s="16" t="inlineStr">
        <is>
          <t>CN0Q</t>
        </is>
      </c>
      <c r="D1255" s="16" t="inlineStr">
        <is>
          <t>EE 苏州比斯特购物村</t>
        </is>
      </c>
      <c r="E1255" s="16" t="n">
        <v>4</v>
      </c>
      <c r="F1255" s="16" t="inlineStr">
        <is>
          <t>奥特莱斯</t>
        </is>
      </c>
      <c r="G1255" s="16" t="inlineStr">
        <is>
          <t>EETCG64S01</t>
        </is>
      </c>
      <c r="H1255" s="16" t="n">
        <v>799</v>
      </c>
      <c r="I1255" s="16" t="n">
        <v>799</v>
      </c>
      <c r="J1255" s="17" t="inlineStr">
        <is>
          <t>########</t>
        </is>
      </c>
      <c r="K1255" s="16" t="inlineStr">
        <is>
          <t>(15)Grey</t>
        </is>
      </c>
      <c r="L1255" s="16" t="inlineStr">
        <is>
          <t>营业中</t>
        </is>
      </c>
      <c r="M1255" s="16" t="inlineStr">
        <is>
          <t>EETCG64S0115170</t>
        </is>
      </c>
      <c r="N1255" s="16">
        <f>LEFT(M1255,12)</f>
        <v/>
      </c>
      <c r="O1255" s="16" t="inlineStr">
        <is>
          <t>EETCG64S01, (15)Grey, (170)170</t>
        </is>
      </c>
      <c r="P1255" s="16" t="n">
        <v>799</v>
      </c>
      <c r="Q1255" s="16" t="n">
        <v>799</v>
      </c>
      <c r="R1255" s="16" t="n">
        <v>2</v>
      </c>
      <c r="S1255" s="16" t="n">
        <v>760</v>
      </c>
      <c r="T1255" s="16" t="n">
        <v>0</v>
      </c>
    </row>
    <row r="1256" s="103">
      <c r="A1256" s="16" t="inlineStr">
        <is>
          <t>B331</t>
        </is>
      </c>
      <c r="B1256" s="16" t="inlineStr">
        <is>
          <t>上海区域</t>
        </is>
      </c>
      <c r="C1256" s="16" t="inlineStr">
        <is>
          <t>CN0Q</t>
        </is>
      </c>
      <c r="D1256" s="16" t="inlineStr">
        <is>
          <t>EE 苏州比斯特购物村</t>
        </is>
      </c>
      <c r="E1256" s="16" t="n">
        <v>4</v>
      </c>
      <c r="F1256" s="16" t="inlineStr">
        <is>
          <t>奥特莱斯</t>
        </is>
      </c>
      <c r="G1256" s="16" t="inlineStr">
        <is>
          <t>EETHF23T71</t>
        </is>
      </c>
      <c r="H1256" s="16" t="n">
        <v>599</v>
      </c>
      <c r="I1256" s="16" t="n">
        <v>699</v>
      </c>
      <c r="J1256" s="17" t="inlineStr">
        <is>
          <t>########</t>
        </is>
      </c>
      <c r="K1256" s="16" t="inlineStr">
        <is>
          <t>(03)D/NAVY</t>
        </is>
      </c>
      <c r="L1256" s="16" t="inlineStr">
        <is>
          <t>营业中</t>
        </is>
      </c>
      <c r="M1256" s="16" t="inlineStr">
        <is>
          <t>EETHF23T7103160</t>
        </is>
      </c>
      <c r="N1256" s="16">
        <f>LEFT(M1256,12)</f>
        <v/>
      </c>
      <c r="O1256" s="16" t="inlineStr">
        <is>
          <t>EETHF23T71, (03)D/NAVY, (160)160</t>
        </is>
      </c>
      <c r="P1256" s="16" t="n">
        <v>599</v>
      </c>
      <c r="Q1256" s="16" t="n">
        <v>699</v>
      </c>
      <c r="R1256" s="16" t="n"/>
      <c r="S1256" s="16" t="n"/>
      <c r="T1256" s="16" t="n">
        <v>2</v>
      </c>
    </row>
    <row r="1257" s="103">
      <c r="A1257" s="16" t="inlineStr">
        <is>
          <t>B331</t>
        </is>
      </c>
      <c r="B1257" s="16" t="inlineStr">
        <is>
          <t>上海区域</t>
        </is>
      </c>
      <c r="C1257" s="16" t="inlineStr">
        <is>
          <t>CN0Q</t>
        </is>
      </c>
      <c r="D1257" s="16" t="inlineStr">
        <is>
          <t>EE 苏州比斯特购物村</t>
        </is>
      </c>
      <c r="E1257" s="16" t="n">
        <v>4</v>
      </c>
      <c r="F1257" s="16" t="inlineStr">
        <is>
          <t>奥特莱斯</t>
        </is>
      </c>
      <c r="G1257" s="16" t="inlineStr">
        <is>
          <t>EETHF23T71</t>
        </is>
      </c>
      <c r="H1257" s="16" t="n">
        <v>599</v>
      </c>
      <c r="I1257" s="16" t="n">
        <v>699</v>
      </c>
      <c r="J1257" s="17" t="inlineStr">
        <is>
          <t>########</t>
        </is>
      </c>
      <c r="K1257" s="16" t="inlineStr">
        <is>
          <t>(03)D/NAVY</t>
        </is>
      </c>
      <c r="L1257" s="16" t="inlineStr">
        <is>
          <t>营业中</t>
        </is>
      </c>
      <c r="M1257" s="16" t="inlineStr">
        <is>
          <t>EETHF23T7103165</t>
        </is>
      </c>
      <c r="N1257" s="16">
        <f>LEFT(M1257,12)</f>
        <v/>
      </c>
      <c r="O1257" s="16" t="inlineStr">
        <is>
          <t>EETHF23T71, (03)D/NAVY, (165)165</t>
        </is>
      </c>
      <c r="P1257" s="16" t="n">
        <v>599</v>
      </c>
      <c r="Q1257" s="16" t="n">
        <v>699</v>
      </c>
      <c r="R1257" s="16" t="n"/>
      <c r="S1257" s="16" t="n"/>
      <c r="T1257" s="16" t="n">
        <v>3</v>
      </c>
    </row>
    <row r="1258" s="103">
      <c r="A1258" s="16" t="inlineStr">
        <is>
          <t>B331</t>
        </is>
      </c>
      <c r="B1258" s="16" t="inlineStr">
        <is>
          <t>上海区域</t>
        </is>
      </c>
      <c r="C1258" s="16" t="inlineStr">
        <is>
          <t>CN0Q</t>
        </is>
      </c>
      <c r="D1258" s="16" t="inlineStr">
        <is>
          <t>EE 苏州比斯特购物村</t>
        </is>
      </c>
      <c r="E1258" s="16" t="n">
        <v>4</v>
      </c>
      <c r="F1258" s="16" t="inlineStr">
        <is>
          <t>奥特莱斯</t>
        </is>
      </c>
      <c r="G1258" s="16" t="inlineStr">
        <is>
          <t>EETHF23T71</t>
        </is>
      </c>
      <c r="H1258" s="16" t="n">
        <v>599</v>
      </c>
      <c r="I1258" s="16" t="n">
        <v>699</v>
      </c>
      <c r="J1258" s="17" t="inlineStr">
        <is>
          <t>########</t>
        </is>
      </c>
      <c r="K1258" s="16" t="inlineStr">
        <is>
          <t>(03)D/NAVY</t>
        </is>
      </c>
      <c r="L1258" s="16" t="inlineStr">
        <is>
          <t>营业中</t>
        </is>
      </c>
      <c r="M1258" s="16" t="inlineStr">
        <is>
          <t>EETHF23T7103170</t>
        </is>
      </c>
      <c r="N1258" s="16">
        <f>LEFT(M1258,12)</f>
        <v/>
      </c>
      <c r="O1258" s="16" t="inlineStr">
        <is>
          <t>EETHF23T71, (03)D/NAVY, (170)170</t>
        </is>
      </c>
      <c r="P1258" s="16" t="n">
        <v>599</v>
      </c>
      <c r="Q1258" s="16" t="n">
        <v>699</v>
      </c>
      <c r="R1258" s="16" t="n"/>
      <c r="S1258" s="16" t="n"/>
      <c r="T1258" s="16" t="n">
        <v>2</v>
      </c>
    </row>
    <row r="1259" s="103">
      <c r="A1259" s="16" t="inlineStr">
        <is>
          <t>B331</t>
        </is>
      </c>
      <c r="B1259" s="16" t="inlineStr">
        <is>
          <t>上海区域</t>
        </is>
      </c>
      <c r="C1259" s="16" t="inlineStr">
        <is>
          <t>CN0Q</t>
        </is>
      </c>
      <c r="D1259" s="16" t="inlineStr">
        <is>
          <t>EE 苏州比斯特购物村</t>
        </is>
      </c>
      <c r="E1259" s="16" t="n">
        <v>4</v>
      </c>
      <c r="F1259" s="16" t="inlineStr">
        <is>
          <t>奥特莱斯</t>
        </is>
      </c>
      <c r="G1259" s="16" t="inlineStr">
        <is>
          <t>EETHG23B1G</t>
        </is>
      </c>
      <c r="H1259" s="16" t="n">
        <v>799</v>
      </c>
      <c r="I1259" s="16" t="n">
        <v>799</v>
      </c>
      <c r="J1259" s="17" t="inlineStr">
        <is>
          <t>########</t>
        </is>
      </c>
      <c r="K1259" s="16" t="inlineStr">
        <is>
          <t>(03)D/NAVY</t>
        </is>
      </c>
      <c r="L1259" s="16" t="inlineStr">
        <is>
          <t>营业中</t>
        </is>
      </c>
      <c r="M1259" s="16" t="inlineStr">
        <is>
          <t>EETHG23B1G03030</t>
        </is>
      </c>
      <c r="N1259" s="16">
        <f>LEFT(M1259,12)</f>
        <v/>
      </c>
      <c r="O1259" s="16" t="inlineStr">
        <is>
          <t>EETHG23B1G, (03)D/NAVY, 30(170/76A)</t>
        </is>
      </c>
      <c r="P1259" s="16" t="n">
        <v>799</v>
      </c>
      <c r="Q1259" s="16" t="n">
        <v>799</v>
      </c>
      <c r="R1259" s="16" t="n"/>
      <c r="S1259" s="16" t="n"/>
      <c r="T1259" s="16" t="n">
        <v>2</v>
      </c>
    </row>
    <row r="1260" s="103">
      <c r="A1260" s="16" t="inlineStr">
        <is>
          <t>B331</t>
        </is>
      </c>
      <c r="B1260" s="16" t="inlineStr">
        <is>
          <t>上海区域</t>
        </is>
      </c>
      <c r="C1260" s="16" t="inlineStr">
        <is>
          <t>CN0Q</t>
        </is>
      </c>
      <c r="D1260" s="16" t="inlineStr">
        <is>
          <t>EE 苏州比斯特购物村</t>
        </is>
      </c>
      <c r="E1260" s="16" t="n">
        <v>4</v>
      </c>
      <c r="F1260" s="16" t="inlineStr">
        <is>
          <t>奥特莱斯</t>
        </is>
      </c>
      <c r="G1260" s="16" t="inlineStr">
        <is>
          <t>EETHG23B1G</t>
        </is>
      </c>
      <c r="H1260" s="16" t="n">
        <v>799</v>
      </c>
      <c r="I1260" s="16" t="n">
        <v>799</v>
      </c>
      <c r="J1260" s="17" t="inlineStr">
        <is>
          <t>########</t>
        </is>
      </c>
      <c r="K1260" s="16" t="inlineStr">
        <is>
          <t>(03)D/NAVY</t>
        </is>
      </c>
      <c r="L1260" s="16" t="inlineStr">
        <is>
          <t>营业中</t>
        </is>
      </c>
      <c r="M1260" s="16" t="inlineStr">
        <is>
          <t>EETHG23B1G03032</t>
        </is>
      </c>
      <c r="N1260" s="16">
        <f>LEFT(M1260,12)</f>
        <v/>
      </c>
      <c r="O1260" s="16" t="inlineStr">
        <is>
          <t>EETHG23B1G, (03)D/NAVY, 32(175/80A)</t>
        </is>
      </c>
      <c r="P1260" s="16" t="n">
        <v>799</v>
      </c>
      <c r="Q1260" s="16" t="n">
        <v>799</v>
      </c>
      <c r="R1260" s="16" t="n"/>
      <c r="S1260" s="16" t="n"/>
      <c r="T1260" s="16" t="n">
        <v>2</v>
      </c>
    </row>
    <row r="1261" s="103">
      <c r="A1261" s="16" t="inlineStr">
        <is>
          <t>B331</t>
        </is>
      </c>
      <c r="B1261" s="16" t="inlineStr">
        <is>
          <t>上海区域</t>
        </is>
      </c>
      <c r="C1261" s="16" t="inlineStr">
        <is>
          <t>CN0Q</t>
        </is>
      </c>
      <c r="D1261" s="16" t="inlineStr">
        <is>
          <t>EE 苏州比斯特购物村</t>
        </is>
      </c>
      <c r="E1261" s="16" t="n">
        <v>4</v>
      </c>
      <c r="F1261" s="16" t="inlineStr">
        <is>
          <t>奥特莱斯</t>
        </is>
      </c>
      <c r="G1261" s="16" t="inlineStr">
        <is>
          <t>EETHG23B1G</t>
        </is>
      </c>
      <c r="H1261" s="16" t="n">
        <v>799</v>
      </c>
      <c r="I1261" s="16" t="n">
        <v>799</v>
      </c>
      <c r="J1261" s="17" t="inlineStr">
        <is>
          <t>########</t>
        </is>
      </c>
      <c r="K1261" s="16" t="inlineStr">
        <is>
          <t>(03)D/NAVY</t>
        </is>
      </c>
      <c r="L1261" s="16" t="inlineStr">
        <is>
          <t>营业中</t>
        </is>
      </c>
      <c r="M1261" s="16" t="inlineStr">
        <is>
          <t>EETHG23B1G03034</t>
        </is>
      </c>
      <c r="N1261" s="16">
        <f>LEFT(M1261,12)</f>
        <v/>
      </c>
      <c r="O1261" s="16" t="inlineStr">
        <is>
          <t>EETHG23B1G, (03)D/NAVY, 34(180/84A)</t>
        </is>
      </c>
      <c r="P1261" s="16" t="n">
        <v>799</v>
      </c>
      <c r="Q1261" s="16" t="n">
        <v>799</v>
      </c>
      <c r="R1261" s="16" t="n"/>
      <c r="S1261" s="16" t="n"/>
      <c r="T1261" s="16" t="n">
        <v>2</v>
      </c>
    </row>
    <row r="1262" s="103">
      <c r="A1262" s="16" t="inlineStr">
        <is>
          <t>B331</t>
        </is>
      </c>
      <c r="B1262" s="16" t="inlineStr">
        <is>
          <t>上海区域</t>
        </is>
      </c>
      <c r="C1262" s="16" t="inlineStr">
        <is>
          <t>CN0Q</t>
        </is>
      </c>
      <c r="D1262" s="16" t="inlineStr">
        <is>
          <t>EE 苏州比斯特购物村</t>
        </is>
      </c>
      <c r="E1262" s="16" t="n">
        <v>4</v>
      </c>
      <c r="F1262" s="16" t="inlineStr">
        <is>
          <t>奥特莱斯</t>
        </is>
      </c>
      <c r="G1262" s="16" t="inlineStr">
        <is>
          <t>EETHG24E02</t>
        </is>
      </c>
      <c r="H1262" s="16" t="n">
        <v>599</v>
      </c>
      <c r="I1262" s="16" t="n">
        <v>599</v>
      </c>
      <c r="J1262" s="17" t="n">
        <v>46087</v>
      </c>
      <c r="K1262" s="16" t="inlineStr">
        <is>
          <t>(35)Beige</t>
        </is>
      </c>
      <c r="L1262" s="16" t="inlineStr">
        <is>
          <t>营业中</t>
        </is>
      </c>
      <c r="M1262" s="16" t="inlineStr">
        <is>
          <t>EETHG24E0235155</t>
        </is>
      </c>
      <c r="N1262" s="16">
        <f>LEFT(M1262,12)</f>
        <v/>
      </c>
      <c r="O1262" s="16" t="inlineStr">
        <is>
          <t>EETHG24E02, (35)Beige, (155)155</t>
        </is>
      </c>
      <c r="P1262" s="16" t="n">
        <v>599</v>
      </c>
      <c r="Q1262" s="16" t="n">
        <v>599</v>
      </c>
      <c r="R1262" s="16" t="n"/>
      <c r="S1262" s="16" t="n"/>
      <c r="T1262" s="16" t="n">
        <v>2</v>
      </c>
    </row>
    <row r="1263" s="103">
      <c r="A1263" s="16" t="inlineStr">
        <is>
          <t>B331</t>
        </is>
      </c>
      <c r="B1263" s="16" t="inlineStr">
        <is>
          <t>上海区域</t>
        </is>
      </c>
      <c r="C1263" s="16" t="inlineStr">
        <is>
          <t>CN0Q</t>
        </is>
      </c>
      <c r="D1263" s="16" t="inlineStr">
        <is>
          <t>EE 苏州比斯特购物村</t>
        </is>
      </c>
      <c r="E1263" s="16" t="n">
        <v>4</v>
      </c>
      <c r="F1263" s="16" t="inlineStr">
        <is>
          <t>奥特莱斯</t>
        </is>
      </c>
      <c r="G1263" s="16" t="inlineStr">
        <is>
          <t>EETHG24E02</t>
        </is>
      </c>
      <c r="H1263" s="16" t="n">
        <v>599</v>
      </c>
      <c r="I1263" s="16" t="n">
        <v>599</v>
      </c>
      <c r="J1263" s="17" t="n">
        <v>46087</v>
      </c>
      <c r="K1263" s="16" t="inlineStr">
        <is>
          <t>(35)Beige</t>
        </is>
      </c>
      <c r="L1263" s="16" t="inlineStr">
        <is>
          <t>营业中</t>
        </is>
      </c>
      <c r="M1263" s="16" t="inlineStr">
        <is>
          <t>EETHG24E0235160</t>
        </is>
      </c>
      <c r="N1263" s="16">
        <f>LEFT(M1263,12)</f>
        <v/>
      </c>
      <c r="O1263" s="16" t="inlineStr">
        <is>
          <t>EETHG24E02, (35)Beige, (160)160</t>
        </is>
      </c>
      <c r="P1263" s="16" t="n">
        <v>599</v>
      </c>
      <c r="Q1263" s="16" t="n">
        <v>599</v>
      </c>
      <c r="R1263" s="16" t="n"/>
      <c r="S1263" s="16" t="n"/>
      <c r="T1263" s="16" t="n">
        <v>4</v>
      </c>
    </row>
    <row r="1264" s="103">
      <c r="A1264" s="16" t="inlineStr">
        <is>
          <t>B331</t>
        </is>
      </c>
      <c r="B1264" s="16" t="inlineStr">
        <is>
          <t>上海区域</t>
        </is>
      </c>
      <c r="C1264" s="16" t="inlineStr">
        <is>
          <t>CN0Q</t>
        </is>
      </c>
      <c r="D1264" s="16" t="inlineStr">
        <is>
          <t>EE 苏州比斯特购物村</t>
        </is>
      </c>
      <c r="E1264" s="16" t="n">
        <v>4</v>
      </c>
      <c r="F1264" s="16" t="inlineStr">
        <is>
          <t>奥特莱斯</t>
        </is>
      </c>
      <c r="G1264" s="16" t="inlineStr">
        <is>
          <t>EETHG24E02</t>
        </is>
      </c>
      <c r="H1264" s="16" t="n">
        <v>599</v>
      </c>
      <c r="I1264" s="16" t="n">
        <v>599</v>
      </c>
      <c r="J1264" s="17" t="n">
        <v>46087</v>
      </c>
      <c r="K1264" s="16" t="inlineStr">
        <is>
          <t>(35)Beige</t>
        </is>
      </c>
      <c r="L1264" s="16" t="inlineStr">
        <is>
          <t>营业中</t>
        </is>
      </c>
      <c r="M1264" s="16" t="inlineStr">
        <is>
          <t>EETHG24E0235165</t>
        </is>
      </c>
      <c r="N1264" s="16">
        <f>LEFT(M1264,12)</f>
        <v/>
      </c>
      <c r="O1264" s="16" t="inlineStr">
        <is>
          <t>EETHG24E02, (35)Beige, (165)165</t>
        </is>
      </c>
      <c r="P1264" s="16" t="n">
        <v>599</v>
      </c>
      <c r="Q1264" s="16" t="n">
        <v>599</v>
      </c>
      <c r="R1264" s="16" t="n"/>
      <c r="S1264" s="16" t="n"/>
      <c r="T1264" s="16" t="n">
        <v>5</v>
      </c>
    </row>
    <row r="1265" s="103">
      <c r="A1265" s="16" t="inlineStr">
        <is>
          <t>B331</t>
        </is>
      </c>
      <c r="B1265" s="16" t="inlineStr">
        <is>
          <t>上海区域</t>
        </is>
      </c>
      <c r="C1265" s="16" t="inlineStr">
        <is>
          <t>CN0Q</t>
        </is>
      </c>
      <c r="D1265" s="16" t="inlineStr">
        <is>
          <t>EE 苏州比斯特购物村</t>
        </is>
      </c>
      <c r="E1265" s="16" t="n">
        <v>4</v>
      </c>
      <c r="F1265" s="16" t="inlineStr">
        <is>
          <t>奥特莱斯</t>
        </is>
      </c>
      <c r="G1265" s="16" t="inlineStr">
        <is>
          <t>EETHG24E02</t>
        </is>
      </c>
      <c r="H1265" s="16" t="n">
        <v>599</v>
      </c>
      <c r="I1265" s="16" t="n">
        <v>599</v>
      </c>
      <c r="J1265" s="17" t="n">
        <v>46087</v>
      </c>
      <c r="K1265" s="16" t="inlineStr">
        <is>
          <t>(35)Beige</t>
        </is>
      </c>
      <c r="L1265" s="16" t="inlineStr">
        <is>
          <t>营业中</t>
        </is>
      </c>
      <c r="M1265" s="16" t="inlineStr">
        <is>
          <t>EETHG24E0235170</t>
        </is>
      </c>
      <c r="N1265" s="16">
        <f>LEFT(M1265,12)</f>
        <v/>
      </c>
      <c r="O1265" s="16" t="inlineStr">
        <is>
          <t>EETHG24E02, (35)Beige, (170)170</t>
        </is>
      </c>
      <c r="P1265" s="16" t="n">
        <v>599</v>
      </c>
      <c r="Q1265" s="16" t="n">
        <v>599</v>
      </c>
      <c r="R1265" s="16" t="n"/>
      <c r="S1265" s="16" t="n"/>
      <c r="T1265" s="16" t="n">
        <v>4</v>
      </c>
    </row>
    <row r="1266" s="103">
      <c r="A1266" s="16" t="inlineStr">
        <is>
          <t>B331</t>
        </is>
      </c>
      <c r="B1266" s="16" t="inlineStr">
        <is>
          <t>上海区域</t>
        </is>
      </c>
      <c r="C1266" s="16" t="inlineStr">
        <is>
          <t>CN0Q</t>
        </is>
      </c>
      <c r="D1266" s="16" t="inlineStr">
        <is>
          <t>EE 苏州比斯特购物村</t>
        </is>
      </c>
      <c r="E1266" s="16" t="n">
        <v>4</v>
      </c>
      <c r="F1266" s="16" t="inlineStr">
        <is>
          <t>奥特莱斯</t>
        </is>
      </c>
      <c r="G1266" s="16" t="inlineStr">
        <is>
          <t>EETHG24E02</t>
        </is>
      </c>
      <c r="H1266" s="16" t="n">
        <v>599</v>
      </c>
      <c r="I1266" s="16" t="n">
        <v>599</v>
      </c>
      <c r="J1266" s="17" t="n">
        <v>46087</v>
      </c>
      <c r="K1266" s="16" t="inlineStr">
        <is>
          <t>(59)Navy</t>
        </is>
      </c>
      <c r="L1266" s="16" t="inlineStr">
        <is>
          <t>营业中</t>
        </is>
      </c>
      <c r="M1266" s="16" t="inlineStr">
        <is>
          <t>EETHG24E0259155</t>
        </is>
      </c>
      <c r="N1266" s="16">
        <f>LEFT(M1266,12)</f>
        <v/>
      </c>
      <c r="O1266" s="16" t="inlineStr">
        <is>
          <t>EETHG24E02, (59)Navy, (155)155</t>
        </is>
      </c>
      <c r="P1266" s="16" t="n">
        <v>599</v>
      </c>
      <c r="Q1266" s="16" t="n">
        <v>599</v>
      </c>
      <c r="R1266" s="16" t="n"/>
      <c r="S1266" s="16" t="n"/>
      <c r="T1266" s="16" t="n">
        <v>3</v>
      </c>
    </row>
    <row r="1267" s="103">
      <c r="A1267" s="16" t="inlineStr">
        <is>
          <t>B331</t>
        </is>
      </c>
      <c r="B1267" s="16" t="inlineStr">
        <is>
          <t>上海区域</t>
        </is>
      </c>
      <c r="C1267" s="16" t="inlineStr">
        <is>
          <t>CN0Q</t>
        </is>
      </c>
      <c r="D1267" s="16" t="inlineStr">
        <is>
          <t>EE 苏州比斯特购物村</t>
        </is>
      </c>
      <c r="E1267" s="16" t="n">
        <v>4</v>
      </c>
      <c r="F1267" s="16" t="inlineStr">
        <is>
          <t>奥特莱斯</t>
        </is>
      </c>
      <c r="G1267" s="16" t="inlineStr">
        <is>
          <t>EETHG24E02</t>
        </is>
      </c>
      <c r="H1267" s="16" t="n">
        <v>599</v>
      </c>
      <c r="I1267" s="16" t="n">
        <v>599</v>
      </c>
      <c r="J1267" s="17" t="n">
        <v>46087</v>
      </c>
      <c r="K1267" s="16" t="inlineStr">
        <is>
          <t>(59)Navy</t>
        </is>
      </c>
      <c r="L1267" s="16" t="inlineStr">
        <is>
          <t>营业中</t>
        </is>
      </c>
      <c r="M1267" s="16" t="inlineStr">
        <is>
          <t>EETHG24E0259160</t>
        </is>
      </c>
      <c r="N1267" s="16">
        <f>LEFT(M1267,12)</f>
        <v/>
      </c>
      <c r="O1267" s="16" t="inlineStr">
        <is>
          <t>EETHG24E02, (59)Navy, (160)160</t>
        </is>
      </c>
      <c r="P1267" s="16" t="n">
        <v>599</v>
      </c>
      <c r="Q1267" s="16" t="n">
        <v>599</v>
      </c>
      <c r="R1267" s="16" t="n">
        <v>1</v>
      </c>
      <c r="S1267" s="16" t="n"/>
      <c r="T1267" s="16" t="n">
        <v>3</v>
      </c>
    </row>
    <row r="1268" s="103">
      <c r="A1268" s="16" t="inlineStr">
        <is>
          <t>B331</t>
        </is>
      </c>
      <c r="B1268" s="16" t="inlineStr">
        <is>
          <t>上海区域</t>
        </is>
      </c>
      <c r="C1268" s="16" t="inlineStr">
        <is>
          <t>CN0Q</t>
        </is>
      </c>
      <c r="D1268" s="16" t="inlineStr">
        <is>
          <t>EE 苏州比斯特购物村</t>
        </is>
      </c>
      <c r="E1268" s="16" t="n">
        <v>4</v>
      </c>
      <c r="F1268" s="16" t="inlineStr">
        <is>
          <t>奥特莱斯</t>
        </is>
      </c>
      <c r="G1268" s="16" t="inlineStr">
        <is>
          <t>EETHG24E02</t>
        </is>
      </c>
      <c r="H1268" s="16" t="n">
        <v>599</v>
      </c>
      <c r="I1268" s="16" t="n">
        <v>599</v>
      </c>
      <c r="J1268" s="17" t="n">
        <v>46087</v>
      </c>
      <c r="K1268" s="16" t="inlineStr">
        <is>
          <t>(59)Navy</t>
        </is>
      </c>
      <c r="L1268" s="16" t="inlineStr">
        <is>
          <t>营业中</t>
        </is>
      </c>
      <c r="M1268" s="16" t="inlineStr">
        <is>
          <t>EETHG24E0259165</t>
        </is>
      </c>
      <c r="N1268" s="16">
        <f>LEFT(M1268,12)</f>
        <v/>
      </c>
      <c r="O1268" s="16" t="inlineStr">
        <is>
          <t>EETHG24E02, (59)Navy, (165)165</t>
        </is>
      </c>
      <c r="P1268" s="16" t="n">
        <v>599</v>
      </c>
      <c r="Q1268" s="16" t="n">
        <v>599</v>
      </c>
      <c r="R1268" s="16" t="n">
        <v>1</v>
      </c>
      <c r="S1268" s="16" t="n">
        <v>379</v>
      </c>
      <c r="T1268" s="16" t="n">
        <v>4</v>
      </c>
    </row>
    <row r="1269" s="103">
      <c r="A1269" s="16" t="inlineStr">
        <is>
          <t>B331</t>
        </is>
      </c>
      <c r="B1269" s="16" t="inlineStr">
        <is>
          <t>上海区域</t>
        </is>
      </c>
      <c r="C1269" s="16" t="inlineStr">
        <is>
          <t>CN0Q</t>
        </is>
      </c>
      <c r="D1269" s="16" t="inlineStr">
        <is>
          <t>EE 苏州比斯特购物村</t>
        </is>
      </c>
      <c r="E1269" s="16" t="n">
        <v>4</v>
      </c>
      <c r="F1269" s="16" t="inlineStr">
        <is>
          <t>奥特莱斯</t>
        </is>
      </c>
      <c r="G1269" s="16" t="inlineStr">
        <is>
          <t>EETHG24E02</t>
        </is>
      </c>
      <c r="H1269" s="16" t="n">
        <v>599</v>
      </c>
      <c r="I1269" s="16" t="n">
        <v>599</v>
      </c>
      <c r="J1269" s="17" t="n">
        <v>46087</v>
      </c>
      <c r="K1269" s="16" t="inlineStr">
        <is>
          <t>(59)Navy</t>
        </is>
      </c>
      <c r="L1269" s="16" t="inlineStr">
        <is>
          <t>营业中</t>
        </is>
      </c>
      <c r="M1269" s="16" t="inlineStr">
        <is>
          <t>EETHG24E0259170</t>
        </is>
      </c>
      <c r="N1269" s="16">
        <f>LEFT(M1269,12)</f>
        <v/>
      </c>
      <c r="O1269" s="16" t="inlineStr">
        <is>
          <t>EETHG24E02, (59)Navy, (170)170</t>
        </is>
      </c>
      <c r="P1269" s="16" t="n">
        <v>599</v>
      </c>
      <c r="Q1269" s="16" t="n">
        <v>599</v>
      </c>
      <c r="R1269" s="16" t="n"/>
      <c r="S1269" s="16" t="n"/>
      <c r="T1269" s="16" t="n">
        <v>5</v>
      </c>
    </row>
    <row r="1270" s="103">
      <c r="A1270" s="16" t="inlineStr">
        <is>
          <t>B331</t>
        </is>
      </c>
      <c r="B1270" s="16" t="inlineStr">
        <is>
          <t>上海区域</t>
        </is>
      </c>
      <c r="C1270" s="16" t="inlineStr">
        <is>
          <t>CN0Q</t>
        </is>
      </c>
      <c r="D1270" s="16" t="inlineStr">
        <is>
          <t>EE 苏州比斯特购物村</t>
        </is>
      </c>
      <c r="E1270" s="16" t="n">
        <v>4</v>
      </c>
      <c r="F1270" s="16" t="inlineStr">
        <is>
          <t>奥特莱斯</t>
        </is>
      </c>
      <c r="G1270" s="16" t="inlineStr">
        <is>
          <t>EETHG24E03</t>
        </is>
      </c>
      <c r="H1270" s="16" t="n">
        <v>699</v>
      </c>
      <c r="I1270" s="16" t="n">
        <v>699</v>
      </c>
      <c r="J1270" s="17" t="inlineStr">
        <is>
          <t>########</t>
        </is>
      </c>
      <c r="K1270" s="16" t="inlineStr">
        <is>
          <t>(49)Khaki</t>
        </is>
      </c>
      <c r="L1270" s="16" t="inlineStr">
        <is>
          <t>营业中</t>
        </is>
      </c>
      <c r="M1270" s="16" t="inlineStr">
        <is>
          <t>EETHG24E0349160</t>
        </is>
      </c>
      <c r="N1270" s="16">
        <f>LEFT(M1270,12)</f>
        <v/>
      </c>
      <c r="O1270" s="16" t="inlineStr">
        <is>
          <t>EETHG24E03, (49)Khaki, (160)160</t>
        </is>
      </c>
      <c r="P1270" s="16" t="n">
        <v>699</v>
      </c>
      <c r="Q1270" s="16" t="n">
        <v>699</v>
      </c>
      <c r="R1270" s="16" t="n">
        <v>1</v>
      </c>
      <c r="S1270" s="16" t="n">
        <v>468</v>
      </c>
      <c r="T1270" s="16" t="n">
        <v>0</v>
      </c>
    </row>
    <row r="1271" s="103">
      <c r="A1271" s="16" t="inlineStr">
        <is>
          <t>B331</t>
        </is>
      </c>
      <c r="B1271" s="16" t="inlineStr">
        <is>
          <t>上海区域</t>
        </is>
      </c>
      <c r="C1271" s="16" t="inlineStr">
        <is>
          <t>CN0Q</t>
        </is>
      </c>
      <c r="D1271" s="16" t="inlineStr">
        <is>
          <t>EE 苏州比斯特购物村</t>
        </is>
      </c>
      <c r="E1271" s="16" t="n">
        <v>4</v>
      </c>
      <c r="F1271" s="16" t="inlineStr">
        <is>
          <t>奥特莱斯</t>
        </is>
      </c>
      <c r="G1271" s="16" t="inlineStr">
        <is>
          <t>EETHG24E03</t>
        </is>
      </c>
      <c r="H1271" s="16" t="n">
        <v>699</v>
      </c>
      <c r="I1271" s="16" t="n">
        <v>699</v>
      </c>
      <c r="J1271" s="17" t="inlineStr">
        <is>
          <t>########</t>
        </is>
      </c>
      <c r="K1271" s="16" t="inlineStr">
        <is>
          <t>(49)Khaki</t>
        </is>
      </c>
      <c r="L1271" s="16" t="inlineStr">
        <is>
          <t>营业中</t>
        </is>
      </c>
      <c r="M1271" s="16" t="inlineStr">
        <is>
          <t>EETHG24E0349165</t>
        </is>
      </c>
      <c r="N1271" s="16">
        <f>LEFT(M1271,12)</f>
        <v/>
      </c>
      <c r="O1271" s="16" t="inlineStr">
        <is>
          <t>EETHG24E03, (49)Khaki, (165)165</t>
        </is>
      </c>
      <c r="P1271" s="16" t="n">
        <v>699</v>
      </c>
      <c r="Q1271" s="16" t="n">
        <v>699</v>
      </c>
      <c r="R1271" s="16" t="n">
        <v>0</v>
      </c>
      <c r="S1271" s="16" t="n">
        <v>-489</v>
      </c>
      <c r="T1271" s="16" t="n">
        <v>1</v>
      </c>
    </row>
    <row r="1272" s="103">
      <c r="A1272" s="16" t="inlineStr">
        <is>
          <t>B331</t>
        </is>
      </c>
      <c r="B1272" s="16" t="inlineStr">
        <is>
          <t>上海区域</t>
        </is>
      </c>
      <c r="C1272" s="16" t="inlineStr">
        <is>
          <t>CN0Q</t>
        </is>
      </c>
      <c r="D1272" s="16" t="inlineStr">
        <is>
          <t>EE 苏州比斯特购物村</t>
        </is>
      </c>
      <c r="E1272" s="16" t="n">
        <v>4</v>
      </c>
      <c r="F1272" s="16" t="inlineStr">
        <is>
          <t>奥特莱斯</t>
        </is>
      </c>
      <c r="G1272" s="16" t="inlineStr">
        <is>
          <t>EETHG24E03</t>
        </is>
      </c>
      <c r="H1272" s="16" t="n">
        <v>699</v>
      </c>
      <c r="I1272" s="16" t="n">
        <v>699</v>
      </c>
      <c r="J1272" s="17" t="inlineStr">
        <is>
          <t>########</t>
        </is>
      </c>
      <c r="K1272" s="16" t="inlineStr">
        <is>
          <t>(49)Khaki</t>
        </is>
      </c>
      <c r="L1272" s="16" t="inlineStr">
        <is>
          <t>营业中</t>
        </is>
      </c>
      <c r="M1272" s="16" t="inlineStr">
        <is>
          <t>EETHG24E0349170</t>
        </is>
      </c>
      <c r="N1272" s="16">
        <f>LEFT(M1272,12)</f>
        <v/>
      </c>
      <c r="O1272" s="16" t="inlineStr">
        <is>
          <t>EETHG24E03, (49)Khaki, (170)170</t>
        </is>
      </c>
      <c r="P1272" s="16" t="n">
        <v>699</v>
      </c>
      <c r="Q1272" s="16" t="n">
        <v>699</v>
      </c>
      <c r="R1272" s="16" t="n">
        <v>2</v>
      </c>
      <c r="S1272" s="18" t="n">
        <v>1188</v>
      </c>
      <c r="T1272" s="16" t="n">
        <v>0</v>
      </c>
    </row>
    <row r="1273" s="103">
      <c r="A1273" s="16" t="inlineStr">
        <is>
          <t>B331</t>
        </is>
      </c>
      <c r="B1273" s="16" t="inlineStr">
        <is>
          <t>上海区域</t>
        </is>
      </c>
      <c r="C1273" s="16" t="inlineStr">
        <is>
          <t>CN0Q</t>
        </is>
      </c>
      <c r="D1273" s="16" t="inlineStr">
        <is>
          <t>EE 苏州比斯特购物村</t>
        </is>
      </c>
      <c r="E1273" s="16" t="n">
        <v>4</v>
      </c>
      <c r="F1273" s="16" t="inlineStr">
        <is>
          <t>奥特莱斯</t>
        </is>
      </c>
      <c r="G1273" s="16" t="inlineStr">
        <is>
          <t>EETHG25E01</t>
        </is>
      </c>
      <c r="H1273" s="16" t="n">
        <v>699</v>
      </c>
      <c r="I1273" s="16" t="n">
        <v>699</v>
      </c>
      <c r="J1273" s="17" t="inlineStr">
        <is>
          <t>########</t>
        </is>
      </c>
      <c r="K1273" s="16" t="inlineStr">
        <is>
          <t>(35)Beige</t>
        </is>
      </c>
      <c r="L1273" s="16" t="inlineStr">
        <is>
          <t>营业中</t>
        </is>
      </c>
      <c r="M1273" s="16" t="inlineStr">
        <is>
          <t>EETHG25E0135155</t>
        </is>
      </c>
      <c r="N1273" s="16">
        <f>LEFT(M1273,12)</f>
        <v/>
      </c>
      <c r="O1273" s="16" t="inlineStr">
        <is>
          <t>EETHG25E01, (35)Beige, (155)155</t>
        </is>
      </c>
      <c r="P1273" s="16" t="n">
        <v>699</v>
      </c>
      <c r="Q1273" s="16" t="n">
        <v>699</v>
      </c>
      <c r="R1273" s="16" t="n">
        <v>5</v>
      </c>
      <c r="S1273" s="18" t="n">
        <v>1339</v>
      </c>
      <c r="T1273" s="16" t="n">
        <v>3</v>
      </c>
    </row>
    <row r="1274" s="103">
      <c r="A1274" s="16" t="inlineStr">
        <is>
          <t>B331</t>
        </is>
      </c>
      <c r="B1274" s="16" t="inlineStr">
        <is>
          <t>上海区域</t>
        </is>
      </c>
      <c r="C1274" s="16" t="inlineStr">
        <is>
          <t>CN0Q</t>
        </is>
      </c>
      <c r="D1274" s="16" t="inlineStr">
        <is>
          <t>EE 苏州比斯特购物村</t>
        </is>
      </c>
      <c r="E1274" s="16" t="n">
        <v>4</v>
      </c>
      <c r="F1274" s="16" t="inlineStr">
        <is>
          <t>奥特莱斯</t>
        </is>
      </c>
      <c r="G1274" s="16" t="inlineStr">
        <is>
          <t>EETHG25E01</t>
        </is>
      </c>
      <c r="H1274" s="16" t="n">
        <v>699</v>
      </c>
      <c r="I1274" s="16" t="n">
        <v>699</v>
      </c>
      <c r="J1274" s="17" t="inlineStr">
        <is>
          <t>########</t>
        </is>
      </c>
      <c r="K1274" s="16" t="inlineStr">
        <is>
          <t>(35)Beige</t>
        </is>
      </c>
      <c r="L1274" s="16" t="inlineStr">
        <is>
          <t>营业中</t>
        </is>
      </c>
      <c r="M1274" s="16" t="inlineStr">
        <is>
          <t>EETHG25E0135160</t>
        </is>
      </c>
      <c r="N1274" s="16">
        <f>LEFT(M1274,12)</f>
        <v/>
      </c>
      <c r="O1274" s="16" t="inlineStr">
        <is>
          <t>EETHG25E01, (35)Beige, (160)160</t>
        </is>
      </c>
      <c r="P1274" s="16" t="n">
        <v>699</v>
      </c>
      <c r="Q1274" s="16" t="n">
        <v>699</v>
      </c>
      <c r="R1274" s="16" t="n">
        <v>7</v>
      </c>
      <c r="S1274" s="18" t="n">
        <v>1916</v>
      </c>
      <c r="T1274" s="16" t="n">
        <v>3</v>
      </c>
    </row>
    <row r="1275" s="103">
      <c r="A1275" s="16" t="inlineStr">
        <is>
          <t>B331</t>
        </is>
      </c>
      <c r="B1275" s="16" t="inlineStr">
        <is>
          <t>上海区域</t>
        </is>
      </c>
      <c r="C1275" s="16" t="inlineStr">
        <is>
          <t>CN0Q</t>
        </is>
      </c>
      <c r="D1275" s="16" t="inlineStr">
        <is>
          <t>EE 苏州比斯特购物村</t>
        </is>
      </c>
      <c r="E1275" s="16" t="n">
        <v>4</v>
      </c>
      <c r="F1275" s="16" t="inlineStr">
        <is>
          <t>奥特莱斯</t>
        </is>
      </c>
      <c r="G1275" s="16" t="inlineStr">
        <is>
          <t>EETHG25E01</t>
        </is>
      </c>
      <c r="H1275" s="16" t="n">
        <v>699</v>
      </c>
      <c r="I1275" s="16" t="n">
        <v>699</v>
      </c>
      <c r="J1275" s="17" t="inlineStr">
        <is>
          <t>########</t>
        </is>
      </c>
      <c r="K1275" s="16" t="inlineStr">
        <is>
          <t>(35)Beige</t>
        </is>
      </c>
      <c r="L1275" s="16" t="inlineStr">
        <is>
          <t>营业中</t>
        </is>
      </c>
      <c r="M1275" s="16" t="inlineStr">
        <is>
          <t>EETHG25E0135165</t>
        </is>
      </c>
      <c r="N1275" s="16">
        <f>LEFT(M1275,12)</f>
        <v/>
      </c>
      <c r="O1275" s="16" t="inlineStr">
        <is>
          <t>EETHG25E01, (35)Beige, (165)165</t>
        </is>
      </c>
      <c r="P1275" s="16" t="n">
        <v>699</v>
      </c>
      <c r="Q1275" s="16" t="n">
        <v>699</v>
      </c>
      <c r="R1275" s="16" t="n">
        <v>3</v>
      </c>
      <c r="S1275" s="16" t="n">
        <v>901</v>
      </c>
      <c r="T1275" s="16" t="n">
        <v>3</v>
      </c>
    </row>
    <row r="1276" s="103">
      <c r="A1276" s="16" t="inlineStr">
        <is>
          <t>B331</t>
        </is>
      </c>
      <c r="B1276" s="16" t="inlineStr">
        <is>
          <t>上海区域</t>
        </is>
      </c>
      <c r="C1276" s="16" t="inlineStr">
        <is>
          <t>CN0Q</t>
        </is>
      </c>
      <c r="D1276" s="16" t="inlineStr">
        <is>
          <t>EE 苏州比斯特购物村</t>
        </is>
      </c>
      <c r="E1276" s="16" t="n">
        <v>4</v>
      </c>
      <c r="F1276" s="16" t="inlineStr">
        <is>
          <t>奥特莱斯</t>
        </is>
      </c>
      <c r="G1276" s="16" t="inlineStr">
        <is>
          <t>EETHG25E01</t>
        </is>
      </c>
      <c r="H1276" s="16" t="n">
        <v>699</v>
      </c>
      <c r="I1276" s="16" t="n">
        <v>699</v>
      </c>
      <c r="J1276" s="17" t="inlineStr">
        <is>
          <t>########</t>
        </is>
      </c>
      <c r="K1276" s="16" t="inlineStr">
        <is>
          <t>(35)Beige</t>
        </is>
      </c>
      <c r="L1276" s="16" t="inlineStr">
        <is>
          <t>营业中</t>
        </is>
      </c>
      <c r="M1276" s="16" t="inlineStr">
        <is>
          <t>EETHG25E0135170</t>
        </is>
      </c>
      <c r="N1276" s="16">
        <f>LEFT(M1276,12)</f>
        <v/>
      </c>
      <c r="O1276" s="16" t="inlineStr">
        <is>
          <t>EETHG25E01, (35)Beige, (170)170</t>
        </is>
      </c>
      <c r="P1276" s="16" t="n">
        <v>699</v>
      </c>
      <c r="Q1276" s="16" t="n">
        <v>699</v>
      </c>
      <c r="R1276" s="16" t="n">
        <v>1</v>
      </c>
      <c r="S1276" s="16" t="n">
        <v>443</v>
      </c>
      <c r="T1276" s="16" t="n">
        <v>1</v>
      </c>
    </row>
    <row r="1277" s="103">
      <c r="A1277" s="16" t="inlineStr">
        <is>
          <t>B331</t>
        </is>
      </c>
      <c r="B1277" s="16" t="inlineStr">
        <is>
          <t>上海区域</t>
        </is>
      </c>
      <c r="C1277" s="16" t="inlineStr">
        <is>
          <t>CN0Q</t>
        </is>
      </c>
      <c r="D1277" s="16" t="inlineStr">
        <is>
          <t>EE 苏州比斯特购物村</t>
        </is>
      </c>
      <c r="E1277" s="16" t="n">
        <v>4</v>
      </c>
      <c r="F1277" s="16" t="inlineStr">
        <is>
          <t>奥特莱斯</t>
        </is>
      </c>
      <c r="G1277" s="16" t="inlineStr">
        <is>
          <t>EETHG25E01</t>
        </is>
      </c>
      <c r="H1277" s="16" t="n">
        <v>699</v>
      </c>
      <c r="I1277" s="16" t="n">
        <v>699</v>
      </c>
      <c r="J1277" s="17" t="inlineStr">
        <is>
          <t>########</t>
        </is>
      </c>
      <c r="K1277" s="16" t="inlineStr">
        <is>
          <t>(59)Navy</t>
        </is>
      </c>
      <c r="L1277" s="16" t="inlineStr">
        <is>
          <t>营业中</t>
        </is>
      </c>
      <c r="M1277" s="16" t="inlineStr">
        <is>
          <t>EETHG25E0159155</t>
        </is>
      </c>
      <c r="N1277" s="16">
        <f>LEFT(M1277,12)</f>
        <v/>
      </c>
      <c r="O1277" s="16" t="inlineStr">
        <is>
          <t>EETHG25E01, (59)Navy, (155)155</t>
        </is>
      </c>
      <c r="P1277" s="16" t="n">
        <v>699</v>
      </c>
      <c r="Q1277" s="16" t="n">
        <v>699</v>
      </c>
      <c r="R1277" s="16" t="n"/>
      <c r="S1277" s="16" t="n"/>
      <c r="T1277" s="16" t="n">
        <v>2</v>
      </c>
    </row>
    <row r="1278" s="103">
      <c r="A1278" s="16" t="inlineStr">
        <is>
          <t>B331</t>
        </is>
      </c>
      <c r="B1278" s="16" t="inlineStr">
        <is>
          <t>上海区域</t>
        </is>
      </c>
      <c r="C1278" s="16" t="inlineStr">
        <is>
          <t>CN0Q</t>
        </is>
      </c>
      <c r="D1278" s="16" t="inlineStr">
        <is>
          <t>EE 苏州比斯特购物村</t>
        </is>
      </c>
      <c r="E1278" s="16" t="n">
        <v>4</v>
      </c>
      <c r="F1278" s="16" t="inlineStr">
        <is>
          <t>奥特莱斯</t>
        </is>
      </c>
      <c r="G1278" s="16" t="inlineStr">
        <is>
          <t>EETHG25E01</t>
        </is>
      </c>
      <c r="H1278" s="16" t="n">
        <v>699</v>
      </c>
      <c r="I1278" s="16" t="n">
        <v>699</v>
      </c>
      <c r="J1278" s="17" t="inlineStr">
        <is>
          <t>########</t>
        </is>
      </c>
      <c r="K1278" s="16" t="inlineStr">
        <is>
          <t>(59)Navy</t>
        </is>
      </c>
      <c r="L1278" s="16" t="inlineStr">
        <is>
          <t>营业中</t>
        </is>
      </c>
      <c r="M1278" s="16" t="inlineStr">
        <is>
          <t>EETHG25E0159160</t>
        </is>
      </c>
      <c r="N1278" s="16">
        <f>LEFT(M1278,12)</f>
        <v/>
      </c>
      <c r="O1278" s="16" t="inlineStr">
        <is>
          <t>EETHG25E01, (59)Navy, (160)160</t>
        </is>
      </c>
      <c r="P1278" s="16" t="n">
        <v>699</v>
      </c>
      <c r="Q1278" s="16" t="n">
        <v>699</v>
      </c>
      <c r="R1278" s="16" t="n">
        <v>1</v>
      </c>
      <c r="S1278" s="16" t="n"/>
      <c r="T1278" s="16" t="n">
        <v>2</v>
      </c>
    </row>
    <row r="1279" s="103">
      <c r="A1279" s="16" t="inlineStr">
        <is>
          <t>B331</t>
        </is>
      </c>
      <c r="B1279" s="16" t="inlineStr">
        <is>
          <t>上海区域</t>
        </is>
      </c>
      <c r="C1279" s="16" t="inlineStr">
        <is>
          <t>CN0Q</t>
        </is>
      </c>
      <c r="D1279" s="16" t="inlineStr">
        <is>
          <t>EE 苏州比斯特购物村</t>
        </is>
      </c>
      <c r="E1279" s="16" t="n">
        <v>4</v>
      </c>
      <c r="F1279" s="16" t="inlineStr">
        <is>
          <t>奥特莱斯</t>
        </is>
      </c>
      <c r="G1279" s="16" t="inlineStr">
        <is>
          <t>EETHG25E01</t>
        </is>
      </c>
      <c r="H1279" s="16" t="n">
        <v>699</v>
      </c>
      <c r="I1279" s="16" t="n">
        <v>699</v>
      </c>
      <c r="J1279" s="17" t="inlineStr">
        <is>
          <t>########</t>
        </is>
      </c>
      <c r="K1279" s="16" t="inlineStr">
        <is>
          <t>(59)Navy</t>
        </is>
      </c>
      <c r="L1279" s="16" t="inlineStr">
        <is>
          <t>营业中</t>
        </is>
      </c>
      <c r="M1279" s="16" t="inlineStr">
        <is>
          <t>EETHG25E0159165</t>
        </is>
      </c>
      <c r="N1279" s="16">
        <f>LEFT(M1279,12)</f>
        <v/>
      </c>
      <c r="O1279" s="16" t="inlineStr">
        <is>
          <t>EETHG25E01, (59)Navy, (165)165</t>
        </is>
      </c>
      <c r="P1279" s="16" t="n">
        <v>699</v>
      </c>
      <c r="Q1279" s="16" t="n">
        <v>699</v>
      </c>
      <c r="R1279" s="16" t="n"/>
      <c r="S1279" s="16" t="n"/>
      <c r="T1279" s="16" t="n">
        <v>2</v>
      </c>
    </row>
    <row r="1280" s="103">
      <c r="A1280" s="16" t="inlineStr">
        <is>
          <t>B331</t>
        </is>
      </c>
      <c r="B1280" s="16" t="inlineStr">
        <is>
          <t>上海区域</t>
        </is>
      </c>
      <c r="C1280" s="16" t="inlineStr">
        <is>
          <t>CN0Q</t>
        </is>
      </c>
      <c r="D1280" s="16" t="inlineStr">
        <is>
          <t>EE 苏州比斯特购物村</t>
        </is>
      </c>
      <c r="E1280" s="16" t="n">
        <v>4</v>
      </c>
      <c r="F1280" s="16" t="inlineStr">
        <is>
          <t>奥特莱斯</t>
        </is>
      </c>
      <c r="G1280" s="16" t="inlineStr">
        <is>
          <t>EETHG25E01</t>
        </is>
      </c>
      <c r="H1280" s="16" t="n">
        <v>699</v>
      </c>
      <c r="I1280" s="16" t="n">
        <v>699</v>
      </c>
      <c r="J1280" s="17" t="inlineStr">
        <is>
          <t>########</t>
        </is>
      </c>
      <c r="K1280" s="16" t="inlineStr">
        <is>
          <t>(59)Navy</t>
        </is>
      </c>
      <c r="L1280" s="16" t="inlineStr">
        <is>
          <t>营业中</t>
        </is>
      </c>
      <c r="M1280" s="16" t="inlineStr">
        <is>
          <t>EETHG25E0159170</t>
        </is>
      </c>
      <c r="N1280" s="16">
        <f>LEFT(M1280,12)</f>
        <v/>
      </c>
      <c r="O1280" s="16" t="inlineStr">
        <is>
          <t>EETHG25E01, (59)Navy, (170)170</t>
        </is>
      </c>
      <c r="P1280" s="16" t="n">
        <v>699</v>
      </c>
      <c r="Q1280" s="16" t="n">
        <v>699</v>
      </c>
      <c r="R1280" s="16" t="n">
        <v>2</v>
      </c>
      <c r="S1280" s="16" t="n">
        <v>902</v>
      </c>
      <c r="T1280" s="16" t="n">
        <v>2</v>
      </c>
    </row>
    <row r="1281" s="103">
      <c r="A1281" s="16" t="inlineStr">
        <is>
          <t>B331</t>
        </is>
      </c>
      <c r="B1281" s="16" t="inlineStr">
        <is>
          <t>上海区域</t>
        </is>
      </c>
      <c r="C1281" s="16" t="inlineStr">
        <is>
          <t>CN0Q</t>
        </is>
      </c>
      <c r="D1281" s="16" t="inlineStr">
        <is>
          <t>EE 苏州比斯特购物村</t>
        </is>
      </c>
      <c r="E1281" s="16" t="n">
        <v>4</v>
      </c>
      <c r="F1281" s="16" t="inlineStr">
        <is>
          <t>奥特莱斯</t>
        </is>
      </c>
      <c r="G1281" s="16" t="inlineStr">
        <is>
          <t>EETHG25E01</t>
        </is>
      </c>
      <c r="H1281" s="16" t="n">
        <v>699</v>
      </c>
      <c r="I1281" s="16" t="n">
        <v>699</v>
      </c>
      <c r="J1281" s="17" t="inlineStr">
        <is>
          <t>########</t>
        </is>
      </c>
      <c r="K1281" s="16" t="inlineStr">
        <is>
          <t>(64)Cream</t>
        </is>
      </c>
      <c r="L1281" s="16" t="inlineStr">
        <is>
          <t>营业中</t>
        </is>
      </c>
      <c r="M1281" s="16" t="inlineStr">
        <is>
          <t>EETHG25E0164155</t>
        </is>
      </c>
      <c r="N1281" s="16">
        <f>LEFT(M1281,12)</f>
        <v/>
      </c>
      <c r="O1281" s="16" t="inlineStr">
        <is>
          <t>EETHG25E01, (64)Cream, (155)155</t>
        </is>
      </c>
      <c r="P1281" s="16" t="n">
        <v>699</v>
      </c>
      <c r="Q1281" s="16" t="n">
        <v>699</v>
      </c>
      <c r="R1281" s="16" t="n">
        <v>1</v>
      </c>
      <c r="S1281" s="16" t="n">
        <v>443</v>
      </c>
      <c r="T1281" s="16" t="n">
        <v>0</v>
      </c>
    </row>
    <row r="1282" s="103">
      <c r="A1282" s="16" t="inlineStr">
        <is>
          <t>B331</t>
        </is>
      </c>
      <c r="B1282" s="16" t="inlineStr">
        <is>
          <t>上海区域</t>
        </is>
      </c>
      <c r="C1282" s="16" t="inlineStr">
        <is>
          <t>CN0Q</t>
        </is>
      </c>
      <c r="D1282" s="16" t="inlineStr">
        <is>
          <t>EE 苏州比斯特购物村</t>
        </is>
      </c>
      <c r="E1282" s="16" t="n">
        <v>4</v>
      </c>
      <c r="F1282" s="16" t="inlineStr">
        <is>
          <t>奥特莱斯</t>
        </is>
      </c>
      <c r="G1282" s="16" t="inlineStr">
        <is>
          <t>EETHG25E01</t>
        </is>
      </c>
      <c r="H1282" s="16" t="n">
        <v>699</v>
      </c>
      <c r="I1282" s="16" t="n">
        <v>699</v>
      </c>
      <c r="J1282" s="17" t="inlineStr">
        <is>
          <t>########</t>
        </is>
      </c>
      <c r="K1282" s="16" t="inlineStr">
        <is>
          <t>(64)Cream</t>
        </is>
      </c>
      <c r="L1282" s="16" t="inlineStr">
        <is>
          <t>营业中</t>
        </is>
      </c>
      <c r="M1282" s="16" t="inlineStr">
        <is>
          <t>EETHG25E0164160</t>
        </is>
      </c>
      <c r="N1282" s="16">
        <f>LEFT(M1282,12)</f>
        <v/>
      </c>
      <c r="O1282" s="16" t="inlineStr">
        <is>
          <t>EETHG25E01, (64)Cream, (160)160</t>
        </is>
      </c>
      <c r="P1282" s="16" t="n">
        <v>699</v>
      </c>
      <c r="Q1282" s="16" t="n">
        <v>699</v>
      </c>
      <c r="R1282" s="16" t="n">
        <v>1</v>
      </c>
      <c r="S1282" s="16" t="n"/>
      <c r="T1282" s="16" t="n">
        <v>1</v>
      </c>
    </row>
    <row r="1283" s="103">
      <c r="A1283" s="16" t="inlineStr">
        <is>
          <t>B331</t>
        </is>
      </c>
      <c r="B1283" s="16" t="inlineStr">
        <is>
          <t>上海区域</t>
        </is>
      </c>
      <c r="C1283" s="16" t="inlineStr">
        <is>
          <t>CN0Q</t>
        </is>
      </c>
      <c r="D1283" s="16" t="inlineStr">
        <is>
          <t>EE 苏州比斯特购物村</t>
        </is>
      </c>
      <c r="E1283" s="16" t="n">
        <v>4</v>
      </c>
      <c r="F1283" s="16" t="inlineStr">
        <is>
          <t>奥特莱斯</t>
        </is>
      </c>
      <c r="G1283" s="16" t="inlineStr">
        <is>
          <t>EETHG25E01</t>
        </is>
      </c>
      <c r="H1283" s="16" t="n">
        <v>699</v>
      </c>
      <c r="I1283" s="16" t="n">
        <v>699</v>
      </c>
      <c r="J1283" s="17" t="inlineStr">
        <is>
          <t>########</t>
        </is>
      </c>
      <c r="K1283" s="16" t="inlineStr">
        <is>
          <t>(64)Cream</t>
        </is>
      </c>
      <c r="L1283" s="16" t="inlineStr">
        <is>
          <t>营业中</t>
        </is>
      </c>
      <c r="M1283" s="16" t="inlineStr">
        <is>
          <t>EETHG25E0164165</t>
        </is>
      </c>
      <c r="N1283" s="16">
        <f>LEFT(M1283,12)</f>
        <v/>
      </c>
      <c r="O1283" s="16" t="inlineStr">
        <is>
          <t>EETHG25E01, (64)Cream, (165)165</t>
        </is>
      </c>
      <c r="P1283" s="16" t="n">
        <v>699</v>
      </c>
      <c r="Q1283" s="16" t="n">
        <v>699</v>
      </c>
      <c r="R1283" s="16" t="n">
        <v>2</v>
      </c>
      <c r="S1283" s="16" t="n">
        <v>456</v>
      </c>
      <c r="T1283" s="16" t="n">
        <v>2</v>
      </c>
    </row>
    <row r="1284" s="103">
      <c r="A1284" s="16" t="inlineStr">
        <is>
          <t>B331</t>
        </is>
      </c>
      <c r="B1284" s="16" t="inlineStr">
        <is>
          <t>上海区域</t>
        </is>
      </c>
      <c r="C1284" s="16" t="inlineStr">
        <is>
          <t>CN0Q</t>
        </is>
      </c>
      <c r="D1284" s="16" t="inlineStr">
        <is>
          <t>EE 苏州比斯特购物村</t>
        </is>
      </c>
      <c r="E1284" s="16" t="n">
        <v>4</v>
      </c>
      <c r="F1284" s="16" t="inlineStr">
        <is>
          <t>奥特莱斯</t>
        </is>
      </c>
      <c r="G1284" s="16" t="inlineStr">
        <is>
          <t>EETHG25E01</t>
        </is>
      </c>
      <c r="H1284" s="16" t="n">
        <v>699</v>
      </c>
      <c r="I1284" s="16" t="n">
        <v>699</v>
      </c>
      <c r="J1284" s="17" t="inlineStr">
        <is>
          <t>########</t>
        </is>
      </c>
      <c r="K1284" s="16" t="inlineStr">
        <is>
          <t>(64)Cream</t>
        </is>
      </c>
      <c r="L1284" s="16" t="inlineStr">
        <is>
          <t>营业中</t>
        </is>
      </c>
      <c r="M1284" s="16" t="inlineStr">
        <is>
          <t>EETHG25E0164170</t>
        </is>
      </c>
      <c r="N1284" s="16">
        <f>LEFT(M1284,12)</f>
        <v/>
      </c>
      <c r="O1284" s="16" t="inlineStr">
        <is>
          <t>EETHG25E01, (64)Cream, (170)170</t>
        </is>
      </c>
      <c r="P1284" s="16" t="n">
        <v>699</v>
      </c>
      <c r="Q1284" s="16" t="n">
        <v>699</v>
      </c>
      <c r="R1284" s="16" t="n"/>
      <c r="S1284" s="16" t="n"/>
      <c r="T1284" s="16" t="n">
        <v>2</v>
      </c>
    </row>
    <row r="1285" s="103">
      <c r="A1285" s="16" t="inlineStr">
        <is>
          <t>B331</t>
        </is>
      </c>
      <c r="B1285" s="16" t="inlineStr">
        <is>
          <t>上海区域</t>
        </is>
      </c>
      <c r="C1285" s="16" t="inlineStr">
        <is>
          <t>CN0Q</t>
        </is>
      </c>
      <c r="D1285" s="16" t="inlineStr">
        <is>
          <t>EE 苏州比斯特购物村</t>
        </is>
      </c>
      <c r="E1285" s="16" t="n">
        <v>4</v>
      </c>
      <c r="F1285" s="16" t="inlineStr">
        <is>
          <t>奥特莱斯</t>
        </is>
      </c>
      <c r="G1285" s="16" t="inlineStr">
        <is>
          <t>EETHG25E04</t>
        </is>
      </c>
      <c r="H1285" s="16" t="n">
        <v>699</v>
      </c>
      <c r="I1285" s="16" t="n">
        <v>699</v>
      </c>
      <c r="J1285" s="17" t="inlineStr">
        <is>
          <t>########</t>
        </is>
      </c>
      <c r="K1285" s="16" t="inlineStr">
        <is>
          <t>(35)Beige</t>
        </is>
      </c>
      <c r="L1285" s="16" t="inlineStr">
        <is>
          <t>营业中</t>
        </is>
      </c>
      <c r="M1285" s="16" t="inlineStr">
        <is>
          <t>EETHG25E0435155</t>
        </is>
      </c>
      <c r="N1285" s="16">
        <f>LEFT(M1285,12)</f>
        <v/>
      </c>
      <c r="O1285" s="16" t="inlineStr">
        <is>
          <t>EETHG25E04, (35)Beige, (155)155</t>
        </is>
      </c>
      <c r="P1285" s="16" t="n">
        <v>699</v>
      </c>
      <c r="Q1285" s="16" t="n">
        <v>699</v>
      </c>
      <c r="R1285" s="16" t="n">
        <v>1</v>
      </c>
      <c r="S1285" s="16" t="n"/>
      <c r="T1285" s="16" t="n">
        <v>2</v>
      </c>
    </row>
    <row r="1286" s="103">
      <c r="A1286" s="16" t="inlineStr">
        <is>
          <t>B331</t>
        </is>
      </c>
      <c r="B1286" s="16" t="inlineStr">
        <is>
          <t>上海区域</t>
        </is>
      </c>
      <c r="C1286" s="16" t="inlineStr">
        <is>
          <t>CN0Q</t>
        </is>
      </c>
      <c r="D1286" s="16" t="inlineStr">
        <is>
          <t>EE 苏州比斯特购物村</t>
        </is>
      </c>
      <c r="E1286" s="16" t="n">
        <v>4</v>
      </c>
      <c r="F1286" s="16" t="inlineStr">
        <is>
          <t>奥特莱斯</t>
        </is>
      </c>
      <c r="G1286" s="16" t="inlineStr">
        <is>
          <t>EETHG25E04</t>
        </is>
      </c>
      <c r="H1286" s="16" t="n">
        <v>699</v>
      </c>
      <c r="I1286" s="16" t="n">
        <v>699</v>
      </c>
      <c r="J1286" s="17" t="inlineStr">
        <is>
          <t>########</t>
        </is>
      </c>
      <c r="K1286" s="16" t="inlineStr">
        <is>
          <t>(35)Beige</t>
        </is>
      </c>
      <c r="L1286" s="16" t="inlineStr">
        <is>
          <t>营业中</t>
        </is>
      </c>
      <c r="M1286" s="16" t="inlineStr">
        <is>
          <t>EETHG25E0435160</t>
        </is>
      </c>
      <c r="N1286" s="16">
        <f>LEFT(M1286,12)</f>
        <v/>
      </c>
      <c r="O1286" s="16" t="inlineStr">
        <is>
          <t>EETHG25E04, (35)Beige, (160)160</t>
        </is>
      </c>
      <c r="P1286" s="16" t="n">
        <v>699</v>
      </c>
      <c r="Q1286" s="16" t="n">
        <v>699</v>
      </c>
      <c r="R1286" s="16" t="n">
        <v>1</v>
      </c>
      <c r="S1286" s="16" t="n"/>
      <c r="T1286" s="16" t="n">
        <v>2</v>
      </c>
    </row>
    <row r="1287" s="103">
      <c r="A1287" s="16" t="inlineStr">
        <is>
          <t>B331</t>
        </is>
      </c>
      <c r="B1287" s="16" t="inlineStr">
        <is>
          <t>上海区域</t>
        </is>
      </c>
      <c r="C1287" s="16" t="inlineStr">
        <is>
          <t>CN0Q</t>
        </is>
      </c>
      <c r="D1287" s="16" t="inlineStr">
        <is>
          <t>EE 苏州比斯特购物村</t>
        </is>
      </c>
      <c r="E1287" s="16" t="n">
        <v>4</v>
      </c>
      <c r="F1287" s="16" t="inlineStr">
        <is>
          <t>奥特莱斯</t>
        </is>
      </c>
      <c r="G1287" s="16" t="inlineStr">
        <is>
          <t>EETHG25E04</t>
        </is>
      </c>
      <c r="H1287" s="16" t="n">
        <v>699</v>
      </c>
      <c r="I1287" s="16" t="n">
        <v>699</v>
      </c>
      <c r="J1287" s="17" t="inlineStr">
        <is>
          <t>########</t>
        </is>
      </c>
      <c r="K1287" s="16" t="inlineStr">
        <is>
          <t>(35)Beige</t>
        </is>
      </c>
      <c r="L1287" s="16" t="inlineStr">
        <is>
          <t>营业中</t>
        </is>
      </c>
      <c r="M1287" s="16" t="inlineStr">
        <is>
          <t>EETHG25E0435165</t>
        </is>
      </c>
      <c r="N1287" s="16">
        <f>LEFT(M1287,12)</f>
        <v/>
      </c>
      <c r="O1287" s="16" t="inlineStr">
        <is>
          <t>EETHG25E04, (35)Beige, (165)165</t>
        </is>
      </c>
      <c r="P1287" s="16" t="n">
        <v>699</v>
      </c>
      <c r="Q1287" s="16" t="n">
        <v>699</v>
      </c>
      <c r="R1287" s="16" t="n">
        <v>3</v>
      </c>
      <c r="S1287" s="16" t="n">
        <v>947</v>
      </c>
      <c r="T1287" s="16" t="n">
        <v>0</v>
      </c>
    </row>
    <row r="1288" s="103">
      <c r="A1288" s="16" t="inlineStr">
        <is>
          <t>B331</t>
        </is>
      </c>
      <c r="B1288" s="16" t="inlineStr">
        <is>
          <t>上海区域</t>
        </is>
      </c>
      <c r="C1288" s="16" t="inlineStr">
        <is>
          <t>CN0Q</t>
        </is>
      </c>
      <c r="D1288" s="16" t="inlineStr">
        <is>
          <t>EE 苏州比斯特购物村</t>
        </is>
      </c>
      <c r="E1288" s="16" t="n">
        <v>4</v>
      </c>
      <c r="F1288" s="16" t="inlineStr">
        <is>
          <t>奥特莱斯</t>
        </is>
      </c>
      <c r="G1288" s="16" t="inlineStr">
        <is>
          <t>EETHG25E04</t>
        </is>
      </c>
      <c r="H1288" s="16" t="n">
        <v>699</v>
      </c>
      <c r="I1288" s="16" t="n">
        <v>699</v>
      </c>
      <c r="J1288" s="17" t="inlineStr">
        <is>
          <t>########</t>
        </is>
      </c>
      <c r="K1288" s="16" t="inlineStr">
        <is>
          <t>(35)Beige</t>
        </is>
      </c>
      <c r="L1288" s="16" t="inlineStr">
        <is>
          <t>营业中</t>
        </is>
      </c>
      <c r="M1288" s="16" t="inlineStr">
        <is>
          <t>EETHG25E0435170</t>
        </is>
      </c>
      <c r="N1288" s="16">
        <f>LEFT(M1288,12)</f>
        <v/>
      </c>
      <c r="O1288" s="16" t="inlineStr">
        <is>
          <t>EETHG25E04, (35)Beige, (170)170</t>
        </is>
      </c>
      <c r="P1288" s="16" t="n">
        <v>699</v>
      </c>
      <c r="Q1288" s="16" t="n">
        <v>699</v>
      </c>
      <c r="R1288" s="16" t="n">
        <v>1</v>
      </c>
      <c r="S1288" s="16" t="n">
        <v>489</v>
      </c>
      <c r="T1288" s="16" t="n">
        <v>1</v>
      </c>
    </row>
    <row r="1289" s="103">
      <c r="A1289" s="16" t="inlineStr">
        <is>
          <t>B331</t>
        </is>
      </c>
      <c r="B1289" s="16" t="inlineStr">
        <is>
          <t>上海区域</t>
        </is>
      </c>
      <c r="C1289" s="16" t="inlineStr">
        <is>
          <t>CN0Q</t>
        </is>
      </c>
      <c r="D1289" s="16" t="inlineStr">
        <is>
          <t>EE 苏州比斯特购物村</t>
        </is>
      </c>
      <c r="E1289" s="16" t="n">
        <v>4</v>
      </c>
      <c r="F1289" s="16" t="inlineStr">
        <is>
          <t>奥特莱斯</t>
        </is>
      </c>
      <c r="G1289" s="16" t="inlineStr">
        <is>
          <t>EETHG25E04</t>
        </is>
      </c>
      <c r="H1289" s="16" t="n">
        <v>699</v>
      </c>
      <c r="I1289" s="16" t="n">
        <v>699</v>
      </c>
      <c r="J1289" s="17" t="inlineStr">
        <is>
          <t>########</t>
        </is>
      </c>
      <c r="K1289" s="16" t="inlineStr">
        <is>
          <t>(39)Ivory</t>
        </is>
      </c>
      <c r="L1289" s="16" t="inlineStr">
        <is>
          <t>营业中</t>
        </is>
      </c>
      <c r="M1289" s="16" t="inlineStr">
        <is>
          <t>EETHG25E0439155</t>
        </is>
      </c>
      <c r="N1289" s="16">
        <f>LEFT(M1289,12)</f>
        <v/>
      </c>
      <c r="O1289" s="16" t="inlineStr">
        <is>
          <t>EETHG25E04, (39)Ivory, (155)155</t>
        </is>
      </c>
      <c r="P1289" s="16" t="n">
        <v>699</v>
      </c>
      <c r="Q1289" s="16" t="n">
        <v>699</v>
      </c>
      <c r="R1289" s="16" t="n">
        <v>4</v>
      </c>
      <c r="S1289" s="16" t="n">
        <v>892</v>
      </c>
      <c r="T1289" s="16" t="n">
        <v>6</v>
      </c>
    </row>
    <row r="1290" s="103">
      <c r="A1290" s="16" t="inlineStr">
        <is>
          <t>B331</t>
        </is>
      </c>
      <c r="B1290" s="16" t="inlineStr">
        <is>
          <t>上海区域</t>
        </is>
      </c>
      <c r="C1290" s="16" t="inlineStr">
        <is>
          <t>CN0Q</t>
        </is>
      </c>
      <c r="D1290" s="16" t="inlineStr">
        <is>
          <t>EE 苏州比斯特购物村</t>
        </is>
      </c>
      <c r="E1290" s="16" t="n">
        <v>4</v>
      </c>
      <c r="F1290" s="16" t="inlineStr">
        <is>
          <t>奥特莱斯</t>
        </is>
      </c>
      <c r="G1290" s="16" t="inlineStr">
        <is>
          <t>EETHG25E04</t>
        </is>
      </c>
      <c r="H1290" s="16" t="n">
        <v>699</v>
      </c>
      <c r="I1290" s="16" t="n">
        <v>699</v>
      </c>
      <c r="J1290" s="17" t="inlineStr">
        <is>
          <t>########</t>
        </is>
      </c>
      <c r="K1290" s="16" t="inlineStr">
        <is>
          <t>(39)Ivory</t>
        </is>
      </c>
      <c r="L1290" s="16" t="inlineStr">
        <is>
          <t>营业中</t>
        </is>
      </c>
      <c r="M1290" s="16" t="inlineStr">
        <is>
          <t>EETHG25E0439160</t>
        </is>
      </c>
      <c r="N1290" s="16">
        <f>LEFT(M1290,12)</f>
        <v/>
      </c>
      <c r="O1290" s="16" t="inlineStr">
        <is>
          <t>EETHG25E04, (39)Ivory, (160)160</t>
        </is>
      </c>
      <c r="P1290" s="16" t="n">
        <v>699</v>
      </c>
      <c r="Q1290" s="16" t="n">
        <v>699</v>
      </c>
      <c r="R1290" s="16" t="n">
        <v>5</v>
      </c>
      <c r="S1290" s="18" t="n">
        <v>1376</v>
      </c>
      <c r="T1290" s="16" t="n">
        <v>5</v>
      </c>
    </row>
    <row r="1291" s="103">
      <c r="A1291" s="16" t="inlineStr">
        <is>
          <t>B331</t>
        </is>
      </c>
      <c r="B1291" s="16" t="inlineStr">
        <is>
          <t>上海区域</t>
        </is>
      </c>
      <c r="C1291" s="16" t="inlineStr">
        <is>
          <t>CN0Q</t>
        </is>
      </c>
      <c r="D1291" s="16" t="inlineStr">
        <is>
          <t>EE 苏州比斯特购物村</t>
        </is>
      </c>
      <c r="E1291" s="16" t="n">
        <v>4</v>
      </c>
      <c r="F1291" s="16" t="inlineStr">
        <is>
          <t>奥特莱斯</t>
        </is>
      </c>
      <c r="G1291" s="16" t="inlineStr">
        <is>
          <t>EETHG25E04</t>
        </is>
      </c>
      <c r="H1291" s="16" t="n">
        <v>699</v>
      </c>
      <c r="I1291" s="16" t="n">
        <v>699</v>
      </c>
      <c r="J1291" s="17" t="inlineStr">
        <is>
          <t>########</t>
        </is>
      </c>
      <c r="K1291" s="16" t="inlineStr">
        <is>
          <t>(39)Ivory</t>
        </is>
      </c>
      <c r="L1291" s="16" t="inlineStr">
        <is>
          <t>营业中</t>
        </is>
      </c>
      <c r="M1291" s="16" t="inlineStr">
        <is>
          <t>EETHG25E0439165</t>
        </is>
      </c>
      <c r="N1291" s="16">
        <f>LEFT(M1291,12)</f>
        <v/>
      </c>
      <c r="O1291" s="16" t="inlineStr">
        <is>
          <t>EETHG25E04, (39)Ivory, (165)165</t>
        </is>
      </c>
      <c r="P1291" s="16" t="n">
        <v>699</v>
      </c>
      <c r="Q1291" s="16" t="n">
        <v>699</v>
      </c>
      <c r="R1291" s="16" t="n">
        <v>5</v>
      </c>
      <c r="S1291" s="16" t="n">
        <v>652</v>
      </c>
      <c r="T1291" s="16" t="n">
        <v>6</v>
      </c>
    </row>
    <row r="1292" s="103">
      <c r="A1292" s="16" t="inlineStr">
        <is>
          <t>B331</t>
        </is>
      </c>
      <c r="B1292" s="16" t="inlineStr">
        <is>
          <t>上海区域</t>
        </is>
      </c>
      <c r="C1292" s="16" t="inlineStr">
        <is>
          <t>CN0Q</t>
        </is>
      </c>
      <c r="D1292" s="16" t="inlineStr">
        <is>
          <t>EE 苏州比斯特购物村</t>
        </is>
      </c>
      <c r="E1292" s="16" t="n">
        <v>4</v>
      </c>
      <c r="F1292" s="16" t="inlineStr">
        <is>
          <t>奥特莱斯</t>
        </is>
      </c>
      <c r="G1292" s="16" t="inlineStr">
        <is>
          <t>EETHG25E04</t>
        </is>
      </c>
      <c r="H1292" s="16" t="n">
        <v>699</v>
      </c>
      <c r="I1292" s="16" t="n">
        <v>699</v>
      </c>
      <c r="J1292" s="17" t="inlineStr">
        <is>
          <t>########</t>
        </is>
      </c>
      <c r="K1292" s="16" t="inlineStr">
        <is>
          <t>(39)Ivory</t>
        </is>
      </c>
      <c r="L1292" s="16" t="inlineStr">
        <is>
          <t>营业中</t>
        </is>
      </c>
      <c r="M1292" s="16" t="inlineStr">
        <is>
          <t>EETHG25E0439170</t>
        </is>
      </c>
      <c r="N1292" s="16">
        <f>LEFT(M1292,12)</f>
        <v/>
      </c>
      <c r="O1292" s="16" t="inlineStr">
        <is>
          <t>EETHG25E04, (39)Ivory, (170)170</t>
        </is>
      </c>
      <c r="P1292" s="16" t="n">
        <v>699</v>
      </c>
      <c r="Q1292" s="16" t="n">
        <v>699</v>
      </c>
      <c r="R1292" s="16" t="n">
        <v>1</v>
      </c>
      <c r="S1292" s="16" t="n"/>
      <c r="T1292" s="16" t="n">
        <v>4</v>
      </c>
    </row>
    <row r="1293" s="103">
      <c r="A1293" s="16" t="inlineStr">
        <is>
          <t>B331</t>
        </is>
      </c>
      <c r="B1293" s="16" t="inlineStr">
        <is>
          <t>上海区域</t>
        </is>
      </c>
      <c r="C1293" s="16" t="inlineStr">
        <is>
          <t>CN0Q</t>
        </is>
      </c>
      <c r="D1293" s="16" t="inlineStr">
        <is>
          <t>EE 苏州比斯特购物村</t>
        </is>
      </c>
      <c r="E1293" s="16" t="n">
        <v>4</v>
      </c>
      <c r="F1293" s="16" t="inlineStr">
        <is>
          <t>奥特莱斯</t>
        </is>
      </c>
      <c r="G1293" s="16" t="inlineStr">
        <is>
          <t>EETHG25E04</t>
        </is>
      </c>
      <c r="H1293" s="16" t="n">
        <v>699</v>
      </c>
      <c r="I1293" s="16" t="n">
        <v>699</v>
      </c>
      <c r="J1293" s="17" t="inlineStr">
        <is>
          <t>########</t>
        </is>
      </c>
      <c r="K1293" s="16" t="inlineStr">
        <is>
          <t>(59)Navy</t>
        </is>
      </c>
      <c r="L1293" s="16" t="inlineStr">
        <is>
          <t>营业中</t>
        </is>
      </c>
      <c r="M1293" s="16" t="inlineStr">
        <is>
          <t>EETHG25E0459155</t>
        </is>
      </c>
      <c r="N1293" s="16">
        <f>LEFT(M1293,12)</f>
        <v/>
      </c>
      <c r="O1293" s="16" t="inlineStr">
        <is>
          <t>EETHG25E04, (59)Navy, (155)155</t>
        </is>
      </c>
      <c r="P1293" s="16" t="n">
        <v>699</v>
      </c>
      <c r="Q1293" s="16" t="n">
        <v>699</v>
      </c>
      <c r="R1293" s="16" t="n">
        <v>1</v>
      </c>
      <c r="S1293" s="16" t="n"/>
      <c r="T1293" s="16" t="n">
        <v>1</v>
      </c>
    </row>
    <row r="1294" s="103">
      <c r="A1294" s="16" t="inlineStr">
        <is>
          <t>B331</t>
        </is>
      </c>
      <c r="B1294" s="16" t="inlineStr">
        <is>
          <t>上海区域</t>
        </is>
      </c>
      <c r="C1294" s="16" t="inlineStr">
        <is>
          <t>CN0Q</t>
        </is>
      </c>
      <c r="D1294" s="16" t="inlineStr">
        <is>
          <t>EE 苏州比斯特购物村</t>
        </is>
      </c>
      <c r="E1294" s="16" t="n">
        <v>4</v>
      </c>
      <c r="F1294" s="16" t="inlineStr">
        <is>
          <t>奥特莱斯</t>
        </is>
      </c>
      <c r="G1294" s="16" t="inlineStr">
        <is>
          <t>EETHG25E04</t>
        </is>
      </c>
      <c r="H1294" s="16" t="n">
        <v>699</v>
      </c>
      <c r="I1294" s="16" t="n">
        <v>699</v>
      </c>
      <c r="J1294" s="17" t="inlineStr">
        <is>
          <t>########</t>
        </is>
      </c>
      <c r="K1294" s="16" t="inlineStr">
        <is>
          <t>(59)Navy</t>
        </is>
      </c>
      <c r="L1294" s="16" t="inlineStr">
        <is>
          <t>营业中</t>
        </is>
      </c>
      <c r="M1294" s="16" t="inlineStr">
        <is>
          <t>EETHG25E0459160</t>
        </is>
      </c>
      <c r="N1294" s="16">
        <f>LEFT(M1294,12)</f>
        <v/>
      </c>
      <c r="O1294" s="16" t="inlineStr">
        <is>
          <t>EETHG25E04, (59)Navy, (160)160</t>
        </is>
      </c>
      <c r="P1294" s="16" t="n">
        <v>699</v>
      </c>
      <c r="Q1294" s="16" t="n">
        <v>699</v>
      </c>
      <c r="R1294" s="16" t="n">
        <v>5</v>
      </c>
      <c r="S1294" s="18" t="n">
        <v>1817</v>
      </c>
      <c r="T1294" s="16" t="n">
        <v>1</v>
      </c>
    </row>
    <row r="1295" s="103">
      <c r="A1295" s="16" t="inlineStr">
        <is>
          <t>B331</t>
        </is>
      </c>
      <c r="B1295" s="16" t="inlineStr">
        <is>
          <t>上海区域</t>
        </is>
      </c>
      <c r="C1295" s="16" t="inlineStr">
        <is>
          <t>CN0Q</t>
        </is>
      </c>
      <c r="D1295" s="16" t="inlineStr">
        <is>
          <t>EE 苏州比斯特购物村</t>
        </is>
      </c>
      <c r="E1295" s="16" t="n">
        <v>4</v>
      </c>
      <c r="F1295" s="16" t="inlineStr">
        <is>
          <t>奥特莱斯</t>
        </is>
      </c>
      <c r="G1295" s="16" t="inlineStr">
        <is>
          <t>EETHG25E04</t>
        </is>
      </c>
      <c r="H1295" s="16" t="n">
        <v>699</v>
      </c>
      <c r="I1295" s="16" t="n">
        <v>699</v>
      </c>
      <c r="J1295" s="17" t="inlineStr">
        <is>
          <t>########</t>
        </is>
      </c>
      <c r="K1295" s="16" t="inlineStr">
        <is>
          <t>(59)Navy</t>
        </is>
      </c>
      <c r="L1295" s="16" t="inlineStr">
        <is>
          <t>营业中</t>
        </is>
      </c>
      <c r="M1295" s="16" t="inlineStr">
        <is>
          <t>EETHG25E0459165</t>
        </is>
      </c>
      <c r="N1295" s="16">
        <f>LEFT(M1295,12)</f>
        <v/>
      </c>
      <c r="O1295" s="16" t="inlineStr">
        <is>
          <t>EETHG25E04, (59)Navy, (165)165</t>
        </is>
      </c>
      <c r="P1295" s="16" t="n">
        <v>699</v>
      </c>
      <c r="Q1295" s="16" t="n">
        <v>699</v>
      </c>
      <c r="R1295" s="16" t="n">
        <v>2</v>
      </c>
      <c r="S1295" s="16" t="n">
        <v>888</v>
      </c>
      <c r="T1295" s="16" t="n">
        <v>2</v>
      </c>
    </row>
    <row r="1296" s="103">
      <c r="A1296" s="16" t="inlineStr">
        <is>
          <t>B331</t>
        </is>
      </c>
      <c r="B1296" s="16" t="inlineStr">
        <is>
          <t>上海区域</t>
        </is>
      </c>
      <c r="C1296" s="16" t="inlineStr">
        <is>
          <t>CN0Q</t>
        </is>
      </c>
      <c r="D1296" s="16" t="inlineStr">
        <is>
          <t>EE 苏州比斯特购物村</t>
        </is>
      </c>
      <c r="E1296" s="16" t="n">
        <v>4</v>
      </c>
      <c r="F1296" s="16" t="inlineStr">
        <is>
          <t>奥特莱斯</t>
        </is>
      </c>
      <c r="G1296" s="16" t="inlineStr">
        <is>
          <t>EETHG25E04</t>
        </is>
      </c>
      <c r="H1296" s="16" t="n">
        <v>699</v>
      </c>
      <c r="I1296" s="16" t="n">
        <v>699</v>
      </c>
      <c r="J1296" s="17" t="inlineStr">
        <is>
          <t>########</t>
        </is>
      </c>
      <c r="K1296" s="16" t="inlineStr">
        <is>
          <t>(59)Navy</t>
        </is>
      </c>
      <c r="L1296" s="16" t="inlineStr">
        <is>
          <t>营业中</t>
        </is>
      </c>
      <c r="M1296" s="16" t="inlineStr">
        <is>
          <t>EETHG25E0459170</t>
        </is>
      </c>
      <c r="N1296" s="16">
        <f>LEFT(M1296,12)</f>
        <v/>
      </c>
      <c r="O1296" s="16" t="inlineStr">
        <is>
          <t>EETHG25E04, (59)Navy, (170)170</t>
        </is>
      </c>
      <c r="P1296" s="16" t="n">
        <v>699</v>
      </c>
      <c r="Q1296" s="16" t="n">
        <v>699</v>
      </c>
      <c r="R1296" s="16" t="n">
        <v>2</v>
      </c>
      <c r="S1296" s="16" t="n">
        <v>440</v>
      </c>
      <c r="T1296" s="16" t="n">
        <v>2</v>
      </c>
    </row>
    <row r="1297" s="103">
      <c r="A1297" s="16" t="inlineStr">
        <is>
          <t>B331</t>
        </is>
      </c>
      <c r="B1297" s="16" t="inlineStr">
        <is>
          <t>上海区域</t>
        </is>
      </c>
      <c r="C1297" s="16" t="inlineStr">
        <is>
          <t>CN0Q</t>
        </is>
      </c>
      <c r="D1297" s="16" t="inlineStr">
        <is>
          <t>EE 苏州比斯特购物村</t>
        </is>
      </c>
      <c r="E1297" s="16" t="n">
        <v>4</v>
      </c>
      <c r="F1297" s="16" t="inlineStr">
        <is>
          <t>奥特莱斯</t>
        </is>
      </c>
      <c r="G1297" s="16" t="inlineStr">
        <is>
          <t>EETHG25E1G</t>
        </is>
      </c>
      <c r="H1297" s="16" t="n">
        <v>699</v>
      </c>
      <c r="I1297" s="16" t="n">
        <v>699</v>
      </c>
      <c r="J1297" s="17" t="n">
        <v>46119</v>
      </c>
      <c r="K1297" s="16" t="inlineStr">
        <is>
          <t>(35)Beige</t>
        </is>
      </c>
      <c r="L1297" s="16" t="inlineStr">
        <is>
          <t>营业中</t>
        </is>
      </c>
      <c r="M1297" s="16" t="inlineStr">
        <is>
          <t>EETHG25E1G35030</t>
        </is>
      </c>
      <c r="N1297" s="16">
        <f>LEFT(M1297,12)</f>
        <v/>
      </c>
      <c r="O1297" s="16" t="inlineStr">
        <is>
          <t>EETHG25E1G, (35)Beige, 30(170/76A)</t>
        </is>
      </c>
      <c r="P1297" s="16" t="n">
        <v>699</v>
      </c>
      <c r="Q1297" s="16" t="n">
        <v>699</v>
      </c>
      <c r="R1297" s="16" t="n"/>
      <c r="S1297" s="16" t="n"/>
      <c r="T1297" s="16" t="n">
        <v>1</v>
      </c>
    </row>
    <row r="1298" s="103">
      <c r="A1298" s="16" t="inlineStr">
        <is>
          <t>B331</t>
        </is>
      </c>
      <c r="B1298" s="16" t="inlineStr">
        <is>
          <t>上海区域</t>
        </is>
      </c>
      <c r="C1298" s="16" t="inlineStr">
        <is>
          <t>CN0Q</t>
        </is>
      </c>
      <c r="D1298" s="16" t="inlineStr">
        <is>
          <t>EE 苏州比斯特购物村</t>
        </is>
      </c>
      <c r="E1298" s="16" t="n">
        <v>4</v>
      </c>
      <c r="F1298" s="16" t="inlineStr">
        <is>
          <t>奥特莱斯</t>
        </is>
      </c>
      <c r="G1298" s="16" t="inlineStr">
        <is>
          <t>EETHG25E1G</t>
        </is>
      </c>
      <c r="H1298" s="16" t="n">
        <v>699</v>
      </c>
      <c r="I1298" s="16" t="n">
        <v>699</v>
      </c>
      <c r="J1298" s="17" t="n">
        <v>46119</v>
      </c>
      <c r="K1298" s="16" t="inlineStr">
        <is>
          <t>(35)Beige</t>
        </is>
      </c>
      <c r="L1298" s="16" t="inlineStr">
        <is>
          <t>营业中</t>
        </is>
      </c>
      <c r="M1298" s="16" t="inlineStr">
        <is>
          <t>EETHG25E1G35032</t>
        </is>
      </c>
      <c r="N1298" s="16">
        <f>LEFT(M1298,12)</f>
        <v/>
      </c>
      <c r="O1298" s="16" t="inlineStr">
        <is>
          <t>EETHG25E1G, (35)Beige, 32(175/80A)</t>
        </is>
      </c>
      <c r="P1298" s="16" t="n">
        <v>699</v>
      </c>
      <c r="Q1298" s="16" t="n">
        <v>699</v>
      </c>
      <c r="R1298" s="16" t="n"/>
      <c r="S1298" s="16" t="n"/>
      <c r="T1298" s="16" t="n">
        <v>2</v>
      </c>
    </row>
    <row r="1299" s="103">
      <c r="A1299" s="16" t="inlineStr">
        <is>
          <t>B331</t>
        </is>
      </c>
      <c r="B1299" s="16" t="inlineStr">
        <is>
          <t>上海区域</t>
        </is>
      </c>
      <c r="C1299" s="16" t="inlineStr">
        <is>
          <t>CN0Q</t>
        </is>
      </c>
      <c r="D1299" s="16" t="inlineStr">
        <is>
          <t>EE 苏州比斯特购物村</t>
        </is>
      </c>
      <c r="E1299" s="16" t="n">
        <v>4</v>
      </c>
      <c r="F1299" s="16" t="inlineStr">
        <is>
          <t>奥特莱斯</t>
        </is>
      </c>
      <c r="G1299" s="16" t="inlineStr">
        <is>
          <t>EETHG25E1G</t>
        </is>
      </c>
      <c r="H1299" s="16" t="n">
        <v>699</v>
      </c>
      <c r="I1299" s="16" t="n">
        <v>699</v>
      </c>
      <c r="J1299" s="17" t="n">
        <v>46119</v>
      </c>
      <c r="K1299" s="16" t="inlineStr">
        <is>
          <t>(35)Beige</t>
        </is>
      </c>
      <c r="L1299" s="16" t="inlineStr">
        <is>
          <t>营业中</t>
        </is>
      </c>
      <c r="M1299" s="16" t="inlineStr">
        <is>
          <t>EETHG25E1G35034</t>
        </is>
      </c>
      <c r="N1299" s="16">
        <f>LEFT(M1299,12)</f>
        <v/>
      </c>
      <c r="O1299" s="16" t="inlineStr">
        <is>
          <t>EETHG25E1G, (35)Beige, 34(180/84A)</t>
        </is>
      </c>
      <c r="P1299" s="16" t="n">
        <v>699</v>
      </c>
      <c r="Q1299" s="16" t="n">
        <v>699</v>
      </c>
      <c r="R1299" s="16" t="n"/>
      <c r="S1299" s="16" t="n"/>
      <c r="T1299" s="16" t="n">
        <v>1</v>
      </c>
    </row>
    <row r="1300" s="103">
      <c r="A1300" s="16" t="inlineStr">
        <is>
          <t>B331</t>
        </is>
      </c>
      <c r="B1300" s="16" t="inlineStr">
        <is>
          <t>上海区域</t>
        </is>
      </c>
      <c r="C1300" s="16" t="inlineStr">
        <is>
          <t>CN0Q</t>
        </is>
      </c>
      <c r="D1300" s="16" t="inlineStr">
        <is>
          <t>EE 苏州比斯特购物村</t>
        </is>
      </c>
      <c r="E1300" s="16" t="n">
        <v>4</v>
      </c>
      <c r="F1300" s="16" t="inlineStr">
        <is>
          <t>奥特莱斯</t>
        </is>
      </c>
      <c r="G1300" s="16" t="inlineStr">
        <is>
          <t>EETHG25E1G</t>
        </is>
      </c>
      <c r="H1300" s="16" t="n">
        <v>699</v>
      </c>
      <c r="I1300" s="16" t="n">
        <v>699</v>
      </c>
      <c r="J1300" s="17" t="n">
        <v>46119</v>
      </c>
      <c r="K1300" s="16" t="inlineStr">
        <is>
          <t>(49)Khaki</t>
        </is>
      </c>
      <c r="L1300" s="16" t="inlineStr">
        <is>
          <t>营业中</t>
        </is>
      </c>
      <c r="M1300" s="16" t="inlineStr">
        <is>
          <t>EETHG25E1G49030</t>
        </is>
      </c>
      <c r="N1300" s="16">
        <f>LEFT(M1300,12)</f>
        <v/>
      </c>
      <c r="O1300" s="16" t="inlineStr">
        <is>
          <t>EETHG25E1G, (49)Khaki, 30(170/76A)</t>
        </is>
      </c>
      <c r="P1300" s="16" t="n">
        <v>699</v>
      </c>
      <c r="Q1300" s="16" t="n">
        <v>699</v>
      </c>
      <c r="R1300" s="16" t="n"/>
      <c r="S1300" s="16" t="n"/>
      <c r="T1300" s="16" t="n">
        <v>1</v>
      </c>
    </row>
    <row r="1301" s="103">
      <c r="A1301" s="16" t="inlineStr">
        <is>
          <t>B331</t>
        </is>
      </c>
      <c r="B1301" s="16" t="inlineStr">
        <is>
          <t>上海区域</t>
        </is>
      </c>
      <c r="C1301" s="16" t="inlineStr">
        <is>
          <t>CN0Q</t>
        </is>
      </c>
      <c r="D1301" s="16" t="inlineStr">
        <is>
          <t>EE 苏州比斯特购物村</t>
        </is>
      </c>
      <c r="E1301" s="16" t="n">
        <v>4</v>
      </c>
      <c r="F1301" s="16" t="inlineStr">
        <is>
          <t>奥特莱斯</t>
        </is>
      </c>
      <c r="G1301" s="16" t="inlineStr">
        <is>
          <t>EETHG25E1G</t>
        </is>
      </c>
      <c r="H1301" s="16" t="n">
        <v>699</v>
      </c>
      <c r="I1301" s="16" t="n">
        <v>699</v>
      </c>
      <c r="J1301" s="17" t="n">
        <v>46119</v>
      </c>
      <c r="K1301" s="16" t="inlineStr">
        <is>
          <t>(49)Khaki</t>
        </is>
      </c>
      <c r="L1301" s="16" t="inlineStr">
        <is>
          <t>营业中</t>
        </is>
      </c>
      <c r="M1301" s="16" t="inlineStr">
        <is>
          <t>EETHG25E1G49032</t>
        </is>
      </c>
      <c r="N1301" s="16">
        <f>LEFT(M1301,12)</f>
        <v/>
      </c>
      <c r="O1301" s="16" t="inlineStr">
        <is>
          <t>EETHG25E1G, (49)Khaki, 32(175/80A)</t>
        </is>
      </c>
      <c r="P1301" s="16" t="n">
        <v>699</v>
      </c>
      <c r="Q1301" s="16" t="n">
        <v>699</v>
      </c>
      <c r="R1301" s="16" t="n"/>
      <c r="S1301" s="16" t="n"/>
      <c r="T1301" s="16" t="n">
        <v>2</v>
      </c>
    </row>
    <row r="1302" s="103">
      <c r="A1302" s="16" t="inlineStr">
        <is>
          <t>B331</t>
        </is>
      </c>
      <c r="B1302" s="16" t="inlineStr">
        <is>
          <t>上海区域</t>
        </is>
      </c>
      <c r="C1302" s="16" t="inlineStr">
        <is>
          <t>CN0Q</t>
        </is>
      </c>
      <c r="D1302" s="16" t="inlineStr">
        <is>
          <t>EE 苏州比斯特购物村</t>
        </is>
      </c>
      <c r="E1302" s="16" t="n">
        <v>4</v>
      </c>
      <c r="F1302" s="16" t="inlineStr">
        <is>
          <t>奥特莱斯</t>
        </is>
      </c>
      <c r="G1302" s="16" t="inlineStr">
        <is>
          <t>EETHG25E1G</t>
        </is>
      </c>
      <c r="H1302" s="16" t="n">
        <v>699</v>
      </c>
      <c r="I1302" s="16" t="n">
        <v>699</v>
      </c>
      <c r="J1302" s="17" t="n">
        <v>46119</v>
      </c>
      <c r="K1302" s="16" t="inlineStr">
        <is>
          <t>(49)Khaki</t>
        </is>
      </c>
      <c r="L1302" s="16" t="inlineStr">
        <is>
          <t>营业中</t>
        </is>
      </c>
      <c r="M1302" s="16" t="inlineStr">
        <is>
          <t>EETHG25E1G49034</t>
        </is>
      </c>
      <c r="N1302" s="16">
        <f>LEFT(M1302,12)</f>
        <v/>
      </c>
      <c r="O1302" s="16" t="inlineStr">
        <is>
          <t>EETHG25E1G, (49)Khaki, 34(180/84A)</t>
        </is>
      </c>
      <c r="P1302" s="16" t="n">
        <v>699</v>
      </c>
      <c r="Q1302" s="16" t="n">
        <v>699</v>
      </c>
      <c r="R1302" s="16" t="n"/>
      <c r="S1302" s="16" t="n"/>
      <c r="T1302" s="16" t="n">
        <v>1</v>
      </c>
    </row>
    <row r="1303" s="103">
      <c r="A1303" s="16" t="inlineStr">
        <is>
          <t>B331</t>
        </is>
      </c>
      <c r="B1303" s="16" t="inlineStr">
        <is>
          <t>上海区域</t>
        </is>
      </c>
      <c r="C1303" s="16" t="inlineStr">
        <is>
          <t>CN0Q</t>
        </is>
      </c>
      <c r="D1303" s="16" t="inlineStr">
        <is>
          <t>EE 苏州比斯特购物村</t>
        </is>
      </c>
      <c r="E1303" s="16" t="n">
        <v>4</v>
      </c>
      <c r="F1303" s="16" t="inlineStr">
        <is>
          <t>奥特莱斯</t>
        </is>
      </c>
      <c r="G1303" s="16" t="inlineStr">
        <is>
          <t>EETHG25E1G</t>
        </is>
      </c>
      <c r="H1303" s="16" t="n">
        <v>699</v>
      </c>
      <c r="I1303" s="16" t="n">
        <v>699</v>
      </c>
      <c r="J1303" s="17" t="n">
        <v>46119</v>
      </c>
      <c r="K1303" s="16" t="inlineStr">
        <is>
          <t>(59)Navy</t>
        </is>
      </c>
      <c r="L1303" s="16" t="inlineStr">
        <is>
          <t>营业中</t>
        </is>
      </c>
      <c r="M1303" s="16" t="inlineStr">
        <is>
          <t>EETHG25E1G59030</t>
        </is>
      </c>
      <c r="N1303" s="16">
        <f>LEFT(M1303,12)</f>
        <v/>
      </c>
      <c r="O1303" s="16" t="inlineStr">
        <is>
          <t>EETHG25E1G, (59)Navy, 30(170/76A)</t>
        </is>
      </c>
      <c r="P1303" s="16" t="n">
        <v>699</v>
      </c>
      <c r="Q1303" s="16" t="n">
        <v>699</v>
      </c>
      <c r="R1303" s="16" t="n"/>
      <c r="S1303" s="16" t="n"/>
      <c r="T1303" s="16" t="n">
        <v>1</v>
      </c>
    </row>
    <row r="1304" s="103">
      <c r="A1304" s="16" t="inlineStr">
        <is>
          <t>B331</t>
        </is>
      </c>
      <c r="B1304" s="16" t="inlineStr">
        <is>
          <t>上海区域</t>
        </is>
      </c>
      <c r="C1304" s="16" t="inlineStr">
        <is>
          <t>CN0Q</t>
        </is>
      </c>
      <c r="D1304" s="16" t="inlineStr">
        <is>
          <t>EE 苏州比斯特购物村</t>
        </is>
      </c>
      <c r="E1304" s="16" t="n">
        <v>4</v>
      </c>
      <c r="F1304" s="16" t="inlineStr">
        <is>
          <t>奥特莱斯</t>
        </is>
      </c>
      <c r="G1304" s="16" t="inlineStr">
        <is>
          <t>EETHG25E1G</t>
        </is>
      </c>
      <c r="H1304" s="16" t="n">
        <v>699</v>
      </c>
      <c r="I1304" s="16" t="n">
        <v>699</v>
      </c>
      <c r="J1304" s="17" t="n">
        <v>46119</v>
      </c>
      <c r="K1304" s="16" t="inlineStr">
        <is>
          <t>(59)Navy</t>
        </is>
      </c>
      <c r="L1304" s="16" t="inlineStr">
        <is>
          <t>营业中</t>
        </is>
      </c>
      <c r="M1304" s="16" t="inlineStr">
        <is>
          <t>EETHG25E1G59032</t>
        </is>
      </c>
      <c r="N1304" s="16">
        <f>LEFT(M1304,12)</f>
        <v/>
      </c>
      <c r="O1304" s="16" t="inlineStr">
        <is>
          <t>EETHG25E1G, (59)Navy, 32(175/80A)</t>
        </is>
      </c>
      <c r="P1304" s="16" t="n">
        <v>699</v>
      </c>
      <c r="Q1304" s="16" t="n">
        <v>699</v>
      </c>
      <c r="R1304" s="16" t="n"/>
      <c r="S1304" s="16" t="n"/>
      <c r="T1304" s="16" t="n">
        <v>2</v>
      </c>
    </row>
    <row r="1305" s="103">
      <c r="A1305" s="16" t="inlineStr">
        <is>
          <t>B331</t>
        </is>
      </c>
      <c r="B1305" s="16" t="inlineStr">
        <is>
          <t>上海区域</t>
        </is>
      </c>
      <c r="C1305" s="16" t="inlineStr">
        <is>
          <t>CN0Q</t>
        </is>
      </c>
      <c r="D1305" s="16" t="inlineStr">
        <is>
          <t>EE 苏州比斯特购物村</t>
        </is>
      </c>
      <c r="E1305" s="16" t="n">
        <v>4</v>
      </c>
      <c r="F1305" s="16" t="inlineStr">
        <is>
          <t>奥特莱斯</t>
        </is>
      </c>
      <c r="G1305" s="16" t="inlineStr">
        <is>
          <t>EETHG25E1G</t>
        </is>
      </c>
      <c r="H1305" s="16" t="n">
        <v>699</v>
      </c>
      <c r="I1305" s="16" t="n">
        <v>699</v>
      </c>
      <c r="J1305" s="17" t="n">
        <v>46119</v>
      </c>
      <c r="K1305" s="16" t="inlineStr">
        <is>
          <t>(59)Navy</t>
        </is>
      </c>
      <c r="L1305" s="16" t="inlineStr">
        <is>
          <t>营业中</t>
        </is>
      </c>
      <c r="M1305" s="16" t="inlineStr">
        <is>
          <t>EETHG25E1G59034</t>
        </is>
      </c>
      <c r="N1305" s="16">
        <f>LEFT(M1305,12)</f>
        <v/>
      </c>
      <c r="O1305" s="16" t="inlineStr">
        <is>
          <t>EETHG25E1G, (59)Navy, 34(180/84A)</t>
        </is>
      </c>
      <c r="P1305" s="16" t="n">
        <v>699</v>
      </c>
      <c r="Q1305" s="16" t="n">
        <v>699</v>
      </c>
      <c r="R1305" s="16" t="n"/>
      <c r="S1305" s="16" t="n"/>
      <c r="T1305" s="16" t="n">
        <v>1</v>
      </c>
    </row>
    <row r="1306" s="103">
      <c r="A1306" s="16" t="inlineStr">
        <is>
          <t>B331</t>
        </is>
      </c>
      <c r="B1306" s="16" t="inlineStr">
        <is>
          <t>上海区域</t>
        </is>
      </c>
      <c r="C1306" s="16" t="inlineStr">
        <is>
          <t>CN0Q</t>
        </is>
      </c>
      <c r="D1306" s="16" t="inlineStr">
        <is>
          <t>EE 苏州比斯特购物村</t>
        </is>
      </c>
      <c r="E1306" s="16" t="n">
        <v>4</v>
      </c>
      <c r="F1306" s="16" t="inlineStr">
        <is>
          <t>奥特莱斯</t>
        </is>
      </c>
      <c r="G1306" s="16" t="inlineStr">
        <is>
          <t>EETJF23E06</t>
        </is>
      </c>
      <c r="H1306" s="16" t="n">
        <v>899</v>
      </c>
      <c r="I1306" s="16" t="n">
        <v>899</v>
      </c>
      <c r="J1306" s="17" t="n">
        <v>45659</v>
      </c>
      <c r="K1306" s="16" t="inlineStr">
        <is>
          <t>(55)Indigo</t>
        </is>
      </c>
      <c r="L1306" s="16" t="inlineStr">
        <is>
          <t>营业中</t>
        </is>
      </c>
      <c r="M1306" s="16" t="inlineStr">
        <is>
          <t>EETJF23E0655160</t>
        </is>
      </c>
      <c r="N1306" s="16">
        <f>LEFT(M1306,12)</f>
        <v/>
      </c>
      <c r="O1306" s="16" t="inlineStr">
        <is>
          <t>EETJF23E06, (55)Indigo, (160)160</t>
        </is>
      </c>
      <c r="P1306" s="16" t="n">
        <v>899</v>
      </c>
      <c r="Q1306" s="16" t="n">
        <v>899</v>
      </c>
      <c r="R1306" s="16" t="n"/>
      <c r="S1306" s="16" t="n"/>
      <c r="T1306" s="16" t="n">
        <v>3</v>
      </c>
    </row>
    <row r="1307" s="103">
      <c r="A1307" s="16" t="inlineStr">
        <is>
          <t>B331</t>
        </is>
      </c>
      <c r="B1307" s="16" t="inlineStr">
        <is>
          <t>上海区域</t>
        </is>
      </c>
      <c r="C1307" s="16" t="inlineStr">
        <is>
          <t>CN0Q</t>
        </is>
      </c>
      <c r="D1307" s="16" t="inlineStr">
        <is>
          <t>EE 苏州比斯特购物村</t>
        </is>
      </c>
      <c r="E1307" s="16" t="n">
        <v>4</v>
      </c>
      <c r="F1307" s="16" t="inlineStr">
        <is>
          <t>奥特莱斯</t>
        </is>
      </c>
      <c r="G1307" s="16" t="inlineStr">
        <is>
          <t>EETJF23E06</t>
        </is>
      </c>
      <c r="H1307" s="16" t="n">
        <v>899</v>
      </c>
      <c r="I1307" s="16" t="n">
        <v>899</v>
      </c>
      <c r="J1307" s="17" t="n">
        <v>45659</v>
      </c>
      <c r="K1307" s="16" t="inlineStr">
        <is>
          <t>(55)Indigo</t>
        </is>
      </c>
      <c r="L1307" s="16" t="inlineStr">
        <is>
          <t>营业中</t>
        </is>
      </c>
      <c r="M1307" s="16" t="inlineStr">
        <is>
          <t>EETJF23E0655165</t>
        </is>
      </c>
      <c r="N1307" s="16">
        <f>LEFT(M1307,12)</f>
        <v/>
      </c>
      <c r="O1307" s="16" t="inlineStr">
        <is>
          <t>EETJF23E06, (55)Indigo, (165)165</t>
        </is>
      </c>
      <c r="P1307" s="16" t="n">
        <v>899</v>
      </c>
      <c r="Q1307" s="16" t="n">
        <v>899</v>
      </c>
      <c r="R1307" s="16" t="n"/>
      <c r="S1307" s="16" t="n"/>
      <c r="T1307" s="16" t="n">
        <v>5</v>
      </c>
    </row>
    <row r="1308" s="103">
      <c r="A1308" s="16" t="inlineStr">
        <is>
          <t>B331</t>
        </is>
      </c>
      <c r="B1308" s="16" t="inlineStr">
        <is>
          <t>上海区域</t>
        </is>
      </c>
      <c r="C1308" s="16" t="inlineStr">
        <is>
          <t>CN0Q</t>
        </is>
      </c>
      <c r="D1308" s="16" t="inlineStr">
        <is>
          <t>EE 苏州比斯特购物村</t>
        </is>
      </c>
      <c r="E1308" s="16" t="n">
        <v>4</v>
      </c>
      <c r="F1308" s="16" t="inlineStr">
        <is>
          <t>奥特莱斯</t>
        </is>
      </c>
      <c r="G1308" s="16" t="inlineStr">
        <is>
          <t>EETJF23E06</t>
        </is>
      </c>
      <c r="H1308" s="16" t="n">
        <v>899</v>
      </c>
      <c r="I1308" s="16" t="n">
        <v>899</v>
      </c>
      <c r="J1308" s="17" t="n">
        <v>45659</v>
      </c>
      <c r="K1308" s="16" t="inlineStr">
        <is>
          <t>(55)Indigo</t>
        </is>
      </c>
      <c r="L1308" s="16" t="inlineStr">
        <is>
          <t>营业中</t>
        </is>
      </c>
      <c r="M1308" s="16" t="inlineStr">
        <is>
          <t>EETJF23E0655170</t>
        </is>
      </c>
      <c r="N1308" s="16">
        <f>LEFT(M1308,12)</f>
        <v/>
      </c>
      <c r="O1308" s="16" t="inlineStr">
        <is>
          <t>EETJF23E06, (55)Indigo, (170)170</t>
        </is>
      </c>
      <c r="P1308" s="16" t="n">
        <v>899</v>
      </c>
      <c r="Q1308" s="16" t="n">
        <v>899</v>
      </c>
      <c r="R1308" s="16" t="n"/>
      <c r="S1308" s="16" t="n"/>
      <c r="T1308" s="16" t="n">
        <v>6</v>
      </c>
    </row>
    <row r="1309" s="103">
      <c r="A1309" s="16" t="inlineStr">
        <is>
          <t>B331</t>
        </is>
      </c>
      <c r="B1309" s="16" t="inlineStr">
        <is>
          <t>上海区域</t>
        </is>
      </c>
      <c r="C1309" s="16" t="inlineStr">
        <is>
          <t>CN0Q</t>
        </is>
      </c>
      <c r="D1309" s="16" t="inlineStr">
        <is>
          <t>EE 苏州比斯特购物村</t>
        </is>
      </c>
      <c r="E1309" s="16" t="n">
        <v>4</v>
      </c>
      <c r="F1309" s="16" t="inlineStr">
        <is>
          <t>奥特莱斯</t>
        </is>
      </c>
      <c r="G1309" s="16" t="inlineStr">
        <is>
          <t>EETJF23E06</t>
        </is>
      </c>
      <c r="H1309" s="16" t="n">
        <v>899</v>
      </c>
      <c r="I1309" s="16" t="n">
        <v>899</v>
      </c>
      <c r="J1309" s="17" t="n">
        <v>45659</v>
      </c>
      <c r="K1309" s="16" t="inlineStr">
        <is>
          <t>(57)D/Indigo</t>
        </is>
      </c>
      <c r="L1309" s="16" t="inlineStr">
        <is>
          <t>营业中</t>
        </is>
      </c>
      <c r="M1309" s="16" t="inlineStr">
        <is>
          <t>EETJF23E0657155</t>
        </is>
      </c>
      <c r="N1309" s="16">
        <f>LEFT(M1309,12)</f>
        <v/>
      </c>
      <c r="O1309" s="16" t="inlineStr">
        <is>
          <t>EETJF23E06, (57)D/Indigo, (155)155</t>
        </is>
      </c>
      <c r="P1309" s="16" t="n">
        <v>899</v>
      </c>
      <c r="Q1309" s="16" t="n">
        <v>899</v>
      </c>
      <c r="R1309" s="16" t="n"/>
      <c r="S1309" s="16" t="n"/>
      <c r="T1309" s="16" t="n">
        <v>3</v>
      </c>
    </row>
    <row r="1310" s="103">
      <c r="A1310" s="16" t="inlineStr">
        <is>
          <t>B331</t>
        </is>
      </c>
      <c r="B1310" s="16" t="inlineStr">
        <is>
          <t>上海区域</t>
        </is>
      </c>
      <c r="C1310" s="16" t="inlineStr">
        <is>
          <t>CN0Q</t>
        </is>
      </c>
      <c r="D1310" s="16" t="inlineStr">
        <is>
          <t>EE 苏州比斯特购物村</t>
        </is>
      </c>
      <c r="E1310" s="16" t="n">
        <v>4</v>
      </c>
      <c r="F1310" s="16" t="inlineStr">
        <is>
          <t>奥特莱斯</t>
        </is>
      </c>
      <c r="G1310" s="16" t="inlineStr">
        <is>
          <t>EETJF23E06</t>
        </is>
      </c>
      <c r="H1310" s="16" t="n">
        <v>899</v>
      </c>
      <c r="I1310" s="16" t="n">
        <v>899</v>
      </c>
      <c r="J1310" s="17" t="n">
        <v>45659</v>
      </c>
      <c r="K1310" s="16" t="inlineStr">
        <is>
          <t>(57)D/Indigo</t>
        </is>
      </c>
      <c r="L1310" s="16" t="inlineStr">
        <is>
          <t>营业中</t>
        </is>
      </c>
      <c r="M1310" s="16" t="inlineStr">
        <is>
          <t>EETJF23E0657160</t>
        </is>
      </c>
      <c r="N1310" s="16">
        <f>LEFT(M1310,12)</f>
        <v/>
      </c>
      <c r="O1310" s="16" t="inlineStr">
        <is>
          <t>EETJF23E06, (57)D/Indigo, (160)160</t>
        </is>
      </c>
      <c r="P1310" s="16" t="n">
        <v>899</v>
      </c>
      <c r="Q1310" s="16" t="n">
        <v>899</v>
      </c>
      <c r="R1310" s="16" t="n"/>
      <c r="S1310" s="16" t="n"/>
      <c r="T1310" s="16" t="n">
        <v>4</v>
      </c>
    </row>
    <row r="1311" s="103">
      <c r="A1311" s="16" t="inlineStr">
        <is>
          <t>B331</t>
        </is>
      </c>
      <c r="B1311" s="16" t="inlineStr">
        <is>
          <t>上海区域</t>
        </is>
      </c>
      <c r="C1311" s="16" t="inlineStr">
        <is>
          <t>CN0Q</t>
        </is>
      </c>
      <c r="D1311" s="16" t="inlineStr">
        <is>
          <t>EE 苏州比斯特购物村</t>
        </is>
      </c>
      <c r="E1311" s="16" t="n">
        <v>4</v>
      </c>
      <c r="F1311" s="16" t="inlineStr">
        <is>
          <t>奥特莱斯</t>
        </is>
      </c>
      <c r="G1311" s="16" t="inlineStr">
        <is>
          <t>EETJF23E06</t>
        </is>
      </c>
      <c r="H1311" s="16" t="n">
        <v>899</v>
      </c>
      <c r="I1311" s="16" t="n">
        <v>899</v>
      </c>
      <c r="J1311" s="17" t="n">
        <v>45659</v>
      </c>
      <c r="K1311" s="16" t="inlineStr">
        <is>
          <t>(57)D/Indigo</t>
        </is>
      </c>
      <c r="L1311" s="16" t="inlineStr">
        <is>
          <t>营业中</t>
        </is>
      </c>
      <c r="M1311" s="16" t="inlineStr">
        <is>
          <t>EETJF23E0657165</t>
        </is>
      </c>
      <c r="N1311" s="16">
        <f>LEFT(M1311,12)</f>
        <v/>
      </c>
      <c r="O1311" s="16" t="inlineStr">
        <is>
          <t>EETJF23E06, (57)D/Indigo, (165)165</t>
        </is>
      </c>
      <c r="P1311" s="16" t="n">
        <v>899</v>
      </c>
      <c r="Q1311" s="16" t="n">
        <v>899</v>
      </c>
      <c r="R1311" s="16" t="n"/>
      <c r="S1311" s="16" t="n"/>
      <c r="T1311" s="16" t="n">
        <v>6</v>
      </c>
    </row>
    <row r="1312" s="103">
      <c r="A1312" s="16" t="inlineStr">
        <is>
          <t>B331</t>
        </is>
      </c>
      <c r="B1312" s="16" t="inlineStr">
        <is>
          <t>上海区域</t>
        </is>
      </c>
      <c r="C1312" s="16" t="inlineStr">
        <is>
          <t>CN0Q</t>
        </is>
      </c>
      <c r="D1312" s="16" t="inlineStr">
        <is>
          <t>EE 苏州比斯特购物村</t>
        </is>
      </c>
      <c r="E1312" s="16" t="n">
        <v>4</v>
      </c>
      <c r="F1312" s="16" t="inlineStr">
        <is>
          <t>奥特莱斯</t>
        </is>
      </c>
      <c r="G1312" s="16" t="inlineStr">
        <is>
          <t>EETJF23E06</t>
        </is>
      </c>
      <c r="H1312" s="16" t="n">
        <v>899</v>
      </c>
      <c r="I1312" s="16" t="n">
        <v>899</v>
      </c>
      <c r="J1312" s="17" t="n">
        <v>45659</v>
      </c>
      <c r="K1312" s="16" t="inlineStr">
        <is>
          <t>(57)D/Indigo</t>
        </is>
      </c>
      <c r="L1312" s="16" t="inlineStr">
        <is>
          <t>营业中</t>
        </is>
      </c>
      <c r="M1312" s="16" t="inlineStr">
        <is>
          <t>EETJF23E0657170</t>
        </is>
      </c>
      <c r="N1312" s="16">
        <f>LEFT(M1312,12)</f>
        <v/>
      </c>
      <c r="O1312" s="16" t="inlineStr">
        <is>
          <t>EETJF23E06, (57)D/Indigo, (170)170</t>
        </is>
      </c>
      <c r="P1312" s="16" t="n">
        <v>899</v>
      </c>
      <c r="Q1312" s="16" t="n">
        <v>899</v>
      </c>
      <c r="R1312" s="16" t="n"/>
      <c r="S1312" s="16" t="n"/>
      <c r="T1312" s="16" t="n">
        <v>4</v>
      </c>
    </row>
    <row r="1313" s="103">
      <c r="A1313" s="16" t="inlineStr">
        <is>
          <t>B331</t>
        </is>
      </c>
      <c r="B1313" s="16" t="inlineStr">
        <is>
          <t>上海区域</t>
        </is>
      </c>
      <c r="C1313" s="16" t="inlineStr">
        <is>
          <t>CN0Q</t>
        </is>
      </c>
      <c r="D1313" s="16" t="inlineStr">
        <is>
          <t>EE 苏州比斯特购物村</t>
        </is>
      </c>
      <c r="E1313" s="16" t="n">
        <v>4</v>
      </c>
      <c r="F1313" s="16" t="inlineStr">
        <is>
          <t>奥特莱斯</t>
        </is>
      </c>
      <c r="G1313" s="16" t="inlineStr">
        <is>
          <t>EETJF23E07</t>
        </is>
      </c>
      <c r="H1313" s="16" t="n">
        <v>799</v>
      </c>
      <c r="I1313" s="16" t="n">
        <v>799</v>
      </c>
      <c r="J1313" s="17" t="n">
        <v>45659</v>
      </c>
      <c r="K1313" s="16" t="inlineStr">
        <is>
          <t>(55)Indigo</t>
        </is>
      </c>
      <c r="L1313" s="16" t="inlineStr">
        <is>
          <t>营业中</t>
        </is>
      </c>
      <c r="M1313" s="16" t="inlineStr">
        <is>
          <t>EETJF23E0755155</t>
        </is>
      </c>
      <c r="N1313" s="16">
        <f>LEFT(M1313,12)</f>
        <v/>
      </c>
      <c r="O1313" s="16" t="inlineStr">
        <is>
          <t>EETJF23E07, (55)Indigo, (155)155</t>
        </is>
      </c>
      <c r="P1313" s="16" t="n">
        <v>799</v>
      </c>
      <c r="Q1313" s="16" t="n">
        <v>799</v>
      </c>
      <c r="R1313" s="16" t="n"/>
      <c r="S1313" s="16" t="n"/>
      <c r="T1313" s="16" t="n">
        <v>1</v>
      </c>
    </row>
    <row r="1314" s="103">
      <c r="A1314" s="16" t="inlineStr">
        <is>
          <t>B331</t>
        </is>
      </c>
      <c r="B1314" s="16" t="inlineStr">
        <is>
          <t>上海区域</t>
        </is>
      </c>
      <c r="C1314" s="16" t="inlineStr">
        <is>
          <t>CN0Q</t>
        </is>
      </c>
      <c r="D1314" s="16" t="inlineStr">
        <is>
          <t>EE 苏州比斯特购物村</t>
        </is>
      </c>
      <c r="E1314" s="16" t="n">
        <v>4</v>
      </c>
      <c r="F1314" s="16" t="inlineStr">
        <is>
          <t>奥特莱斯</t>
        </is>
      </c>
      <c r="G1314" s="16" t="inlineStr">
        <is>
          <t>EETJF23E07</t>
        </is>
      </c>
      <c r="H1314" s="16" t="n">
        <v>799</v>
      </c>
      <c r="I1314" s="16" t="n">
        <v>799</v>
      </c>
      <c r="J1314" s="17" t="n">
        <v>45659</v>
      </c>
      <c r="K1314" s="16" t="inlineStr">
        <is>
          <t>(55)Indigo</t>
        </is>
      </c>
      <c r="L1314" s="16" t="inlineStr">
        <is>
          <t>营业中</t>
        </is>
      </c>
      <c r="M1314" s="16" t="inlineStr">
        <is>
          <t>EETJF23E0755160</t>
        </is>
      </c>
      <c r="N1314" s="16">
        <f>LEFT(M1314,12)</f>
        <v/>
      </c>
      <c r="O1314" s="16" t="inlineStr">
        <is>
          <t>EETJF23E07, (55)Indigo, (160)160</t>
        </is>
      </c>
      <c r="P1314" s="16" t="n">
        <v>799</v>
      </c>
      <c r="Q1314" s="16" t="n">
        <v>799</v>
      </c>
      <c r="R1314" s="16" t="n"/>
      <c r="S1314" s="16" t="n"/>
      <c r="T1314" s="16" t="n">
        <v>2</v>
      </c>
    </row>
    <row r="1315" s="103">
      <c r="A1315" s="16" t="inlineStr">
        <is>
          <t>B331</t>
        </is>
      </c>
      <c r="B1315" s="16" t="inlineStr">
        <is>
          <t>上海区域</t>
        </is>
      </c>
      <c r="C1315" s="16" t="inlineStr">
        <is>
          <t>CN0Q</t>
        </is>
      </c>
      <c r="D1315" s="16" t="inlineStr">
        <is>
          <t>EE 苏州比斯特购物村</t>
        </is>
      </c>
      <c r="E1315" s="16" t="n">
        <v>4</v>
      </c>
      <c r="F1315" s="16" t="inlineStr">
        <is>
          <t>奥特莱斯</t>
        </is>
      </c>
      <c r="G1315" s="16" t="inlineStr">
        <is>
          <t>EETJF23E07</t>
        </is>
      </c>
      <c r="H1315" s="16" t="n">
        <v>799</v>
      </c>
      <c r="I1315" s="16" t="n">
        <v>799</v>
      </c>
      <c r="J1315" s="17" t="n">
        <v>45659</v>
      </c>
      <c r="K1315" s="16" t="inlineStr">
        <is>
          <t>(55)Indigo</t>
        </is>
      </c>
      <c r="L1315" s="16" t="inlineStr">
        <is>
          <t>营业中</t>
        </is>
      </c>
      <c r="M1315" s="16" t="inlineStr">
        <is>
          <t>EETJF23E0755165</t>
        </is>
      </c>
      <c r="N1315" s="16">
        <f>LEFT(M1315,12)</f>
        <v/>
      </c>
      <c r="O1315" s="16" t="inlineStr">
        <is>
          <t>EETJF23E07, (55)Indigo, (165)165</t>
        </is>
      </c>
      <c r="P1315" s="16" t="n">
        <v>799</v>
      </c>
      <c r="Q1315" s="16" t="n">
        <v>799</v>
      </c>
      <c r="R1315" s="16" t="n"/>
      <c r="S1315" s="16" t="n"/>
      <c r="T1315" s="16" t="n">
        <v>2</v>
      </c>
    </row>
    <row r="1316" s="103">
      <c r="A1316" s="16" t="inlineStr">
        <is>
          <t>B331</t>
        </is>
      </c>
      <c r="B1316" s="16" t="inlineStr">
        <is>
          <t>上海区域</t>
        </is>
      </c>
      <c r="C1316" s="16" t="inlineStr">
        <is>
          <t>CN0Q</t>
        </is>
      </c>
      <c r="D1316" s="16" t="inlineStr">
        <is>
          <t>EE 苏州比斯特购物村</t>
        </is>
      </c>
      <c r="E1316" s="16" t="n">
        <v>4</v>
      </c>
      <c r="F1316" s="16" t="inlineStr">
        <is>
          <t>奥特莱斯</t>
        </is>
      </c>
      <c r="G1316" s="16" t="inlineStr">
        <is>
          <t>EETJF23E07</t>
        </is>
      </c>
      <c r="H1316" s="16" t="n">
        <v>799</v>
      </c>
      <c r="I1316" s="16" t="n">
        <v>799</v>
      </c>
      <c r="J1316" s="17" t="n">
        <v>45659</v>
      </c>
      <c r="K1316" s="16" t="inlineStr">
        <is>
          <t>(55)Indigo</t>
        </is>
      </c>
      <c r="L1316" s="16" t="inlineStr">
        <is>
          <t>营业中</t>
        </is>
      </c>
      <c r="M1316" s="16" t="inlineStr">
        <is>
          <t>EETJF23E0755170</t>
        </is>
      </c>
      <c r="N1316" s="16">
        <f>LEFT(M1316,12)</f>
        <v/>
      </c>
      <c r="O1316" s="16" t="inlineStr">
        <is>
          <t>EETJF23E07, (55)Indigo, (170)170</t>
        </is>
      </c>
      <c r="P1316" s="16" t="n">
        <v>799</v>
      </c>
      <c r="Q1316" s="16" t="n">
        <v>799</v>
      </c>
      <c r="R1316" s="16" t="n"/>
      <c r="S1316" s="16" t="n"/>
      <c r="T1316" s="16" t="n">
        <v>2</v>
      </c>
    </row>
    <row r="1317" s="103">
      <c r="A1317" s="16" t="inlineStr">
        <is>
          <t>B331</t>
        </is>
      </c>
      <c r="B1317" s="16" t="inlineStr">
        <is>
          <t>上海区域</t>
        </is>
      </c>
      <c r="C1317" s="16" t="inlineStr">
        <is>
          <t>CN0Q</t>
        </is>
      </c>
      <c r="D1317" s="16" t="inlineStr">
        <is>
          <t>EE 苏州比斯特购物村</t>
        </is>
      </c>
      <c r="E1317" s="16" t="n">
        <v>4</v>
      </c>
      <c r="F1317" s="16" t="inlineStr">
        <is>
          <t>奥特莱斯</t>
        </is>
      </c>
      <c r="G1317" s="16" t="inlineStr">
        <is>
          <t>EETJF23E09</t>
        </is>
      </c>
      <c r="H1317" s="16" t="n">
        <v>899</v>
      </c>
      <c r="I1317" s="16" t="n">
        <v>899</v>
      </c>
      <c r="J1317" s="17" t="n">
        <v>45659</v>
      </c>
      <c r="K1317" s="16" t="inlineStr">
        <is>
          <t>(56)L/Indigo</t>
        </is>
      </c>
      <c r="L1317" s="16" t="inlineStr">
        <is>
          <t>营业中</t>
        </is>
      </c>
      <c r="M1317" s="16" t="inlineStr">
        <is>
          <t>EETJF23E0956155</t>
        </is>
      </c>
      <c r="N1317" s="16">
        <f>LEFT(M1317,12)</f>
        <v/>
      </c>
      <c r="O1317" s="16" t="inlineStr">
        <is>
          <t>EETJF23E09, (56)L/Indigo, (155)155</t>
        </is>
      </c>
      <c r="P1317" s="16" t="n">
        <v>899</v>
      </c>
      <c r="Q1317" s="16" t="n">
        <v>899</v>
      </c>
      <c r="R1317" s="16" t="n"/>
      <c r="S1317" s="16" t="n"/>
      <c r="T1317" s="16" t="n">
        <v>3</v>
      </c>
    </row>
    <row r="1318" s="103">
      <c r="A1318" s="16" t="inlineStr">
        <is>
          <t>B331</t>
        </is>
      </c>
      <c r="B1318" s="16" t="inlineStr">
        <is>
          <t>上海区域</t>
        </is>
      </c>
      <c r="C1318" s="16" t="inlineStr">
        <is>
          <t>CN0Q</t>
        </is>
      </c>
      <c r="D1318" s="16" t="inlineStr">
        <is>
          <t>EE 苏州比斯特购物村</t>
        </is>
      </c>
      <c r="E1318" s="16" t="n">
        <v>4</v>
      </c>
      <c r="F1318" s="16" t="inlineStr">
        <is>
          <t>奥特莱斯</t>
        </is>
      </c>
      <c r="G1318" s="16" t="inlineStr">
        <is>
          <t>EETJF23E09</t>
        </is>
      </c>
      <c r="H1318" s="16" t="n">
        <v>899</v>
      </c>
      <c r="I1318" s="16" t="n">
        <v>899</v>
      </c>
      <c r="J1318" s="17" t="n">
        <v>45659</v>
      </c>
      <c r="K1318" s="16" t="inlineStr">
        <is>
          <t>(56)L/Indigo</t>
        </is>
      </c>
      <c r="L1318" s="16" t="inlineStr">
        <is>
          <t>营业中</t>
        </is>
      </c>
      <c r="M1318" s="16" t="inlineStr">
        <is>
          <t>EETJF23E0956160</t>
        </is>
      </c>
      <c r="N1318" s="16">
        <f>LEFT(M1318,12)</f>
        <v/>
      </c>
      <c r="O1318" s="16" t="inlineStr">
        <is>
          <t>EETJF23E09, (56)L/Indigo, (160)160</t>
        </is>
      </c>
      <c r="P1318" s="16" t="n">
        <v>899</v>
      </c>
      <c r="Q1318" s="16" t="n">
        <v>899</v>
      </c>
      <c r="R1318" s="16" t="n"/>
      <c r="S1318" s="16" t="n"/>
      <c r="T1318" s="16" t="n">
        <v>4</v>
      </c>
    </row>
    <row r="1319" s="103">
      <c r="A1319" s="16" t="inlineStr">
        <is>
          <t>B331</t>
        </is>
      </c>
      <c r="B1319" s="16" t="inlineStr">
        <is>
          <t>上海区域</t>
        </is>
      </c>
      <c r="C1319" s="16" t="inlineStr">
        <is>
          <t>CN0Q</t>
        </is>
      </c>
      <c r="D1319" s="16" t="inlineStr">
        <is>
          <t>EE 苏州比斯特购物村</t>
        </is>
      </c>
      <c r="E1319" s="16" t="n">
        <v>4</v>
      </c>
      <c r="F1319" s="16" t="inlineStr">
        <is>
          <t>奥特莱斯</t>
        </is>
      </c>
      <c r="G1319" s="16" t="inlineStr">
        <is>
          <t>EETJF23E09</t>
        </is>
      </c>
      <c r="H1319" s="16" t="n">
        <v>899</v>
      </c>
      <c r="I1319" s="16" t="n">
        <v>899</v>
      </c>
      <c r="J1319" s="17" t="n">
        <v>45659</v>
      </c>
      <c r="K1319" s="16" t="inlineStr">
        <is>
          <t>(56)L/Indigo</t>
        </is>
      </c>
      <c r="L1319" s="16" t="inlineStr">
        <is>
          <t>营业中</t>
        </is>
      </c>
      <c r="M1319" s="16" t="inlineStr">
        <is>
          <t>EETJF23E0956165</t>
        </is>
      </c>
      <c r="N1319" s="16">
        <f>LEFT(M1319,12)</f>
        <v/>
      </c>
      <c r="O1319" s="16" t="inlineStr">
        <is>
          <t>EETJF23E09, (56)L/Indigo, (165)165</t>
        </is>
      </c>
      <c r="P1319" s="16" t="n">
        <v>899</v>
      </c>
      <c r="Q1319" s="16" t="n">
        <v>899</v>
      </c>
      <c r="R1319" s="16" t="n"/>
      <c r="S1319" s="16" t="n"/>
      <c r="T1319" s="16" t="n">
        <v>4</v>
      </c>
    </row>
    <row r="1320" s="103">
      <c r="A1320" s="16" t="inlineStr">
        <is>
          <t>B331</t>
        </is>
      </c>
      <c r="B1320" s="16" t="inlineStr">
        <is>
          <t>上海区域</t>
        </is>
      </c>
      <c r="C1320" s="16" t="inlineStr">
        <is>
          <t>CN0Q</t>
        </is>
      </c>
      <c r="D1320" s="16" t="inlineStr">
        <is>
          <t>EE 苏州比斯特购物村</t>
        </is>
      </c>
      <c r="E1320" s="16" t="n">
        <v>4</v>
      </c>
      <c r="F1320" s="16" t="inlineStr">
        <is>
          <t>奥特莱斯</t>
        </is>
      </c>
      <c r="G1320" s="16" t="inlineStr">
        <is>
          <t>EETJF23E09</t>
        </is>
      </c>
      <c r="H1320" s="16" t="n">
        <v>899</v>
      </c>
      <c r="I1320" s="16" t="n">
        <v>899</v>
      </c>
      <c r="J1320" s="17" t="n">
        <v>45659</v>
      </c>
      <c r="K1320" s="16" t="inlineStr">
        <is>
          <t>(56)L/Indigo</t>
        </is>
      </c>
      <c r="L1320" s="16" t="inlineStr">
        <is>
          <t>营业中</t>
        </is>
      </c>
      <c r="M1320" s="16" t="inlineStr">
        <is>
          <t>EETJF23E0956170</t>
        </is>
      </c>
      <c r="N1320" s="16">
        <f>LEFT(M1320,12)</f>
        <v/>
      </c>
      <c r="O1320" s="16" t="inlineStr">
        <is>
          <t>EETJF23E09, (56)L/Indigo, (170)170</t>
        </is>
      </c>
      <c r="P1320" s="16" t="n">
        <v>899</v>
      </c>
      <c r="Q1320" s="16" t="n">
        <v>899</v>
      </c>
      <c r="R1320" s="16" t="n"/>
      <c r="S1320" s="16" t="n"/>
      <c r="T1320" s="16" t="n">
        <v>3</v>
      </c>
    </row>
    <row r="1321" s="103">
      <c r="A1321" s="16" t="inlineStr">
        <is>
          <t>B331</t>
        </is>
      </c>
      <c r="B1321" s="16" t="inlineStr">
        <is>
          <t>上海区域</t>
        </is>
      </c>
      <c r="C1321" s="16" t="inlineStr">
        <is>
          <t>CN0Q</t>
        </is>
      </c>
      <c r="D1321" s="16" t="inlineStr">
        <is>
          <t>EE 苏州比斯特购物村</t>
        </is>
      </c>
      <c r="E1321" s="16" t="n">
        <v>4</v>
      </c>
      <c r="F1321" s="16" t="inlineStr">
        <is>
          <t>奥特莱斯</t>
        </is>
      </c>
      <c r="G1321" s="16" t="inlineStr">
        <is>
          <t>EETJF24E01</t>
        </is>
      </c>
      <c r="H1321" s="16" t="n">
        <v>799</v>
      </c>
      <c r="I1321" s="16" t="n">
        <v>799</v>
      </c>
      <c r="J1321" s="17" t="inlineStr">
        <is>
          <t>########</t>
        </is>
      </c>
      <c r="K1321" s="16" t="inlineStr">
        <is>
          <t>(56)L/Indigo</t>
        </is>
      </c>
      <c r="L1321" s="16" t="inlineStr">
        <is>
          <t>营业中</t>
        </is>
      </c>
      <c r="M1321" s="16" t="inlineStr">
        <is>
          <t>EETJF24E0156160</t>
        </is>
      </c>
      <c r="N1321" s="16">
        <f>LEFT(M1321,12)</f>
        <v/>
      </c>
      <c r="O1321" s="16" t="inlineStr">
        <is>
          <t>EETJF24E01, (56)L/Indigo, (160)160</t>
        </is>
      </c>
      <c r="P1321" s="16" t="n">
        <v>799</v>
      </c>
      <c r="Q1321" s="16" t="n">
        <v>799</v>
      </c>
      <c r="R1321" s="16" t="n"/>
      <c r="S1321" s="16" t="n"/>
      <c r="T1321" s="16" t="n">
        <v>4</v>
      </c>
    </row>
    <row r="1322" s="103">
      <c r="A1322" s="16" t="inlineStr">
        <is>
          <t>B331</t>
        </is>
      </c>
      <c r="B1322" s="16" t="inlineStr">
        <is>
          <t>上海区域</t>
        </is>
      </c>
      <c r="C1322" s="16" t="inlineStr">
        <is>
          <t>CN0Q</t>
        </is>
      </c>
      <c r="D1322" s="16" t="inlineStr">
        <is>
          <t>EE 苏州比斯特购物村</t>
        </is>
      </c>
      <c r="E1322" s="16" t="n">
        <v>4</v>
      </c>
      <c r="F1322" s="16" t="inlineStr">
        <is>
          <t>奥特莱斯</t>
        </is>
      </c>
      <c r="G1322" s="16" t="inlineStr">
        <is>
          <t>EETJF24E01</t>
        </is>
      </c>
      <c r="H1322" s="16" t="n">
        <v>799</v>
      </c>
      <c r="I1322" s="16" t="n">
        <v>799</v>
      </c>
      <c r="J1322" s="17" t="inlineStr">
        <is>
          <t>########</t>
        </is>
      </c>
      <c r="K1322" s="16" t="inlineStr">
        <is>
          <t>(56)L/Indigo</t>
        </is>
      </c>
      <c r="L1322" s="16" t="inlineStr">
        <is>
          <t>营业中</t>
        </is>
      </c>
      <c r="M1322" s="16" t="inlineStr">
        <is>
          <t>EETJF24E0156165</t>
        </is>
      </c>
      <c r="N1322" s="16">
        <f>LEFT(M1322,12)</f>
        <v/>
      </c>
      <c r="O1322" s="16" t="inlineStr">
        <is>
          <t>EETJF24E01, (56)L/Indigo, (165)165</t>
        </is>
      </c>
      <c r="P1322" s="16" t="n">
        <v>799</v>
      </c>
      <c r="Q1322" s="16" t="n">
        <v>799</v>
      </c>
      <c r="R1322" s="16" t="n"/>
      <c r="S1322" s="16" t="n"/>
      <c r="T1322" s="16" t="n">
        <v>4</v>
      </c>
    </row>
    <row r="1323" s="103">
      <c r="A1323" s="16" t="inlineStr">
        <is>
          <t>B331</t>
        </is>
      </c>
      <c r="B1323" s="16" t="inlineStr">
        <is>
          <t>上海区域</t>
        </is>
      </c>
      <c r="C1323" s="16" t="inlineStr">
        <is>
          <t>CN0Q</t>
        </is>
      </c>
      <c r="D1323" s="16" t="inlineStr">
        <is>
          <t>EE 苏州比斯特购物村</t>
        </is>
      </c>
      <c r="E1323" s="16" t="n">
        <v>4</v>
      </c>
      <c r="F1323" s="16" t="inlineStr">
        <is>
          <t>奥特莱斯</t>
        </is>
      </c>
      <c r="G1323" s="16" t="inlineStr">
        <is>
          <t>EETJF24E01</t>
        </is>
      </c>
      <c r="H1323" s="16" t="n">
        <v>799</v>
      </c>
      <c r="I1323" s="16" t="n">
        <v>799</v>
      </c>
      <c r="J1323" s="17" t="inlineStr">
        <is>
          <t>########</t>
        </is>
      </c>
      <c r="K1323" s="16" t="inlineStr">
        <is>
          <t>(56)L/Indigo</t>
        </is>
      </c>
      <c r="L1323" s="16" t="inlineStr">
        <is>
          <t>营业中</t>
        </is>
      </c>
      <c r="M1323" s="16" t="inlineStr">
        <is>
          <t>EETJF24E0156170</t>
        </is>
      </c>
      <c r="N1323" s="16">
        <f>LEFT(M1323,12)</f>
        <v/>
      </c>
      <c r="O1323" s="16" t="inlineStr">
        <is>
          <t>EETJF24E01, (56)L/Indigo, (170)170</t>
        </is>
      </c>
      <c r="P1323" s="16" t="n">
        <v>799</v>
      </c>
      <c r="Q1323" s="16" t="n">
        <v>799</v>
      </c>
      <c r="R1323" s="16" t="n"/>
      <c r="S1323" s="16" t="n"/>
      <c r="T1323" s="16" t="n">
        <v>3</v>
      </c>
    </row>
    <row r="1324" s="103">
      <c r="A1324" s="16" t="inlineStr">
        <is>
          <t>B331</t>
        </is>
      </c>
      <c r="B1324" s="16" t="inlineStr">
        <is>
          <t>上海区域</t>
        </is>
      </c>
      <c r="C1324" s="16" t="inlineStr">
        <is>
          <t>CN0Q</t>
        </is>
      </c>
      <c r="D1324" s="16" t="inlineStr">
        <is>
          <t>EE 苏州比斯特购物村</t>
        </is>
      </c>
      <c r="E1324" s="16" t="n">
        <v>4</v>
      </c>
      <c r="F1324" s="16" t="inlineStr">
        <is>
          <t>奥特莱斯</t>
        </is>
      </c>
      <c r="G1324" s="16" t="inlineStr">
        <is>
          <t>EETJF24E01</t>
        </is>
      </c>
      <c r="H1324" s="16" t="n">
        <v>799</v>
      </c>
      <c r="I1324" s="16" t="n">
        <v>799</v>
      </c>
      <c r="J1324" s="17" t="inlineStr">
        <is>
          <t>########</t>
        </is>
      </c>
      <c r="K1324" s="16" t="inlineStr">
        <is>
          <t>(57)D/Indigo</t>
        </is>
      </c>
      <c r="L1324" s="16" t="inlineStr">
        <is>
          <t>营业中</t>
        </is>
      </c>
      <c r="M1324" s="16" t="inlineStr">
        <is>
          <t>EETJF24E0157155</t>
        </is>
      </c>
      <c r="N1324" s="16">
        <f>LEFT(M1324,12)</f>
        <v/>
      </c>
      <c r="O1324" s="16" t="inlineStr">
        <is>
          <t>EETJF24E01, (57)D/Indigo, (155)155</t>
        </is>
      </c>
      <c r="P1324" s="16" t="n">
        <v>799</v>
      </c>
      <c r="Q1324" s="16" t="n">
        <v>799</v>
      </c>
      <c r="R1324" s="16" t="n"/>
      <c r="S1324" s="16" t="n"/>
      <c r="T1324" s="16" t="n">
        <v>3</v>
      </c>
    </row>
    <row r="1325" s="103">
      <c r="A1325" s="16" t="inlineStr">
        <is>
          <t>B331</t>
        </is>
      </c>
      <c r="B1325" s="16" t="inlineStr">
        <is>
          <t>上海区域</t>
        </is>
      </c>
      <c r="C1325" s="16" t="inlineStr">
        <is>
          <t>CN0Q</t>
        </is>
      </c>
      <c r="D1325" s="16" t="inlineStr">
        <is>
          <t>EE 苏州比斯特购物村</t>
        </is>
      </c>
      <c r="E1325" s="16" t="n">
        <v>4</v>
      </c>
      <c r="F1325" s="16" t="inlineStr">
        <is>
          <t>奥特莱斯</t>
        </is>
      </c>
      <c r="G1325" s="16" t="inlineStr">
        <is>
          <t>EETJF24E01</t>
        </is>
      </c>
      <c r="H1325" s="16" t="n">
        <v>799</v>
      </c>
      <c r="I1325" s="16" t="n">
        <v>799</v>
      </c>
      <c r="J1325" s="17" t="inlineStr">
        <is>
          <t>########</t>
        </is>
      </c>
      <c r="K1325" s="16" t="inlineStr">
        <is>
          <t>(57)D/Indigo</t>
        </is>
      </c>
      <c r="L1325" s="16" t="inlineStr">
        <is>
          <t>营业中</t>
        </is>
      </c>
      <c r="M1325" s="16" t="inlineStr">
        <is>
          <t>EETJF24E0157160</t>
        </is>
      </c>
      <c r="N1325" s="16">
        <f>LEFT(M1325,12)</f>
        <v/>
      </c>
      <c r="O1325" s="16" t="inlineStr">
        <is>
          <t>EETJF24E01, (57)D/Indigo, (160)160</t>
        </is>
      </c>
      <c r="P1325" s="16" t="n">
        <v>799</v>
      </c>
      <c r="Q1325" s="16" t="n">
        <v>799</v>
      </c>
      <c r="R1325" s="16" t="n"/>
      <c r="S1325" s="16" t="n"/>
      <c r="T1325" s="16" t="n">
        <v>4</v>
      </c>
    </row>
    <row r="1326" s="103">
      <c r="A1326" s="16" t="inlineStr">
        <is>
          <t>B331</t>
        </is>
      </c>
      <c r="B1326" s="16" t="inlineStr">
        <is>
          <t>上海区域</t>
        </is>
      </c>
      <c r="C1326" s="16" t="inlineStr">
        <is>
          <t>CN0Q</t>
        </is>
      </c>
      <c r="D1326" s="16" t="inlineStr">
        <is>
          <t>EE 苏州比斯特购物村</t>
        </is>
      </c>
      <c r="E1326" s="16" t="n">
        <v>4</v>
      </c>
      <c r="F1326" s="16" t="inlineStr">
        <is>
          <t>奥特莱斯</t>
        </is>
      </c>
      <c r="G1326" s="16" t="inlineStr">
        <is>
          <t>EETJF24E01</t>
        </is>
      </c>
      <c r="H1326" s="16" t="n">
        <v>799</v>
      </c>
      <c r="I1326" s="16" t="n">
        <v>799</v>
      </c>
      <c r="J1326" s="17" t="inlineStr">
        <is>
          <t>########</t>
        </is>
      </c>
      <c r="K1326" s="16" t="inlineStr">
        <is>
          <t>(57)D/Indigo</t>
        </is>
      </c>
      <c r="L1326" s="16" t="inlineStr">
        <is>
          <t>营业中</t>
        </is>
      </c>
      <c r="M1326" s="16" t="inlineStr">
        <is>
          <t>EETJF24E0157165</t>
        </is>
      </c>
      <c r="N1326" s="16">
        <f>LEFT(M1326,12)</f>
        <v/>
      </c>
      <c r="O1326" s="16" t="inlineStr">
        <is>
          <t>EETJF24E01, (57)D/Indigo, (165)165</t>
        </is>
      </c>
      <c r="P1326" s="16" t="n">
        <v>799</v>
      </c>
      <c r="Q1326" s="16" t="n">
        <v>799</v>
      </c>
      <c r="R1326" s="16" t="n"/>
      <c r="S1326" s="16" t="n"/>
      <c r="T1326" s="16" t="n">
        <v>4</v>
      </c>
    </row>
    <row r="1327" s="103">
      <c r="A1327" s="16" t="inlineStr">
        <is>
          <t>B331</t>
        </is>
      </c>
      <c r="B1327" s="16" t="inlineStr">
        <is>
          <t>上海区域</t>
        </is>
      </c>
      <c r="C1327" s="16" t="inlineStr">
        <is>
          <t>CN0Q</t>
        </is>
      </c>
      <c r="D1327" s="16" t="inlineStr">
        <is>
          <t>EE 苏州比斯特购物村</t>
        </is>
      </c>
      <c r="E1327" s="16" t="n">
        <v>4</v>
      </c>
      <c r="F1327" s="16" t="inlineStr">
        <is>
          <t>奥特莱斯</t>
        </is>
      </c>
      <c r="G1327" s="16" t="inlineStr">
        <is>
          <t>EETJF24E01</t>
        </is>
      </c>
      <c r="H1327" s="16" t="n">
        <v>799</v>
      </c>
      <c r="I1327" s="16" t="n">
        <v>799</v>
      </c>
      <c r="J1327" s="17" t="inlineStr">
        <is>
          <t>########</t>
        </is>
      </c>
      <c r="K1327" s="16" t="inlineStr">
        <is>
          <t>(57)D/Indigo</t>
        </is>
      </c>
      <c r="L1327" s="16" t="inlineStr">
        <is>
          <t>营业中</t>
        </is>
      </c>
      <c r="M1327" s="16" t="inlineStr">
        <is>
          <t>EETJF24E0157170</t>
        </is>
      </c>
      <c r="N1327" s="16">
        <f>LEFT(M1327,12)</f>
        <v/>
      </c>
      <c r="O1327" s="16" t="inlineStr">
        <is>
          <t>EETJF24E01, (57)D/Indigo, (170)170</t>
        </is>
      </c>
      <c r="P1327" s="16" t="n">
        <v>799</v>
      </c>
      <c r="Q1327" s="16" t="n">
        <v>799</v>
      </c>
      <c r="R1327" s="16" t="n"/>
      <c r="S1327" s="16" t="n"/>
      <c r="T1327" s="16" t="n">
        <v>3</v>
      </c>
    </row>
    <row r="1328" s="103">
      <c r="A1328" s="16" t="inlineStr">
        <is>
          <t>B331</t>
        </is>
      </c>
      <c r="B1328" s="16" t="inlineStr">
        <is>
          <t>上海区域</t>
        </is>
      </c>
      <c r="C1328" s="16" t="inlineStr">
        <is>
          <t>CN0Q</t>
        </is>
      </c>
      <c r="D1328" s="16" t="inlineStr">
        <is>
          <t>EE 苏州比斯特购物村</t>
        </is>
      </c>
      <c r="E1328" s="16" t="n">
        <v>4</v>
      </c>
      <c r="F1328" s="16" t="inlineStr">
        <is>
          <t>奥特莱斯</t>
        </is>
      </c>
      <c r="G1328" s="16" t="inlineStr">
        <is>
          <t>EETJF24M04</t>
        </is>
      </c>
      <c r="H1328" s="16" t="n">
        <v>799</v>
      </c>
      <c r="I1328" s="16" t="n">
        <v>799</v>
      </c>
      <c r="J1328" s="17" t="inlineStr">
        <is>
          <t>########</t>
        </is>
      </c>
      <c r="K1328" s="16" t="inlineStr">
        <is>
          <t>(39)Ivory</t>
        </is>
      </c>
      <c r="L1328" s="16" t="inlineStr">
        <is>
          <t>营业中</t>
        </is>
      </c>
      <c r="M1328" s="16" t="inlineStr">
        <is>
          <t>EETJF24M0439155</t>
        </is>
      </c>
      <c r="N1328" s="16">
        <f>LEFT(M1328,12)</f>
        <v/>
      </c>
      <c r="O1328" s="16" t="inlineStr">
        <is>
          <t>EETJF24M04, (39)Ivory, (155)155</t>
        </is>
      </c>
      <c r="P1328" s="16" t="n">
        <v>799</v>
      </c>
      <c r="Q1328" s="16" t="n">
        <v>799</v>
      </c>
      <c r="R1328" s="16" t="n">
        <v>1</v>
      </c>
      <c r="S1328" s="16" t="n">
        <v>240</v>
      </c>
      <c r="T1328" s="16" t="n">
        <v>1</v>
      </c>
    </row>
    <row r="1329" s="103">
      <c r="A1329" s="16" t="inlineStr">
        <is>
          <t>B331</t>
        </is>
      </c>
      <c r="B1329" s="16" t="inlineStr">
        <is>
          <t>上海区域</t>
        </is>
      </c>
      <c r="C1329" s="16" t="inlineStr">
        <is>
          <t>CN0Q</t>
        </is>
      </c>
      <c r="D1329" s="16" t="inlineStr">
        <is>
          <t>EE 苏州比斯特购物村</t>
        </is>
      </c>
      <c r="E1329" s="16" t="n">
        <v>4</v>
      </c>
      <c r="F1329" s="16" t="inlineStr">
        <is>
          <t>奥特莱斯</t>
        </is>
      </c>
      <c r="G1329" s="16" t="inlineStr">
        <is>
          <t>EETJF24M04</t>
        </is>
      </c>
      <c r="H1329" s="16" t="n">
        <v>799</v>
      </c>
      <c r="I1329" s="16" t="n">
        <v>799</v>
      </c>
      <c r="J1329" s="17" t="inlineStr">
        <is>
          <t>########</t>
        </is>
      </c>
      <c r="K1329" s="16" t="inlineStr">
        <is>
          <t>(39)Ivory</t>
        </is>
      </c>
      <c r="L1329" s="16" t="inlineStr">
        <is>
          <t>营业中</t>
        </is>
      </c>
      <c r="M1329" s="16" t="inlineStr">
        <is>
          <t>EETJF24M0439160</t>
        </is>
      </c>
      <c r="N1329" s="16">
        <f>LEFT(M1329,12)</f>
        <v/>
      </c>
      <c r="O1329" s="16" t="inlineStr">
        <is>
          <t>EETJF24M04, (39)Ivory, (160)160</t>
        </is>
      </c>
      <c r="P1329" s="16" t="n">
        <v>799</v>
      </c>
      <c r="Q1329" s="16" t="n">
        <v>799</v>
      </c>
      <c r="R1329" s="16" t="n">
        <v>2</v>
      </c>
      <c r="S1329" s="16" t="n">
        <v>735</v>
      </c>
      <c r="T1329" s="16" t="n">
        <v>2</v>
      </c>
    </row>
    <row r="1330" s="103">
      <c r="A1330" s="16" t="inlineStr">
        <is>
          <t>B331</t>
        </is>
      </c>
      <c r="B1330" s="16" t="inlineStr">
        <is>
          <t>上海区域</t>
        </is>
      </c>
      <c r="C1330" s="16" t="inlineStr">
        <is>
          <t>CN0Q</t>
        </is>
      </c>
      <c r="D1330" s="16" t="inlineStr">
        <is>
          <t>EE 苏州比斯特购物村</t>
        </is>
      </c>
      <c r="E1330" s="16" t="n">
        <v>4</v>
      </c>
      <c r="F1330" s="16" t="inlineStr">
        <is>
          <t>奥特莱斯</t>
        </is>
      </c>
      <c r="G1330" s="16" t="inlineStr">
        <is>
          <t>EETJF24M04</t>
        </is>
      </c>
      <c r="H1330" s="16" t="n">
        <v>799</v>
      </c>
      <c r="I1330" s="16" t="n">
        <v>799</v>
      </c>
      <c r="J1330" s="17" t="inlineStr">
        <is>
          <t>########</t>
        </is>
      </c>
      <c r="K1330" s="16" t="inlineStr">
        <is>
          <t>(39)Ivory</t>
        </is>
      </c>
      <c r="L1330" s="16" t="inlineStr">
        <is>
          <t>营业中</t>
        </is>
      </c>
      <c r="M1330" s="16" t="inlineStr">
        <is>
          <t>EETJF24M0439165</t>
        </is>
      </c>
      <c r="N1330" s="16">
        <f>LEFT(M1330,12)</f>
        <v/>
      </c>
      <c r="O1330" s="16" t="inlineStr">
        <is>
          <t>EETJF24M04, (39)Ivory, (165)165</t>
        </is>
      </c>
      <c r="P1330" s="16" t="n">
        <v>799</v>
      </c>
      <c r="Q1330" s="16" t="n">
        <v>799</v>
      </c>
      <c r="R1330" s="16" t="n"/>
      <c r="S1330" s="16" t="n"/>
      <c r="T1330" s="16" t="n">
        <v>3</v>
      </c>
    </row>
    <row r="1331" s="103">
      <c r="A1331" s="16" t="inlineStr">
        <is>
          <t>B331</t>
        </is>
      </c>
      <c r="B1331" s="16" t="inlineStr">
        <is>
          <t>上海区域</t>
        </is>
      </c>
      <c r="C1331" s="16" t="inlineStr">
        <is>
          <t>CN0Q</t>
        </is>
      </c>
      <c r="D1331" s="16" t="inlineStr">
        <is>
          <t>EE 苏州比斯特购物村</t>
        </is>
      </c>
      <c r="E1331" s="16" t="n">
        <v>4</v>
      </c>
      <c r="F1331" s="16" t="inlineStr">
        <is>
          <t>奥特莱斯</t>
        </is>
      </c>
      <c r="G1331" s="16" t="inlineStr">
        <is>
          <t>EETJF24M04</t>
        </is>
      </c>
      <c r="H1331" s="16" t="n">
        <v>799</v>
      </c>
      <c r="I1331" s="16" t="n">
        <v>799</v>
      </c>
      <c r="J1331" s="17" t="inlineStr">
        <is>
          <t>########</t>
        </is>
      </c>
      <c r="K1331" s="16" t="inlineStr">
        <is>
          <t>(39)Ivory</t>
        </is>
      </c>
      <c r="L1331" s="16" t="inlineStr">
        <is>
          <t>营业中</t>
        </is>
      </c>
      <c r="M1331" s="16" t="inlineStr">
        <is>
          <t>EETJF24M0439170</t>
        </is>
      </c>
      <c r="N1331" s="16">
        <f>LEFT(M1331,12)</f>
        <v/>
      </c>
      <c r="O1331" s="16" t="inlineStr">
        <is>
          <t>EETJF24M04, (39)Ivory, (170)170</t>
        </is>
      </c>
      <c r="P1331" s="16" t="n">
        <v>799</v>
      </c>
      <c r="Q1331" s="16" t="n">
        <v>799</v>
      </c>
      <c r="R1331" s="16" t="n"/>
      <c r="S1331" s="16" t="n"/>
      <c r="T1331" s="16" t="n">
        <v>3</v>
      </c>
    </row>
    <row r="1332" s="103">
      <c r="A1332" s="16" t="inlineStr">
        <is>
          <t>B331</t>
        </is>
      </c>
      <c r="B1332" s="16" t="inlineStr">
        <is>
          <t>上海区域</t>
        </is>
      </c>
      <c r="C1332" s="16" t="inlineStr">
        <is>
          <t>CN0Q</t>
        </is>
      </c>
      <c r="D1332" s="16" t="inlineStr">
        <is>
          <t>EE 苏州比斯特购物村</t>
        </is>
      </c>
      <c r="E1332" s="16" t="n">
        <v>4</v>
      </c>
      <c r="F1332" s="16" t="inlineStr">
        <is>
          <t>奥特莱斯</t>
        </is>
      </c>
      <c r="G1332" s="16" t="inlineStr">
        <is>
          <t>EETJF24M04</t>
        </is>
      </c>
      <c r="H1332" s="16" t="n">
        <v>799</v>
      </c>
      <c r="I1332" s="16" t="n">
        <v>799</v>
      </c>
      <c r="J1332" s="17" t="inlineStr">
        <is>
          <t>########</t>
        </is>
      </c>
      <c r="K1332" s="16" t="inlineStr">
        <is>
          <t>(64)Cream</t>
        </is>
      </c>
      <c r="L1332" s="16" t="inlineStr">
        <is>
          <t>营业中</t>
        </is>
      </c>
      <c r="M1332" s="16" t="inlineStr">
        <is>
          <t>EETJF24M0464155</t>
        </is>
      </c>
      <c r="N1332" s="16">
        <f>LEFT(M1332,12)</f>
        <v/>
      </c>
      <c r="O1332" s="16" t="inlineStr">
        <is>
          <t>EETJF24M04, (64)Cream, (155)155</t>
        </is>
      </c>
      <c r="P1332" s="16" t="n">
        <v>799</v>
      </c>
      <c r="Q1332" s="16" t="n">
        <v>799</v>
      </c>
      <c r="R1332" s="16" t="n"/>
      <c r="S1332" s="16" t="n"/>
      <c r="T1332" s="16" t="n">
        <v>1</v>
      </c>
    </row>
    <row r="1333" s="103">
      <c r="A1333" s="16" t="inlineStr">
        <is>
          <t>B331</t>
        </is>
      </c>
      <c r="B1333" s="16" t="inlineStr">
        <is>
          <t>上海区域</t>
        </is>
      </c>
      <c r="C1333" s="16" t="inlineStr">
        <is>
          <t>CN0Q</t>
        </is>
      </c>
      <c r="D1333" s="16" t="inlineStr">
        <is>
          <t>EE 苏州比斯特购物村</t>
        </is>
      </c>
      <c r="E1333" s="16" t="n">
        <v>4</v>
      </c>
      <c r="F1333" s="16" t="inlineStr">
        <is>
          <t>奥特莱斯</t>
        </is>
      </c>
      <c r="G1333" s="16" t="inlineStr">
        <is>
          <t>EETJF24M04</t>
        </is>
      </c>
      <c r="H1333" s="16" t="n">
        <v>799</v>
      </c>
      <c r="I1333" s="16" t="n">
        <v>799</v>
      </c>
      <c r="J1333" s="17" t="inlineStr">
        <is>
          <t>########</t>
        </is>
      </c>
      <c r="K1333" s="16" t="inlineStr">
        <is>
          <t>(64)Cream</t>
        </is>
      </c>
      <c r="L1333" s="16" t="inlineStr">
        <is>
          <t>营业中</t>
        </is>
      </c>
      <c r="M1333" s="16" t="inlineStr">
        <is>
          <t>EETJF24M0464160</t>
        </is>
      </c>
      <c r="N1333" s="16">
        <f>LEFT(M1333,12)</f>
        <v/>
      </c>
      <c r="O1333" s="16" t="inlineStr">
        <is>
          <t>EETJF24M04, (64)Cream, (160)160</t>
        </is>
      </c>
      <c r="P1333" s="16" t="n">
        <v>799</v>
      </c>
      <c r="Q1333" s="16" t="n">
        <v>799</v>
      </c>
      <c r="R1333" s="16" t="n">
        <v>1</v>
      </c>
      <c r="S1333" s="16" t="n">
        <v>365</v>
      </c>
      <c r="T1333" s="16" t="n">
        <v>0</v>
      </c>
    </row>
    <row r="1334" s="103">
      <c r="A1334" s="16" t="inlineStr">
        <is>
          <t>B331</t>
        </is>
      </c>
      <c r="B1334" s="16" t="inlineStr">
        <is>
          <t>上海区域</t>
        </is>
      </c>
      <c r="C1334" s="16" t="inlineStr">
        <is>
          <t>CN0Q</t>
        </is>
      </c>
      <c r="D1334" s="16" t="inlineStr">
        <is>
          <t>EE 苏州比斯特购物村</t>
        </is>
      </c>
      <c r="E1334" s="16" t="n">
        <v>4</v>
      </c>
      <c r="F1334" s="16" t="inlineStr">
        <is>
          <t>奥特莱斯</t>
        </is>
      </c>
      <c r="G1334" s="16" t="inlineStr">
        <is>
          <t>EETJF24M04</t>
        </is>
      </c>
      <c r="H1334" s="16" t="n">
        <v>799</v>
      </c>
      <c r="I1334" s="16" t="n">
        <v>799</v>
      </c>
      <c r="J1334" s="17" t="inlineStr">
        <is>
          <t>########</t>
        </is>
      </c>
      <c r="K1334" s="16" t="inlineStr">
        <is>
          <t>(64)Cream</t>
        </is>
      </c>
      <c r="L1334" s="16" t="inlineStr">
        <is>
          <t>营业中</t>
        </is>
      </c>
      <c r="M1334" s="16" t="inlineStr">
        <is>
          <t>EETJF24M0464170</t>
        </is>
      </c>
      <c r="N1334" s="16">
        <f>LEFT(M1334,12)</f>
        <v/>
      </c>
      <c r="O1334" s="16" t="inlineStr">
        <is>
          <t>EETJF24M04, (64)Cream, (170)170</t>
        </is>
      </c>
      <c r="P1334" s="16" t="n">
        <v>799</v>
      </c>
      <c r="Q1334" s="16" t="n">
        <v>799</v>
      </c>
      <c r="R1334" s="16" t="n"/>
      <c r="S1334" s="16" t="n"/>
      <c r="T1334" s="16" t="n">
        <v>4</v>
      </c>
    </row>
    <row r="1335" s="103">
      <c r="A1335" s="16" t="inlineStr">
        <is>
          <t>B331</t>
        </is>
      </c>
      <c r="B1335" s="16" t="inlineStr">
        <is>
          <t>上海区域</t>
        </is>
      </c>
      <c r="C1335" s="16" t="inlineStr">
        <is>
          <t>CN0Q</t>
        </is>
      </c>
      <c r="D1335" s="16" t="inlineStr">
        <is>
          <t>EE 苏州比斯特购物村</t>
        </is>
      </c>
      <c r="E1335" s="16" t="n">
        <v>4</v>
      </c>
      <c r="F1335" s="16" t="inlineStr">
        <is>
          <t>奥特莱斯</t>
        </is>
      </c>
      <c r="G1335" s="16" t="inlineStr">
        <is>
          <t>EETJF25M01</t>
        </is>
      </c>
      <c r="H1335" s="16" t="n">
        <v>499</v>
      </c>
      <c r="I1335" s="16" t="n">
        <v>499</v>
      </c>
      <c r="J1335" s="17" t="inlineStr">
        <is>
          <t>########</t>
        </is>
      </c>
      <c r="K1335" s="16" t="inlineStr">
        <is>
          <t>(55)Indigo</t>
        </is>
      </c>
      <c r="L1335" s="16" t="inlineStr">
        <is>
          <t>营业中</t>
        </is>
      </c>
      <c r="M1335" s="16" t="inlineStr">
        <is>
          <t>EETJF25M0155155</t>
        </is>
      </c>
      <c r="N1335" s="16">
        <f>LEFT(M1335,12)</f>
        <v/>
      </c>
      <c r="O1335" s="16" t="inlineStr">
        <is>
          <t>EETJF25M01, (55)Indigo, (155)155</t>
        </is>
      </c>
      <c r="P1335" s="16" t="n">
        <v>499</v>
      </c>
      <c r="Q1335" s="16" t="n">
        <v>499</v>
      </c>
      <c r="R1335" s="16" t="n"/>
      <c r="S1335" s="16" t="n"/>
      <c r="T1335" s="16" t="n">
        <v>1</v>
      </c>
    </row>
    <row r="1336" s="103">
      <c r="A1336" s="16" t="inlineStr">
        <is>
          <t>B331</t>
        </is>
      </c>
      <c r="B1336" s="16" t="inlineStr">
        <is>
          <t>上海区域</t>
        </is>
      </c>
      <c r="C1336" s="16" t="inlineStr">
        <is>
          <t>CN0Q</t>
        </is>
      </c>
      <c r="D1336" s="16" t="inlineStr">
        <is>
          <t>EE 苏州比斯特购物村</t>
        </is>
      </c>
      <c r="E1336" s="16" t="n">
        <v>4</v>
      </c>
      <c r="F1336" s="16" t="inlineStr">
        <is>
          <t>奥特莱斯</t>
        </is>
      </c>
      <c r="G1336" s="16" t="inlineStr">
        <is>
          <t>EETJF25M01</t>
        </is>
      </c>
      <c r="H1336" s="16" t="n">
        <v>499</v>
      </c>
      <c r="I1336" s="16" t="n">
        <v>499</v>
      </c>
      <c r="J1336" s="17" t="inlineStr">
        <is>
          <t>########</t>
        </is>
      </c>
      <c r="K1336" s="16" t="inlineStr">
        <is>
          <t>(55)Indigo</t>
        </is>
      </c>
      <c r="L1336" s="16" t="inlineStr">
        <is>
          <t>营业中</t>
        </is>
      </c>
      <c r="M1336" s="16" t="inlineStr">
        <is>
          <t>EETJF25M0155160</t>
        </is>
      </c>
      <c r="N1336" s="16">
        <f>LEFT(M1336,12)</f>
        <v/>
      </c>
      <c r="O1336" s="16" t="inlineStr">
        <is>
          <t>EETJF25M01, (55)Indigo, (160)160</t>
        </is>
      </c>
      <c r="P1336" s="16" t="n">
        <v>499</v>
      </c>
      <c r="Q1336" s="16" t="n">
        <v>499</v>
      </c>
      <c r="R1336" s="16" t="n"/>
      <c r="S1336" s="16" t="n"/>
      <c r="T1336" s="16" t="n">
        <v>2</v>
      </c>
    </row>
    <row r="1337" s="103">
      <c r="A1337" s="16" t="inlineStr">
        <is>
          <t>B331</t>
        </is>
      </c>
      <c r="B1337" s="16" t="inlineStr">
        <is>
          <t>上海区域</t>
        </is>
      </c>
      <c r="C1337" s="16" t="inlineStr">
        <is>
          <t>CN0Q</t>
        </is>
      </c>
      <c r="D1337" s="16" t="inlineStr">
        <is>
          <t>EE 苏州比斯特购物村</t>
        </is>
      </c>
      <c r="E1337" s="16" t="n">
        <v>4</v>
      </c>
      <c r="F1337" s="16" t="inlineStr">
        <is>
          <t>奥特莱斯</t>
        </is>
      </c>
      <c r="G1337" s="16" t="inlineStr">
        <is>
          <t>EETJF25M01</t>
        </is>
      </c>
      <c r="H1337" s="16" t="n">
        <v>499</v>
      </c>
      <c r="I1337" s="16" t="n">
        <v>499</v>
      </c>
      <c r="J1337" s="17" t="inlineStr">
        <is>
          <t>########</t>
        </is>
      </c>
      <c r="K1337" s="16" t="inlineStr">
        <is>
          <t>(55)Indigo</t>
        </is>
      </c>
      <c r="L1337" s="16" t="inlineStr">
        <is>
          <t>营业中</t>
        </is>
      </c>
      <c r="M1337" s="16" t="inlineStr">
        <is>
          <t>EETJF25M0155165</t>
        </is>
      </c>
      <c r="N1337" s="16">
        <f>LEFT(M1337,12)</f>
        <v/>
      </c>
      <c r="O1337" s="16" t="inlineStr">
        <is>
          <t>EETJF25M01, (55)Indigo, (165)165</t>
        </is>
      </c>
      <c r="P1337" s="16" t="n">
        <v>499</v>
      </c>
      <c r="Q1337" s="16" t="n">
        <v>499</v>
      </c>
      <c r="R1337" s="16" t="n"/>
      <c r="S1337" s="16" t="n"/>
      <c r="T1337" s="16" t="n">
        <v>2</v>
      </c>
    </row>
    <row r="1338" s="103">
      <c r="A1338" s="16" t="inlineStr">
        <is>
          <t>B331</t>
        </is>
      </c>
      <c r="B1338" s="16" t="inlineStr">
        <is>
          <t>上海区域</t>
        </is>
      </c>
      <c r="C1338" s="16" t="inlineStr">
        <is>
          <t>CN0Q</t>
        </is>
      </c>
      <c r="D1338" s="16" t="inlineStr">
        <is>
          <t>EE 苏州比斯特购物村</t>
        </is>
      </c>
      <c r="E1338" s="16" t="n">
        <v>4</v>
      </c>
      <c r="F1338" s="16" t="inlineStr">
        <is>
          <t>奥特莱斯</t>
        </is>
      </c>
      <c r="G1338" s="16" t="inlineStr">
        <is>
          <t>EETJF25M01</t>
        </is>
      </c>
      <c r="H1338" s="16" t="n">
        <v>499</v>
      </c>
      <c r="I1338" s="16" t="n">
        <v>499</v>
      </c>
      <c r="J1338" s="17" t="inlineStr">
        <is>
          <t>########</t>
        </is>
      </c>
      <c r="K1338" s="16" t="inlineStr">
        <is>
          <t>(55)Indigo</t>
        </is>
      </c>
      <c r="L1338" s="16" t="inlineStr">
        <is>
          <t>营业中</t>
        </is>
      </c>
      <c r="M1338" s="16" t="inlineStr">
        <is>
          <t>EETJF25M0155170</t>
        </is>
      </c>
      <c r="N1338" s="16">
        <f>LEFT(M1338,12)</f>
        <v/>
      </c>
      <c r="O1338" s="16" t="inlineStr">
        <is>
          <t>EETJF25M01, (55)Indigo, (170)170</t>
        </is>
      </c>
      <c r="P1338" s="16" t="n">
        <v>499</v>
      </c>
      <c r="Q1338" s="16" t="n">
        <v>499</v>
      </c>
      <c r="R1338" s="16" t="n"/>
      <c r="S1338" s="16" t="n"/>
      <c r="T1338" s="16" t="n">
        <v>2</v>
      </c>
    </row>
    <row r="1339" s="103">
      <c r="A1339" s="16" t="inlineStr">
        <is>
          <t>B331</t>
        </is>
      </c>
      <c r="B1339" s="16" t="inlineStr">
        <is>
          <t>上海区域</t>
        </is>
      </c>
      <c r="C1339" s="16" t="inlineStr">
        <is>
          <t>CN0Q</t>
        </is>
      </c>
      <c r="D1339" s="16" t="inlineStr">
        <is>
          <t>EE 苏州比斯特购物村</t>
        </is>
      </c>
      <c r="E1339" s="16" t="n">
        <v>4</v>
      </c>
      <c r="F1339" s="16" t="inlineStr">
        <is>
          <t>奥特莱斯</t>
        </is>
      </c>
      <c r="G1339" s="16" t="inlineStr">
        <is>
          <t>EETJF25M01</t>
        </is>
      </c>
      <c r="H1339" s="16" t="n">
        <v>499</v>
      </c>
      <c r="I1339" s="16" t="n">
        <v>499</v>
      </c>
      <c r="J1339" s="17" t="inlineStr">
        <is>
          <t>########</t>
        </is>
      </c>
      <c r="K1339" s="16" t="inlineStr">
        <is>
          <t>(57)D/Indigo</t>
        </is>
      </c>
      <c r="L1339" s="16" t="inlineStr">
        <is>
          <t>营业中</t>
        </is>
      </c>
      <c r="M1339" s="16" t="inlineStr">
        <is>
          <t>EETJF25M0157155</t>
        </is>
      </c>
      <c r="N1339" s="16">
        <f>LEFT(M1339,12)</f>
        <v/>
      </c>
      <c r="O1339" s="16" t="inlineStr">
        <is>
          <t>EETJF25M01, (57)D/Indigo, (155)155</t>
        </is>
      </c>
      <c r="P1339" s="16" t="n">
        <v>499</v>
      </c>
      <c r="Q1339" s="16" t="n">
        <v>499</v>
      </c>
      <c r="R1339" s="16" t="n"/>
      <c r="S1339" s="16" t="n"/>
      <c r="T1339" s="16" t="n">
        <v>1</v>
      </c>
    </row>
    <row r="1340" s="103">
      <c r="A1340" s="16" t="inlineStr">
        <is>
          <t>B331</t>
        </is>
      </c>
      <c r="B1340" s="16" t="inlineStr">
        <is>
          <t>上海区域</t>
        </is>
      </c>
      <c r="C1340" s="16" t="inlineStr">
        <is>
          <t>CN0Q</t>
        </is>
      </c>
      <c r="D1340" s="16" t="inlineStr">
        <is>
          <t>EE 苏州比斯特购物村</t>
        </is>
      </c>
      <c r="E1340" s="16" t="n">
        <v>4</v>
      </c>
      <c r="F1340" s="16" t="inlineStr">
        <is>
          <t>奥特莱斯</t>
        </is>
      </c>
      <c r="G1340" s="16" t="inlineStr">
        <is>
          <t>EETJF25M01</t>
        </is>
      </c>
      <c r="H1340" s="16" t="n">
        <v>499</v>
      </c>
      <c r="I1340" s="16" t="n">
        <v>499</v>
      </c>
      <c r="J1340" s="17" t="inlineStr">
        <is>
          <t>########</t>
        </is>
      </c>
      <c r="K1340" s="16" t="inlineStr">
        <is>
          <t>(57)D/Indigo</t>
        </is>
      </c>
      <c r="L1340" s="16" t="inlineStr">
        <is>
          <t>营业中</t>
        </is>
      </c>
      <c r="M1340" s="16" t="inlineStr">
        <is>
          <t>EETJF25M0157160</t>
        </is>
      </c>
      <c r="N1340" s="16">
        <f>LEFT(M1340,12)</f>
        <v/>
      </c>
      <c r="O1340" s="16" t="inlineStr">
        <is>
          <t>EETJF25M01, (57)D/Indigo, (160)160</t>
        </is>
      </c>
      <c r="P1340" s="16" t="n">
        <v>499</v>
      </c>
      <c r="Q1340" s="16" t="n">
        <v>499</v>
      </c>
      <c r="R1340" s="16" t="n"/>
      <c r="S1340" s="16" t="n"/>
      <c r="T1340" s="16" t="n">
        <v>3</v>
      </c>
    </row>
    <row r="1341" s="103">
      <c r="A1341" s="16" t="inlineStr">
        <is>
          <t>B331</t>
        </is>
      </c>
      <c r="B1341" s="16" t="inlineStr">
        <is>
          <t>上海区域</t>
        </is>
      </c>
      <c r="C1341" s="16" t="inlineStr">
        <is>
          <t>CN0Q</t>
        </is>
      </c>
      <c r="D1341" s="16" t="inlineStr">
        <is>
          <t>EE 苏州比斯特购物村</t>
        </is>
      </c>
      <c r="E1341" s="16" t="n">
        <v>4</v>
      </c>
      <c r="F1341" s="16" t="inlineStr">
        <is>
          <t>奥特莱斯</t>
        </is>
      </c>
      <c r="G1341" s="16" t="inlineStr">
        <is>
          <t>EETJF25M01</t>
        </is>
      </c>
      <c r="H1341" s="16" t="n">
        <v>499</v>
      </c>
      <c r="I1341" s="16" t="n">
        <v>499</v>
      </c>
      <c r="J1341" s="17" t="inlineStr">
        <is>
          <t>########</t>
        </is>
      </c>
      <c r="K1341" s="16" t="inlineStr">
        <is>
          <t>(57)D/Indigo</t>
        </is>
      </c>
      <c r="L1341" s="16" t="inlineStr">
        <is>
          <t>营业中</t>
        </is>
      </c>
      <c r="M1341" s="16" t="inlineStr">
        <is>
          <t>EETJF25M0157165</t>
        </is>
      </c>
      <c r="N1341" s="16">
        <f>LEFT(M1341,12)</f>
        <v/>
      </c>
      <c r="O1341" s="16" t="inlineStr">
        <is>
          <t>EETJF25M01, (57)D/Indigo, (165)165</t>
        </is>
      </c>
      <c r="P1341" s="16" t="n">
        <v>499</v>
      </c>
      <c r="Q1341" s="16" t="n">
        <v>499</v>
      </c>
      <c r="R1341" s="16" t="n"/>
      <c r="S1341" s="16" t="n"/>
      <c r="T1341" s="16" t="n">
        <v>2</v>
      </c>
    </row>
    <row r="1342" s="103">
      <c r="A1342" s="16" t="inlineStr">
        <is>
          <t>B331</t>
        </is>
      </c>
      <c r="B1342" s="16" t="inlineStr">
        <is>
          <t>上海区域</t>
        </is>
      </c>
      <c r="C1342" s="16" t="inlineStr">
        <is>
          <t>CN0Q</t>
        </is>
      </c>
      <c r="D1342" s="16" t="inlineStr">
        <is>
          <t>EE 苏州比斯特购物村</t>
        </is>
      </c>
      <c r="E1342" s="16" t="n">
        <v>4</v>
      </c>
      <c r="F1342" s="16" t="inlineStr">
        <is>
          <t>奥特莱斯</t>
        </is>
      </c>
      <c r="G1342" s="16" t="inlineStr">
        <is>
          <t>EETJF25M01</t>
        </is>
      </c>
      <c r="H1342" s="16" t="n">
        <v>499</v>
      </c>
      <c r="I1342" s="16" t="n">
        <v>499</v>
      </c>
      <c r="J1342" s="17" t="inlineStr">
        <is>
          <t>########</t>
        </is>
      </c>
      <c r="K1342" s="16" t="inlineStr">
        <is>
          <t>(57)D/Indigo</t>
        </is>
      </c>
      <c r="L1342" s="16" t="inlineStr">
        <is>
          <t>营业中</t>
        </is>
      </c>
      <c r="M1342" s="16" t="inlineStr">
        <is>
          <t>EETJF25M0157170</t>
        </is>
      </c>
      <c r="N1342" s="16">
        <f>LEFT(M1342,12)</f>
        <v/>
      </c>
      <c r="O1342" s="16" t="inlineStr">
        <is>
          <t>EETJF25M01, (57)D/Indigo, (170)170</t>
        </is>
      </c>
      <c r="P1342" s="16" t="n">
        <v>499</v>
      </c>
      <c r="Q1342" s="16" t="n">
        <v>499</v>
      </c>
      <c r="R1342" s="16" t="n"/>
      <c r="S1342" s="16" t="n"/>
      <c r="T1342" s="16" t="n">
        <v>2</v>
      </c>
    </row>
    <row r="1343" s="103">
      <c r="A1343" s="16" t="inlineStr">
        <is>
          <t>B331</t>
        </is>
      </c>
      <c r="B1343" s="16" t="inlineStr">
        <is>
          <t>上海区域</t>
        </is>
      </c>
      <c r="C1343" s="16" t="inlineStr">
        <is>
          <t>CN0Q</t>
        </is>
      </c>
      <c r="D1343" s="16" t="inlineStr">
        <is>
          <t>EE 苏州比斯特购物村</t>
        </is>
      </c>
      <c r="E1343" s="16" t="n">
        <v>4</v>
      </c>
      <c r="F1343" s="16" t="inlineStr">
        <is>
          <t>奥特莱斯</t>
        </is>
      </c>
      <c r="G1343" s="16" t="inlineStr">
        <is>
          <t>EETJF25M03</t>
        </is>
      </c>
      <c r="H1343" s="16" t="n">
        <v>599</v>
      </c>
      <c r="I1343" s="16" t="n">
        <v>599</v>
      </c>
      <c r="J1343" s="17" t="inlineStr">
        <is>
          <t>########</t>
        </is>
      </c>
      <c r="K1343" s="16" t="inlineStr">
        <is>
          <t>(01)M/Indigo</t>
        </is>
      </c>
      <c r="L1343" s="16" t="inlineStr">
        <is>
          <t>营业中</t>
        </is>
      </c>
      <c r="M1343" s="16" t="inlineStr">
        <is>
          <t>EETJF25M0301155</t>
        </is>
      </c>
      <c r="N1343" s="16">
        <f>LEFT(M1343,12)</f>
        <v/>
      </c>
      <c r="O1343" s="16" t="inlineStr">
        <is>
          <t>EETJF25M03, (01)M/Indigo, (155)155</t>
        </is>
      </c>
      <c r="P1343" s="16" t="n">
        <v>599</v>
      </c>
      <c r="Q1343" s="16" t="n">
        <v>599</v>
      </c>
      <c r="R1343" s="16" t="n"/>
      <c r="S1343" s="16" t="n"/>
      <c r="T1343" s="16" t="n">
        <v>1</v>
      </c>
    </row>
    <row r="1344" s="103">
      <c r="A1344" s="16" t="inlineStr">
        <is>
          <t>B331</t>
        </is>
      </c>
      <c r="B1344" s="16" t="inlineStr">
        <is>
          <t>上海区域</t>
        </is>
      </c>
      <c r="C1344" s="16" t="inlineStr">
        <is>
          <t>CN0Q</t>
        </is>
      </c>
      <c r="D1344" s="16" t="inlineStr">
        <is>
          <t>EE 苏州比斯特购物村</t>
        </is>
      </c>
      <c r="E1344" s="16" t="n">
        <v>4</v>
      </c>
      <c r="F1344" s="16" t="inlineStr">
        <is>
          <t>奥特莱斯</t>
        </is>
      </c>
      <c r="G1344" s="16" t="inlineStr">
        <is>
          <t>EETJF25M03</t>
        </is>
      </c>
      <c r="H1344" s="16" t="n">
        <v>599</v>
      </c>
      <c r="I1344" s="16" t="n">
        <v>599</v>
      </c>
      <c r="J1344" s="17" t="inlineStr">
        <is>
          <t>########</t>
        </is>
      </c>
      <c r="K1344" s="16" t="inlineStr">
        <is>
          <t>(01)M/Indigo</t>
        </is>
      </c>
      <c r="L1344" s="16" t="inlineStr">
        <is>
          <t>营业中</t>
        </is>
      </c>
      <c r="M1344" s="16" t="inlineStr">
        <is>
          <t>EETJF25M0301160</t>
        </is>
      </c>
      <c r="N1344" s="16">
        <f>LEFT(M1344,12)</f>
        <v/>
      </c>
      <c r="O1344" s="16" t="inlineStr">
        <is>
          <t>EETJF25M03, (01)M/Indigo, (160)160</t>
        </is>
      </c>
      <c r="P1344" s="16" t="n">
        <v>599</v>
      </c>
      <c r="Q1344" s="16" t="n">
        <v>599</v>
      </c>
      <c r="R1344" s="16" t="n"/>
      <c r="S1344" s="16" t="n"/>
      <c r="T1344" s="16" t="n">
        <v>2</v>
      </c>
    </row>
    <row r="1345" s="103">
      <c r="A1345" s="16" t="inlineStr">
        <is>
          <t>B331</t>
        </is>
      </c>
      <c r="B1345" s="16" t="inlineStr">
        <is>
          <t>上海区域</t>
        </is>
      </c>
      <c r="C1345" s="16" t="inlineStr">
        <is>
          <t>CN0Q</t>
        </is>
      </c>
      <c r="D1345" s="16" t="inlineStr">
        <is>
          <t>EE 苏州比斯特购物村</t>
        </is>
      </c>
      <c r="E1345" s="16" t="n">
        <v>4</v>
      </c>
      <c r="F1345" s="16" t="inlineStr">
        <is>
          <t>奥特莱斯</t>
        </is>
      </c>
      <c r="G1345" s="16" t="inlineStr">
        <is>
          <t>EETJF25M03</t>
        </is>
      </c>
      <c r="H1345" s="16" t="n">
        <v>599</v>
      </c>
      <c r="I1345" s="16" t="n">
        <v>599</v>
      </c>
      <c r="J1345" s="17" t="inlineStr">
        <is>
          <t>########</t>
        </is>
      </c>
      <c r="K1345" s="16" t="inlineStr">
        <is>
          <t>(01)M/Indigo</t>
        </is>
      </c>
      <c r="L1345" s="16" t="inlineStr">
        <is>
          <t>营业中</t>
        </is>
      </c>
      <c r="M1345" s="16" t="inlineStr">
        <is>
          <t>EETJF25M0301165</t>
        </is>
      </c>
      <c r="N1345" s="16">
        <f>LEFT(M1345,12)</f>
        <v/>
      </c>
      <c r="O1345" s="16" t="inlineStr">
        <is>
          <t>EETJF25M03, (01)M/Indigo, (165)165</t>
        </is>
      </c>
      <c r="P1345" s="16" t="n">
        <v>599</v>
      </c>
      <c r="Q1345" s="16" t="n">
        <v>599</v>
      </c>
      <c r="R1345" s="16" t="n"/>
      <c r="S1345" s="16" t="n"/>
      <c r="T1345" s="16" t="n">
        <v>2</v>
      </c>
    </row>
    <row r="1346" s="103">
      <c r="A1346" s="16" t="inlineStr">
        <is>
          <t>B331</t>
        </is>
      </c>
      <c r="B1346" s="16" t="inlineStr">
        <is>
          <t>上海区域</t>
        </is>
      </c>
      <c r="C1346" s="16" t="inlineStr">
        <is>
          <t>CN0Q</t>
        </is>
      </c>
      <c r="D1346" s="16" t="inlineStr">
        <is>
          <t>EE 苏州比斯特购物村</t>
        </is>
      </c>
      <c r="E1346" s="16" t="n">
        <v>4</v>
      </c>
      <c r="F1346" s="16" t="inlineStr">
        <is>
          <t>奥特莱斯</t>
        </is>
      </c>
      <c r="G1346" s="16" t="inlineStr">
        <is>
          <t>EETJF25M03</t>
        </is>
      </c>
      <c r="H1346" s="16" t="n">
        <v>599</v>
      </c>
      <c r="I1346" s="16" t="n">
        <v>599</v>
      </c>
      <c r="J1346" s="17" t="inlineStr">
        <is>
          <t>########</t>
        </is>
      </c>
      <c r="K1346" s="16" t="inlineStr">
        <is>
          <t>(01)M/Indigo</t>
        </is>
      </c>
      <c r="L1346" s="16" t="inlineStr">
        <is>
          <t>营业中</t>
        </is>
      </c>
      <c r="M1346" s="16" t="inlineStr">
        <is>
          <t>EETJF25M0301170</t>
        </is>
      </c>
      <c r="N1346" s="16">
        <f>LEFT(M1346,12)</f>
        <v/>
      </c>
      <c r="O1346" s="16" t="inlineStr">
        <is>
          <t>EETJF25M03, (01)M/Indigo, (170)170</t>
        </is>
      </c>
      <c r="P1346" s="16" t="n">
        <v>599</v>
      </c>
      <c r="Q1346" s="16" t="n">
        <v>599</v>
      </c>
      <c r="R1346" s="16" t="n"/>
      <c r="S1346" s="16" t="n"/>
      <c r="T1346" s="16" t="n">
        <v>1</v>
      </c>
    </row>
    <row r="1347" s="103">
      <c r="A1347" s="16" t="inlineStr">
        <is>
          <t>B331</t>
        </is>
      </c>
      <c r="B1347" s="16" t="inlineStr">
        <is>
          <t>上海区域</t>
        </is>
      </c>
      <c r="C1347" s="16" t="inlineStr">
        <is>
          <t>CN0Q</t>
        </is>
      </c>
      <c r="D1347" s="16" t="inlineStr">
        <is>
          <t>EE 苏州比斯特购物村</t>
        </is>
      </c>
      <c r="E1347" s="16" t="n">
        <v>4</v>
      </c>
      <c r="F1347" s="16" t="inlineStr">
        <is>
          <t>奥特莱斯</t>
        </is>
      </c>
      <c r="G1347" s="16" t="inlineStr">
        <is>
          <t>EETJF25M03</t>
        </is>
      </c>
      <c r="H1347" s="16" t="n">
        <v>599</v>
      </c>
      <c r="I1347" s="16" t="n">
        <v>599</v>
      </c>
      <c r="J1347" s="17" t="inlineStr">
        <is>
          <t>########</t>
        </is>
      </c>
      <c r="K1347" s="16" t="inlineStr">
        <is>
          <t>(57)D/Indigo</t>
        </is>
      </c>
      <c r="L1347" s="16" t="inlineStr">
        <is>
          <t>营业中</t>
        </is>
      </c>
      <c r="M1347" s="16" t="inlineStr">
        <is>
          <t>EETJF25M0357155</t>
        </is>
      </c>
      <c r="N1347" s="16">
        <f>LEFT(M1347,12)</f>
        <v/>
      </c>
      <c r="O1347" s="16" t="inlineStr">
        <is>
          <t>EETJF25M03, (57)D/Indigo, (155)155</t>
        </is>
      </c>
      <c r="P1347" s="16" t="n">
        <v>599</v>
      </c>
      <c r="Q1347" s="16" t="n">
        <v>599</v>
      </c>
      <c r="R1347" s="16" t="n"/>
      <c r="S1347" s="16" t="n"/>
      <c r="T1347" s="16" t="n">
        <v>1</v>
      </c>
    </row>
    <row r="1348" s="103">
      <c r="A1348" s="16" t="inlineStr">
        <is>
          <t>B331</t>
        </is>
      </c>
      <c r="B1348" s="16" t="inlineStr">
        <is>
          <t>上海区域</t>
        </is>
      </c>
      <c r="C1348" s="16" t="inlineStr">
        <is>
          <t>CN0Q</t>
        </is>
      </c>
      <c r="D1348" s="16" t="inlineStr">
        <is>
          <t>EE 苏州比斯特购物村</t>
        </is>
      </c>
      <c r="E1348" s="16" t="n">
        <v>4</v>
      </c>
      <c r="F1348" s="16" t="inlineStr">
        <is>
          <t>奥特莱斯</t>
        </is>
      </c>
      <c r="G1348" s="16" t="inlineStr">
        <is>
          <t>EETJF25M03</t>
        </is>
      </c>
      <c r="H1348" s="16" t="n">
        <v>599</v>
      </c>
      <c r="I1348" s="16" t="n">
        <v>599</v>
      </c>
      <c r="J1348" s="17" t="inlineStr">
        <is>
          <t>########</t>
        </is>
      </c>
      <c r="K1348" s="16" t="inlineStr">
        <is>
          <t>(57)D/Indigo</t>
        </is>
      </c>
      <c r="L1348" s="16" t="inlineStr">
        <is>
          <t>营业中</t>
        </is>
      </c>
      <c r="M1348" s="16" t="inlineStr">
        <is>
          <t>EETJF25M0357160</t>
        </is>
      </c>
      <c r="N1348" s="16">
        <f>LEFT(M1348,12)</f>
        <v/>
      </c>
      <c r="O1348" s="16" t="inlineStr">
        <is>
          <t>EETJF25M03, (57)D/Indigo, (160)160</t>
        </is>
      </c>
      <c r="P1348" s="16" t="n">
        <v>599</v>
      </c>
      <c r="Q1348" s="16" t="n">
        <v>599</v>
      </c>
      <c r="R1348" s="16" t="n"/>
      <c r="S1348" s="16" t="n"/>
      <c r="T1348" s="16" t="n">
        <v>2</v>
      </c>
    </row>
    <row r="1349" s="103">
      <c r="A1349" s="16" t="inlineStr">
        <is>
          <t>B331</t>
        </is>
      </c>
      <c r="B1349" s="16" t="inlineStr">
        <is>
          <t>上海区域</t>
        </is>
      </c>
      <c r="C1349" s="16" t="inlineStr">
        <is>
          <t>CN0Q</t>
        </is>
      </c>
      <c r="D1349" s="16" t="inlineStr">
        <is>
          <t>EE 苏州比斯特购物村</t>
        </is>
      </c>
      <c r="E1349" s="16" t="n">
        <v>4</v>
      </c>
      <c r="F1349" s="16" t="inlineStr">
        <is>
          <t>奥特莱斯</t>
        </is>
      </c>
      <c r="G1349" s="16" t="inlineStr">
        <is>
          <t>EETJF25M03</t>
        </is>
      </c>
      <c r="H1349" s="16" t="n">
        <v>599</v>
      </c>
      <c r="I1349" s="16" t="n">
        <v>599</v>
      </c>
      <c r="J1349" s="17" t="inlineStr">
        <is>
          <t>########</t>
        </is>
      </c>
      <c r="K1349" s="16" t="inlineStr">
        <is>
          <t>(57)D/Indigo</t>
        </is>
      </c>
      <c r="L1349" s="16" t="inlineStr">
        <is>
          <t>营业中</t>
        </is>
      </c>
      <c r="M1349" s="16" t="inlineStr">
        <is>
          <t>EETJF25M0357165</t>
        </is>
      </c>
      <c r="N1349" s="16">
        <f>LEFT(M1349,12)</f>
        <v/>
      </c>
      <c r="O1349" s="16" t="inlineStr">
        <is>
          <t>EETJF25M03, (57)D/Indigo, (165)165</t>
        </is>
      </c>
      <c r="P1349" s="16" t="n">
        <v>599</v>
      </c>
      <c r="Q1349" s="16" t="n">
        <v>599</v>
      </c>
      <c r="R1349" s="16" t="n"/>
      <c r="S1349" s="16" t="n"/>
      <c r="T1349" s="16" t="n">
        <v>2</v>
      </c>
    </row>
    <row r="1350" s="103">
      <c r="A1350" s="16" t="inlineStr">
        <is>
          <t>B331</t>
        </is>
      </c>
      <c r="B1350" s="16" t="inlineStr">
        <is>
          <t>上海区域</t>
        </is>
      </c>
      <c r="C1350" s="16" t="inlineStr">
        <is>
          <t>CN0Q</t>
        </is>
      </c>
      <c r="D1350" s="16" t="inlineStr">
        <is>
          <t>EE 苏州比斯特购物村</t>
        </is>
      </c>
      <c r="E1350" s="16" t="n">
        <v>4</v>
      </c>
      <c r="F1350" s="16" t="inlineStr">
        <is>
          <t>奥特莱斯</t>
        </is>
      </c>
      <c r="G1350" s="16" t="inlineStr">
        <is>
          <t>EETJF25M03</t>
        </is>
      </c>
      <c r="H1350" s="16" t="n">
        <v>599</v>
      </c>
      <c r="I1350" s="16" t="n">
        <v>599</v>
      </c>
      <c r="J1350" s="17" t="inlineStr">
        <is>
          <t>########</t>
        </is>
      </c>
      <c r="K1350" s="16" t="inlineStr">
        <is>
          <t>(57)D/Indigo</t>
        </is>
      </c>
      <c r="L1350" s="16" t="inlineStr">
        <is>
          <t>营业中</t>
        </is>
      </c>
      <c r="M1350" s="16" t="inlineStr">
        <is>
          <t>EETJF25M0357170</t>
        </is>
      </c>
      <c r="N1350" s="16">
        <f>LEFT(M1350,12)</f>
        <v/>
      </c>
      <c r="O1350" s="16" t="inlineStr">
        <is>
          <t>EETJF25M03, (57)D/Indigo, (170)170</t>
        </is>
      </c>
      <c r="P1350" s="16" t="n">
        <v>599</v>
      </c>
      <c r="Q1350" s="16" t="n">
        <v>599</v>
      </c>
      <c r="R1350" s="16" t="n"/>
      <c r="S1350" s="16" t="n"/>
      <c r="T1350" s="16" t="n">
        <v>1</v>
      </c>
    </row>
    <row r="1351" s="103">
      <c r="A1351" s="16" t="inlineStr">
        <is>
          <t>B331</t>
        </is>
      </c>
      <c r="B1351" s="16" t="inlineStr">
        <is>
          <t>上海区域</t>
        </is>
      </c>
      <c r="C1351" s="16" t="inlineStr">
        <is>
          <t>CN0Q</t>
        </is>
      </c>
      <c r="D1351" s="16" t="inlineStr">
        <is>
          <t>EE 苏州比斯特购物村</t>
        </is>
      </c>
      <c r="E1351" s="16" t="n">
        <v>4</v>
      </c>
      <c r="F1351" s="16" t="inlineStr">
        <is>
          <t>奥特莱斯</t>
        </is>
      </c>
      <c r="G1351" s="16" t="inlineStr">
        <is>
          <t>EETJF25M04</t>
        </is>
      </c>
      <c r="H1351" s="16" t="n">
        <v>599</v>
      </c>
      <c r="I1351" s="16" t="n">
        <v>699</v>
      </c>
      <c r="J1351" s="17" t="inlineStr">
        <is>
          <t>########</t>
        </is>
      </c>
      <c r="K1351" s="16" t="inlineStr">
        <is>
          <t>(55)Indigo</t>
        </is>
      </c>
      <c r="L1351" s="16" t="inlineStr">
        <is>
          <t>营业中</t>
        </is>
      </c>
      <c r="M1351" s="16" t="inlineStr">
        <is>
          <t>EETJF25M0455155</t>
        </is>
      </c>
      <c r="N1351" s="16">
        <f>LEFT(M1351,12)</f>
        <v/>
      </c>
      <c r="O1351" s="16" t="inlineStr">
        <is>
          <t>EETJF25M04, (55)Indigo, (155)155</t>
        </is>
      </c>
      <c r="P1351" s="16" t="n">
        <v>599</v>
      </c>
      <c r="Q1351" s="16" t="n">
        <v>699</v>
      </c>
      <c r="R1351" s="16" t="n"/>
      <c r="S1351" s="16" t="n"/>
      <c r="T1351" s="16" t="n">
        <v>1</v>
      </c>
    </row>
    <row r="1352" s="103">
      <c r="A1352" s="16" t="inlineStr">
        <is>
          <t>B331</t>
        </is>
      </c>
      <c r="B1352" s="16" t="inlineStr">
        <is>
          <t>上海区域</t>
        </is>
      </c>
      <c r="C1352" s="16" t="inlineStr">
        <is>
          <t>CN0Q</t>
        </is>
      </c>
      <c r="D1352" s="16" t="inlineStr">
        <is>
          <t>EE 苏州比斯特购物村</t>
        </is>
      </c>
      <c r="E1352" s="16" t="n">
        <v>4</v>
      </c>
      <c r="F1352" s="16" t="inlineStr">
        <is>
          <t>奥特莱斯</t>
        </is>
      </c>
      <c r="G1352" s="16" t="inlineStr">
        <is>
          <t>EETJF25M04</t>
        </is>
      </c>
      <c r="H1352" s="16" t="n">
        <v>599</v>
      </c>
      <c r="I1352" s="16" t="n">
        <v>699</v>
      </c>
      <c r="J1352" s="17" t="inlineStr">
        <is>
          <t>########</t>
        </is>
      </c>
      <c r="K1352" s="16" t="inlineStr">
        <is>
          <t>(55)Indigo</t>
        </is>
      </c>
      <c r="L1352" s="16" t="inlineStr">
        <is>
          <t>营业中</t>
        </is>
      </c>
      <c r="M1352" s="16" t="inlineStr">
        <is>
          <t>EETJF25M0455160</t>
        </is>
      </c>
      <c r="N1352" s="16">
        <f>LEFT(M1352,12)</f>
        <v/>
      </c>
      <c r="O1352" s="16" t="inlineStr">
        <is>
          <t>EETJF25M04, (55)Indigo, (160)160</t>
        </is>
      </c>
      <c r="P1352" s="16" t="n">
        <v>599</v>
      </c>
      <c r="Q1352" s="16" t="n">
        <v>699</v>
      </c>
      <c r="R1352" s="16" t="n"/>
      <c r="S1352" s="16" t="n"/>
      <c r="T1352" s="16" t="n">
        <v>2</v>
      </c>
    </row>
    <row r="1353" s="103">
      <c r="A1353" s="16" t="inlineStr">
        <is>
          <t>B331</t>
        </is>
      </c>
      <c r="B1353" s="16" t="inlineStr">
        <is>
          <t>上海区域</t>
        </is>
      </c>
      <c r="C1353" s="16" t="inlineStr">
        <is>
          <t>CN0Q</t>
        </is>
      </c>
      <c r="D1353" s="16" t="inlineStr">
        <is>
          <t>EE 苏州比斯特购物村</t>
        </is>
      </c>
      <c r="E1353" s="16" t="n">
        <v>4</v>
      </c>
      <c r="F1353" s="16" t="inlineStr">
        <is>
          <t>奥特莱斯</t>
        </is>
      </c>
      <c r="G1353" s="16" t="inlineStr">
        <is>
          <t>EETJF25M04</t>
        </is>
      </c>
      <c r="H1353" s="16" t="n">
        <v>599</v>
      </c>
      <c r="I1353" s="16" t="n">
        <v>699</v>
      </c>
      <c r="J1353" s="17" t="inlineStr">
        <is>
          <t>########</t>
        </is>
      </c>
      <c r="K1353" s="16" t="inlineStr">
        <is>
          <t>(55)Indigo</t>
        </is>
      </c>
      <c r="L1353" s="16" t="inlineStr">
        <is>
          <t>营业中</t>
        </is>
      </c>
      <c r="M1353" s="16" t="inlineStr">
        <is>
          <t>EETJF25M0455165</t>
        </is>
      </c>
      <c r="N1353" s="16">
        <f>LEFT(M1353,12)</f>
        <v/>
      </c>
      <c r="O1353" s="16" t="inlineStr">
        <is>
          <t>EETJF25M04, (55)Indigo, (165)165</t>
        </is>
      </c>
      <c r="P1353" s="16" t="n">
        <v>599</v>
      </c>
      <c r="Q1353" s="16" t="n">
        <v>699</v>
      </c>
      <c r="R1353" s="16" t="n"/>
      <c r="S1353" s="16" t="n"/>
      <c r="T1353" s="16" t="n">
        <v>2</v>
      </c>
    </row>
    <row r="1354" s="103">
      <c r="A1354" s="16" t="inlineStr">
        <is>
          <t>B331</t>
        </is>
      </c>
      <c r="B1354" s="16" t="inlineStr">
        <is>
          <t>上海区域</t>
        </is>
      </c>
      <c r="C1354" s="16" t="inlineStr">
        <is>
          <t>CN0Q</t>
        </is>
      </c>
      <c r="D1354" s="16" t="inlineStr">
        <is>
          <t>EE 苏州比斯特购物村</t>
        </is>
      </c>
      <c r="E1354" s="16" t="n">
        <v>4</v>
      </c>
      <c r="F1354" s="16" t="inlineStr">
        <is>
          <t>奥特莱斯</t>
        </is>
      </c>
      <c r="G1354" s="16" t="inlineStr">
        <is>
          <t>EETJF25M04</t>
        </is>
      </c>
      <c r="H1354" s="16" t="n">
        <v>599</v>
      </c>
      <c r="I1354" s="16" t="n">
        <v>699</v>
      </c>
      <c r="J1354" s="17" t="inlineStr">
        <is>
          <t>########</t>
        </is>
      </c>
      <c r="K1354" s="16" t="inlineStr">
        <is>
          <t>(55)Indigo</t>
        </is>
      </c>
      <c r="L1354" s="16" t="inlineStr">
        <is>
          <t>营业中</t>
        </is>
      </c>
      <c r="M1354" s="16" t="inlineStr">
        <is>
          <t>EETJF25M0455170</t>
        </is>
      </c>
      <c r="N1354" s="16">
        <f>LEFT(M1354,12)</f>
        <v/>
      </c>
      <c r="O1354" s="16" t="inlineStr">
        <is>
          <t>EETJF25M04, (55)Indigo, (170)170</t>
        </is>
      </c>
      <c r="P1354" s="16" t="n">
        <v>599</v>
      </c>
      <c r="Q1354" s="16" t="n">
        <v>699</v>
      </c>
      <c r="R1354" s="16" t="n"/>
      <c r="S1354" s="16" t="n"/>
      <c r="T1354" s="16" t="n">
        <v>1</v>
      </c>
    </row>
    <row r="1355" s="103">
      <c r="A1355" s="16" t="inlineStr">
        <is>
          <t>B331</t>
        </is>
      </c>
      <c r="B1355" s="16" t="inlineStr">
        <is>
          <t>上海区域</t>
        </is>
      </c>
      <c r="C1355" s="16" t="inlineStr">
        <is>
          <t>CN0Q</t>
        </is>
      </c>
      <c r="D1355" s="16" t="inlineStr">
        <is>
          <t>EE 苏州比斯特购物村</t>
        </is>
      </c>
      <c r="E1355" s="16" t="n">
        <v>4</v>
      </c>
      <c r="F1355" s="16" t="inlineStr">
        <is>
          <t>奥特莱斯</t>
        </is>
      </c>
      <c r="G1355" s="16" t="inlineStr">
        <is>
          <t>EETJF25N52</t>
        </is>
      </c>
      <c r="H1355" s="16" t="n">
        <v>899</v>
      </c>
      <c r="I1355" s="16" t="n">
        <v>899</v>
      </c>
      <c r="J1355" s="17" t="inlineStr">
        <is>
          <t>########</t>
        </is>
      </c>
      <c r="K1355" s="16" t="inlineStr">
        <is>
          <t>(55)Indigo</t>
        </is>
      </c>
      <c r="L1355" s="16" t="inlineStr">
        <is>
          <t>营业中</t>
        </is>
      </c>
      <c r="M1355" s="16" t="inlineStr">
        <is>
          <t>EETJF25N5255025</t>
        </is>
      </c>
      <c r="N1355" s="16">
        <f>LEFT(M1355,12)</f>
        <v/>
      </c>
      <c r="O1355" s="16" t="inlineStr">
        <is>
          <t>EETJF25N52, (55)Indigo, 25(155/64A)</t>
        </is>
      </c>
      <c r="P1355" s="16" t="n">
        <v>899</v>
      </c>
      <c r="Q1355" s="16" t="n">
        <v>899</v>
      </c>
      <c r="R1355" s="16" t="n"/>
      <c r="S1355" s="16" t="n"/>
      <c r="T1355" s="16" t="n">
        <v>1</v>
      </c>
    </row>
    <row r="1356" s="103">
      <c r="A1356" s="16" t="inlineStr">
        <is>
          <t>B331</t>
        </is>
      </c>
      <c r="B1356" s="16" t="inlineStr">
        <is>
          <t>上海区域</t>
        </is>
      </c>
      <c r="C1356" s="16" t="inlineStr">
        <is>
          <t>CN0Q</t>
        </is>
      </c>
      <c r="D1356" s="16" t="inlineStr">
        <is>
          <t>EE 苏州比斯特购物村</t>
        </is>
      </c>
      <c r="E1356" s="16" t="n">
        <v>4</v>
      </c>
      <c r="F1356" s="16" t="inlineStr">
        <is>
          <t>奥特莱斯</t>
        </is>
      </c>
      <c r="G1356" s="16" t="inlineStr">
        <is>
          <t>EETJF25N52</t>
        </is>
      </c>
      <c r="H1356" s="16" t="n">
        <v>899</v>
      </c>
      <c r="I1356" s="16" t="n">
        <v>899</v>
      </c>
      <c r="J1356" s="17" t="inlineStr">
        <is>
          <t>########</t>
        </is>
      </c>
      <c r="K1356" s="16" t="inlineStr">
        <is>
          <t>(55)Indigo</t>
        </is>
      </c>
      <c r="L1356" s="16" t="inlineStr">
        <is>
          <t>营业中</t>
        </is>
      </c>
      <c r="M1356" s="16" t="inlineStr">
        <is>
          <t>EETJF25N5255026</t>
        </is>
      </c>
      <c r="N1356" s="16">
        <f>LEFT(M1356,12)</f>
        <v/>
      </c>
      <c r="O1356" s="16" t="inlineStr">
        <is>
          <t>EETJF25N52, (55)Indigo, 26(160/66A)</t>
        </is>
      </c>
      <c r="P1356" s="16" t="n">
        <v>899</v>
      </c>
      <c r="Q1356" s="16" t="n">
        <v>899</v>
      </c>
      <c r="R1356" s="16" t="n"/>
      <c r="S1356" s="16" t="n"/>
      <c r="T1356" s="16" t="n">
        <v>4</v>
      </c>
    </row>
    <row r="1357" s="103">
      <c r="A1357" s="16" t="inlineStr">
        <is>
          <t>B331</t>
        </is>
      </c>
      <c r="B1357" s="16" t="inlineStr">
        <is>
          <t>上海区域</t>
        </is>
      </c>
      <c r="C1357" s="16" t="inlineStr">
        <is>
          <t>CN0Q</t>
        </is>
      </c>
      <c r="D1357" s="16" t="inlineStr">
        <is>
          <t>EE 苏州比斯特购物村</t>
        </is>
      </c>
      <c r="E1357" s="16" t="n">
        <v>4</v>
      </c>
      <c r="F1357" s="16" t="inlineStr">
        <is>
          <t>奥特莱斯</t>
        </is>
      </c>
      <c r="G1357" s="16" t="inlineStr">
        <is>
          <t>EETJF25N52</t>
        </is>
      </c>
      <c r="H1357" s="16" t="n">
        <v>899</v>
      </c>
      <c r="I1357" s="16" t="n">
        <v>899</v>
      </c>
      <c r="J1357" s="17" t="inlineStr">
        <is>
          <t>########</t>
        </is>
      </c>
      <c r="K1357" s="16" t="inlineStr">
        <is>
          <t>(55)Indigo</t>
        </is>
      </c>
      <c r="L1357" s="16" t="inlineStr">
        <is>
          <t>营业中</t>
        </is>
      </c>
      <c r="M1357" s="16" t="inlineStr">
        <is>
          <t>EETJF25N5255027</t>
        </is>
      </c>
      <c r="N1357" s="16">
        <f>LEFT(M1357,12)</f>
        <v/>
      </c>
      <c r="O1357" s="16" t="inlineStr">
        <is>
          <t>EETJF25N52, (55)Indigo, 27(165/68A)</t>
        </is>
      </c>
      <c r="P1357" s="16" t="n">
        <v>899</v>
      </c>
      <c r="Q1357" s="16" t="n">
        <v>899</v>
      </c>
      <c r="R1357" s="16" t="n"/>
      <c r="S1357" s="16" t="n"/>
      <c r="T1357" s="16" t="n">
        <v>2</v>
      </c>
    </row>
    <row r="1358" s="103">
      <c r="A1358" s="16" t="inlineStr">
        <is>
          <t>B331</t>
        </is>
      </c>
      <c r="B1358" s="16" t="inlineStr">
        <is>
          <t>上海区域</t>
        </is>
      </c>
      <c r="C1358" s="16" t="inlineStr">
        <is>
          <t>CN0Q</t>
        </is>
      </c>
      <c r="D1358" s="16" t="inlineStr">
        <is>
          <t>EE 苏州比斯特购物村</t>
        </is>
      </c>
      <c r="E1358" s="16" t="n">
        <v>4</v>
      </c>
      <c r="F1358" s="16" t="inlineStr">
        <is>
          <t>奥特莱斯</t>
        </is>
      </c>
      <c r="G1358" s="16" t="inlineStr">
        <is>
          <t>EETJF25N52</t>
        </is>
      </c>
      <c r="H1358" s="16" t="n">
        <v>899</v>
      </c>
      <c r="I1358" s="16" t="n">
        <v>899</v>
      </c>
      <c r="J1358" s="17" t="inlineStr">
        <is>
          <t>########</t>
        </is>
      </c>
      <c r="K1358" s="16" t="inlineStr">
        <is>
          <t>(55)Indigo</t>
        </is>
      </c>
      <c r="L1358" s="16" t="inlineStr">
        <is>
          <t>营业中</t>
        </is>
      </c>
      <c r="M1358" s="16" t="inlineStr">
        <is>
          <t>EETJF25N5255028</t>
        </is>
      </c>
      <c r="N1358" s="16">
        <f>LEFT(M1358,12)</f>
        <v/>
      </c>
      <c r="O1358" s="16" t="inlineStr">
        <is>
          <t>EETJF25N52, (55)Indigo, 28(165/70A)</t>
        </is>
      </c>
      <c r="P1358" s="16" t="n">
        <v>899</v>
      </c>
      <c r="Q1358" s="16" t="n">
        <v>899</v>
      </c>
      <c r="R1358" s="16" t="n"/>
      <c r="S1358" s="16" t="n"/>
      <c r="T1358" s="16" t="n">
        <v>2</v>
      </c>
    </row>
    <row r="1359" s="103">
      <c r="A1359" s="16" t="inlineStr">
        <is>
          <t>B331</t>
        </is>
      </c>
      <c r="B1359" s="16" t="inlineStr">
        <is>
          <t>上海区域</t>
        </is>
      </c>
      <c r="C1359" s="16" t="inlineStr">
        <is>
          <t>CN0Q</t>
        </is>
      </c>
      <c r="D1359" s="16" t="inlineStr">
        <is>
          <t>EE 苏州比斯特购物村</t>
        </is>
      </c>
      <c r="E1359" s="16" t="n">
        <v>4</v>
      </c>
      <c r="F1359" s="16" t="inlineStr">
        <is>
          <t>奥特莱斯</t>
        </is>
      </c>
      <c r="G1359" s="16" t="inlineStr">
        <is>
          <t>EETJF25N52</t>
        </is>
      </c>
      <c r="H1359" s="16" t="n">
        <v>899</v>
      </c>
      <c r="I1359" s="16" t="n">
        <v>899</v>
      </c>
      <c r="J1359" s="17" t="inlineStr">
        <is>
          <t>########</t>
        </is>
      </c>
      <c r="K1359" s="16" t="inlineStr">
        <is>
          <t>(55)Indigo</t>
        </is>
      </c>
      <c r="L1359" s="16" t="inlineStr">
        <is>
          <t>营业中</t>
        </is>
      </c>
      <c r="M1359" s="16" t="inlineStr">
        <is>
          <t>EETJF25N5255029</t>
        </is>
      </c>
      <c r="N1359" s="16">
        <f>LEFT(M1359,12)</f>
        <v/>
      </c>
      <c r="O1359" s="16" t="inlineStr">
        <is>
          <t>EETJF25N52, (55)Indigo, 29(170/72A)</t>
        </is>
      </c>
      <c r="P1359" s="16" t="n">
        <v>899</v>
      </c>
      <c r="Q1359" s="16" t="n">
        <v>899</v>
      </c>
      <c r="R1359" s="16" t="n"/>
      <c r="S1359" s="16" t="n"/>
      <c r="T1359" s="16" t="n">
        <v>1</v>
      </c>
    </row>
    <row r="1360" s="103">
      <c r="A1360" s="16" t="inlineStr">
        <is>
          <t>B331</t>
        </is>
      </c>
      <c r="B1360" s="16" t="inlineStr">
        <is>
          <t>上海区域</t>
        </is>
      </c>
      <c r="C1360" s="16" t="inlineStr">
        <is>
          <t>CN0Q</t>
        </is>
      </c>
      <c r="D1360" s="16" t="inlineStr">
        <is>
          <t>EE 苏州比斯特购物村</t>
        </is>
      </c>
      <c r="E1360" s="16" t="n">
        <v>4</v>
      </c>
      <c r="F1360" s="16" t="inlineStr">
        <is>
          <t>奥特莱斯</t>
        </is>
      </c>
      <c r="G1360" s="16" t="inlineStr">
        <is>
          <t>EETJF25N52</t>
        </is>
      </c>
      <c r="H1360" s="16" t="n">
        <v>899</v>
      </c>
      <c r="I1360" s="16" t="n">
        <v>899</v>
      </c>
      <c r="J1360" s="17" t="inlineStr">
        <is>
          <t>########</t>
        </is>
      </c>
      <c r="K1360" s="16" t="inlineStr">
        <is>
          <t>(55)Indigo</t>
        </is>
      </c>
      <c r="L1360" s="16" t="inlineStr">
        <is>
          <t>营业中</t>
        </is>
      </c>
      <c r="M1360" s="16" t="inlineStr">
        <is>
          <t>EETJF25N5255030</t>
        </is>
      </c>
      <c r="N1360" s="16">
        <f>LEFT(M1360,12)</f>
        <v/>
      </c>
      <c r="O1360" s="16" t="inlineStr">
        <is>
          <t>EETJF25N52, (55)Indigo, 30(175/74A)</t>
        </is>
      </c>
      <c r="P1360" s="16" t="n">
        <v>899</v>
      </c>
      <c r="Q1360" s="16" t="n">
        <v>899</v>
      </c>
      <c r="R1360" s="16" t="n"/>
      <c r="S1360" s="16" t="n"/>
      <c r="T1360" s="16" t="n">
        <v>1</v>
      </c>
    </row>
    <row r="1361" s="103">
      <c r="A1361" s="16" t="inlineStr">
        <is>
          <t>B331</t>
        </is>
      </c>
      <c r="B1361" s="16" t="inlineStr">
        <is>
          <t>上海区域</t>
        </is>
      </c>
      <c r="C1361" s="16" t="inlineStr">
        <is>
          <t>CN0Q</t>
        </is>
      </c>
      <c r="D1361" s="16" t="inlineStr">
        <is>
          <t>EE 苏州比斯特购物村</t>
        </is>
      </c>
      <c r="E1361" s="16" t="n">
        <v>4</v>
      </c>
      <c r="F1361" s="16" t="inlineStr">
        <is>
          <t>奥特莱斯</t>
        </is>
      </c>
      <c r="G1361" s="16" t="inlineStr">
        <is>
          <t>EETJF25N54</t>
        </is>
      </c>
      <c r="H1361" s="16" t="n">
        <v>999</v>
      </c>
      <c r="I1361" s="16" t="n">
        <v>999</v>
      </c>
      <c r="J1361" s="17" t="inlineStr">
        <is>
          <t>########</t>
        </is>
      </c>
      <c r="K1361" s="16" t="inlineStr">
        <is>
          <t>(56)L/Indigo</t>
        </is>
      </c>
      <c r="L1361" s="16" t="inlineStr">
        <is>
          <t>营业中</t>
        </is>
      </c>
      <c r="M1361" s="16" t="inlineStr">
        <is>
          <t>EETJF25N5456026</t>
        </is>
      </c>
      <c r="N1361" s="16">
        <f>LEFT(M1361,12)</f>
        <v/>
      </c>
      <c r="O1361" s="16" t="inlineStr">
        <is>
          <t>EETJF25N54, (56)L/Indigo, 26(160/66A)</t>
        </is>
      </c>
      <c r="P1361" s="16" t="n">
        <v>999</v>
      </c>
      <c r="Q1361" s="16" t="n">
        <v>999</v>
      </c>
      <c r="R1361" s="16" t="n"/>
      <c r="S1361" s="16" t="n"/>
      <c r="T1361" s="16" t="n">
        <v>4</v>
      </c>
    </row>
    <row r="1362" s="103">
      <c r="A1362" s="16" t="inlineStr">
        <is>
          <t>B331</t>
        </is>
      </c>
      <c r="B1362" s="16" t="inlineStr">
        <is>
          <t>上海区域</t>
        </is>
      </c>
      <c r="C1362" s="16" t="inlineStr">
        <is>
          <t>CN0Q</t>
        </is>
      </c>
      <c r="D1362" s="16" t="inlineStr">
        <is>
          <t>EE 苏州比斯特购物村</t>
        </is>
      </c>
      <c r="E1362" s="16" t="n">
        <v>4</v>
      </c>
      <c r="F1362" s="16" t="inlineStr">
        <is>
          <t>奥特莱斯</t>
        </is>
      </c>
      <c r="G1362" s="16" t="inlineStr">
        <is>
          <t>EETJF25N54</t>
        </is>
      </c>
      <c r="H1362" s="16" t="n">
        <v>999</v>
      </c>
      <c r="I1362" s="16" t="n">
        <v>999</v>
      </c>
      <c r="J1362" s="17" t="inlineStr">
        <is>
          <t>########</t>
        </is>
      </c>
      <c r="K1362" s="16" t="inlineStr">
        <is>
          <t>(56)L/Indigo</t>
        </is>
      </c>
      <c r="L1362" s="16" t="inlineStr">
        <is>
          <t>营业中</t>
        </is>
      </c>
      <c r="M1362" s="16" t="inlineStr">
        <is>
          <t>EETJF25N5456027</t>
        </is>
      </c>
      <c r="N1362" s="16">
        <f>LEFT(M1362,12)</f>
        <v/>
      </c>
      <c r="O1362" s="16" t="inlineStr">
        <is>
          <t>EETJF25N54, (56)L/Indigo, 27(165/68A)</t>
        </is>
      </c>
      <c r="P1362" s="16" t="n">
        <v>999</v>
      </c>
      <c r="Q1362" s="16" t="n">
        <v>999</v>
      </c>
      <c r="R1362" s="16" t="n"/>
      <c r="S1362" s="16" t="n"/>
      <c r="T1362" s="16" t="n">
        <v>2</v>
      </c>
    </row>
    <row r="1363" s="103">
      <c r="A1363" s="16" t="inlineStr">
        <is>
          <t>B331</t>
        </is>
      </c>
      <c r="B1363" s="16" t="inlineStr">
        <is>
          <t>上海区域</t>
        </is>
      </c>
      <c r="C1363" s="16" t="inlineStr">
        <is>
          <t>CN0Q</t>
        </is>
      </c>
      <c r="D1363" s="16" t="inlineStr">
        <is>
          <t>EE 苏州比斯特购物村</t>
        </is>
      </c>
      <c r="E1363" s="16" t="n">
        <v>4</v>
      </c>
      <c r="F1363" s="16" t="inlineStr">
        <is>
          <t>奥特莱斯</t>
        </is>
      </c>
      <c r="G1363" s="16" t="inlineStr">
        <is>
          <t>EETJF25N54</t>
        </is>
      </c>
      <c r="H1363" s="16" t="n">
        <v>999</v>
      </c>
      <c r="I1363" s="16" t="n">
        <v>999</v>
      </c>
      <c r="J1363" s="17" t="inlineStr">
        <is>
          <t>########</t>
        </is>
      </c>
      <c r="K1363" s="16" t="inlineStr">
        <is>
          <t>(56)L/Indigo</t>
        </is>
      </c>
      <c r="L1363" s="16" t="inlineStr">
        <is>
          <t>营业中</t>
        </is>
      </c>
      <c r="M1363" s="16" t="inlineStr">
        <is>
          <t>EETJF25N5456028</t>
        </is>
      </c>
      <c r="N1363" s="16">
        <f>LEFT(M1363,12)</f>
        <v/>
      </c>
      <c r="O1363" s="16" t="inlineStr">
        <is>
          <t>EETJF25N54, (56)L/Indigo, 28(165/70A)</t>
        </is>
      </c>
      <c r="P1363" s="16" t="n">
        <v>999</v>
      </c>
      <c r="Q1363" s="16" t="n">
        <v>999</v>
      </c>
      <c r="R1363" s="16" t="n"/>
      <c r="S1363" s="16" t="n"/>
      <c r="T1363" s="16" t="n">
        <v>2</v>
      </c>
    </row>
    <row r="1364" s="103">
      <c r="A1364" s="16" t="inlineStr">
        <is>
          <t>B331</t>
        </is>
      </c>
      <c r="B1364" s="16" t="inlineStr">
        <is>
          <t>上海区域</t>
        </is>
      </c>
      <c r="C1364" s="16" t="inlineStr">
        <is>
          <t>CN0Q</t>
        </is>
      </c>
      <c r="D1364" s="16" t="inlineStr">
        <is>
          <t>EE 苏州比斯特购物村</t>
        </is>
      </c>
      <c r="E1364" s="16" t="n">
        <v>4</v>
      </c>
      <c r="F1364" s="16" t="inlineStr">
        <is>
          <t>奥特莱斯</t>
        </is>
      </c>
      <c r="G1364" s="16" t="inlineStr">
        <is>
          <t>EETJF25N54</t>
        </is>
      </c>
      <c r="H1364" s="16" t="n">
        <v>999</v>
      </c>
      <c r="I1364" s="16" t="n">
        <v>999</v>
      </c>
      <c r="J1364" s="17" t="inlineStr">
        <is>
          <t>########</t>
        </is>
      </c>
      <c r="K1364" s="16" t="inlineStr">
        <is>
          <t>(56)L/Indigo</t>
        </is>
      </c>
      <c r="L1364" s="16" t="inlineStr">
        <is>
          <t>营业中</t>
        </is>
      </c>
      <c r="M1364" s="16" t="inlineStr">
        <is>
          <t>EETJF25N5456029</t>
        </is>
      </c>
      <c r="N1364" s="16">
        <f>LEFT(M1364,12)</f>
        <v/>
      </c>
      <c r="O1364" s="16" t="inlineStr">
        <is>
          <t>EETJF25N54, (56)L/Indigo, 29(170/72A)</t>
        </is>
      </c>
      <c r="P1364" s="16" t="n">
        <v>999</v>
      </c>
      <c r="Q1364" s="16" t="n">
        <v>999</v>
      </c>
      <c r="R1364" s="16" t="n"/>
      <c r="S1364" s="16" t="n"/>
      <c r="T1364" s="16" t="n">
        <v>1</v>
      </c>
    </row>
    <row r="1365" s="103">
      <c r="A1365" s="16" t="inlineStr">
        <is>
          <t>B331</t>
        </is>
      </c>
      <c r="B1365" s="16" t="inlineStr">
        <is>
          <t>上海区域</t>
        </is>
      </c>
      <c r="C1365" s="16" t="inlineStr">
        <is>
          <t>CN0Q</t>
        </is>
      </c>
      <c r="D1365" s="16" t="inlineStr">
        <is>
          <t>EE 苏州比斯特购物村</t>
        </is>
      </c>
      <c r="E1365" s="16" t="n">
        <v>4</v>
      </c>
      <c r="F1365" s="16" t="inlineStr">
        <is>
          <t>奥特莱斯</t>
        </is>
      </c>
      <c r="G1365" s="16" t="inlineStr">
        <is>
          <t>EETJF25N54</t>
        </is>
      </c>
      <c r="H1365" s="16" t="n">
        <v>999</v>
      </c>
      <c r="I1365" s="16" t="n">
        <v>999</v>
      </c>
      <c r="J1365" s="17" t="inlineStr">
        <is>
          <t>########</t>
        </is>
      </c>
      <c r="K1365" s="16" t="inlineStr">
        <is>
          <t>(56)L/Indigo</t>
        </is>
      </c>
      <c r="L1365" s="16" t="inlineStr">
        <is>
          <t>营业中</t>
        </is>
      </c>
      <c r="M1365" s="16" t="inlineStr">
        <is>
          <t>EETJF25N5456030</t>
        </is>
      </c>
      <c r="N1365" s="16">
        <f>LEFT(M1365,12)</f>
        <v/>
      </c>
      <c r="O1365" s="16" t="inlineStr">
        <is>
          <t>EETJF25N54, (56)L/Indigo, 30(175/74A)</t>
        </is>
      </c>
      <c r="P1365" s="16" t="n">
        <v>999</v>
      </c>
      <c r="Q1365" s="16" t="n">
        <v>999</v>
      </c>
      <c r="R1365" s="16" t="n"/>
      <c r="S1365" s="16" t="n"/>
      <c r="T1365" s="16" t="n">
        <v>1</v>
      </c>
    </row>
    <row r="1366" s="103">
      <c r="A1366" s="16" t="inlineStr">
        <is>
          <t>B331</t>
        </is>
      </c>
      <c r="B1366" s="16" t="inlineStr">
        <is>
          <t>上海区域</t>
        </is>
      </c>
      <c r="C1366" s="16" t="inlineStr">
        <is>
          <t>CN0Q</t>
        </is>
      </c>
      <c r="D1366" s="16" t="inlineStr">
        <is>
          <t>EE 苏州比斯特购物村</t>
        </is>
      </c>
      <c r="E1366" s="16" t="n">
        <v>4</v>
      </c>
      <c r="F1366" s="16" t="inlineStr">
        <is>
          <t>奥特莱斯</t>
        </is>
      </c>
      <c r="G1366" s="16" t="inlineStr">
        <is>
          <t>EETJF66L03</t>
        </is>
      </c>
      <c r="H1366" s="16" t="n">
        <v>799</v>
      </c>
      <c r="I1366" s="16" t="n">
        <v>799</v>
      </c>
      <c r="J1366" s="17" t="inlineStr">
        <is>
          <t>########</t>
        </is>
      </c>
      <c r="K1366" s="16" t="inlineStr">
        <is>
          <t>(57)D/Indigo</t>
        </is>
      </c>
      <c r="L1366" s="16" t="inlineStr">
        <is>
          <t>营业中</t>
        </is>
      </c>
      <c r="M1366" s="16" t="inlineStr">
        <is>
          <t>EETJF66L0357155</t>
        </is>
      </c>
      <c r="N1366" s="16">
        <f>LEFT(M1366,12)</f>
        <v/>
      </c>
      <c r="O1366" s="16" t="inlineStr">
        <is>
          <t>EETJF66L03, (57)D/Indigo, (155)155</t>
        </is>
      </c>
      <c r="P1366" s="16" t="n">
        <v>799</v>
      </c>
      <c r="Q1366" s="16" t="n">
        <v>799</v>
      </c>
      <c r="R1366" s="16" t="n"/>
      <c r="S1366" s="16" t="n"/>
      <c r="T1366" s="16" t="n">
        <v>2</v>
      </c>
    </row>
    <row r="1367" s="103">
      <c r="A1367" s="16" t="inlineStr">
        <is>
          <t>B331</t>
        </is>
      </c>
      <c r="B1367" s="16" t="inlineStr">
        <is>
          <t>上海区域</t>
        </is>
      </c>
      <c r="C1367" s="16" t="inlineStr">
        <is>
          <t>CN0Q</t>
        </is>
      </c>
      <c r="D1367" s="16" t="inlineStr">
        <is>
          <t>EE 苏州比斯特购物村</t>
        </is>
      </c>
      <c r="E1367" s="16" t="n">
        <v>4</v>
      </c>
      <c r="F1367" s="16" t="inlineStr">
        <is>
          <t>奥特莱斯</t>
        </is>
      </c>
      <c r="G1367" s="16" t="inlineStr">
        <is>
          <t>EETJF66L03</t>
        </is>
      </c>
      <c r="H1367" s="16" t="n">
        <v>799</v>
      </c>
      <c r="I1367" s="16" t="n">
        <v>799</v>
      </c>
      <c r="J1367" s="17" t="inlineStr">
        <is>
          <t>########</t>
        </is>
      </c>
      <c r="K1367" s="16" t="inlineStr">
        <is>
          <t>(57)D/Indigo</t>
        </is>
      </c>
      <c r="L1367" s="16" t="inlineStr">
        <is>
          <t>营业中</t>
        </is>
      </c>
      <c r="M1367" s="16" t="inlineStr">
        <is>
          <t>EETJF66L0357160</t>
        </is>
      </c>
      <c r="N1367" s="16">
        <f>LEFT(M1367,12)</f>
        <v/>
      </c>
      <c r="O1367" s="16" t="inlineStr">
        <is>
          <t>EETJF66L03, (57)D/Indigo, (160)160</t>
        </is>
      </c>
      <c r="P1367" s="16" t="n">
        <v>799</v>
      </c>
      <c r="Q1367" s="16" t="n">
        <v>799</v>
      </c>
      <c r="R1367" s="16" t="n"/>
      <c r="S1367" s="16" t="n"/>
      <c r="T1367" s="16" t="n">
        <v>4</v>
      </c>
    </row>
    <row r="1368" s="103">
      <c r="A1368" s="16" t="inlineStr">
        <is>
          <t>B331</t>
        </is>
      </c>
      <c r="B1368" s="16" t="inlineStr">
        <is>
          <t>上海区域</t>
        </is>
      </c>
      <c r="C1368" s="16" t="inlineStr">
        <is>
          <t>CN0Q</t>
        </is>
      </c>
      <c r="D1368" s="16" t="inlineStr">
        <is>
          <t>EE 苏州比斯特购物村</t>
        </is>
      </c>
      <c r="E1368" s="16" t="n">
        <v>4</v>
      </c>
      <c r="F1368" s="16" t="inlineStr">
        <is>
          <t>奥特莱斯</t>
        </is>
      </c>
      <c r="G1368" s="16" t="inlineStr">
        <is>
          <t>EETJF66L03</t>
        </is>
      </c>
      <c r="H1368" s="16" t="n">
        <v>799</v>
      </c>
      <c r="I1368" s="16" t="n">
        <v>799</v>
      </c>
      <c r="J1368" s="17" t="inlineStr">
        <is>
          <t>########</t>
        </is>
      </c>
      <c r="K1368" s="16" t="inlineStr">
        <is>
          <t>(57)D/Indigo</t>
        </is>
      </c>
      <c r="L1368" s="16" t="inlineStr">
        <is>
          <t>营业中</t>
        </is>
      </c>
      <c r="M1368" s="16" t="inlineStr">
        <is>
          <t>EETJF66L0357165</t>
        </is>
      </c>
      <c r="N1368" s="16">
        <f>LEFT(M1368,12)</f>
        <v/>
      </c>
      <c r="O1368" s="16" t="inlineStr">
        <is>
          <t>EETJF66L03, (57)D/Indigo, (165)165</t>
        </is>
      </c>
      <c r="P1368" s="16" t="n">
        <v>799</v>
      </c>
      <c r="Q1368" s="16" t="n">
        <v>799</v>
      </c>
      <c r="R1368" s="16" t="n"/>
      <c r="S1368" s="16" t="n"/>
      <c r="T1368" s="16" t="n">
        <v>4</v>
      </c>
    </row>
    <row r="1369" s="103">
      <c r="A1369" s="16" t="inlineStr">
        <is>
          <t>B331</t>
        </is>
      </c>
      <c r="B1369" s="16" t="inlineStr">
        <is>
          <t>上海区域</t>
        </is>
      </c>
      <c r="C1369" s="16" t="inlineStr">
        <is>
          <t>CN0Q</t>
        </is>
      </c>
      <c r="D1369" s="16" t="inlineStr">
        <is>
          <t>EE 苏州比斯特购物村</t>
        </is>
      </c>
      <c r="E1369" s="16" t="n">
        <v>4</v>
      </c>
      <c r="F1369" s="16" t="inlineStr">
        <is>
          <t>奥特莱斯</t>
        </is>
      </c>
      <c r="G1369" s="16" t="inlineStr">
        <is>
          <t>EETJF66L03</t>
        </is>
      </c>
      <c r="H1369" s="16" t="n">
        <v>799</v>
      </c>
      <c r="I1369" s="16" t="n">
        <v>799</v>
      </c>
      <c r="J1369" s="17" t="inlineStr">
        <is>
          <t>########</t>
        </is>
      </c>
      <c r="K1369" s="16" t="inlineStr">
        <is>
          <t>(57)D/Indigo</t>
        </is>
      </c>
      <c r="L1369" s="16" t="inlineStr">
        <is>
          <t>营业中</t>
        </is>
      </c>
      <c r="M1369" s="16" t="inlineStr">
        <is>
          <t>EETJF66L0357170</t>
        </is>
      </c>
      <c r="N1369" s="16">
        <f>LEFT(M1369,12)</f>
        <v/>
      </c>
      <c r="O1369" s="16" t="inlineStr">
        <is>
          <t>EETJF66L03, (57)D/Indigo, (170)170</t>
        </is>
      </c>
      <c r="P1369" s="16" t="n">
        <v>799</v>
      </c>
      <c r="Q1369" s="16" t="n">
        <v>799</v>
      </c>
      <c r="R1369" s="16" t="n"/>
      <c r="S1369" s="16" t="n"/>
      <c r="T1369" s="16" t="n">
        <v>2</v>
      </c>
    </row>
    <row r="1370" s="103">
      <c r="A1370" s="16" t="inlineStr">
        <is>
          <t>B331</t>
        </is>
      </c>
      <c r="B1370" s="16" t="inlineStr">
        <is>
          <t>上海区域</t>
        </is>
      </c>
      <c r="C1370" s="16" t="inlineStr">
        <is>
          <t>CN0Q</t>
        </is>
      </c>
      <c r="D1370" s="16" t="inlineStr">
        <is>
          <t>EE 苏州比斯特购物村</t>
        </is>
      </c>
      <c r="E1370" s="16" t="n">
        <v>4</v>
      </c>
      <c r="F1370" s="16" t="inlineStr">
        <is>
          <t>奥特莱斯</t>
        </is>
      </c>
      <c r="G1370" s="16" t="inlineStr">
        <is>
          <t>EETJG23B03</t>
        </is>
      </c>
      <c r="H1370" s="16" t="n">
        <v>799</v>
      </c>
      <c r="I1370" s="16" t="n">
        <v>799</v>
      </c>
      <c r="J1370" s="17" t="n">
        <v>46057</v>
      </c>
      <c r="K1370" s="16" t="inlineStr">
        <is>
          <t>(55)Indigo</t>
        </is>
      </c>
      <c r="L1370" s="16" t="inlineStr">
        <is>
          <t>营业中</t>
        </is>
      </c>
      <c r="M1370" s="16" t="inlineStr">
        <is>
          <t>EETJG23B0355025</t>
        </is>
      </c>
      <c r="N1370" s="16">
        <f>LEFT(M1370,12)</f>
        <v/>
      </c>
      <c r="O1370" s="16" t="inlineStr">
        <is>
          <t>EETJG23B03, (55)Indigo, 25(155/64A)</t>
        </is>
      </c>
      <c r="P1370" s="16" t="n">
        <v>799</v>
      </c>
      <c r="Q1370" s="16" t="n">
        <v>799</v>
      </c>
      <c r="R1370" s="16" t="n"/>
      <c r="S1370" s="16" t="n"/>
      <c r="T1370" s="16" t="n">
        <v>4</v>
      </c>
    </row>
    <row r="1371" s="103">
      <c r="A1371" s="16" t="inlineStr">
        <is>
          <t>B331</t>
        </is>
      </c>
      <c r="B1371" s="16" t="inlineStr">
        <is>
          <t>上海区域</t>
        </is>
      </c>
      <c r="C1371" s="16" t="inlineStr">
        <is>
          <t>CN0Q</t>
        </is>
      </c>
      <c r="D1371" s="16" t="inlineStr">
        <is>
          <t>EE 苏州比斯特购物村</t>
        </is>
      </c>
      <c r="E1371" s="16" t="n">
        <v>4</v>
      </c>
      <c r="F1371" s="16" t="inlineStr">
        <is>
          <t>奥特莱斯</t>
        </is>
      </c>
      <c r="G1371" s="16" t="inlineStr">
        <is>
          <t>EETJG23B03</t>
        </is>
      </c>
      <c r="H1371" s="16" t="n">
        <v>799</v>
      </c>
      <c r="I1371" s="16" t="n">
        <v>799</v>
      </c>
      <c r="J1371" s="17" t="n">
        <v>46057</v>
      </c>
      <c r="K1371" s="16" t="inlineStr">
        <is>
          <t>(55)Indigo</t>
        </is>
      </c>
      <c r="L1371" s="16" t="inlineStr">
        <is>
          <t>营业中</t>
        </is>
      </c>
      <c r="M1371" s="16" t="inlineStr">
        <is>
          <t>EETJG23B0355026</t>
        </is>
      </c>
      <c r="N1371" s="16">
        <f>LEFT(M1371,12)</f>
        <v/>
      </c>
      <c r="O1371" s="16" t="inlineStr">
        <is>
          <t>EETJG23B03, (55)Indigo, 26(160/66A)</t>
        </is>
      </c>
      <c r="P1371" s="16" t="n">
        <v>799</v>
      </c>
      <c r="Q1371" s="16" t="n">
        <v>799</v>
      </c>
      <c r="R1371" s="16" t="n"/>
      <c r="S1371" s="16" t="n"/>
      <c r="T1371" s="16" t="n">
        <v>2</v>
      </c>
    </row>
    <row r="1372" s="103">
      <c r="A1372" s="16" t="inlineStr">
        <is>
          <t>B331</t>
        </is>
      </c>
      <c r="B1372" s="16" t="inlineStr">
        <is>
          <t>上海区域</t>
        </is>
      </c>
      <c r="C1372" s="16" t="inlineStr">
        <is>
          <t>CN0Q</t>
        </is>
      </c>
      <c r="D1372" s="16" t="inlineStr">
        <is>
          <t>EE 苏州比斯特购物村</t>
        </is>
      </c>
      <c r="E1372" s="16" t="n">
        <v>4</v>
      </c>
      <c r="F1372" s="16" t="inlineStr">
        <is>
          <t>奥特莱斯</t>
        </is>
      </c>
      <c r="G1372" s="16" t="inlineStr">
        <is>
          <t>EETJG23B03</t>
        </is>
      </c>
      <c r="H1372" s="16" t="n">
        <v>799</v>
      </c>
      <c r="I1372" s="16" t="n">
        <v>799</v>
      </c>
      <c r="J1372" s="17" t="n">
        <v>46057</v>
      </c>
      <c r="K1372" s="16" t="inlineStr">
        <is>
          <t>(55)Indigo</t>
        </is>
      </c>
      <c r="L1372" s="16" t="inlineStr">
        <is>
          <t>营业中</t>
        </is>
      </c>
      <c r="M1372" s="16" t="inlineStr">
        <is>
          <t>EETJG23B0355027</t>
        </is>
      </c>
      <c r="N1372" s="16">
        <f>LEFT(M1372,12)</f>
        <v/>
      </c>
      <c r="O1372" s="16" t="inlineStr">
        <is>
          <t>EETJG23B03, (55)Indigo, 27(165/68A)</t>
        </is>
      </c>
      <c r="P1372" s="16" t="n">
        <v>799</v>
      </c>
      <c r="Q1372" s="16" t="n">
        <v>799</v>
      </c>
      <c r="R1372" s="16" t="n"/>
      <c r="S1372" s="16" t="n"/>
      <c r="T1372" s="16" t="n">
        <v>2</v>
      </c>
    </row>
    <row r="1373" s="103">
      <c r="A1373" s="16" t="inlineStr">
        <is>
          <t>B331</t>
        </is>
      </c>
      <c r="B1373" s="16" t="inlineStr">
        <is>
          <t>上海区域</t>
        </is>
      </c>
      <c r="C1373" s="16" t="inlineStr">
        <is>
          <t>CN0Q</t>
        </is>
      </c>
      <c r="D1373" s="16" t="inlineStr">
        <is>
          <t>EE 苏州比斯特购物村</t>
        </is>
      </c>
      <c r="E1373" s="16" t="n">
        <v>4</v>
      </c>
      <c r="F1373" s="16" t="inlineStr">
        <is>
          <t>奥特莱斯</t>
        </is>
      </c>
      <c r="G1373" s="16" t="inlineStr">
        <is>
          <t>EETJG23B03</t>
        </is>
      </c>
      <c r="H1373" s="16" t="n">
        <v>799</v>
      </c>
      <c r="I1373" s="16" t="n">
        <v>799</v>
      </c>
      <c r="J1373" s="17" t="n">
        <v>46057</v>
      </c>
      <c r="K1373" s="16" t="inlineStr">
        <is>
          <t>(55)Indigo</t>
        </is>
      </c>
      <c r="L1373" s="16" t="inlineStr">
        <is>
          <t>营业中</t>
        </is>
      </c>
      <c r="M1373" s="16" t="inlineStr">
        <is>
          <t>EETJG23B0355028</t>
        </is>
      </c>
      <c r="N1373" s="16">
        <f>LEFT(M1373,12)</f>
        <v/>
      </c>
      <c r="O1373" s="16" t="inlineStr">
        <is>
          <t>EETJG23B03, (55)Indigo, 28(165/70A)</t>
        </is>
      </c>
      <c r="P1373" s="16" t="n">
        <v>799</v>
      </c>
      <c r="Q1373" s="16" t="n">
        <v>799</v>
      </c>
      <c r="R1373" s="16" t="n"/>
      <c r="S1373" s="16" t="n"/>
      <c r="T1373" s="16" t="n">
        <v>2</v>
      </c>
    </row>
    <row r="1374" s="103">
      <c r="A1374" s="16" t="inlineStr">
        <is>
          <t>B331</t>
        </is>
      </c>
      <c r="B1374" s="16" t="inlineStr">
        <is>
          <t>上海区域</t>
        </is>
      </c>
      <c r="C1374" s="16" t="inlineStr">
        <is>
          <t>CN0Q</t>
        </is>
      </c>
      <c r="D1374" s="16" t="inlineStr">
        <is>
          <t>EE 苏州比斯特购物村</t>
        </is>
      </c>
      <c r="E1374" s="16" t="n">
        <v>4</v>
      </c>
      <c r="F1374" s="16" t="inlineStr">
        <is>
          <t>奥特莱斯</t>
        </is>
      </c>
      <c r="G1374" s="16" t="inlineStr">
        <is>
          <t>EETJG23B05</t>
        </is>
      </c>
      <c r="H1374" s="16" t="n">
        <v>899</v>
      </c>
      <c r="I1374" s="16" t="n">
        <v>899</v>
      </c>
      <c r="J1374" s="17" t="n">
        <v>46027</v>
      </c>
      <c r="K1374" s="16" t="inlineStr">
        <is>
          <t>(55)Indigo</t>
        </is>
      </c>
      <c r="L1374" s="16" t="inlineStr">
        <is>
          <t>营业中</t>
        </is>
      </c>
      <c r="M1374" s="16" t="inlineStr">
        <is>
          <t>EETJG23B0555025</t>
        </is>
      </c>
      <c r="N1374" s="16">
        <f>LEFT(M1374,12)</f>
        <v/>
      </c>
      <c r="O1374" s="16" t="inlineStr">
        <is>
          <t>EETJG23B05, (55)Indigo, 25(155/64A)</t>
        </is>
      </c>
      <c r="P1374" s="16" t="n">
        <v>899</v>
      </c>
      <c r="Q1374" s="16" t="n">
        <v>899</v>
      </c>
      <c r="R1374" s="16" t="n">
        <v>1</v>
      </c>
      <c r="S1374" s="16" t="n"/>
      <c r="T1374" s="16" t="n">
        <v>2</v>
      </c>
    </row>
    <row r="1375" s="103">
      <c r="A1375" s="16" t="inlineStr">
        <is>
          <t>B331</t>
        </is>
      </c>
      <c r="B1375" s="16" t="inlineStr">
        <is>
          <t>上海区域</t>
        </is>
      </c>
      <c r="C1375" s="16" t="inlineStr">
        <is>
          <t>CN0Q</t>
        </is>
      </c>
      <c r="D1375" s="16" t="inlineStr">
        <is>
          <t>EE 苏州比斯特购物村</t>
        </is>
      </c>
      <c r="E1375" s="16" t="n">
        <v>4</v>
      </c>
      <c r="F1375" s="16" t="inlineStr">
        <is>
          <t>奥特莱斯</t>
        </is>
      </c>
      <c r="G1375" s="16" t="inlineStr">
        <is>
          <t>EETJG23B05</t>
        </is>
      </c>
      <c r="H1375" s="16" t="n">
        <v>899</v>
      </c>
      <c r="I1375" s="16" t="n">
        <v>899</v>
      </c>
      <c r="J1375" s="17" t="n">
        <v>46027</v>
      </c>
      <c r="K1375" s="16" t="inlineStr">
        <is>
          <t>(55)Indigo</t>
        </is>
      </c>
      <c r="L1375" s="16" t="inlineStr">
        <is>
          <t>营业中</t>
        </is>
      </c>
      <c r="M1375" s="16" t="inlineStr">
        <is>
          <t>EETJG23B0555026</t>
        </is>
      </c>
      <c r="N1375" s="16">
        <f>LEFT(M1375,12)</f>
        <v/>
      </c>
      <c r="O1375" s="16" t="inlineStr">
        <is>
          <t>EETJG23B05, (55)Indigo, 26(160/66A)</t>
        </is>
      </c>
      <c r="P1375" s="16" t="n">
        <v>899</v>
      </c>
      <c r="Q1375" s="16" t="n">
        <v>899</v>
      </c>
      <c r="R1375" s="16" t="n">
        <v>1</v>
      </c>
      <c r="S1375" s="16" t="n"/>
      <c r="T1375" s="16" t="n">
        <v>2</v>
      </c>
    </row>
    <row r="1376" s="103">
      <c r="A1376" s="16" t="inlineStr">
        <is>
          <t>B331</t>
        </is>
      </c>
      <c r="B1376" s="16" t="inlineStr">
        <is>
          <t>上海区域</t>
        </is>
      </c>
      <c r="C1376" s="16" t="inlineStr">
        <is>
          <t>CN0Q</t>
        </is>
      </c>
      <c r="D1376" s="16" t="inlineStr">
        <is>
          <t>EE 苏州比斯特购物村</t>
        </is>
      </c>
      <c r="E1376" s="16" t="n">
        <v>4</v>
      </c>
      <c r="F1376" s="16" t="inlineStr">
        <is>
          <t>奥特莱斯</t>
        </is>
      </c>
      <c r="G1376" s="16" t="inlineStr">
        <is>
          <t>EETJG23B05</t>
        </is>
      </c>
      <c r="H1376" s="16" t="n">
        <v>899</v>
      </c>
      <c r="I1376" s="16" t="n">
        <v>899</v>
      </c>
      <c r="J1376" s="17" t="n">
        <v>46027</v>
      </c>
      <c r="K1376" s="16" t="inlineStr">
        <is>
          <t>(55)Indigo</t>
        </is>
      </c>
      <c r="L1376" s="16" t="inlineStr">
        <is>
          <t>营业中</t>
        </is>
      </c>
      <c r="M1376" s="16" t="inlineStr">
        <is>
          <t>EETJG23B0555027</t>
        </is>
      </c>
      <c r="N1376" s="16">
        <f>LEFT(M1376,12)</f>
        <v/>
      </c>
      <c r="O1376" s="16" t="inlineStr">
        <is>
          <t>EETJG23B05, (55)Indigo, 27(165/68A)</t>
        </is>
      </c>
      <c r="P1376" s="16" t="n">
        <v>899</v>
      </c>
      <c r="Q1376" s="16" t="n">
        <v>899</v>
      </c>
      <c r="R1376" s="16" t="n"/>
      <c r="S1376" s="16" t="n"/>
      <c r="T1376" s="16" t="n">
        <v>2</v>
      </c>
    </row>
    <row r="1377" s="103">
      <c r="A1377" s="16" t="inlineStr">
        <is>
          <t>B331</t>
        </is>
      </c>
      <c r="B1377" s="16" t="inlineStr">
        <is>
          <t>上海区域</t>
        </is>
      </c>
      <c r="C1377" s="16" t="inlineStr">
        <is>
          <t>CN0Q</t>
        </is>
      </c>
      <c r="D1377" s="16" t="inlineStr">
        <is>
          <t>EE 苏州比斯特购物村</t>
        </is>
      </c>
      <c r="E1377" s="16" t="n">
        <v>4</v>
      </c>
      <c r="F1377" s="16" t="inlineStr">
        <is>
          <t>奥特莱斯</t>
        </is>
      </c>
      <c r="G1377" s="16" t="inlineStr">
        <is>
          <t>EETJG23B05</t>
        </is>
      </c>
      <c r="H1377" s="16" t="n">
        <v>899</v>
      </c>
      <c r="I1377" s="16" t="n">
        <v>899</v>
      </c>
      <c r="J1377" s="17" t="n">
        <v>46027</v>
      </c>
      <c r="K1377" s="16" t="inlineStr">
        <is>
          <t>(55)Indigo</t>
        </is>
      </c>
      <c r="L1377" s="16" t="inlineStr">
        <is>
          <t>营业中</t>
        </is>
      </c>
      <c r="M1377" s="16" t="inlineStr">
        <is>
          <t>EETJG23B0555028</t>
        </is>
      </c>
      <c r="N1377" s="16">
        <f>LEFT(M1377,12)</f>
        <v/>
      </c>
      <c r="O1377" s="16" t="inlineStr">
        <is>
          <t>EETJG23B05, (55)Indigo, 28(165/70A)</t>
        </is>
      </c>
      <c r="P1377" s="16" t="n">
        <v>899</v>
      </c>
      <c r="Q1377" s="16" t="n">
        <v>899</v>
      </c>
      <c r="R1377" s="16" t="n">
        <v>1</v>
      </c>
      <c r="S1377" s="16" t="n"/>
      <c r="T1377" s="16" t="n">
        <v>2</v>
      </c>
    </row>
    <row r="1378" s="103">
      <c r="A1378" s="16" t="inlineStr">
        <is>
          <t>B331</t>
        </is>
      </c>
      <c r="B1378" s="16" t="inlineStr">
        <is>
          <t>上海区域</t>
        </is>
      </c>
      <c r="C1378" s="16" t="inlineStr">
        <is>
          <t>CN0Q</t>
        </is>
      </c>
      <c r="D1378" s="16" t="inlineStr">
        <is>
          <t>EE 苏州比斯特购物村</t>
        </is>
      </c>
      <c r="E1378" s="16" t="n">
        <v>4</v>
      </c>
      <c r="F1378" s="16" t="inlineStr">
        <is>
          <t>奥特莱斯</t>
        </is>
      </c>
      <c r="G1378" s="16" t="inlineStr">
        <is>
          <t>EETJG23B08</t>
        </is>
      </c>
      <c r="H1378" s="16" t="n">
        <v>799</v>
      </c>
      <c r="I1378" s="16" t="n">
        <v>699</v>
      </c>
      <c r="J1378" s="17" t="inlineStr">
        <is>
          <t>########</t>
        </is>
      </c>
      <c r="K1378" s="16" t="inlineStr">
        <is>
          <t>(56)L/Indigo</t>
        </is>
      </c>
      <c r="L1378" s="16" t="inlineStr">
        <is>
          <t>营业中</t>
        </is>
      </c>
      <c r="M1378" s="16" t="inlineStr">
        <is>
          <t>EETJG23B0856025</t>
        </is>
      </c>
      <c r="N1378" s="16">
        <f>LEFT(M1378,12)</f>
        <v/>
      </c>
      <c r="O1378" s="16" t="inlineStr">
        <is>
          <t>EETJG23B08, (56)L/Indigo, 25(155/64A)</t>
        </is>
      </c>
      <c r="P1378" s="16" t="n">
        <v>799</v>
      </c>
      <c r="Q1378" s="16" t="n">
        <v>699</v>
      </c>
      <c r="R1378" s="16" t="n">
        <v>4</v>
      </c>
      <c r="S1378" s="16" t="n">
        <v>818</v>
      </c>
      <c r="T1378" s="16" t="n">
        <v>0</v>
      </c>
    </row>
    <row r="1379" s="103">
      <c r="A1379" s="16" t="inlineStr">
        <is>
          <t>B331</t>
        </is>
      </c>
      <c r="B1379" s="16" t="inlineStr">
        <is>
          <t>上海区域</t>
        </is>
      </c>
      <c r="C1379" s="16" t="inlineStr">
        <is>
          <t>CN0Q</t>
        </is>
      </c>
      <c r="D1379" s="16" t="inlineStr">
        <is>
          <t>EE 苏州比斯特购物村</t>
        </is>
      </c>
      <c r="E1379" s="16" t="n">
        <v>4</v>
      </c>
      <c r="F1379" s="16" t="inlineStr">
        <is>
          <t>奥特莱斯</t>
        </is>
      </c>
      <c r="G1379" s="16" t="inlineStr">
        <is>
          <t>EETJG23B08</t>
        </is>
      </c>
      <c r="H1379" s="16" t="n">
        <v>799</v>
      </c>
      <c r="I1379" s="16" t="n">
        <v>699</v>
      </c>
      <c r="J1379" s="17" t="inlineStr">
        <is>
          <t>########</t>
        </is>
      </c>
      <c r="K1379" s="16" t="inlineStr">
        <is>
          <t>(56)L/Indigo</t>
        </is>
      </c>
      <c r="L1379" s="16" t="inlineStr">
        <is>
          <t>营业中</t>
        </is>
      </c>
      <c r="M1379" s="16" t="inlineStr">
        <is>
          <t>EETJG23B0856026</t>
        </is>
      </c>
      <c r="N1379" s="16">
        <f>LEFT(M1379,12)</f>
        <v/>
      </c>
      <c r="O1379" s="16" t="inlineStr">
        <is>
          <t>EETJG23B08, (56)L/Indigo, 26(160/66A)</t>
        </is>
      </c>
      <c r="P1379" s="16" t="n">
        <v>799</v>
      </c>
      <c r="Q1379" s="16" t="n">
        <v>699</v>
      </c>
      <c r="R1379" s="16" t="n">
        <v>1</v>
      </c>
      <c r="S1379" s="16" t="n"/>
      <c r="T1379" s="16" t="n">
        <v>1</v>
      </c>
    </row>
    <row r="1380" s="103">
      <c r="A1380" s="16" t="inlineStr">
        <is>
          <t>B331</t>
        </is>
      </c>
      <c r="B1380" s="16" t="inlineStr">
        <is>
          <t>上海区域</t>
        </is>
      </c>
      <c r="C1380" s="16" t="inlineStr">
        <is>
          <t>CN0Q</t>
        </is>
      </c>
      <c r="D1380" s="16" t="inlineStr">
        <is>
          <t>EE 苏州比斯特购物村</t>
        </is>
      </c>
      <c r="E1380" s="16" t="n">
        <v>4</v>
      </c>
      <c r="F1380" s="16" t="inlineStr">
        <is>
          <t>奥特莱斯</t>
        </is>
      </c>
      <c r="G1380" s="16" t="inlineStr">
        <is>
          <t>EETJG23B08</t>
        </is>
      </c>
      <c r="H1380" s="16" t="n">
        <v>799</v>
      </c>
      <c r="I1380" s="16" t="n">
        <v>699</v>
      </c>
      <c r="J1380" s="17" t="inlineStr">
        <is>
          <t>########</t>
        </is>
      </c>
      <c r="K1380" s="16" t="inlineStr">
        <is>
          <t>(56)L/Indigo</t>
        </is>
      </c>
      <c r="L1380" s="16" t="inlineStr">
        <is>
          <t>营业中</t>
        </is>
      </c>
      <c r="M1380" s="16" t="inlineStr">
        <is>
          <t>EETJG23B0856027</t>
        </is>
      </c>
      <c r="N1380" s="16">
        <f>LEFT(M1380,12)</f>
        <v/>
      </c>
      <c r="O1380" s="16" t="inlineStr">
        <is>
          <t>EETJG23B08, (56)L/Indigo, 27(165/68A)</t>
        </is>
      </c>
      <c r="P1380" s="16" t="n">
        <v>799</v>
      </c>
      <c r="Q1380" s="16" t="n">
        <v>699</v>
      </c>
      <c r="R1380" s="16" t="n">
        <v>2</v>
      </c>
      <c r="S1380" s="16" t="n">
        <v>932</v>
      </c>
      <c r="T1380" s="16" t="n">
        <v>0</v>
      </c>
    </row>
    <row r="1381" s="103">
      <c r="A1381" s="16" t="inlineStr">
        <is>
          <t>B331</t>
        </is>
      </c>
      <c r="B1381" s="16" t="inlineStr">
        <is>
          <t>上海区域</t>
        </is>
      </c>
      <c r="C1381" s="16" t="inlineStr">
        <is>
          <t>CN0Q</t>
        </is>
      </c>
      <c r="D1381" s="16" t="inlineStr">
        <is>
          <t>EE 苏州比斯特购物村</t>
        </is>
      </c>
      <c r="E1381" s="16" t="n">
        <v>4</v>
      </c>
      <c r="F1381" s="16" t="inlineStr">
        <is>
          <t>奥特莱斯</t>
        </is>
      </c>
      <c r="G1381" s="16" t="inlineStr">
        <is>
          <t>EETJG23B08</t>
        </is>
      </c>
      <c r="H1381" s="16" t="n">
        <v>799</v>
      </c>
      <c r="I1381" s="16" t="n">
        <v>699</v>
      </c>
      <c r="J1381" s="17" t="inlineStr">
        <is>
          <t>########</t>
        </is>
      </c>
      <c r="K1381" s="16" t="inlineStr">
        <is>
          <t>(56)L/Indigo</t>
        </is>
      </c>
      <c r="L1381" s="16" t="inlineStr">
        <is>
          <t>营业中</t>
        </is>
      </c>
      <c r="M1381" s="16" t="inlineStr">
        <is>
          <t>EETJG23B0856028</t>
        </is>
      </c>
      <c r="N1381" s="16">
        <f>LEFT(M1381,12)</f>
        <v/>
      </c>
      <c r="O1381" s="16" t="inlineStr">
        <is>
          <t>EETJG23B08, (56)L/Indigo, 28(165/70A)</t>
        </is>
      </c>
      <c r="P1381" s="16" t="n">
        <v>799</v>
      </c>
      <c r="Q1381" s="16" t="n">
        <v>699</v>
      </c>
      <c r="R1381" s="16" t="n"/>
      <c r="S1381" s="16" t="n"/>
      <c r="T1381" s="16" t="n">
        <v>2</v>
      </c>
    </row>
    <row r="1382" s="103">
      <c r="A1382" s="16" t="inlineStr">
        <is>
          <t>B331</t>
        </is>
      </c>
      <c r="B1382" s="16" t="inlineStr">
        <is>
          <t>上海区域</t>
        </is>
      </c>
      <c r="C1382" s="16" t="inlineStr">
        <is>
          <t>CN0Q</t>
        </is>
      </c>
      <c r="D1382" s="16" t="inlineStr">
        <is>
          <t>EE 苏州比斯特购物村</t>
        </is>
      </c>
      <c r="E1382" s="16" t="n">
        <v>4</v>
      </c>
      <c r="F1382" s="16" t="inlineStr">
        <is>
          <t>奥特莱斯</t>
        </is>
      </c>
      <c r="G1382" s="16" t="inlineStr">
        <is>
          <t>EETJG23B1G</t>
        </is>
      </c>
      <c r="H1382" s="16" t="n">
        <v>899</v>
      </c>
      <c r="I1382" s="16" t="n">
        <v>899</v>
      </c>
      <c r="J1382" s="17" t="inlineStr">
        <is>
          <t>########</t>
        </is>
      </c>
      <c r="K1382" s="16" t="inlineStr">
        <is>
          <t>(39)Ivory</t>
        </is>
      </c>
      <c r="L1382" s="16" t="inlineStr">
        <is>
          <t>营业中</t>
        </is>
      </c>
      <c r="M1382" s="16" t="inlineStr">
        <is>
          <t>EETJG23B1G39030</t>
        </is>
      </c>
      <c r="N1382" s="16">
        <f>LEFT(M1382,12)</f>
        <v/>
      </c>
      <c r="O1382" s="16" t="inlineStr">
        <is>
          <t>EETJG23B1G, (39)Ivory, 30(170/76A)</t>
        </is>
      </c>
      <c r="P1382" s="16" t="n">
        <v>899</v>
      </c>
      <c r="Q1382" s="16" t="n">
        <v>899</v>
      </c>
      <c r="R1382" s="16" t="n">
        <v>1</v>
      </c>
      <c r="S1382" s="16" t="n">
        <v>573</v>
      </c>
      <c r="T1382" s="16" t="n">
        <v>1</v>
      </c>
    </row>
    <row r="1383" s="103">
      <c r="A1383" s="16" t="inlineStr">
        <is>
          <t>B331</t>
        </is>
      </c>
      <c r="B1383" s="16" t="inlineStr">
        <is>
          <t>上海区域</t>
        </is>
      </c>
      <c r="C1383" s="16" t="inlineStr">
        <is>
          <t>CN0Q</t>
        </is>
      </c>
      <c r="D1383" s="16" t="inlineStr">
        <is>
          <t>EE 苏州比斯特购物村</t>
        </is>
      </c>
      <c r="E1383" s="16" t="n">
        <v>4</v>
      </c>
      <c r="F1383" s="16" t="inlineStr">
        <is>
          <t>奥特莱斯</t>
        </is>
      </c>
      <c r="G1383" s="16" t="inlineStr">
        <is>
          <t>EETJG23B1G</t>
        </is>
      </c>
      <c r="H1383" s="16" t="n">
        <v>899</v>
      </c>
      <c r="I1383" s="16" t="n">
        <v>899</v>
      </c>
      <c r="J1383" s="17" t="inlineStr">
        <is>
          <t>########</t>
        </is>
      </c>
      <c r="K1383" s="16" t="inlineStr">
        <is>
          <t>(39)Ivory</t>
        </is>
      </c>
      <c r="L1383" s="16" t="inlineStr">
        <is>
          <t>营业中</t>
        </is>
      </c>
      <c r="M1383" s="16" t="inlineStr">
        <is>
          <t>EETJG23B1G39032</t>
        </is>
      </c>
      <c r="N1383" s="16">
        <f>LEFT(M1383,12)</f>
        <v/>
      </c>
      <c r="O1383" s="16" t="inlineStr">
        <is>
          <t>EETJG23B1G, (39)Ivory, 32(175/80A)</t>
        </is>
      </c>
      <c r="P1383" s="16" t="n">
        <v>899</v>
      </c>
      <c r="Q1383" s="16" t="n">
        <v>899</v>
      </c>
      <c r="R1383" s="16" t="n"/>
      <c r="S1383" s="16" t="n"/>
      <c r="T1383" s="16" t="n">
        <v>3</v>
      </c>
    </row>
    <row r="1384" s="103">
      <c r="A1384" s="16" t="inlineStr">
        <is>
          <t>B331</t>
        </is>
      </c>
      <c r="B1384" s="16" t="inlineStr">
        <is>
          <t>上海区域</t>
        </is>
      </c>
      <c r="C1384" s="16" t="inlineStr">
        <is>
          <t>CN0Q</t>
        </is>
      </c>
      <c r="D1384" s="16" t="inlineStr">
        <is>
          <t>EE 苏州比斯特购物村</t>
        </is>
      </c>
      <c r="E1384" s="16" t="n">
        <v>4</v>
      </c>
      <c r="F1384" s="16" t="inlineStr">
        <is>
          <t>奥特莱斯</t>
        </is>
      </c>
      <c r="G1384" s="16" t="inlineStr">
        <is>
          <t>EETJG23B1G</t>
        </is>
      </c>
      <c r="H1384" s="16" t="n">
        <v>899</v>
      </c>
      <c r="I1384" s="16" t="n">
        <v>899</v>
      </c>
      <c r="J1384" s="17" t="inlineStr">
        <is>
          <t>########</t>
        </is>
      </c>
      <c r="K1384" s="16" t="inlineStr">
        <is>
          <t>(39)Ivory</t>
        </is>
      </c>
      <c r="L1384" s="16" t="inlineStr">
        <is>
          <t>营业中</t>
        </is>
      </c>
      <c r="M1384" s="16" t="inlineStr">
        <is>
          <t>EETJG23B1G39034</t>
        </is>
      </c>
      <c r="N1384" s="16">
        <f>LEFT(M1384,12)</f>
        <v/>
      </c>
      <c r="O1384" s="16" t="inlineStr">
        <is>
          <t>EETJG23B1G, (39)Ivory, 34(180/84A)</t>
        </is>
      </c>
      <c r="P1384" s="16" t="n">
        <v>899</v>
      </c>
      <c r="Q1384" s="16" t="n">
        <v>899</v>
      </c>
      <c r="R1384" s="16" t="n">
        <v>3</v>
      </c>
      <c r="S1384" s="18" t="n">
        <v>1146</v>
      </c>
      <c r="T1384" s="16" t="n">
        <v>0</v>
      </c>
    </row>
    <row r="1385" s="103">
      <c r="A1385" s="16" t="inlineStr">
        <is>
          <t>B331</t>
        </is>
      </c>
      <c r="B1385" s="16" t="inlineStr">
        <is>
          <t>上海区域</t>
        </is>
      </c>
      <c r="C1385" s="16" t="inlineStr">
        <is>
          <t>CN0Q</t>
        </is>
      </c>
      <c r="D1385" s="16" t="inlineStr">
        <is>
          <t>EE 苏州比斯特购物村</t>
        </is>
      </c>
      <c r="E1385" s="16" t="n">
        <v>4</v>
      </c>
      <c r="F1385" s="16" t="inlineStr">
        <is>
          <t>奥特莱斯</t>
        </is>
      </c>
      <c r="G1385" s="16" t="inlineStr">
        <is>
          <t>EETJG23E01</t>
        </is>
      </c>
      <c r="H1385" s="16" t="n">
        <v>699</v>
      </c>
      <c r="I1385" s="16" t="n">
        <v>699</v>
      </c>
      <c r="J1385" s="17" t="inlineStr">
        <is>
          <t>########</t>
        </is>
      </c>
      <c r="K1385" s="16" t="inlineStr">
        <is>
          <t>(39)Ivory</t>
        </is>
      </c>
      <c r="L1385" s="16" t="inlineStr">
        <is>
          <t>营业中</t>
        </is>
      </c>
      <c r="M1385" s="16" t="inlineStr">
        <is>
          <t>EETJG23E0139025</t>
        </is>
      </c>
      <c r="N1385" s="16">
        <f>LEFT(M1385,12)</f>
        <v/>
      </c>
      <c r="O1385" s="16" t="inlineStr">
        <is>
          <t>EETJG23E01, (39)Ivory, 25(155/64A)</t>
        </is>
      </c>
      <c r="P1385" s="16" t="n">
        <v>699</v>
      </c>
      <c r="Q1385" s="16" t="n">
        <v>699</v>
      </c>
      <c r="R1385" s="16" t="n">
        <v>1</v>
      </c>
      <c r="S1385" s="16" t="n">
        <v>443</v>
      </c>
      <c r="T1385" s="16" t="n">
        <v>1</v>
      </c>
    </row>
    <row r="1386" s="103">
      <c r="A1386" s="16" t="inlineStr">
        <is>
          <t>B331</t>
        </is>
      </c>
      <c r="B1386" s="16" t="inlineStr">
        <is>
          <t>上海区域</t>
        </is>
      </c>
      <c r="C1386" s="16" t="inlineStr">
        <is>
          <t>CN0Q</t>
        </is>
      </c>
      <c r="D1386" s="16" t="inlineStr">
        <is>
          <t>EE 苏州比斯特购物村</t>
        </is>
      </c>
      <c r="E1386" s="16" t="n">
        <v>4</v>
      </c>
      <c r="F1386" s="16" t="inlineStr">
        <is>
          <t>奥特莱斯</t>
        </is>
      </c>
      <c r="G1386" s="16" t="inlineStr">
        <is>
          <t>EETJG23E01</t>
        </is>
      </c>
      <c r="H1386" s="16" t="n">
        <v>699</v>
      </c>
      <c r="I1386" s="16" t="n">
        <v>699</v>
      </c>
      <c r="J1386" s="17" t="inlineStr">
        <is>
          <t>########</t>
        </is>
      </c>
      <c r="K1386" s="16" t="inlineStr">
        <is>
          <t>(39)Ivory</t>
        </is>
      </c>
      <c r="L1386" s="16" t="inlineStr">
        <is>
          <t>营业中</t>
        </is>
      </c>
      <c r="M1386" s="16" t="inlineStr">
        <is>
          <t>EETJG23E0139026</t>
        </is>
      </c>
      <c r="N1386" s="16">
        <f>LEFT(M1386,12)</f>
        <v/>
      </c>
      <c r="O1386" s="16" t="inlineStr">
        <is>
          <t>EETJG23E01, (39)Ivory, 26(160/66A)</t>
        </is>
      </c>
      <c r="P1386" s="16" t="n">
        <v>699</v>
      </c>
      <c r="Q1386" s="16" t="n">
        <v>699</v>
      </c>
      <c r="R1386" s="16" t="n">
        <v>1</v>
      </c>
      <c r="S1386" s="16" t="n">
        <v>452</v>
      </c>
      <c r="T1386" s="16" t="n">
        <v>3</v>
      </c>
    </row>
    <row r="1387" s="103">
      <c r="A1387" s="16" t="inlineStr">
        <is>
          <t>B331</t>
        </is>
      </c>
      <c r="B1387" s="16" t="inlineStr">
        <is>
          <t>上海区域</t>
        </is>
      </c>
      <c r="C1387" s="16" t="inlineStr">
        <is>
          <t>CN0Q</t>
        </is>
      </c>
      <c r="D1387" s="16" t="inlineStr">
        <is>
          <t>EE 苏州比斯特购物村</t>
        </is>
      </c>
      <c r="E1387" s="16" t="n">
        <v>4</v>
      </c>
      <c r="F1387" s="16" t="inlineStr">
        <is>
          <t>奥特莱斯</t>
        </is>
      </c>
      <c r="G1387" s="16" t="inlineStr">
        <is>
          <t>EETJG23E01</t>
        </is>
      </c>
      <c r="H1387" s="16" t="n">
        <v>699</v>
      </c>
      <c r="I1387" s="16" t="n">
        <v>699</v>
      </c>
      <c r="J1387" s="17" t="inlineStr">
        <is>
          <t>########</t>
        </is>
      </c>
      <c r="K1387" s="16" t="inlineStr">
        <is>
          <t>(39)Ivory</t>
        </is>
      </c>
      <c r="L1387" s="16" t="inlineStr">
        <is>
          <t>营业中</t>
        </is>
      </c>
      <c r="M1387" s="16" t="inlineStr">
        <is>
          <t>EETJG23E0139027</t>
        </is>
      </c>
      <c r="N1387" s="16">
        <f>LEFT(M1387,12)</f>
        <v/>
      </c>
      <c r="O1387" s="16" t="inlineStr">
        <is>
          <t>EETJG23E01, (39)Ivory, 27(165/68A)</t>
        </is>
      </c>
      <c r="P1387" s="16" t="n">
        <v>699</v>
      </c>
      <c r="Q1387" s="16" t="n">
        <v>699</v>
      </c>
      <c r="R1387" s="16" t="n">
        <v>1</v>
      </c>
      <c r="S1387" s="16" t="n"/>
      <c r="T1387" s="16" t="n">
        <v>2</v>
      </c>
    </row>
    <row r="1388" s="103">
      <c r="A1388" s="16" t="inlineStr">
        <is>
          <t>B331</t>
        </is>
      </c>
      <c r="B1388" s="16" t="inlineStr">
        <is>
          <t>上海区域</t>
        </is>
      </c>
      <c r="C1388" s="16" t="inlineStr">
        <is>
          <t>CN0Q</t>
        </is>
      </c>
      <c r="D1388" s="16" t="inlineStr">
        <is>
          <t>EE 苏州比斯特购物村</t>
        </is>
      </c>
      <c r="E1388" s="16" t="n">
        <v>4</v>
      </c>
      <c r="F1388" s="16" t="inlineStr">
        <is>
          <t>奥特莱斯</t>
        </is>
      </c>
      <c r="G1388" s="16" t="inlineStr">
        <is>
          <t>EETJG23E01</t>
        </is>
      </c>
      <c r="H1388" s="16" t="n">
        <v>699</v>
      </c>
      <c r="I1388" s="16" t="n">
        <v>699</v>
      </c>
      <c r="J1388" s="17" t="inlineStr">
        <is>
          <t>########</t>
        </is>
      </c>
      <c r="K1388" s="16" t="inlineStr">
        <is>
          <t>(39)Ivory</t>
        </is>
      </c>
      <c r="L1388" s="16" t="inlineStr">
        <is>
          <t>营业中</t>
        </is>
      </c>
      <c r="M1388" s="16" t="inlineStr">
        <is>
          <t>EETJG23E0139028</t>
        </is>
      </c>
      <c r="N1388" s="16">
        <f>LEFT(M1388,12)</f>
        <v/>
      </c>
      <c r="O1388" s="16" t="inlineStr">
        <is>
          <t>EETJG23E01, (39)Ivory, 28(165/70A)</t>
        </is>
      </c>
      <c r="P1388" s="16" t="n">
        <v>699</v>
      </c>
      <c r="Q1388" s="16" t="n">
        <v>699</v>
      </c>
      <c r="R1388" s="16" t="n">
        <v>1</v>
      </c>
      <c r="S1388" s="16" t="n">
        <v>448</v>
      </c>
      <c r="T1388" s="16" t="n">
        <v>1</v>
      </c>
    </row>
    <row r="1389" s="103">
      <c r="A1389" s="16" t="inlineStr">
        <is>
          <t>B331</t>
        </is>
      </c>
      <c r="B1389" s="16" t="inlineStr">
        <is>
          <t>上海区域</t>
        </is>
      </c>
      <c r="C1389" s="16" t="inlineStr">
        <is>
          <t>CN0Q</t>
        </is>
      </c>
      <c r="D1389" s="16" t="inlineStr">
        <is>
          <t>EE 苏州比斯特购物村</t>
        </is>
      </c>
      <c r="E1389" s="16" t="n">
        <v>4</v>
      </c>
      <c r="F1389" s="16" t="inlineStr">
        <is>
          <t>奥特莱斯</t>
        </is>
      </c>
      <c r="G1389" s="16" t="inlineStr">
        <is>
          <t>EETJG23E01</t>
        </is>
      </c>
      <c r="H1389" s="16" t="n">
        <v>699</v>
      </c>
      <c r="I1389" s="16" t="n">
        <v>699</v>
      </c>
      <c r="J1389" s="17" t="inlineStr">
        <is>
          <t>########</t>
        </is>
      </c>
      <c r="K1389" s="16" t="inlineStr">
        <is>
          <t>(39)Ivory</t>
        </is>
      </c>
      <c r="L1389" s="16" t="inlineStr">
        <is>
          <t>营业中</t>
        </is>
      </c>
      <c r="M1389" s="16" t="inlineStr">
        <is>
          <t>EETJG23E0139029</t>
        </is>
      </c>
      <c r="N1389" s="16">
        <f>LEFT(M1389,12)</f>
        <v/>
      </c>
      <c r="O1389" s="16" t="inlineStr">
        <is>
          <t>EETJG23E01, (39)Ivory, 29(170/72A)</t>
        </is>
      </c>
      <c r="P1389" s="16" t="n">
        <v>699</v>
      </c>
      <c r="Q1389" s="16" t="n">
        <v>699</v>
      </c>
      <c r="R1389" s="16" t="n"/>
      <c r="S1389" s="16" t="n"/>
      <c r="T1389" s="16" t="n">
        <v>2</v>
      </c>
    </row>
    <row r="1390" s="103">
      <c r="A1390" s="16" t="inlineStr">
        <is>
          <t>B331</t>
        </is>
      </c>
      <c r="B1390" s="16" t="inlineStr">
        <is>
          <t>上海区域</t>
        </is>
      </c>
      <c r="C1390" s="16" t="inlineStr">
        <is>
          <t>CN0Q</t>
        </is>
      </c>
      <c r="D1390" s="16" t="inlineStr">
        <is>
          <t>EE 苏州比斯特购物村</t>
        </is>
      </c>
      <c r="E1390" s="16" t="n">
        <v>4</v>
      </c>
      <c r="F1390" s="16" t="inlineStr">
        <is>
          <t>奥特莱斯</t>
        </is>
      </c>
      <c r="G1390" s="16" t="inlineStr">
        <is>
          <t>EETJG23E01</t>
        </is>
      </c>
      <c r="H1390" s="16" t="n">
        <v>699</v>
      </c>
      <c r="I1390" s="16" t="n">
        <v>699</v>
      </c>
      <c r="J1390" s="17" t="inlineStr">
        <is>
          <t>########</t>
        </is>
      </c>
      <c r="K1390" s="16" t="inlineStr">
        <is>
          <t>(39)Ivory</t>
        </is>
      </c>
      <c r="L1390" s="16" t="inlineStr">
        <is>
          <t>营业中</t>
        </is>
      </c>
      <c r="M1390" s="16" t="inlineStr">
        <is>
          <t>EETJG23E0139030</t>
        </is>
      </c>
      <c r="N1390" s="16">
        <f>LEFT(M1390,12)</f>
        <v/>
      </c>
      <c r="O1390" s="16" t="inlineStr">
        <is>
          <t>EETJG23E01, (39)Ivory, 30(175/74A)</t>
        </is>
      </c>
      <c r="P1390" s="16" t="n">
        <v>699</v>
      </c>
      <c r="Q1390" s="16" t="n">
        <v>699</v>
      </c>
      <c r="R1390" s="16" t="n"/>
      <c r="S1390" s="16" t="n"/>
      <c r="T1390" s="16" t="n">
        <v>2</v>
      </c>
    </row>
    <row r="1391" s="103">
      <c r="A1391" s="16" t="inlineStr">
        <is>
          <t>B331</t>
        </is>
      </c>
      <c r="B1391" s="16" t="inlineStr">
        <is>
          <t>上海区域</t>
        </is>
      </c>
      <c r="C1391" s="16" t="inlineStr">
        <is>
          <t>CN0Q</t>
        </is>
      </c>
      <c r="D1391" s="16" t="inlineStr">
        <is>
          <t>EE 苏州比斯特购物村</t>
        </is>
      </c>
      <c r="E1391" s="16" t="n">
        <v>4</v>
      </c>
      <c r="F1391" s="16" t="inlineStr">
        <is>
          <t>奥特莱斯</t>
        </is>
      </c>
      <c r="G1391" s="16" t="inlineStr">
        <is>
          <t>EETJG23E01</t>
        </is>
      </c>
      <c r="H1391" s="16" t="n">
        <v>699</v>
      </c>
      <c r="I1391" s="16" t="n">
        <v>699</v>
      </c>
      <c r="J1391" s="17" t="inlineStr">
        <is>
          <t>########</t>
        </is>
      </c>
      <c r="K1391" s="16" t="inlineStr">
        <is>
          <t>(55)Indigo</t>
        </is>
      </c>
      <c r="L1391" s="16" t="inlineStr">
        <is>
          <t>营业中</t>
        </is>
      </c>
      <c r="M1391" s="16" t="inlineStr">
        <is>
          <t>EETJG23E0155025</t>
        </is>
      </c>
      <c r="N1391" s="16">
        <f>LEFT(M1391,12)</f>
        <v/>
      </c>
      <c r="O1391" s="16" t="inlineStr">
        <is>
          <t>EETJG23E01, (55)Indigo, 25(155/64A)</t>
        </is>
      </c>
      <c r="P1391" s="16" t="n">
        <v>699</v>
      </c>
      <c r="Q1391" s="16" t="n">
        <v>699</v>
      </c>
      <c r="R1391" s="16" t="n"/>
      <c r="S1391" s="16" t="n"/>
      <c r="T1391" s="16" t="n">
        <v>2</v>
      </c>
    </row>
    <row r="1392" s="103">
      <c r="A1392" s="16" t="inlineStr">
        <is>
          <t>B331</t>
        </is>
      </c>
      <c r="B1392" s="16" t="inlineStr">
        <is>
          <t>上海区域</t>
        </is>
      </c>
      <c r="C1392" s="16" t="inlineStr">
        <is>
          <t>CN0Q</t>
        </is>
      </c>
      <c r="D1392" s="16" t="inlineStr">
        <is>
          <t>EE 苏州比斯特购物村</t>
        </is>
      </c>
      <c r="E1392" s="16" t="n">
        <v>4</v>
      </c>
      <c r="F1392" s="16" t="inlineStr">
        <is>
          <t>奥特莱斯</t>
        </is>
      </c>
      <c r="G1392" s="16" t="inlineStr">
        <is>
          <t>EETJG23E01</t>
        </is>
      </c>
      <c r="H1392" s="16" t="n">
        <v>699</v>
      </c>
      <c r="I1392" s="16" t="n">
        <v>699</v>
      </c>
      <c r="J1392" s="17" t="inlineStr">
        <is>
          <t>########</t>
        </is>
      </c>
      <c r="K1392" s="16" t="inlineStr">
        <is>
          <t>(55)Indigo</t>
        </is>
      </c>
      <c r="L1392" s="16" t="inlineStr">
        <is>
          <t>营业中</t>
        </is>
      </c>
      <c r="M1392" s="16" t="inlineStr">
        <is>
          <t>EETJG23E0155026</t>
        </is>
      </c>
      <c r="N1392" s="16">
        <f>LEFT(M1392,12)</f>
        <v/>
      </c>
      <c r="O1392" s="16" t="inlineStr">
        <is>
          <t>EETJG23E01, (55)Indigo, 26(160/66A)</t>
        </is>
      </c>
      <c r="P1392" s="16" t="n">
        <v>699</v>
      </c>
      <c r="Q1392" s="16" t="n">
        <v>699</v>
      </c>
      <c r="R1392" s="16" t="n">
        <v>1</v>
      </c>
      <c r="S1392" s="16" t="n">
        <v>444</v>
      </c>
      <c r="T1392" s="16" t="n">
        <v>4</v>
      </c>
    </row>
    <row r="1393" s="103">
      <c r="A1393" s="16" t="inlineStr">
        <is>
          <t>B331</t>
        </is>
      </c>
      <c r="B1393" s="16" t="inlineStr">
        <is>
          <t>上海区域</t>
        </is>
      </c>
      <c r="C1393" s="16" t="inlineStr">
        <is>
          <t>CN0Q</t>
        </is>
      </c>
      <c r="D1393" s="16" t="inlineStr">
        <is>
          <t>EE 苏州比斯特购物村</t>
        </is>
      </c>
      <c r="E1393" s="16" t="n">
        <v>4</v>
      </c>
      <c r="F1393" s="16" t="inlineStr">
        <is>
          <t>奥特莱斯</t>
        </is>
      </c>
      <c r="G1393" s="16" t="inlineStr">
        <is>
          <t>EETJG23E01</t>
        </is>
      </c>
      <c r="H1393" s="16" t="n">
        <v>699</v>
      </c>
      <c r="I1393" s="16" t="n">
        <v>699</v>
      </c>
      <c r="J1393" s="17" t="inlineStr">
        <is>
          <t>########</t>
        </is>
      </c>
      <c r="K1393" s="16" t="inlineStr">
        <is>
          <t>(55)Indigo</t>
        </is>
      </c>
      <c r="L1393" s="16" t="inlineStr">
        <is>
          <t>营业中</t>
        </is>
      </c>
      <c r="M1393" s="16" t="inlineStr">
        <is>
          <t>EETJG23E0155027</t>
        </is>
      </c>
      <c r="N1393" s="16">
        <f>LEFT(M1393,12)</f>
        <v/>
      </c>
      <c r="O1393" s="16" t="inlineStr">
        <is>
          <t>EETJG23E01, (55)Indigo, 27(165/68A)</t>
        </is>
      </c>
      <c r="P1393" s="16" t="n">
        <v>699</v>
      </c>
      <c r="Q1393" s="16" t="n">
        <v>699</v>
      </c>
      <c r="R1393" s="16" t="n">
        <v>3</v>
      </c>
      <c r="S1393" s="16" t="n">
        <v>901</v>
      </c>
      <c r="T1393" s="16" t="n">
        <v>3</v>
      </c>
    </row>
    <row r="1394" s="103">
      <c r="A1394" s="16" t="inlineStr">
        <is>
          <t>B331</t>
        </is>
      </c>
      <c r="B1394" s="16" t="inlineStr">
        <is>
          <t>上海区域</t>
        </is>
      </c>
      <c r="C1394" s="16" t="inlineStr">
        <is>
          <t>CN0Q</t>
        </is>
      </c>
      <c r="D1394" s="16" t="inlineStr">
        <is>
          <t>EE 苏州比斯特购物村</t>
        </is>
      </c>
      <c r="E1394" s="16" t="n">
        <v>4</v>
      </c>
      <c r="F1394" s="16" t="inlineStr">
        <is>
          <t>奥特莱斯</t>
        </is>
      </c>
      <c r="G1394" s="16" t="inlineStr">
        <is>
          <t>EETJG23E01</t>
        </is>
      </c>
      <c r="H1394" s="16" t="n">
        <v>699</v>
      </c>
      <c r="I1394" s="16" t="n">
        <v>699</v>
      </c>
      <c r="J1394" s="17" t="inlineStr">
        <is>
          <t>########</t>
        </is>
      </c>
      <c r="K1394" s="16" t="inlineStr">
        <is>
          <t>(55)Indigo</t>
        </is>
      </c>
      <c r="L1394" s="16" t="inlineStr">
        <is>
          <t>营业中</t>
        </is>
      </c>
      <c r="M1394" s="16" t="inlineStr">
        <is>
          <t>EETJG23E0155028</t>
        </is>
      </c>
      <c r="N1394" s="16">
        <f>LEFT(M1394,12)</f>
        <v/>
      </c>
      <c r="O1394" s="16" t="inlineStr">
        <is>
          <t>EETJG23E01, (55)Indigo, 28(165/70A)</t>
        </is>
      </c>
      <c r="P1394" s="16" t="n">
        <v>699</v>
      </c>
      <c r="Q1394" s="16" t="n">
        <v>699</v>
      </c>
      <c r="R1394" s="16" t="n">
        <v>1</v>
      </c>
      <c r="S1394" s="16" t="n">
        <v>447</v>
      </c>
      <c r="T1394" s="16" t="n">
        <v>1</v>
      </c>
    </row>
    <row r="1395" s="103">
      <c r="A1395" s="16" t="inlineStr">
        <is>
          <t>B331</t>
        </is>
      </c>
      <c r="B1395" s="16" t="inlineStr">
        <is>
          <t>上海区域</t>
        </is>
      </c>
      <c r="C1395" s="16" t="inlineStr">
        <is>
          <t>CN0Q</t>
        </is>
      </c>
      <c r="D1395" s="16" t="inlineStr">
        <is>
          <t>EE 苏州比斯特购物村</t>
        </is>
      </c>
      <c r="E1395" s="16" t="n">
        <v>4</v>
      </c>
      <c r="F1395" s="16" t="inlineStr">
        <is>
          <t>奥特莱斯</t>
        </is>
      </c>
      <c r="G1395" s="16" t="inlineStr">
        <is>
          <t>EETJG23E01</t>
        </is>
      </c>
      <c r="H1395" s="16" t="n">
        <v>699</v>
      </c>
      <c r="I1395" s="16" t="n">
        <v>699</v>
      </c>
      <c r="J1395" s="17" t="inlineStr">
        <is>
          <t>########</t>
        </is>
      </c>
      <c r="K1395" s="16" t="inlineStr">
        <is>
          <t>(55)Indigo</t>
        </is>
      </c>
      <c r="L1395" s="16" t="inlineStr">
        <is>
          <t>营业中</t>
        </is>
      </c>
      <c r="M1395" s="16" t="inlineStr">
        <is>
          <t>EETJG23E0155029</t>
        </is>
      </c>
      <c r="N1395" s="16">
        <f>LEFT(M1395,12)</f>
        <v/>
      </c>
      <c r="O1395" s="16" t="inlineStr">
        <is>
          <t>EETJG23E01, (55)Indigo, 29(170/72A)</t>
        </is>
      </c>
      <c r="P1395" s="16" t="n">
        <v>699</v>
      </c>
      <c r="Q1395" s="16" t="n">
        <v>699</v>
      </c>
      <c r="R1395" s="16" t="n"/>
      <c r="S1395" s="16" t="n"/>
      <c r="T1395" s="16" t="n">
        <v>2</v>
      </c>
    </row>
    <row r="1396" s="103">
      <c r="A1396" s="16" t="inlineStr">
        <is>
          <t>B331</t>
        </is>
      </c>
      <c r="B1396" s="16" t="inlineStr">
        <is>
          <t>上海区域</t>
        </is>
      </c>
      <c r="C1396" s="16" t="inlineStr">
        <is>
          <t>CN0Q</t>
        </is>
      </c>
      <c r="D1396" s="16" t="inlineStr">
        <is>
          <t>EE 苏州比斯特购物村</t>
        </is>
      </c>
      <c r="E1396" s="16" t="n">
        <v>4</v>
      </c>
      <c r="F1396" s="16" t="inlineStr">
        <is>
          <t>奥特莱斯</t>
        </is>
      </c>
      <c r="G1396" s="16" t="inlineStr">
        <is>
          <t>EETJG23E01</t>
        </is>
      </c>
      <c r="H1396" s="16" t="n">
        <v>699</v>
      </c>
      <c r="I1396" s="16" t="n">
        <v>699</v>
      </c>
      <c r="J1396" s="17" t="inlineStr">
        <is>
          <t>########</t>
        </is>
      </c>
      <c r="K1396" s="16" t="inlineStr">
        <is>
          <t>(55)Indigo</t>
        </is>
      </c>
      <c r="L1396" s="16" t="inlineStr">
        <is>
          <t>营业中</t>
        </is>
      </c>
      <c r="M1396" s="16" t="inlineStr">
        <is>
          <t>EETJG23E0155030</t>
        </is>
      </c>
      <c r="N1396" s="16">
        <f>LEFT(M1396,12)</f>
        <v/>
      </c>
      <c r="O1396" s="16" t="inlineStr">
        <is>
          <t>EETJG23E01, (55)Indigo, 30(175/74A)</t>
        </is>
      </c>
      <c r="P1396" s="16" t="n">
        <v>699</v>
      </c>
      <c r="Q1396" s="16" t="n">
        <v>699</v>
      </c>
      <c r="R1396" s="16" t="n"/>
      <c r="S1396" s="16" t="n"/>
      <c r="T1396" s="16" t="n">
        <v>2</v>
      </c>
    </row>
    <row r="1397" s="103">
      <c r="A1397" s="16" t="inlineStr">
        <is>
          <t>B331</t>
        </is>
      </c>
      <c r="B1397" s="16" t="inlineStr">
        <is>
          <t>上海区域</t>
        </is>
      </c>
      <c r="C1397" s="16" t="inlineStr">
        <is>
          <t>CN0Q</t>
        </is>
      </c>
      <c r="D1397" s="16" t="inlineStr">
        <is>
          <t>EE 苏州比斯特购物村</t>
        </is>
      </c>
      <c r="E1397" s="16" t="n">
        <v>4</v>
      </c>
      <c r="F1397" s="16" t="inlineStr">
        <is>
          <t>奥特莱斯</t>
        </is>
      </c>
      <c r="G1397" s="16" t="inlineStr">
        <is>
          <t>EETJG23E01</t>
        </is>
      </c>
      <c r="H1397" s="16" t="n">
        <v>699</v>
      </c>
      <c r="I1397" s="16" t="n">
        <v>699</v>
      </c>
      <c r="J1397" s="17" t="inlineStr">
        <is>
          <t>########</t>
        </is>
      </c>
      <c r="K1397" s="16" t="inlineStr">
        <is>
          <t>(57)D/Indigo</t>
        </is>
      </c>
      <c r="L1397" s="16" t="inlineStr">
        <is>
          <t>营业中</t>
        </is>
      </c>
      <c r="M1397" s="16" t="inlineStr">
        <is>
          <t>EETJG23E0157025</t>
        </is>
      </c>
      <c r="N1397" s="16">
        <f>LEFT(M1397,12)</f>
        <v/>
      </c>
      <c r="O1397" s="16" t="inlineStr">
        <is>
          <t>EETJG23E01, (57)D/Indigo, 25(155/64A)</t>
        </is>
      </c>
      <c r="P1397" s="16" t="n">
        <v>699</v>
      </c>
      <c r="Q1397" s="16" t="n">
        <v>699</v>
      </c>
      <c r="R1397" s="16" t="n"/>
      <c r="S1397" s="16" t="n"/>
      <c r="T1397" s="16" t="n">
        <v>2</v>
      </c>
    </row>
    <row r="1398" s="103">
      <c r="A1398" s="16" t="inlineStr">
        <is>
          <t>B331</t>
        </is>
      </c>
      <c r="B1398" s="16" t="inlineStr">
        <is>
          <t>上海区域</t>
        </is>
      </c>
      <c r="C1398" s="16" t="inlineStr">
        <is>
          <t>CN0Q</t>
        </is>
      </c>
      <c r="D1398" s="16" t="inlineStr">
        <is>
          <t>EE 苏州比斯特购物村</t>
        </is>
      </c>
      <c r="E1398" s="16" t="n">
        <v>4</v>
      </c>
      <c r="F1398" s="16" t="inlineStr">
        <is>
          <t>奥特莱斯</t>
        </is>
      </c>
      <c r="G1398" s="16" t="inlineStr">
        <is>
          <t>EETJG23E01</t>
        </is>
      </c>
      <c r="H1398" s="16" t="n">
        <v>699</v>
      </c>
      <c r="I1398" s="16" t="n">
        <v>699</v>
      </c>
      <c r="J1398" s="17" t="inlineStr">
        <is>
          <t>########</t>
        </is>
      </c>
      <c r="K1398" s="16" t="inlineStr">
        <is>
          <t>(57)D/Indigo</t>
        </is>
      </c>
      <c r="L1398" s="16" t="inlineStr">
        <is>
          <t>营业中</t>
        </is>
      </c>
      <c r="M1398" s="16" t="inlineStr">
        <is>
          <t>EETJG23E0157026</t>
        </is>
      </c>
      <c r="N1398" s="16">
        <f>LEFT(M1398,12)</f>
        <v/>
      </c>
      <c r="O1398" s="16" t="inlineStr">
        <is>
          <t>EETJG23E01, (57)D/Indigo, 26(160/66A)</t>
        </is>
      </c>
      <c r="P1398" s="16" t="n">
        <v>699</v>
      </c>
      <c r="Q1398" s="16" t="n">
        <v>699</v>
      </c>
      <c r="R1398" s="16" t="n">
        <v>1</v>
      </c>
      <c r="S1398" s="16" t="n">
        <v>442</v>
      </c>
      <c r="T1398" s="16" t="n">
        <v>1</v>
      </c>
    </row>
    <row r="1399" s="103">
      <c r="A1399" s="16" t="inlineStr">
        <is>
          <t>B331</t>
        </is>
      </c>
      <c r="B1399" s="16" t="inlineStr">
        <is>
          <t>上海区域</t>
        </is>
      </c>
      <c r="C1399" s="16" t="inlineStr">
        <is>
          <t>CN0Q</t>
        </is>
      </c>
      <c r="D1399" s="16" t="inlineStr">
        <is>
          <t>EE 苏州比斯特购物村</t>
        </is>
      </c>
      <c r="E1399" s="16" t="n">
        <v>4</v>
      </c>
      <c r="F1399" s="16" t="inlineStr">
        <is>
          <t>奥特莱斯</t>
        </is>
      </c>
      <c r="G1399" s="16" t="inlineStr">
        <is>
          <t>EETJG23E01</t>
        </is>
      </c>
      <c r="H1399" s="16" t="n">
        <v>699</v>
      </c>
      <c r="I1399" s="16" t="n">
        <v>699</v>
      </c>
      <c r="J1399" s="17" t="inlineStr">
        <is>
          <t>########</t>
        </is>
      </c>
      <c r="K1399" s="16" t="inlineStr">
        <is>
          <t>(57)D/Indigo</t>
        </is>
      </c>
      <c r="L1399" s="16" t="inlineStr">
        <is>
          <t>营业中</t>
        </is>
      </c>
      <c r="M1399" s="16" t="inlineStr">
        <is>
          <t>EETJG23E0157027</t>
        </is>
      </c>
      <c r="N1399" s="16">
        <f>LEFT(M1399,12)</f>
        <v/>
      </c>
      <c r="O1399" s="16" t="inlineStr">
        <is>
          <t>EETJG23E01, (57)D/Indigo, 27(165/68A)</t>
        </is>
      </c>
      <c r="P1399" s="16" t="n">
        <v>699</v>
      </c>
      <c r="Q1399" s="16" t="n">
        <v>699</v>
      </c>
      <c r="R1399" s="16" t="n">
        <v>2</v>
      </c>
      <c r="S1399" s="16" t="n">
        <v>934</v>
      </c>
      <c r="T1399" s="16" t="n">
        <v>0</v>
      </c>
    </row>
    <row r="1400" s="103">
      <c r="A1400" s="16" t="inlineStr">
        <is>
          <t>B331</t>
        </is>
      </c>
      <c r="B1400" s="16" t="inlineStr">
        <is>
          <t>上海区域</t>
        </is>
      </c>
      <c r="C1400" s="16" t="inlineStr">
        <is>
          <t>CN0Q</t>
        </is>
      </c>
      <c r="D1400" s="16" t="inlineStr">
        <is>
          <t>EE 苏州比斯特购物村</t>
        </is>
      </c>
      <c r="E1400" s="16" t="n">
        <v>4</v>
      </c>
      <c r="F1400" s="16" t="inlineStr">
        <is>
          <t>奥特莱斯</t>
        </is>
      </c>
      <c r="G1400" s="16" t="inlineStr">
        <is>
          <t>EETJG23E01</t>
        </is>
      </c>
      <c r="H1400" s="16" t="n">
        <v>699</v>
      </c>
      <c r="I1400" s="16" t="n">
        <v>699</v>
      </c>
      <c r="J1400" s="17" t="inlineStr">
        <is>
          <t>########</t>
        </is>
      </c>
      <c r="K1400" s="16" t="inlineStr">
        <is>
          <t>(57)D/Indigo</t>
        </is>
      </c>
      <c r="L1400" s="16" t="inlineStr">
        <is>
          <t>营业中</t>
        </is>
      </c>
      <c r="M1400" s="16" t="inlineStr">
        <is>
          <t>EETJG23E0157028</t>
        </is>
      </c>
      <c r="N1400" s="16">
        <f>LEFT(M1400,12)</f>
        <v/>
      </c>
      <c r="O1400" s="16" t="inlineStr">
        <is>
          <t>EETJG23E01, (57)D/Indigo, 28(165/70A)</t>
        </is>
      </c>
      <c r="P1400" s="16" t="n">
        <v>699</v>
      </c>
      <c r="Q1400" s="16" t="n">
        <v>699</v>
      </c>
      <c r="R1400" s="16" t="n">
        <v>1</v>
      </c>
      <c r="S1400" s="16" t="n">
        <v>447</v>
      </c>
      <c r="T1400" s="16" t="n">
        <v>1</v>
      </c>
    </row>
    <row r="1401" s="103">
      <c r="A1401" s="16" t="inlineStr">
        <is>
          <t>B331</t>
        </is>
      </c>
      <c r="B1401" s="16" t="inlineStr">
        <is>
          <t>上海区域</t>
        </is>
      </c>
      <c r="C1401" s="16" t="inlineStr">
        <is>
          <t>CN0Q</t>
        </is>
      </c>
      <c r="D1401" s="16" t="inlineStr">
        <is>
          <t>EE 苏州比斯特购物村</t>
        </is>
      </c>
      <c r="E1401" s="16" t="n">
        <v>4</v>
      </c>
      <c r="F1401" s="16" t="inlineStr">
        <is>
          <t>奥特莱斯</t>
        </is>
      </c>
      <c r="G1401" s="16" t="inlineStr">
        <is>
          <t>EETJG23E01</t>
        </is>
      </c>
      <c r="H1401" s="16" t="n">
        <v>699</v>
      </c>
      <c r="I1401" s="16" t="n">
        <v>699</v>
      </c>
      <c r="J1401" s="17" t="inlineStr">
        <is>
          <t>########</t>
        </is>
      </c>
      <c r="K1401" s="16" t="inlineStr">
        <is>
          <t>(57)D/Indigo</t>
        </is>
      </c>
      <c r="L1401" s="16" t="inlineStr">
        <is>
          <t>营业中</t>
        </is>
      </c>
      <c r="M1401" s="16" t="inlineStr">
        <is>
          <t>EETJG23E0157029</t>
        </is>
      </c>
      <c r="N1401" s="16">
        <f>LEFT(M1401,12)</f>
        <v/>
      </c>
      <c r="O1401" s="16" t="inlineStr">
        <is>
          <t>EETJG23E01, (57)D/Indigo, 29(170/72A)</t>
        </is>
      </c>
      <c r="P1401" s="16" t="n">
        <v>699</v>
      </c>
      <c r="Q1401" s="16" t="n">
        <v>699</v>
      </c>
      <c r="R1401" s="16" t="n">
        <v>2</v>
      </c>
      <c r="S1401" s="16" t="n">
        <v>915</v>
      </c>
      <c r="T1401" s="16" t="n">
        <v>1</v>
      </c>
    </row>
    <row r="1402" s="103">
      <c r="A1402" s="16" t="inlineStr">
        <is>
          <t>B331</t>
        </is>
      </c>
      <c r="B1402" s="16" t="inlineStr">
        <is>
          <t>上海区域</t>
        </is>
      </c>
      <c r="C1402" s="16" t="inlineStr">
        <is>
          <t>CN0Q</t>
        </is>
      </c>
      <c r="D1402" s="16" t="inlineStr">
        <is>
          <t>EE 苏州比斯特购物村</t>
        </is>
      </c>
      <c r="E1402" s="16" t="n">
        <v>4</v>
      </c>
      <c r="F1402" s="16" t="inlineStr">
        <is>
          <t>奥特莱斯</t>
        </is>
      </c>
      <c r="G1402" s="16" t="inlineStr">
        <is>
          <t>EETJG23E01</t>
        </is>
      </c>
      <c r="H1402" s="16" t="n">
        <v>699</v>
      </c>
      <c r="I1402" s="16" t="n">
        <v>699</v>
      </c>
      <c r="J1402" s="17" t="inlineStr">
        <is>
          <t>########</t>
        </is>
      </c>
      <c r="K1402" s="16" t="inlineStr">
        <is>
          <t>(57)D/Indigo</t>
        </is>
      </c>
      <c r="L1402" s="16" t="inlineStr">
        <is>
          <t>营业中</t>
        </is>
      </c>
      <c r="M1402" s="16" t="inlineStr">
        <is>
          <t>EETJG23E0157030</t>
        </is>
      </c>
      <c r="N1402" s="16">
        <f>LEFT(M1402,12)</f>
        <v/>
      </c>
      <c r="O1402" s="16" t="inlineStr">
        <is>
          <t>EETJG23E01, (57)D/Indigo, 30(175/74A)</t>
        </is>
      </c>
      <c r="P1402" s="16" t="n">
        <v>699</v>
      </c>
      <c r="Q1402" s="16" t="n">
        <v>699</v>
      </c>
      <c r="R1402" s="16" t="n"/>
      <c r="S1402" s="16" t="n"/>
      <c r="T1402" s="16" t="n">
        <v>2</v>
      </c>
    </row>
    <row r="1403" s="103">
      <c r="A1403" s="16" t="inlineStr">
        <is>
          <t>B331</t>
        </is>
      </c>
      <c r="B1403" s="16" t="inlineStr">
        <is>
          <t>上海区域</t>
        </is>
      </c>
      <c r="C1403" s="16" t="inlineStr">
        <is>
          <t>CN0Q</t>
        </is>
      </c>
      <c r="D1403" s="16" t="inlineStr">
        <is>
          <t>EE 苏州比斯特购物村</t>
        </is>
      </c>
      <c r="E1403" s="16" t="n">
        <v>4</v>
      </c>
      <c r="F1403" s="16" t="inlineStr">
        <is>
          <t>奥特莱斯</t>
        </is>
      </c>
      <c r="G1403" s="16" t="inlineStr">
        <is>
          <t>EETJG23E02</t>
        </is>
      </c>
      <c r="H1403" s="16" t="n">
        <v>799</v>
      </c>
      <c r="I1403" s="16" t="n">
        <v>799</v>
      </c>
      <c r="J1403" s="17" t="n">
        <v>46027</v>
      </c>
      <c r="K1403" s="16" t="inlineStr">
        <is>
          <t>(55)Indigo</t>
        </is>
      </c>
      <c r="L1403" s="16" t="inlineStr">
        <is>
          <t>营业中</t>
        </is>
      </c>
      <c r="M1403" s="16" t="inlineStr">
        <is>
          <t>EETJG23E0255025</t>
        </is>
      </c>
      <c r="N1403" s="16">
        <f>LEFT(M1403,12)</f>
        <v/>
      </c>
      <c r="O1403" s="16" t="inlineStr">
        <is>
          <t>EETJG23E02, (55)Indigo, 25(155/64A)</t>
        </is>
      </c>
      <c r="P1403" s="16" t="n">
        <v>799</v>
      </c>
      <c r="Q1403" s="16" t="n">
        <v>799</v>
      </c>
      <c r="R1403" s="16" t="n"/>
      <c r="S1403" s="16" t="n"/>
      <c r="T1403" s="16" t="n">
        <v>2</v>
      </c>
    </row>
    <row r="1404" s="103">
      <c r="A1404" s="16" t="inlineStr">
        <is>
          <t>B331</t>
        </is>
      </c>
      <c r="B1404" s="16" t="inlineStr">
        <is>
          <t>上海区域</t>
        </is>
      </c>
      <c r="C1404" s="16" t="inlineStr">
        <is>
          <t>CN0Q</t>
        </is>
      </c>
      <c r="D1404" s="16" t="inlineStr">
        <is>
          <t>EE 苏州比斯特购物村</t>
        </is>
      </c>
      <c r="E1404" s="16" t="n">
        <v>4</v>
      </c>
      <c r="F1404" s="16" t="inlineStr">
        <is>
          <t>奥特莱斯</t>
        </is>
      </c>
      <c r="G1404" s="16" t="inlineStr">
        <is>
          <t>EETJG23E02</t>
        </is>
      </c>
      <c r="H1404" s="16" t="n">
        <v>799</v>
      </c>
      <c r="I1404" s="16" t="n">
        <v>799</v>
      </c>
      <c r="J1404" s="17" t="n">
        <v>46027</v>
      </c>
      <c r="K1404" s="16" t="inlineStr">
        <is>
          <t>(55)Indigo</t>
        </is>
      </c>
      <c r="L1404" s="16" t="inlineStr">
        <is>
          <t>营业中</t>
        </is>
      </c>
      <c r="M1404" s="16" t="inlineStr">
        <is>
          <t>EETJG23E0255026</t>
        </is>
      </c>
      <c r="N1404" s="16">
        <f>LEFT(M1404,12)</f>
        <v/>
      </c>
      <c r="O1404" s="16" t="inlineStr">
        <is>
          <t>EETJG23E02, (55)Indigo, 26(160/66A)</t>
        </is>
      </c>
      <c r="P1404" s="16" t="n">
        <v>799</v>
      </c>
      <c r="Q1404" s="16" t="n">
        <v>799</v>
      </c>
      <c r="R1404" s="16" t="n"/>
      <c r="S1404" s="16" t="n"/>
      <c r="T1404" s="16" t="n">
        <v>3</v>
      </c>
    </row>
    <row r="1405" s="103">
      <c r="A1405" s="16" t="inlineStr">
        <is>
          <t>B331</t>
        </is>
      </c>
      <c r="B1405" s="16" t="inlineStr">
        <is>
          <t>上海区域</t>
        </is>
      </c>
      <c r="C1405" s="16" t="inlineStr">
        <is>
          <t>CN0Q</t>
        </is>
      </c>
      <c r="D1405" s="16" t="inlineStr">
        <is>
          <t>EE 苏州比斯特购物村</t>
        </is>
      </c>
      <c r="E1405" s="16" t="n">
        <v>4</v>
      </c>
      <c r="F1405" s="16" t="inlineStr">
        <is>
          <t>奥特莱斯</t>
        </is>
      </c>
      <c r="G1405" s="16" t="inlineStr">
        <is>
          <t>EETJG23E02</t>
        </is>
      </c>
      <c r="H1405" s="16" t="n">
        <v>799</v>
      </c>
      <c r="I1405" s="16" t="n">
        <v>799</v>
      </c>
      <c r="J1405" s="17" t="n">
        <v>46027</v>
      </c>
      <c r="K1405" s="16" t="inlineStr">
        <is>
          <t>(55)Indigo</t>
        </is>
      </c>
      <c r="L1405" s="16" t="inlineStr">
        <is>
          <t>营业中</t>
        </is>
      </c>
      <c r="M1405" s="16" t="inlineStr">
        <is>
          <t>EETJG23E0255027</t>
        </is>
      </c>
      <c r="N1405" s="16">
        <f>LEFT(M1405,12)</f>
        <v/>
      </c>
      <c r="O1405" s="16" t="inlineStr">
        <is>
          <t>EETJG23E02, (55)Indigo, 27(165/68A)</t>
        </is>
      </c>
      <c r="P1405" s="16" t="n">
        <v>799</v>
      </c>
      <c r="Q1405" s="16" t="n">
        <v>799</v>
      </c>
      <c r="R1405" s="16" t="n"/>
      <c r="S1405" s="16" t="n"/>
      <c r="T1405" s="16" t="n">
        <v>3</v>
      </c>
    </row>
    <row r="1406" s="103">
      <c r="A1406" s="16" t="inlineStr">
        <is>
          <t>B331</t>
        </is>
      </c>
      <c r="B1406" s="16" t="inlineStr">
        <is>
          <t>上海区域</t>
        </is>
      </c>
      <c r="C1406" s="16" t="inlineStr">
        <is>
          <t>CN0Q</t>
        </is>
      </c>
      <c r="D1406" s="16" t="inlineStr">
        <is>
          <t>EE 苏州比斯特购物村</t>
        </is>
      </c>
      <c r="E1406" s="16" t="n">
        <v>4</v>
      </c>
      <c r="F1406" s="16" t="inlineStr">
        <is>
          <t>奥特莱斯</t>
        </is>
      </c>
      <c r="G1406" s="16" t="inlineStr">
        <is>
          <t>EETJG23E02</t>
        </is>
      </c>
      <c r="H1406" s="16" t="n">
        <v>799</v>
      </c>
      <c r="I1406" s="16" t="n">
        <v>799</v>
      </c>
      <c r="J1406" s="17" t="n">
        <v>46027</v>
      </c>
      <c r="K1406" s="16" t="inlineStr">
        <is>
          <t>(55)Indigo</t>
        </is>
      </c>
      <c r="L1406" s="16" t="inlineStr">
        <is>
          <t>营业中</t>
        </is>
      </c>
      <c r="M1406" s="16" t="inlineStr">
        <is>
          <t>EETJG23E0255028</t>
        </is>
      </c>
      <c r="N1406" s="16">
        <f>LEFT(M1406,12)</f>
        <v/>
      </c>
      <c r="O1406" s="16" t="inlineStr">
        <is>
          <t>EETJG23E02, (55)Indigo, 28(165/70A)</t>
        </is>
      </c>
      <c r="P1406" s="16" t="n">
        <v>799</v>
      </c>
      <c r="Q1406" s="16" t="n">
        <v>799</v>
      </c>
      <c r="R1406" s="16" t="n"/>
      <c r="S1406" s="16" t="n"/>
      <c r="T1406" s="16" t="n">
        <v>2</v>
      </c>
    </row>
    <row r="1407" s="103">
      <c r="A1407" s="16" t="inlineStr">
        <is>
          <t>B331</t>
        </is>
      </c>
      <c r="B1407" s="16" t="inlineStr">
        <is>
          <t>上海区域</t>
        </is>
      </c>
      <c r="C1407" s="16" t="inlineStr">
        <is>
          <t>CN0Q</t>
        </is>
      </c>
      <c r="D1407" s="16" t="inlineStr">
        <is>
          <t>EE 苏州比斯特购物村</t>
        </is>
      </c>
      <c r="E1407" s="16" t="n">
        <v>4</v>
      </c>
      <c r="F1407" s="16" t="inlineStr">
        <is>
          <t>奥特莱斯</t>
        </is>
      </c>
      <c r="G1407" s="16" t="inlineStr">
        <is>
          <t>EETJG23E02</t>
        </is>
      </c>
      <c r="H1407" s="16" t="n">
        <v>799</v>
      </c>
      <c r="I1407" s="16" t="n">
        <v>799</v>
      </c>
      <c r="J1407" s="17" t="n">
        <v>46027</v>
      </c>
      <c r="K1407" s="16" t="inlineStr">
        <is>
          <t>(55)Indigo</t>
        </is>
      </c>
      <c r="L1407" s="16" t="inlineStr">
        <is>
          <t>营业中</t>
        </is>
      </c>
      <c r="M1407" s="16" t="inlineStr">
        <is>
          <t>EETJG23E0255029</t>
        </is>
      </c>
      <c r="N1407" s="16">
        <f>LEFT(M1407,12)</f>
        <v/>
      </c>
      <c r="O1407" s="16" t="inlineStr">
        <is>
          <t>EETJG23E02, (55)Indigo, 29(170/72A)</t>
        </is>
      </c>
      <c r="P1407" s="16" t="n">
        <v>799</v>
      </c>
      <c r="Q1407" s="16" t="n">
        <v>799</v>
      </c>
      <c r="R1407" s="16" t="n"/>
      <c r="S1407" s="16" t="n"/>
      <c r="T1407" s="16" t="n">
        <v>2</v>
      </c>
    </row>
    <row r="1408" s="103">
      <c r="A1408" s="16" t="inlineStr">
        <is>
          <t>B331</t>
        </is>
      </c>
      <c r="B1408" s="16" t="inlineStr">
        <is>
          <t>上海区域</t>
        </is>
      </c>
      <c r="C1408" s="16" t="inlineStr">
        <is>
          <t>CN0Q</t>
        </is>
      </c>
      <c r="D1408" s="16" t="inlineStr">
        <is>
          <t>EE 苏州比斯特购物村</t>
        </is>
      </c>
      <c r="E1408" s="16" t="n">
        <v>4</v>
      </c>
      <c r="F1408" s="16" t="inlineStr">
        <is>
          <t>奥特莱斯</t>
        </is>
      </c>
      <c r="G1408" s="16" t="inlineStr">
        <is>
          <t>EETJG23E02</t>
        </is>
      </c>
      <c r="H1408" s="16" t="n">
        <v>799</v>
      </c>
      <c r="I1408" s="16" t="n">
        <v>799</v>
      </c>
      <c r="J1408" s="17" t="n">
        <v>46027</v>
      </c>
      <c r="K1408" s="16" t="inlineStr">
        <is>
          <t>(55)Indigo</t>
        </is>
      </c>
      <c r="L1408" s="16" t="inlineStr">
        <is>
          <t>营业中</t>
        </is>
      </c>
      <c r="M1408" s="16" t="inlineStr">
        <is>
          <t>EETJG23E0255030</t>
        </is>
      </c>
      <c r="N1408" s="16">
        <f>LEFT(M1408,12)</f>
        <v/>
      </c>
      <c r="O1408" s="16" t="inlineStr">
        <is>
          <t>EETJG23E02, (55)Indigo, 30(175/74A)</t>
        </is>
      </c>
      <c r="P1408" s="16" t="n">
        <v>799</v>
      </c>
      <c r="Q1408" s="16" t="n">
        <v>799</v>
      </c>
      <c r="R1408" s="16" t="n"/>
      <c r="S1408" s="16" t="n"/>
      <c r="T1408" s="16" t="n">
        <v>2</v>
      </c>
    </row>
    <row r="1409" s="103">
      <c r="A1409" s="16" t="inlineStr">
        <is>
          <t>B331</t>
        </is>
      </c>
      <c r="B1409" s="16" t="inlineStr">
        <is>
          <t>上海区域</t>
        </is>
      </c>
      <c r="C1409" s="16" t="inlineStr">
        <is>
          <t>CN0Q</t>
        </is>
      </c>
      <c r="D1409" s="16" t="inlineStr">
        <is>
          <t>EE 苏州比斯特购物村</t>
        </is>
      </c>
      <c r="E1409" s="16" t="n">
        <v>4</v>
      </c>
      <c r="F1409" s="16" t="inlineStr">
        <is>
          <t>奥特莱斯</t>
        </is>
      </c>
      <c r="G1409" s="16" t="inlineStr">
        <is>
          <t>EETJG23E02</t>
        </is>
      </c>
      <c r="H1409" s="16" t="n">
        <v>799</v>
      </c>
      <c r="I1409" s="16" t="n">
        <v>799</v>
      </c>
      <c r="J1409" s="17" t="n">
        <v>46027</v>
      </c>
      <c r="K1409" s="16" t="inlineStr">
        <is>
          <t>(56)L/Indigo</t>
        </is>
      </c>
      <c r="L1409" s="16" t="inlineStr">
        <is>
          <t>营业中</t>
        </is>
      </c>
      <c r="M1409" s="16" t="inlineStr">
        <is>
          <t>EETJG23E0256025</t>
        </is>
      </c>
      <c r="N1409" s="16">
        <f>LEFT(M1409,12)</f>
        <v/>
      </c>
      <c r="O1409" s="16" t="inlineStr">
        <is>
          <t>EETJG23E02, (56)L/Indigo, 25(155/64A)</t>
        </is>
      </c>
      <c r="P1409" s="16" t="n">
        <v>799</v>
      </c>
      <c r="Q1409" s="16" t="n">
        <v>799</v>
      </c>
      <c r="R1409" s="16" t="n">
        <v>4</v>
      </c>
      <c r="S1409" s="18" t="n">
        <v>1541</v>
      </c>
      <c r="T1409" s="16" t="n">
        <v>0</v>
      </c>
    </row>
    <row r="1410" s="103">
      <c r="A1410" s="16" t="inlineStr">
        <is>
          <t>B331</t>
        </is>
      </c>
      <c r="B1410" s="16" t="inlineStr">
        <is>
          <t>上海区域</t>
        </is>
      </c>
      <c r="C1410" s="16" t="inlineStr">
        <is>
          <t>CN0Q</t>
        </is>
      </c>
      <c r="D1410" s="16" t="inlineStr">
        <is>
          <t>EE 苏州比斯特购物村</t>
        </is>
      </c>
      <c r="E1410" s="16" t="n">
        <v>4</v>
      </c>
      <c r="F1410" s="16" t="inlineStr">
        <is>
          <t>奥特莱斯</t>
        </is>
      </c>
      <c r="G1410" s="16" t="inlineStr">
        <is>
          <t>EETJG23E02</t>
        </is>
      </c>
      <c r="H1410" s="16" t="n">
        <v>799</v>
      </c>
      <c r="I1410" s="16" t="n">
        <v>799</v>
      </c>
      <c r="J1410" s="17" t="n">
        <v>46027</v>
      </c>
      <c r="K1410" s="16" t="inlineStr">
        <is>
          <t>(56)L/Indigo</t>
        </is>
      </c>
      <c r="L1410" s="16" t="inlineStr">
        <is>
          <t>营业中</t>
        </is>
      </c>
      <c r="M1410" s="16" t="inlineStr">
        <is>
          <t>EETJG23E0256026</t>
        </is>
      </c>
      <c r="N1410" s="16">
        <f>LEFT(M1410,12)</f>
        <v/>
      </c>
      <c r="O1410" s="16" t="inlineStr">
        <is>
          <t>EETJG23E02, (56)L/Indigo, 26(160/66A)</t>
        </is>
      </c>
      <c r="P1410" s="16" t="n">
        <v>799</v>
      </c>
      <c r="Q1410" s="16" t="n">
        <v>799</v>
      </c>
      <c r="R1410" s="16" t="n">
        <v>4</v>
      </c>
      <c r="S1410" s="18" t="n">
        <v>1014</v>
      </c>
      <c r="T1410" s="16" t="n">
        <v>4</v>
      </c>
    </row>
    <row r="1411" s="103">
      <c r="A1411" s="16" t="inlineStr">
        <is>
          <t>B331</t>
        </is>
      </c>
      <c r="B1411" s="16" t="inlineStr">
        <is>
          <t>上海区域</t>
        </is>
      </c>
      <c r="C1411" s="16" t="inlineStr">
        <is>
          <t>CN0Q</t>
        </is>
      </c>
      <c r="D1411" s="16" t="inlineStr">
        <is>
          <t>EE 苏州比斯特购物村</t>
        </is>
      </c>
      <c r="E1411" s="16" t="n">
        <v>4</v>
      </c>
      <c r="F1411" s="16" t="inlineStr">
        <is>
          <t>奥特莱斯</t>
        </is>
      </c>
      <c r="G1411" s="16" t="inlineStr">
        <is>
          <t>EETJG23E02</t>
        </is>
      </c>
      <c r="H1411" s="16" t="n">
        <v>799</v>
      </c>
      <c r="I1411" s="16" t="n">
        <v>799</v>
      </c>
      <c r="J1411" s="17" t="n">
        <v>46027</v>
      </c>
      <c r="K1411" s="16" t="inlineStr">
        <is>
          <t>(56)L/Indigo</t>
        </is>
      </c>
      <c r="L1411" s="16" t="inlineStr">
        <is>
          <t>营业中</t>
        </is>
      </c>
      <c r="M1411" s="16" t="inlineStr">
        <is>
          <t>EETJG23E0256027</t>
        </is>
      </c>
      <c r="N1411" s="16">
        <f>LEFT(M1411,12)</f>
        <v/>
      </c>
      <c r="O1411" s="16" t="inlineStr">
        <is>
          <t>EETJG23E02, (56)L/Indigo, 27(165/68A)</t>
        </is>
      </c>
      <c r="P1411" s="16" t="n">
        <v>799</v>
      </c>
      <c r="Q1411" s="16" t="n">
        <v>799</v>
      </c>
      <c r="R1411" s="16" t="n">
        <v>3</v>
      </c>
      <c r="S1411" s="18" t="n">
        <v>1027</v>
      </c>
      <c r="T1411" s="16" t="n">
        <v>1</v>
      </c>
    </row>
    <row r="1412" s="103">
      <c r="A1412" s="16" t="inlineStr">
        <is>
          <t>B331</t>
        </is>
      </c>
      <c r="B1412" s="16" t="inlineStr">
        <is>
          <t>上海区域</t>
        </is>
      </c>
      <c r="C1412" s="16" t="inlineStr">
        <is>
          <t>CN0Q</t>
        </is>
      </c>
      <c r="D1412" s="16" t="inlineStr">
        <is>
          <t>EE 苏州比斯特购物村</t>
        </is>
      </c>
      <c r="E1412" s="16" t="n">
        <v>4</v>
      </c>
      <c r="F1412" s="16" t="inlineStr">
        <is>
          <t>奥特莱斯</t>
        </is>
      </c>
      <c r="G1412" s="16" t="inlineStr">
        <is>
          <t>EETJG23E02</t>
        </is>
      </c>
      <c r="H1412" s="16" t="n">
        <v>799</v>
      </c>
      <c r="I1412" s="16" t="n">
        <v>799</v>
      </c>
      <c r="J1412" s="17" t="n">
        <v>46027</v>
      </c>
      <c r="K1412" s="16" t="inlineStr">
        <is>
          <t>(56)L/Indigo</t>
        </is>
      </c>
      <c r="L1412" s="16" t="inlineStr">
        <is>
          <t>营业中</t>
        </is>
      </c>
      <c r="M1412" s="16" t="inlineStr">
        <is>
          <t>EETJG23E0256028</t>
        </is>
      </c>
      <c r="N1412" s="16">
        <f>LEFT(M1412,12)</f>
        <v/>
      </c>
      <c r="O1412" s="16" t="inlineStr">
        <is>
          <t>EETJG23E02, (56)L/Indigo, 28(165/70A)</t>
        </is>
      </c>
      <c r="P1412" s="16" t="n">
        <v>799</v>
      </c>
      <c r="Q1412" s="16" t="n">
        <v>799</v>
      </c>
      <c r="R1412" s="16" t="n">
        <v>1</v>
      </c>
      <c r="S1412" s="16" t="n">
        <v>507</v>
      </c>
      <c r="T1412" s="16" t="n">
        <v>3</v>
      </c>
    </row>
    <row r="1413" s="103">
      <c r="A1413" s="16" t="inlineStr">
        <is>
          <t>B331</t>
        </is>
      </c>
      <c r="B1413" s="16" t="inlineStr">
        <is>
          <t>上海区域</t>
        </is>
      </c>
      <c r="C1413" s="16" t="inlineStr">
        <is>
          <t>CN0Q</t>
        </is>
      </c>
      <c r="D1413" s="16" t="inlineStr">
        <is>
          <t>EE 苏州比斯特购物村</t>
        </is>
      </c>
      <c r="E1413" s="16" t="n">
        <v>4</v>
      </c>
      <c r="F1413" s="16" t="inlineStr">
        <is>
          <t>奥特莱斯</t>
        </is>
      </c>
      <c r="G1413" s="16" t="inlineStr">
        <is>
          <t>EETJG23E02</t>
        </is>
      </c>
      <c r="H1413" s="16" t="n">
        <v>799</v>
      </c>
      <c r="I1413" s="16" t="n">
        <v>799</v>
      </c>
      <c r="J1413" s="17" t="n">
        <v>46027</v>
      </c>
      <c r="K1413" s="16" t="inlineStr">
        <is>
          <t>(56)L/Indigo</t>
        </is>
      </c>
      <c r="L1413" s="16" t="inlineStr">
        <is>
          <t>营业中</t>
        </is>
      </c>
      <c r="M1413" s="16" t="inlineStr">
        <is>
          <t>EETJG23E0256029</t>
        </is>
      </c>
      <c r="N1413" s="16">
        <f>LEFT(M1413,12)</f>
        <v/>
      </c>
      <c r="O1413" s="16" t="inlineStr">
        <is>
          <t>EETJG23E02, (56)L/Indigo, 29(170/72A)</t>
        </is>
      </c>
      <c r="P1413" s="16" t="n">
        <v>799</v>
      </c>
      <c r="Q1413" s="16" t="n">
        <v>799</v>
      </c>
      <c r="R1413" s="16" t="n"/>
      <c r="S1413" s="16" t="n"/>
      <c r="T1413" s="16" t="n">
        <v>2</v>
      </c>
    </row>
    <row r="1414" s="103">
      <c r="A1414" s="16" t="inlineStr">
        <is>
          <t>B331</t>
        </is>
      </c>
      <c r="B1414" s="16" t="inlineStr">
        <is>
          <t>上海区域</t>
        </is>
      </c>
      <c r="C1414" s="16" t="inlineStr">
        <is>
          <t>CN0Q</t>
        </is>
      </c>
      <c r="D1414" s="16" t="inlineStr">
        <is>
          <t>EE 苏州比斯特购物村</t>
        </is>
      </c>
      <c r="E1414" s="16" t="n">
        <v>4</v>
      </c>
      <c r="F1414" s="16" t="inlineStr">
        <is>
          <t>奥特莱斯</t>
        </is>
      </c>
      <c r="G1414" s="16" t="inlineStr">
        <is>
          <t>EETJG23E04</t>
        </is>
      </c>
      <c r="H1414" s="16" t="n">
        <v>899</v>
      </c>
      <c r="I1414" s="16" t="n">
        <v>899</v>
      </c>
      <c r="J1414" s="17" t="inlineStr">
        <is>
          <t>########</t>
        </is>
      </c>
      <c r="K1414" s="16" t="inlineStr">
        <is>
          <t>(39)Ivory</t>
        </is>
      </c>
      <c r="L1414" s="16" t="inlineStr">
        <is>
          <t>营业中</t>
        </is>
      </c>
      <c r="M1414" s="16" t="inlineStr">
        <is>
          <t>EETJG23E0439025</t>
        </is>
      </c>
      <c r="N1414" s="16">
        <f>LEFT(M1414,12)</f>
        <v/>
      </c>
      <c r="O1414" s="16" t="inlineStr">
        <is>
          <t>EETJG23E04, (39)Ivory, 25(155/64A)</t>
        </is>
      </c>
      <c r="P1414" s="16" t="n">
        <v>899</v>
      </c>
      <c r="Q1414" s="16" t="n">
        <v>899</v>
      </c>
      <c r="R1414" s="16" t="n">
        <v>5</v>
      </c>
      <c r="S1414" s="18" t="n">
        <v>1687</v>
      </c>
      <c r="T1414" s="16" t="n">
        <v>1</v>
      </c>
    </row>
    <row r="1415" s="103">
      <c r="A1415" s="16" t="inlineStr">
        <is>
          <t>B331</t>
        </is>
      </c>
      <c r="B1415" s="16" t="inlineStr">
        <is>
          <t>上海区域</t>
        </is>
      </c>
      <c r="C1415" s="16" t="inlineStr">
        <is>
          <t>CN0Q</t>
        </is>
      </c>
      <c r="D1415" s="16" t="inlineStr">
        <is>
          <t>EE 苏州比斯特购物村</t>
        </is>
      </c>
      <c r="E1415" s="16" t="n">
        <v>4</v>
      </c>
      <c r="F1415" s="16" t="inlineStr">
        <is>
          <t>奥特莱斯</t>
        </is>
      </c>
      <c r="G1415" s="16" t="inlineStr">
        <is>
          <t>EETJG23E04</t>
        </is>
      </c>
      <c r="H1415" s="16" t="n">
        <v>899</v>
      </c>
      <c r="I1415" s="16" t="n">
        <v>899</v>
      </c>
      <c r="J1415" s="17" t="inlineStr">
        <is>
          <t>########</t>
        </is>
      </c>
      <c r="K1415" s="16" t="inlineStr">
        <is>
          <t>(39)Ivory</t>
        </is>
      </c>
      <c r="L1415" s="16" t="inlineStr">
        <is>
          <t>营业中</t>
        </is>
      </c>
      <c r="M1415" s="16" t="inlineStr">
        <is>
          <t>EETJG23E0439026</t>
        </is>
      </c>
      <c r="N1415" s="16">
        <f>LEFT(M1415,12)</f>
        <v/>
      </c>
      <c r="O1415" s="16" t="inlineStr">
        <is>
          <t>EETJG23E04, (39)Ivory, 26(160/66A)</t>
        </is>
      </c>
      <c r="P1415" s="16" t="n">
        <v>899</v>
      </c>
      <c r="Q1415" s="16" t="n">
        <v>899</v>
      </c>
      <c r="R1415" s="16" t="n">
        <v>8</v>
      </c>
      <c r="S1415" s="18" t="n">
        <v>3132</v>
      </c>
      <c r="T1415" s="16" t="n">
        <v>8</v>
      </c>
    </row>
    <row r="1416" s="103">
      <c r="A1416" s="16" t="inlineStr">
        <is>
          <t>B331</t>
        </is>
      </c>
      <c r="B1416" s="16" t="inlineStr">
        <is>
          <t>上海区域</t>
        </is>
      </c>
      <c r="C1416" s="16" t="inlineStr">
        <is>
          <t>CN0Q</t>
        </is>
      </c>
      <c r="D1416" s="16" t="inlineStr">
        <is>
          <t>EE 苏州比斯特购物村</t>
        </is>
      </c>
      <c r="E1416" s="16" t="n">
        <v>4</v>
      </c>
      <c r="F1416" s="16" t="inlineStr">
        <is>
          <t>奥特莱斯</t>
        </is>
      </c>
      <c r="G1416" s="16" t="inlineStr">
        <is>
          <t>EETJG23E04</t>
        </is>
      </c>
      <c r="H1416" s="16" t="n">
        <v>899</v>
      </c>
      <c r="I1416" s="16" t="n">
        <v>899</v>
      </c>
      <c r="J1416" s="17" t="inlineStr">
        <is>
          <t>########</t>
        </is>
      </c>
      <c r="K1416" s="16" t="inlineStr">
        <is>
          <t>(39)Ivory</t>
        </is>
      </c>
      <c r="L1416" s="16" t="inlineStr">
        <is>
          <t>营业中</t>
        </is>
      </c>
      <c r="M1416" s="16" t="inlineStr">
        <is>
          <t>EETJG23E0439027</t>
        </is>
      </c>
      <c r="N1416" s="16">
        <f>LEFT(M1416,12)</f>
        <v/>
      </c>
      <c r="O1416" s="16" t="inlineStr">
        <is>
          <t>EETJG23E04, (39)Ivory, 27(165/68A)</t>
        </is>
      </c>
      <c r="P1416" s="16" t="n">
        <v>899</v>
      </c>
      <c r="Q1416" s="16" t="n">
        <v>899</v>
      </c>
      <c r="R1416" s="16" t="n">
        <v>6</v>
      </c>
      <c r="S1416" s="18" t="n">
        <v>1993</v>
      </c>
      <c r="T1416" s="16" t="n">
        <v>4</v>
      </c>
    </row>
    <row r="1417" s="103">
      <c r="A1417" s="16" t="inlineStr">
        <is>
          <t>B331</t>
        </is>
      </c>
      <c r="B1417" s="16" t="inlineStr">
        <is>
          <t>上海区域</t>
        </is>
      </c>
      <c r="C1417" s="16" t="inlineStr">
        <is>
          <t>CN0Q</t>
        </is>
      </c>
      <c r="D1417" s="16" t="inlineStr">
        <is>
          <t>EE 苏州比斯特购物村</t>
        </is>
      </c>
      <c r="E1417" s="16" t="n">
        <v>4</v>
      </c>
      <c r="F1417" s="16" t="inlineStr">
        <is>
          <t>奥特莱斯</t>
        </is>
      </c>
      <c r="G1417" s="16" t="inlineStr">
        <is>
          <t>EETJG23E04</t>
        </is>
      </c>
      <c r="H1417" s="16" t="n">
        <v>899</v>
      </c>
      <c r="I1417" s="16" t="n">
        <v>899</v>
      </c>
      <c r="J1417" s="17" t="inlineStr">
        <is>
          <t>########</t>
        </is>
      </c>
      <c r="K1417" s="16" t="inlineStr">
        <is>
          <t>(39)Ivory</t>
        </is>
      </c>
      <c r="L1417" s="16" t="inlineStr">
        <is>
          <t>营业中</t>
        </is>
      </c>
      <c r="M1417" s="16" t="inlineStr">
        <is>
          <t>EETJG23E0439028</t>
        </is>
      </c>
      <c r="N1417" s="16">
        <f>LEFT(M1417,12)</f>
        <v/>
      </c>
      <c r="O1417" s="16" t="inlineStr">
        <is>
          <t>EETJG23E04, (39)Ivory, 28(165/70A)</t>
        </is>
      </c>
      <c r="P1417" s="16" t="n">
        <v>899</v>
      </c>
      <c r="Q1417" s="16" t="n">
        <v>899</v>
      </c>
      <c r="R1417" s="16" t="n">
        <v>5</v>
      </c>
      <c r="S1417" s="18" t="n">
        <v>2299</v>
      </c>
      <c r="T1417" s="16" t="n">
        <v>2</v>
      </c>
    </row>
    <row r="1418" s="103">
      <c r="A1418" s="16" t="inlineStr">
        <is>
          <t>B331</t>
        </is>
      </c>
      <c r="B1418" s="16" t="inlineStr">
        <is>
          <t>上海区域</t>
        </is>
      </c>
      <c r="C1418" s="16" t="inlineStr">
        <is>
          <t>CN0Q</t>
        </is>
      </c>
      <c r="D1418" s="16" t="inlineStr">
        <is>
          <t>EE 苏州比斯特购物村</t>
        </is>
      </c>
      <c r="E1418" s="16" t="n">
        <v>4</v>
      </c>
      <c r="F1418" s="16" t="inlineStr">
        <is>
          <t>奥特莱斯</t>
        </is>
      </c>
      <c r="G1418" s="16" t="inlineStr">
        <is>
          <t>EETJG23E04</t>
        </is>
      </c>
      <c r="H1418" s="16" t="n">
        <v>899</v>
      </c>
      <c r="I1418" s="16" t="n">
        <v>899</v>
      </c>
      <c r="J1418" s="17" t="inlineStr">
        <is>
          <t>########</t>
        </is>
      </c>
      <c r="K1418" s="16" t="inlineStr">
        <is>
          <t>(39)Ivory</t>
        </is>
      </c>
      <c r="L1418" s="16" t="inlineStr">
        <is>
          <t>营业中</t>
        </is>
      </c>
      <c r="M1418" s="16" t="inlineStr">
        <is>
          <t>EETJG23E0439029</t>
        </is>
      </c>
      <c r="N1418" s="16">
        <f>LEFT(M1418,12)</f>
        <v/>
      </c>
      <c r="O1418" s="16" t="inlineStr">
        <is>
          <t>EETJG23E04, (39)Ivory, 29(170/72A)</t>
        </is>
      </c>
      <c r="P1418" s="16" t="n">
        <v>899</v>
      </c>
      <c r="Q1418" s="16" t="n">
        <v>899</v>
      </c>
      <c r="R1418" s="16" t="n"/>
      <c r="S1418" s="16" t="n"/>
      <c r="T1418" s="16" t="n">
        <v>3</v>
      </c>
    </row>
    <row r="1419" s="103">
      <c r="A1419" s="16" t="inlineStr">
        <is>
          <t>B331</t>
        </is>
      </c>
      <c r="B1419" s="16" t="inlineStr">
        <is>
          <t>上海区域</t>
        </is>
      </c>
      <c r="C1419" s="16" t="inlineStr">
        <is>
          <t>CN0Q</t>
        </is>
      </c>
      <c r="D1419" s="16" t="inlineStr">
        <is>
          <t>EE 苏州比斯特购物村</t>
        </is>
      </c>
      <c r="E1419" s="16" t="n">
        <v>4</v>
      </c>
      <c r="F1419" s="16" t="inlineStr">
        <is>
          <t>奥特莱斯</t>
        </is>
      </c>
      <c r="G1419" s="16" t="inlineStr">
        <is>
          <t>EETJG23E04</t>
        </is>
      </c>
      <c r="H1419" s="16" t="n">
        <v>899</v>
      </c>
      <c r="I1419" s="16" t="n">
        <v>899</v>
      </c>
      <c r="J1419" s="17" t="inlineStr">
        <is>
          <t>########</t>
        </is>
      </c>
      <c r="K1419" s="16" t="inlineStr">
        <is>
          <t>(39)Ivory</t>
        </is>
      </c>
      <c r="L1419" s="16" t="inlineStr">
        <is>
          <t>营业中</t>
        </is>
      </c>
      <c r="M1419" s="16" t="inlineStr">
        <is>
          <t>EETJG23E0439030</t>
        </is>
      </c>
      <c r="N1419" s="16">
        <f>LEFT(M1419,12)</f>
        <v/>
      </c>
      <c r="O1419" s="16" t="inlineStr">
        <is>
          <t>EETJG23E04, (39)Ivory, 30(175/74A)</t>
        </is>
      </c>
      <c r="P1419" s="16" t="n">
        <v>899</v>
      </c>
      <c r="Q1419" s="16" t="n">
        <v>899</v>
      </c>
      <c r="R1419" s="16" t="n"/>
      <c r="S1419" s="16" t="n"/>
      <c r="T1419" s="16" t="n">
        <v>2</v>
      </c>
    </row>
    <row r="1420" s="103">
      <c r="A1420" s="16" t="inlineStr">
        <is>
          <t>B331</t>
        </is>
      </c>
      <c r="B1420" s="16" t="inlineStr">
        <is>
          <t>上海区域</t>
        </is>
      </c>
      <c r="C1420" s="16" t="inlineStr">
        <is>
          <t>CN0Q</t>
        </is>
      </c>
      <c r="D1420" s="16" t="inlineStr">
        <is>
          <t>EE 苏州比斯特购物村</t>
        </is>
      </c>
      <c r="E1420" s="16" t="n">
        <v>4</v>
      </c>
      <c r="F1420" s="16" t="inlineStr">
        <is>
          <t>奥特莱斯</t>
        </is>
      </c>
      <c r="G1420" s="16" t="inlineStr">
        <is>
          <t>EETJG23E04</t>
        </is>
      </c>
      <c r="H1420" s="16" t="n">
        <v>899</v>
      </c>
      <c r="I1420" s="16" t="n">
        <v>899</v>
      </c>
      <c r="J1420" s="17" t="inlineStr">
        <is>
          <t>########</t>
        </is>
      </c>
      <c r="K1420" s="16" t="inlineStr">
        <is>
          <t>(57)D/Indigo</t>
        </is>
      </c>
      <c r="L1420" s="16" t="inlineStr">
        <is>
          <t>营业中</t>
        </is>
      </c>
      <c r="M1420" s="16" t="inlineStr">
        <is>
          <t>EETJG23E0457025</t>
        </is>
      </c>
      <c r="N1420" s="16">
        <f>LEFT(M1420,12)</f>
        <v/>
      </c>
      <c r="O1420" s="16" t="inlineStr">
        <is>
          <t>EETJG23E04, (57)D/Indigo, 25(155/64A)</t>
        </is>
      </c>
      <c r="P1420" s="16" t="n">
        <v>899</v>
      </c>
      <c r="Q1420" s="16" t="n">
        <v>899</v>
      </c>
      <c r="R1420" s="16" t="n"/>
      <c r="S1420" s="16" t="n"/>
      <c r="T1420" s="16" t="n">
        <v>2</v>
      </c>
    </row>
    <row r="1421" s="103">
      <c r="A1421" s="16" t="inlineStr">
        <is>
          <t>B331</t>
        </is>
      </c>
      <c r="B1421" s="16" t="inlineStr">
        <is>
          <t>上海区域</t>
        </is>
      </c>
      <c r="C1421" s="16" t="inlineStr">
        <is>
          <t>CN0Q</t>
        </is>
      </c>
      <c r="D1421" s="16" t="inlineStr">
        <is>
          <t>EE 苏州比斯特购物村</t>
        </is>
      </c>
      <c r="E1421" s="16" t="n">
        <v>4</v>
      </c>
      <c r="F1421" s="16" t="inlineStr">
        <is>
          <t>奥特莱斯</t>
        </is>
      </c>
      <c r="G1421" s="16" t="inlineStr">
        <is>
          <t>EETJG23E04</t>
        </is>
      </c>
      <c r="H1421" s="16" t="n">
        <v>899</v>
      </c>
      <c r="I1421" s="16" t="n">
        <v>899</v>
      </c>
      <c r="J1421" s="17" t="inlineStr">
        <is>
          <t>########</t>
        </is>
      </c>
      <c r="K1421" s="16" t="inlineStr">
        <is>
          <t>(57)D/Indigo</t>
        </is>
      </c>
      <c r="L1421" s="16" t="inlineStr">
        <is>
          <t>营业中</t>
        </is>
      </c>
      <c r="M1421" s="16" t="inlineStr">
        <is>
          <t>EETJG23E0457026</t>
        </is>
      </c>
      <c r="N1421" s="16">
        <f>LEFT(M1421,12)</f>
        <v/>
      </c>
      <c r="O1421" s="16" t="inlineStr">
        <is>
          <t>EETJG23E04, (57)D/Indigo, 26(160/66A)</t>
        </is>
      </c>
      <c r="P1421" s="16" t="n">
        <v>899</v>
      </c>
      <c r="Q1421" s="16" t="n">
        <v>899</v>
      </c>
      <c r="R1421" s="16" t="n">
        <v>2</v>
      </c>
      <c r="S1421" s="18" t="n">
        <v>1199</v>
      </c>
      <c r="T1421" s="16" t="n">
        <v>2</v>
      </c>
    </row>
    <row r="1422" s="103">
      <c r="A1422" s="16" t="inlineStr">
        <is>
          <t>B331</t>
        </is>
      </c>
      <c r="B1422" s="16" t="inlineStr">
        <is>
          <t>上海区域</t>
        </is>
      </c>
      <c r="C1422" s="16" t="inlineStr">
        <is>
          <t>CN0Q</t>
        </is>
      </c>
      <c r="D1422" s="16" t="inlineStr">
        <is>
          <t>EE 苏州比斯特购物村</t>
        </is>
      </c>
      <c r="E1422" s="16" t="n">
        <v>4</v>
      </c>
      <c r="F1422" s="16" t="inlineStr">
        <is>
          <t>奥特莱斯</t>
        </is>
      </c>
      <c r="G1422" s="16" t="inlineStr">
        <is>
          <t>EETJG23E04</t>
        </is>
      </c>
      <c r="H1422" s="16" t="n">
        <v>899</v>
      </c>
      <c r="I1422" s="16" t="n">
        <v>899</v>
      </c>
      <c r="J1422" s="17" t="inlineStr">
        <is>
          <t>########</t>
        </is>
      </c>
      <c r="K1422" s="16" t="inlineStr">
        <is>
          <t>(57)D/Indigo</t>
        </is>
      </c>
      <c r="L1422" s="16" t="inlineStr">
        <is>
          <t>营业中</t>
        </is>
      </c>
      <c r="M1422" s="16" t="inlineStr">
        <is>
          <t>EETJG23E0457027</t>
        </is>
      </c>
      <c r="N1422" s="16">
        <f>LEFT(M1422,12)</f>
        <v/>
      </c>
      <c r="O1422" s="16" t="inlineStr">
        <is>
          <t>EETJG23E04, (57)D/Indigo, 27(165/68A)</t>
        </is>
      </c>
      <c r="P1422" s="16" t="n">
        <v>899</v>
      </c>
      <c r="Q1422" s="16" t="n">
        <v>899</v>
      </c>
      <c r="R1422" s="16" t="n">
        <v>1</v>
      </c>
      <c r="S1422" s="16" t="n"/>
      <c r="T1422" s="16" t="n">
        <v>2</v>
      </c>
    </row>
    <row r="1423" s="103">
      <c r="A1423" s="16" t="inlineStr">
        <is>
          <t>B331</t>
        </is>
      </c>
      <c r="B1423" s="16" t="inlineStr">
        <is>
          <t>上海区域</t>
        </is>
      </c>
      <c r="C1423" s="16" t="inlineStr">
        <is>
          <t>CN0Q</t>
        </is>
      </c>
      <c r="D1423" s="16" t="inlineStr">
        <is>
          <t>EE 苏州比斯特购物村</t>
        </is>
      </c>
      <c r="E1423" s="16" t="n">
        <v>4</v>
      </c>
      <c r="F1423" s="16" t="inlineStr">
        <is>
          <t>奥特莱斯</t>
        </is>
      </c>
      <c r="G1423" s="16" t="inlineStr">
        <is>
          <t>EETJG23E04</t>
        </is>
      </c>
      <c r="H1423" s="16" t="n">
        <v>899</v>
      </c>
      <c r="I1423" s="16" t="n">
        <v>899</v>
      </c>
      <c r="J1423" s="17" t="inlineStr">
        <is>
          <t>########</t>
        </is>
      </c>
      <c r="K1423" s="16" t="inlineStr">
        <is>
          <t>(57)D/Indigo</t>
        </is>
      </c>
      <c r="L1423" s="16" t="inlineStr">
        <is>
          <t>营业中</t>
        </is>
      </c>
      <c r="M1423" s="16" t="inlineStr">
        <is>
          <t>EETJG23E0457028</t>
        </is>
      </c>
      <c r="N1423" s="16">
        <f>LEFT(M1423,12)</f>
        <v/>
      </c>
      <c r="O1423" s="16" t="inlineStr">
        <is>
          <t>EETJG23E04, (57)D/Indigo, 28(165/70A)</t>
        </is>
      </c>
      <c r="P1423" s="16" t="n">
        <v>899</v>
      </c>
      <c r="Q1423" s="16" t="n">
        <v>899</v>
      </c>
      <c r="R1423" s="16" t="n"/>
      <c r="S1423" s="16" t="n"/>
      <c r="T1423" s="16" t="n">
        <v>2</v>
      </c>
    </row>
    <row r="1424" s="103">
      <c r="A1424" s="16" t="inlineStr">
        <is>
          <t>B331</t>
        </is>
      </c>
      <c r="B1424" s="16" t="inlineStr">
        <is>
          <t>上海区域</t>
        </is>
      </c>
      <c r="C1424" s="16" t="inlineStr">
        <is>
          <t>CN0Q</t>
        </is>
      </c>
      <c r="D1424" s="16" t="inlineStr">
        <is>
          <t>EE 苏州比斯特购物村</t>
        </is>
      </c>
      <c r="E1424" s="16" t="n">
        <v>4</v>
      </c>
      <c r="F1424" s="16" t="inlineStr">
        <is>
          <t>奥特莱斯</t>
        </is>
      </c>
      <c r="G1424" s="16" t="inlineStr">
        <is>
          <t>EETJG23E04</t>
        </is>
      </c>
      <c r="H1424" s="16" t="n">
        <v>899</v>
      </c>
      <c r="I1424" s="16" t="n">
        <v>899</v>
      </c>
      <c r="J1424" s="17" t="inlineStr">
        <is>
          <t>########</t>
        </is>
      </c>
      <c r="K1424" s="16" t="inlineStr">
        <is>
          <t>(57)D/Indigo</t>
        </is>
      </c>
      <c r="L1424" s="16" t="inlineStr">
        <is>
          <t>营业中</t>
        </is>
      </c>
      <c r="M1424" s="16" t="inlineStr">
        <is>
          <t>EETJG23E0457029</t>
        </is>
      </c>
      <c r="N1424" s="16">
        <f>LEFT(M1424,12)</f>
        <v/>
      </c>
      <c r="O1424" s="16" t="inlineStr">
        <is>
          <t>EETJG23E04, (57)D/Indigo, 29(170/72A)</t>
        </is>
      </c>
      <c r="P1424" s="16" t="n">
        <v>899</v>
      </c>
      <c r="Q1424" s="16" t="n">
        <v>899</v>
      </c>
      <c r="R1424" s="16" t="n"/>
      <c r="S1424" s="16" t="n"/>
      <c r="T1424" s="16" t="n">
        <v>2</v>
      </c>
    </row>
    <row r="1425" s="103">
      <c r="A1425" s="16" t="inlineStr">
        <is>
          <t>B331</t>
        </is>
      </c>
      <c r="B1425" s="16" t="inlineStr">
        <is>
          <t>上海区域</t>
        </is>
      </c>
      <c r="C1425" s="16" t="inlineStr">
        <is>
          <t>CN0Q</t>
        </is>
      </c>
      <c r="D1425" s="16" t="inlineStr">
        <is>
          <t>EE 苏州比斯特购物村</t>
        </is>
      </c>
      <c r="E1425" s="16" t="n">
        <v>4</v>
      </c>
      <c r="F1425" s="16" t="inlineStr">
        <is>
          <t>奥特莱斯</t>
        </is>
      </c>
      <c r="G1425" s="16" t="inlineStr">
        <is>
          <t>EETJG23E04</t>
        </is>
      </c>
      <c r="H1425" s="16" t="n">
        <v>899</v>
      </c>
      <c r="I1425" s="16" t="n">
        <v>899</v>
      </c>
      <c r="J1425" s="17" t="inlineStr">
        <is>
          <t>########</t>
        </is>
      </c>
      <c r="K1425" s="16" t="inlineStr">
        <is>
          <t>(57)D/Indigo</t>
        </is>
      </c>
      <c r="L1425" s="16" t="inlineStr">
        <is>
          <t>营业中</t>
        </is>
      </c>
      <c r="M1425" s="16" t="inlineStr">
        <is>
          <t>EETJG23E0457030</t>
        </is>
      </c>
      <c r="N1425" s="16">
        <f>LEFT(M1425,12)</f>
        <v/>
      </c>
      <c r="O1425" s="16" t="inlineStr">
        <is>
          <t>EETJG23E04, (57)D/Indigo, 30(175/74A)</t>
        </is>
      </c>
      <c r="P1425" s="16" t="n">
        <v>899</v>
      </c>
      <c r="Q1425" s="16" t="n">
        <v>899</v>
      </c>
      <c r="R1425" s="16" t="n">
        <v>1</v>
      </c>
      <c r="S1425" s="16" t="n"/>
      <c r="T1425" s="16" t="n">
        <v>2</v>
      </c>
    </row>
    <row r="1426" s="103">
      <c r="A1426" s="16" t="inlineStr">
        <is>
          <t>B331</t>
        </is>
      </c>
      <c r="B1426" s="16" t="inlineStr">
        <is>
          <t>上海区域</t>
        </is>
      </c>
      <c r="C1426" s="16" t="inlineStr">
        <is>
          <t>CN0Q</t>
        </is>
      </c>
      <c r="D1426" s="16" t="inlineStr">
        <is>
          <t>EE 苏州比斯特购物村</t>
        </is>
      </c>
      <c r="E1426" s="16" t="n">
        <v>4</v>
      </c>
      <c r="F1426" s="16" t="inlineStr">
        <is>
          <t>奥特莱斯</t>
        </is>
      </c>
      <c r="G1426" s="16" t="inlineStr">
        <is>
          <t>EETJG23E06</t>
        </is>
      </c>
      <c r="H1426" s="16" t="n">
        <v>799</v>
      </c>
      <c r="I1426" s="16" t="n">
        <v>799</v>
      </c>
      <c r="J1426" s="17" t="n">
        <v>46031</v>
      </c>
      <c r="K1426" s="16" t="inlineStr">
        <is>
          <t>(55)Indigo</t>
        </is>
      </c>
      <c r="L1426" s="16" t="inlineStr">
        <is>
          <t>营业中</t>
        </is>
      </c>
      <c r="M1426" s="16" t="inlineStr">
        <is>
          <t>EETJG23E0655025</t>
        </is>
      </c>
      <c r="N1426" s="16">
        <f>LEFT(M1426,12)</f>
        <v/>
      </c>
      <c r="O1426" s="16" t="inlineStr">
        <is>
          <t>EETJG23E06, (55)Indigo, 25(155/64A)</t>
        </is>
      </c>
      <c r="P1426" s="16" t="n">
        <v>799</v>
      </c>
      <c r="Q1426" s="16" t="n">
        <v>799</v>
      </c>
      <c r="R1426" s="16" t="n"/>
      <c r="S1426" s="16" t="n"/>
      <c r="T1426" s="16" t="n">
        <v>2</v>
      </c>
    </row>
    <row r="1427" s="103">
      <c r="A1427" s="16" t="inlineStr">
        <is>
          <t>B331</t>
        </is>
      </c>
      <c r="B1427" s="16" t="inlineStr">
        <is>
          <t>上海区域</t>
        </is>
      </c>
      <c r="C1427" s="16" t="inlineStr">
        <is>
          <t>CN0Q</t>
        </is>
      </c>
      <c r="D1427" s="16" t="inlineStr">
        <is>
          <t>EE 苏州比斯特购物村</t>
        </is>
      </c>
      <c r="E1427" s="16" t="n">
        <v>4</v>
      </c>
      <c r="F1427" s="16" t="inlineStr">
        <is>
          <t>奥特莱斯</t>
        </is>
      </c>
      <c r="G1427" s="16" t="inlineStr">
        <is>
          <t>EETJG23E06</t>
        </is>
      </c>
      <c r="H1427" s="16" t="n">
        <v>799</v>
      </c>
      <c r="I1427" s="16" t="n">
        <v>799</v>
      </c>
      <c r="J1427" s="17" t="n">
        <v>46031</v>
      </c>
      <c r="K1427" s="16" t="inlineStr">
        <is>
          <t>(55)Indigo</t>
        </is>
      </c>
      <c r="L1427" s="16" t="inlineStr">
        <is>
          <t>营业中</t>
        </is>
      </c>
      <c r="M1427" s="16" t="inlineStr">
        <is>
          <t>EETJG23E0655026</t>
        </is>
      </c>
      <c r="N1427" s="16">
        <f>LEFT(M1427,12)</f>
        <v/>
      </c>
      <c r="O1427" s="16" t="inlineStr">
        <is>
          <t>EETJG23E06, (55)Indigo, 26(160/66A)</t>
        </is>
      </c>
      <c r="P1427" s="16" t="n">
        <v>799</v>
      </c>
      <c r="Q1427" s="16" t="n">
        <v>799</v>
      </c>
      <c r="R1427" s="16" t="n">
        <v>2</v>
      </c>
      <c r="S1427" s="18" t="n">
        <v>1028</v>
      </c>
      <c r="T1427" s="16" t="n">
        <v>1</v>
      </c>
    </row>
    <row r="1428" s="103">
      <c r="A1428" s="16" t="inlineStr">
        <is>
          <t>B331</t>
        </is>
      </c>
      <c r="B1428" s="16" t="inlineStr">
        <is>
          <t>上海区域</t>
        </is>
      </c>
      <c r="C1428" s="16" t="inlineStr">
        <is>
          <t>CN0Q</t>
        </is>
      </c>
      <c r="D1428" s="16" t="inlineStr">
        <is>
          <t>EE 苏州比斯特购物村</t>
        </is>
      </c>
      <c r="E1428" s="16" t="n">
        <v>4</v>
      </c>
      <c r="F1428" s="16" t="inlineStr">
        <is>
          <t>奥特莱斯</t>
        </is>
      </c>
      <c r="G1428" s="16" t="inlineStr">
        <is>
          <t>EETJG23E06</t>
        </is>
      </c>
      <c r="H1428" s="16" t="n">
        <v>799</v>
      </c>
      <c r="I1428" s="16" t="n">
        <v>799</v>
      </c>
      <c r="J1428" s="17" t="n">
        <v>46031</v>
      </c>
      <c r="K1428" s="16" t="inlineStr">
        <is>
          <t>(55)Indigo</t>
        </is>
      </c>
      <c r="L1428" s="16" t="inlineStr">
        <is>
          <t>营业中</t>
        </is>
      </c>
      <c r="M1428" s="16" t="inlineStr">
        <is>
          <t>EETJG23E0655027</t>
        </is>
      </c>
      <c r="N1428" s="16">
        <f>LEFT(M1428,12)</f>
        <v/>
      </c>
      <c r="O1428" s="16" t="inlineStr">
        <is>
          <t>EETJG23E06, (55)Indigo, 27(165/68A)</t>
        </is>
      </c>
      <c r="P1428" s="16" t="n">
        <v>799</v>
      </c>
      <c r="Q1428" s="16" t="n">
        <v>799</v>
      </c>
      <c r="R1428" s="16" t="n"/>
      <c r="S1428" s="16" t="n"/>
      <c r="T1428" s="16" t="n">
        <v>2</v>
      </c>
    </row>
    <row r="1429" s="103">
      <c r="A1429" s="16" t="inlineStr">
        <is>
          <t>B331</t>
        </is>
      </c>
      <c r="B1429" s="16" t="inlineStr">
        <is>
          <t>上海区域</t>
        </is>
      </c>
      <c r="C1429" s="16" t="inlineStr">
        <is>
          <t>CN0Q</t>
        </is>
      </c>
      <c r="D1429" s="16" t="inlineStr">
        <is>
          <t>EE 苏州比斯特购物村</t>
        </is>
      </c>
      <c r="E1429" s="16" t="n">
        <v>4</v>
      </c>
      <c r="F1429" s="16" t="inlineStr">
        <is>
          <t>奥特莱斯</t>
        </is>
      </c>
      <c r="G1429" s="16" t="inlineStr">
        <is>
          <t>EETJG23E06</t>
        </is>
      </c>
      <c r="H1429" s="16" t="n">
        <v>799</v>
      </c>
      <c r="I1429" s="16" t="n">
        <v>799</v>
      </c>
      <c r="J1429" s="17" t="n">
        <v>46031</v>
      </c>
      <c r="K1429" s="16" t="inlineStr">
        <is>
          <t>(55)Indigo</t>
        </is>
      </c>
      <c r="L1429" s="16" t="inlineStr">
        <is>
          <t>营业中</t>
        </is>
      </c>
      <c r="M1429" s="16" t="inlineStr">
        <is>
          <t>EETJG23E0655028</t>
        </is>
      </c>
      <c r="N1429" s="16">
        <f>LEFT(M1429,12)</f>
        <v/>
      </c>
      <c r="O1429" s="16" t="inlineStr">
        <is>
          <t>EETJG23E06, (55)Indigo, 28(165/70A)</t>
        </is>
      </c>
      <c r="P1429" s="16" t="n">
        <v>799</v>
      </c>
      <c r="Q1429" s="16" t="n">
        <v>799</v>
      </c>
      <c r="R1429" s="16" t="n"/>
      <c r="S1429" s="16" t="n"/>
      <c r="T1429" s="16" t="n">
        <v>2</v>
      </c>
    </row>
    <row r="1430" s="103">
      <c r="A1430" s="16" t="inlineStr">
        <is>
          <t>B331</t>
        </is>
      </c>
      <c r="B1430" s="16" t="inlineStr">
        <is>
          <t>上海区域</t>
        </is>
      </c>
      <c r="C1430" s="16" t="inlineStr">
        <is>
          <t>CN0Q</t>
        </is>
      </c>
      <c r="D1430" s="16" t="inlineStr">
        <is>
          <t>EE 苏州比斯特购物村</t>
        </is>
      </c>
      <c r="E1430" s="16" t="n">
        <v>4</v>
      </c>
      <c r="F1430" s="16" t="inlineStr">
        <is>
          <t>奥特莱斯</t>
        </is>
      </c>
      <c r="G1430" s="16" t="inlineStr">
        <is>
          <t>EETJG23E06</t>
        </is>
      </c>
      <c r="H1430" s="16" t="n">
        <v>799</v>
      </c>
      <c r="I1430" s="16" t="n">
        <v>799</v>
      </c>
      <c r="J1430" s="17" t="n">
        <v>46031</v>
      </c>
      <c r="K1430" s="16" t="inlineStr">
        <is>
          <t>(55)Indigo</t>
        </is>
      </c>
      <c r="L1430" s="16" t="inlineStr">
        <is>
          <t>营业中</t>
        </is>
      </c>
      <c r="M1430" s="16" t="inlineStr">
        <is>
          <t>EETJG23E0655029</t>
        </is>
      </c>
      <c r="N1430" s="16">
        <f>LEFT(M1430,12)</f>
        <v/>
      </c>
      <c r="O1430" s="16" t="inlineStr">
        <is>
          <t>EETJG23E06, (55)Indigo, 29(170/72A)</t>
        </is>
      </c>
      <c r="P1430" s="16" t="n">
        <v>799</v>
      </c>
      <c r="Q1430" s="16" t="n">
        <v>799</v>
      </c>
      <c r="R1430" s="16" t="n">
        <v>1</v>
      </c>
      <c r="S1430" s="16" t="n">
        <v>509</v>
      </c>
      <c r="T1430" s="16" t="n">
        <v>1</v>
      </c>
    </row>
    <row r="1431" s="103">
      <c r="A1431" s="16" t="inlineStr">
        <is>
          <t>B331</t>
        </is>
      </c>
      <c r="B1431" s="16" t="inlineStr">
        <is>
          <t>上海区域</t>
        </is>
      </c>
      <c r="C1431" s="16" t="inlineStr">
        <is>
          <t>CN0Q</t>
        </is>
      </c>
      <c r="D1431" s="16" t="inlineStr">
        <is>
          <t>EE 苏州比斯特购物村</t>
        </is>
      </c>
      <c r="E1431" s="16" t="n">
        <v>4</v>
      </c>
      <c r="F1431" s="16" t="inlineStr">
        <is>
          <t>奥特莱斯</t>
        </is>
      </c>
      <c r="G1431" s="16" t="inlineStr">
        <is>
          <t>EETJG23E06</t>
        </is>
      </c>
      <c r="H1431" s="16" t="n">
        <v>799</v>
      </c>
      <c r="I1431" s="16" t="n">
        <v>799</v>
      </c>
      <c r="J1431" s="17" t="n">
        <v>46031</v>
      </c>
      <c r="K1431" s="16" t="inlineStr">
        <is>
          <t>(55)Indigo</t>
        </is>
      </c>
      <c r="L1431" s="16" t="inlineStr">
        <is>
          <t>营业中</t>
        </is>
      </c>
      <c r="M1431" s="16" t="inlineStr">
        <is>
          <t>EETJG23E0655030</t>
        </is>
      </c>
      <c r="N1431" s="16">
        <f>LEFT(M1431,12)</f>
        <v/>
      </c>
      <c r="O1431" s="16" t="inlineStr">
        <is>
          <t>EETJG23E06, (55)Indigo, 30(175/74A)</t>
        </is>
      </c>
      <c r="P1431" s="16" t="n">
        <v>799</v>
      </c>
      <c r="Q1431" s="16" t="n">
        <v>799</v>
      </c>
      <c r="R1431" s="16" t="n"/>
      <c r="S1431" s="16" t="n"/>
      <c r="T1431" s="16" t="n">
        <v>2</v>
      </c>
    </row>
    <row r="1432" s="103">
      <c r="A1432" s="16" t="inlineStr">
        <is>
          <t>B331</t>
        </is>
      </c>
      <c r="B1432" s="16" t="inlineStr">
        <is>
          <t>上海区域</t>
        </is>
      </c>
      <c r="C1432" s="16" t="inlineStr">
        <is>
          <t>CN0Q</t>
        </is>
      </c>
      <c r="D1432" s="16" t="inlineStr">
        <is>
          <t>EE 苏州比斯特购物村</t>
        </is>
      </c>
      <c r="E1432" s="16" t="n">
        <v>4</v>
      </c>
      <c r="F1432" s="16" t="inlineStr">
        <is>
          <t>奥特莱斯</t>
        </is>
      </c>
      <c r="G1432" s="16" t="inlineStr">
        <is>
          <t>EETJG23E06</t>
        </is>
      </c>
      <c r="H1432" s="16" t="n">
        <v>799</v>
      </c>
      <c r="I1432" s="16" t="n">
        <v>799</v>
      </c>
      <c r="J1432" s="17" t="n">
        <v>46031</v>
      </c>
      <c r="K1432" s="16" t="inlineStr">
        <is>
          <t>(57)D/Indigo</t>
        </is>
      </c>
      <c r="L1432" s="16" t="inlineStr">
        <is>
          <t>营业中</t>
        </is>
      </c>
      <c r="M1432" s="16" t="inlineStr">
        <is>
          <t>EETJG23E0657025</t>
        </is>
      </c>
      <c r="N1432" s="16">
        <f>LEFT(M1432,12)</f>
        <v/>
      </c>
      <c r="O1432" s="16" t="inlineStr">
        <is>
          <t>EETJG23E06, (57)D/Indigo, 25(155/64A)</t>
        </is>
      </c>
      <c r="P1432" s="16" t="n">
        <v>799</v>
      </c>
      <c r="Q1432" s="16" t="n">
        <v>799</v>
      </c>
      <c r="R1432" s="16" t="n"/>
      <c r="S1432" s="16" t="n"/>
      <c r="T1432" s="16" t="n">
        <v>2</v>
      </c>
    </row>
    <row r="1433" s="103">
      <c r="A1433" s="16" t="inlineStr">
        <is>
          <t>B331</t>
        </is>
      </c>
      <c r="B1433" s="16" t="inlineStr">
        <is>
          <t>上海区域</t>
        </is>
      </c>
      <c r="C1433" s="16" t="inlineStr">
        <is>
          <t>CN0Q</t>
        </is>
      </c>
      <c r="D1433" s="16" t="inlineStr">
        <is>
          <t>EE 苏州比斯特购物村</t>
        </is>
      </c>
      <c r="E1433" s="16" t="n">
        <v>4</v>
      </c>
      <c r="F1433" s="16" t="inlineStr">
        <is>
          <t>奥特莱斯</t>
        </is>
      </c>
      <c r="G1433" s="16" t="inlineStr">
        <is>
          <t>EETJG23E06</t>
        </is>
      </c>
      <c r="H1433" s="16" t="n">
        <v>799</v>
      </c>
      <c r="I1433" s="16" t="n">
        <v>799</v>
      </c>
      <c r="J1433" s="17" t="n">
        <v>46031</v>
      </c>
      <c r="K1433" s="16" t="inlineStr">
        <is>
          <t>(57)D/Indigo</t>
        </is>
      </c>
      <c r="L1433" s="16" t="inlineStr">
        <is>
          <t>营业中</t>
        </is>
      </c>
      <c r="M1433" s="16" t="inlineStr">
        <is>
          <t>EETJG23E0657026</t>
        </is>
      </c>
      <c r="N1433" s="16">
        <f>LEFT(M1433,12)</f>
        <v/>
      </c>
      <c r="O1433" s="16" t="inlineStr">
        <is>
          <t>EETJG23E06, (57)D/Indigo, 26(160/66A)</t>
        </is>
      </c>
      <c r="P1433" s="16" t="n">
        <v>799</v>
      </c>
      <c r="Q1433" s="16" t="n">
        <v>799</v>
      </c>
      <c r="R1433" s="16" t="n"/>
      <c r="S1433" s="16" t="n"/>
      <c r="T1433" s="16" t="n">
        <v>3</v>
      </c>
    </row>
    <row r="1434" s="103">
      <c r="A1434" s="16" t="inlineStr">
        <is>
          <t>B331</t>
        </is>
      </c>
      <c r="B1434" s="16" t="inlineStr">
        <is>
          <t>上海区域</t>
        </is>
      </c>
      <c r="C1434" s="16" t="inlineStr">
        <is>
          <t>CN0Q</t>
        </is>
      </c>
      <c r="D1434" s="16" t="inlineStr">
        <is>
          <t>EE 苏州比斯特购物村</t>
        </is>
      </c>
      <c r="E1434" s="16" t="n">
        <v>4</v>
      </c>
      <c r="F1434" s="16" t="inlineStr">
        <is>
          <t>奥特莱斯</t>
        </is>
      </c>
      <c r="G1434" s="16" t="inlineStr">
        <is>
          <t>EETJG23E06</t>
        </is>
      </c>
      <c r="H1434" s="16" t="n">
        <v>799</v>
      </c>
      <c r="I1434" s="16" t="n">
        <v>799</v>
      </c>
      <c r="J1434" s="17" t="n">
        <v>46031</v>
      </c>
      <c r="K1434" s="16" t="inlineStr">
        <is>
          <t>(57)D/Indigo</t>
        </is>
      </c>
      <c r="L1434" s="16" t="inlineStr">
        <is>
          <t>营业中</t>
        </is>
      </c>
      <c r="M1434" s="16" t="inlineStr">
        <is>
          <t>EETJG23E0657027</t>
        </is>
      </c>
      <c r="N1434" s="16">
        <f>LEFT(M1434,12)</f>
        <v/>
      </c>
      <c r="O1434" s="16" t="inlineStr">
        <is>
          <t>EETJG23E06, (57)D/Indigo, 27(165/68A)</t>
        </is>
      </c>
      <c r="P1434" s="16" t="n">
        <v>799</v>
      </c>
      <c r="Q1434" s="16" t="n">
        <v>799</v>
      </c>
      <c r="R1434" s="16" t="n"/>
      <c r="S1434" s="16" t="n"/>
      <c r="T1434" s="16" t="n">
        <v>2</v>
      </c>
    </row>
    <row r="1435" s="103">
      <c r="A1435" s="16" t="inlineStr">
        <is>
          <t>B331</t>
        </is>
      </c>
      <c r="B1435" s="16" t="inlineStr">
        <is>
          <t>上海区域</t>
        </is>
      </c>
      <c r="C1435" s="16" t="inlineStr">
        <is>
          <t>CN0Q</t>
        </is>
      </c>
      <c r="D1435" s="16" t="inlineStr">
        <is>
          <t>EE 苏州比斯特购物村</t>
        </is>
      </c>
      <c r="E1435" s="16" t="n">
        <v>4</v>
      </c>
      <c r="F1435" s="16" t="inlineStr">
        <is>
          <t>奥特莱斯</t>
        </is>
      </c>
      <c r="G1435" s="16" t="inlineStr">
        <is>
          <t>EETJG23E06</t>
        </is>
      </c>
      <c r="H1435" s="16" t="n">
        <v>799</v>
      </c>
      <c r="I1435" s="16" t="n">
        <v>799</v>
      </c>
      <c r="J1435" s="17" t="n">
        <v>46031</v>
      </c>
      <c r="K1435" s="16" t="inlineStr">
        <is>
          <t>(57)D/Indigo</t>
        </is>
      </c>
      <c r="L1435" s="16" t="inlineStr">
        <is>
          <t>营业中</t>
        </is>
      </c>
      <c r="M1435" s="16" t="inlineStr">
        <is>
          <t>EETJG23E0657028</t>
        </is>
      </c>
      <c r="N1435" s="16">
        <f>LEFT(M1435,12)</f>
        <v/>
      </c>
      <c r="O1435" s="16" t="inlineStr">
        <is>
          <t>EETJG23E06, (57)D/Indigo, 28(165/70A)</t>
        </is>
      </c>
      <c r="P1435" s="16" t="n">
        <v>799</v>
      </c>
      <c r="Q1435" s="16" t="n">
        <v>799</v>
      </c>
      <c r="R1435" s="16" t="n"/>
      <c r="S1435" s="16" t="n"/>
      <c r="T1435" s="16" t="n">
        <v>2</v>
      </c>
    </row>
    <row r="1436" s="103">
      <c r="A1436" s="16" t="inlineStr">
        <is>
          <t>B331</t>
        </is>
      </c>
      <c r="B1436" s="16" t="inlineStr">
        <is>
          <t>上海区域</t>
        </is>
      </c>
      <c r="C1436" s="16" t="inlineStr">
        <is>
          <t>CN0Q</t>
        </is>
      </c>
      <c r="D1436" s="16" t="inlineStr">
        <is>
          <t>EE 苏州比斯特购物村</t>
        </is>
      </c>
      <c r="E1436" s="16" t="n">
        <v>4</v>
      </c>
      <c r="F1436" s="16" t="inlineStr">
        <is>
          <t>奥特莱斯</t>
        </is>
      </c>
      <c r="G1436" s="16" t="inlineStr">
        <is>
          <t>EETJG23E06</t>
        </is>
      </c>
      <c r="H1436" s="16" t="n">
        <v>799</v>
      </c>
      <c r="I1436" s="16" t="n">
        <v>799</v>
      </c>
      <c r="J1436" s="17" t="n">
        <v>46031</v>
      </c>
      <c r="K1436" s="16" t="inlineStr">
        <is>
          <t>(57)D/Indigo</t>
        </is>
      </c>
      <c r="L1436" s="16" t="inlineStr">
        <is>
          <t>营业中</t>
        </is>
      </c>
      <c r="M1436" s="16" t="inlineStr">
        <is>
          <t>EETJG23E0657029</t>
        </is>
      </c>
      <c r="N1436" s="16">
        <f>LEFT(M1436,12)</f>
        <v/>
      </c>
      <c r="O1436" s="16" t="inlineStr">
        <is>
          <t>EETJG23E06, (57)D/Indigo, 29(170/72A)</t>
        </is>
      </c>
      <c r="P1436" s="16" t="n">
        <v>799</v>
      </c>
      <c r="Q1436" s="16" t="n">
        <v>799</v>
      </c>
      <c r="R1436" s="16" t="n"/>
      <c r="S1436" s="16" t="n"/>
      <c r="T1436" s="16" t="n">
        <v>2</v>
      </c>
    </row>
    <row r="1437" s="103">
      <c r="A1437" s="16" t="inlineStr">
        <is>
          <t>B331</t>
        </is>
      </c>
      <c r="B1437" s="16" t="inlineStr">
        <is>
          <t>上海区域</t>
        </is>
      </c>
      <c r="C1437" s="16" t="inlineStr">
        <is>
          <t>CN0Q</t>
        </is>
      </c>
      <c r="D1437" s="16" t="inlineStr">
        <is>
          <t>EE 苏州比斯特购物村</t>
        </is>
      </c>
      <c r="E1437" s="16" t="n">
        <v>4</v>
      </c>
      <c r="F1437" s="16" t="inlineStr">
        <is>
          <t>奥特莱斯</t>
        </is>
      </c>
      <c r="G1437" s="16" t="inlineStr">
        <is>
          <t>EETJG23E06</t>
        </is>
      </c>
      <c r="H1437" s="16" t="n">
        <v>799</v>
      </c>
      <c r="I1437" s="16" t="n">
        <v>799</v>
      </c>
      <c r="J1437" s="17" t="n">
        <v>46031</v>
      </c>
      <c r="K1437" s="16" t="inlineStr">
        <is>
          <t>(57)D/Indigo</t>
        </is>
      </c>
      <c r="L1437" s="16" t="inlineStr">
        <is>
          <t>营业中</t>
        </is>
      </c>
      <c r="M1437" s="16" t="inlineStr">
        <is>
          <t>EETJG23E0657030</t>
        </is>
      </c>
      <c r="N1437" s="16">
        <f>LEFT(M1437,12)</f>
        <v/>
      </c>
      <c r="O1437" s="16" t="inlineStr">
        <is>
          <t>EETJG23E06, (57)D/Indigo, 30(175/74A)</t>
        </is>
      </c>
      <c r="P1437" s="16" t="n">
        <v>799</v>
      </c>
      <c r="Q1437" s="16" t="n">
        <v>799</v>
      </c>
      <c r="R1437" s="16" t="n"/>
      <c r="S1437" s="16" t="n"/>
      <c r="T1437" s="16" t="n">
        <v>2</v>
      </c>
    </row>
    <row r="1438" s="103">
      <c r="A1438" s="16" t="inlineStr">
        <is>
          <t>B331</t>
        </is>
      </c>
      <c r="B1438" s="16" t="inlineStr">
        <is>
          <t>上海区域</t>
        </is>
      </c>
      <c r="C1438" s="16" t="inlineStr">
        <is>
          <t>CN0Q</t>
        </is>
      </c>
      <c r="D1438" s="16" t="inlineStr">
        <is>
          <t>EE 苏州比斯特购物村</t>
        </is>
      </c>
      <c r="E1438" s="16" t="n">
        <v>4</v>
      </c>
      <c r="F1438" s="16" t="inlineStr">
        <is>
          <t>奥特莱斯</t>
        </is>
      </c>
      <c r="G1438" s="16" t="inlineStr">
        <is>
          <t>EETJG23E07</t>
        </is>
      </c>
      <c r="H1438" s="16" t="n">
        <v>899</v>
      </c>
      <c r="I1438" s="16" t="n">
        <v>899</v>
      </c>
      <c r="J1438" s="17" t="inlineStr">
        <is>
          <t>########</t>
        </is>
      </c>
      <c r="K1438" s="16" t="inlineStr">
        <is>
          <t>(55)Indigo</t>
        </is>
      </c>
      <c r="L1438" s="16" t="inlineStr">
        <is>
          <t>营业中</t>
        </is>
      </c>
      <c r="M1438" s="16" t="inlineStr">
        <is>
          <t>EETJG23E0755025</t>
        </is>
      </c>
      <c r="N1438" s="16">
        <f>LEFT(M1438,12)</f>
        <v/>
      </c>
      <c r="O1438" s="16" t="inlineStr">
        <is>
          <t>EETJG23E07, (55)Indigo, 25(155/64A)</t>
        </is>
      </c>
      <c r="P1438" s="16" t="n">
        <v>899</v>
      </c>
      <c r="Q1438" s="16" t="n">
        <v>899</v>
      </c>
      <c r="R1438" s="16" t="n">
        <v>1</v>
      </c>
      <c r="S1438" s="16" t="n">
        <v>270</v>
      </c>
      <c r="T1438" s="16" t="n">
        <v>3</v>
      </c>
    </row>
    <row r="1439" s="103">
      <c r="A1439" s="16" t="inlineStr">
        <is>
          <t>B331</t>
        </is>
      </c>
      <c r="B1439" s="16" t="inlineStr">
        <is>
          <t>上海区域</t>
        </is>
      </c>
      <c r="C1439" s="16" t="inlineStr">
        <is>
          <t>CN0Q</t>
        </is>
      </c>
      <c r="D1439" s="16" t="inlineStr">
        <is>
          <t>EE 苏州比斯特购物村</t>
        </is>
      </c>
      <c r="E1439" s="16" t="n">
        <v>4</v>
      </c>
      <c r="F1439" s="16" t="inlineStr">
        <is>
          <t>奥特莱斯</t>
        </is>
      </c>
      <c r="G1439" s="16" t="inlineStr">
        <is>
          <t>EETJG23E07</t>
        </is>
      </c>
      <c r="H1439" s="16" t="n">
        <v>899</v>
      </c>
      <c r="I1439" s="16" t="n">
        <v>899</v>
      </c>
      <c r="J1439" s="17" t="inlineStr">
        <is>
          <t>########</t>
        </is>
      </c>
      <c r="K1439" s="16" t="inlineStr">
        <is>
          <t>(55)Indigo</t>
        </is>
      </c>
      <c r="L1439" s="16" t="inlineStr">
        <is>
          <t>营业中</t>
        </is>
      </c>
      <c r="M1439" s="16" t="inlineStr">
        <is>
          <t>EETJG23E0755026</t>
        </is>
      </c>
      <c r="N1439" s="16">
        <f>LEFT(M1439,12)</f>
        <v/>
      </c>
      <c r="O1439" s="16" t="inlineStr">
        <is>
          <t>EETJG23E07, (55)Indigo, 26(160/66A)</t>
        </is>
      </c>
      <c r="P1439" s="16" t="n">
        <v>899</v>
      </c>
      <c r="Q1439" s="16" t="n">
        <v>899</v>
      </c>
      <c r="R1439" s="16" t="n">
        <v>4</v>
      </c>
      <c r="S1439" s="18" t="n">
        <v>2301</v>
      </c>
      <c r="T1439" s="16" t="n">
        <v>1</v>
      </c>
    </row>
    <row r="1440" s="103">
      <c r="A1440" s="16" t="inlineStr">
        <is>
          <t>B331</t>
        </is>
      </c>
      <c r="B1440" s="16" t="inlineStr">
        <is>
          <t>上海区域</t>
        </is>
      </c>
      <c r="C1440" s="16" t="inlineStr">
        <is>
          <t>CN0Q</t>
        </is>
      </c>
      <c r="D1440" s="16" t="inlineStr">
        <is>
          <t>EE 苏州比斯特购物村</t>
        </is>
      </c>
      <c r="E1440" s="16" t="n">
        <v>4</v>
      </c>
      <c r="F1440" s="16" t="inlineStr">
        <is>
          <t>奥特莱斯</t>
        </is>
      </c>
      <c r="G1440" s="16" t="inlineStr">
        <is>
          <t>EETJG23E07</t>
        </is>
      </c>
      <c r="H1440" s="16" t="n">
        <v>899</v>
      </c>
      <c r="I1440" s="16" t="n">
        <v>899</v>
      </c>
      <c r="J1440" s="17" t="inlineStr">
        <is>
          <t>########</t>
        </is>
      </c>
      <c r="K1440" s="16" t="inlineStr">
        <is>
          <t>(55)Indigo</t>
        </is>
      </c>
      <c r="L1440" s="16" t="inlineStr">
        <is>
          <t>营业中</t>
        </is>
      </c>
      <c r="M1440" s="16" t="inlineStr">
        <is>
          <t>EETJG23E0755027</t>
        </is>
      </c>
      <c r="N1440" s="16">
        <f>LEFT(M1440,12)</f>
        <v/>
      </c>
      <c r="O1440" s="16" t="inlineStr">
        <is>
          <t>EETJG23E07, (55)Indigo, 27(165/68A)</t>
        </is>
      </c>
      <c r="P1440" s="16" t="n">
        <v>899</v>
      </c>
      <c r="Q1440" s="16" t="n">
        <v>899</v>
      </c>
      <c r="R1440" s="16" t="n">
        <v>2</v>
      </c>
      <c r="S1440" s="18" t="n">
        <v>1156</v>
      </c>
      <c r="T1440" s="16" t="n">
        <v>3</v>
      </c>
    </row>
    <row r="1441" s="103">
      <c r="A1441" s="16" t="inlineStr">
        <is>
          <t>B331</t>
        </is>
      </c>
      <c r="B1441" s="16" t="inlineStr">
        <is>
          <t>上海区域</t>
        </is>
      </c>
      <c r="C1441" s="16" t="inlineStr">
        <is>
          <t>CN0Q</t>
        </is>
      </c>
      <c r="D1441" s="16" t="inlineStr">
        <is>
          <t>EE 苏州比斯特购物村</t>
        </is>
      </c>
      <c r="E1441" s="16" t="n">
        <v>4</v>
      </c>
      <c r="F1441" s="16" t="inlineStr">
        <is>
          <t>奥特莱斯</t>
        </is>
      </c>
      <c r="G1441" s="16" t="inlineStr">
        <is>
          <t>EETJG23E07</t>
        </is>
      </c>
      <c r="H1441" s="16" t="n">
        <v>899</v>
      </c>
      <c r="I1441" s="16" t="n">
        <v>899</v>
      </c>
      <c r="J1441" s="17" t="inlineStr">
        <is>
          <t>########</t>
        </is>
      </c>
      <c r="K1441" s="16" t="inlineStr">
        <is>
          <t>(55)Indigo</t>
        </is>
      </c>
      <c r="L1441" s="16" t="inlineStr">
        <is>
          <t>营业中</t>
        </is>
      </c>
      <c r="M1441" s="16" t="inlineStr">
        <is>
          <t>EETJG23E0755028</t>
        </is>
      </c>
      <c r="N1441" s="16">
        <f>LEFT(M1441,12)</f>
        <v/>
      </c>
      <c r="O1441" s="16" t="inlineStr">
        <is>
          <t>EETJG23E07, (55)Indigo, 28(165/70A)</t>
        </is>
      </c>
      <c r="P1441" s="16" t="n">
        <v>899</v>
      </c>
      <c r="Q1441" s="16" t="n">
        <v>899</v>
      </c>
      <c r="R1441" s="16" t="n">
        <v>2</v>
      </c>
      <c r="S1441" s="16" t="n">
        <v>843</v>
      </c>
      <c r="T1441" s="16" t="n">
        <v>0</v>
      </c>
    </row>
    <row r="1442" s="103">
      <c r="A1442" s="16" t="inlineStr">
        <is>
          <t>B331</t>
        </is>
      </c>
      <c r="B1442" s="16" t="inlineStr">
        <is>
          <t>上海区域</t>
        </is>
      </c>
      <c r="C1442" s="16" t="inlineStr">
        <is>
          <t>CN0Q</t>
        </is>
      </c>
      <c r="D1442" s="16" t="inlineStr">
        <is>
          <t>EE 苏州比斯特购物村</t>
        </is>
      </c>
      <c r="E1442" s="16" t="n">
        <v>4</v>
      </c>
      <c r="F1442" s="16" t="inlineStr">
        <is>
          <t>奥特莱斯</t>
        </is>
      </c>
      <c r="G1442" s="16" t="inlineStr">
        <is>
          <t>EETJG23E07</t>
        </is>
      </c>
      <c r="H1442" s="16" t="n">
        <v>899</v>
      </c>
      <c r="I1442" s="16" t="n">
        <v>899</v>
      </c>
      <c r="J1442" s="17" t="inlineStr">
        <is>
          <t>########</t>
        </is>
      </c>
      <c r="K1442" s="16" t="inlineStr">
        <is>
          <t>(55)Indigo</t>
        </is>
      </c>
      <c r="L1442" s="16" t="inlineStr">
        <is>
          <t>营业中</t>
        </is>
      </c>
      <c r="M1442" s="16" t="inlineStr">
        <is>
          <t>EETJG23E0755029</t>
        </is>
      </c>
      <c r="N1442" s="16">
        <f>LEFT(M1442,12)</f>
        <v/>
      </c>
      <c r="O1442" s="16" t="inlineStr">
        <is>
          <t>EETJG23E07, (55)Indigo, 29(170/72A)</t>
        </is>
      </c>
      <c r="P1442" s="16" t="n">
        <v>899</v>
      </c>
      <c r="Q1442" s="16" t="n">
        <v>899</v>
      </c>
      <c r="R1442" s="16" t="n">
        <v>2</v>
      </c>
      <c r="S1442" s="16" t="n">
        <v>842</v>
      </c>
      <c r="T1442" s="16" t="n">
        <v>0</v>
      </c>
    </row>
    <row r="1443" s="103">
      <c r="A1443" s="16" t="inlineStr">
        <is>
          <t>B331</t>
        </is>
      </c>
      <c r="B1443" s="16" t="inlineStr">
        <is>
          <t>上海区域</t>
        </is>
      </c>
      <c r="C1443" s="16" t="inlineStr">
        <is>
          <t>CN0Q</t>
        </is>
      </c>
      <c r="D1443" s="16" t="inlineStr">
        <is>
          <t>EE 苏州比斯特购物村</t>
        </is>
      </c>
      <c r="E1443" s="16" t="n">
        <v>4</v>
      </c>
      <c r="F1443" s="16" t="inlineStr">
        <is>
          <t>奥特莱斯</t>
        </is>
      </c>
      <c r="G1443" s="16" t="inlineStr">
        <is>
          <t>EETJG23E07</t>
        </is>
      </c>
      <c r="H1443" s="16" t="n">
        <v>899</v>
      </c>
      <c r="I1443" s="16" t="n">
        <v>899</v>
      </c>
      <c r="J1443" s="17" t="inlineStr">
        <is>
          <t>########</t>
        </is>
      </c>
      <c r="K1443" s="16" t="inlineStr">
        <is>
          <t>(55)Indigo</t>
        </is>
      </c>
      <c r="L1443" s="16" t="inlineStr">
        <is>
          <t>营业中</t>
        </is>
      </c>
      <c r="M1443" s="16" t="inlineStr">
        <is>
          <t>EETJG23E0755030</t>
        </is>
      </c>
      <c r="N1443" s="16">
        <f>LEFT(M1443,12)</f>
        <v/>
      </c>
      <c r="O1443" s="16" t="inlineStr">
        <is>
          <t>EETJG23E07, (55)Indigo, 30(175/74A)</t>
        </is>
      </c>
      <c r="P1443" s="16" t="n">
        <v>899</v>
      </c>
      <c r="Q1443" s="16" t="n">
        <v>899</v>
      </c>
      <c r="R1443" s="16" t="n"/>
      <c r="S1443" s="16" t="n"/>
      <c r="T1443" s="16" t="n">
        <v>2</v>
      </c>
    </row>
    <row r="1444" s="103">
      <c r="A1444" s="16" t="inlineStr">
        <is>
          <t>B331</t>
        </is>
      </c>
      <c r="B1444" s="16" t="inlineStr">
        <is>
          <t>上海区域</t>
        </is>
      </c>
      <c r="C1444" s="16" t="inlineStr">
        <is>
          <t>CN0Q</t>
        </is>
      </c>
      <c r="D1444" s="16" t="inlineStr">
        <is>
          <t>EE 苏州比斯特购物村</t>
        </is>
      </c>
      <c r="E1444" s="16" t="n">
        <v>4</v>
      </c>
      <c r="F1444" s="16" t="inlineStr">
        <is>
          <t>奥特莱斯</t>
        </is>
      </c>
      <c r="G1444" s="16" t="inlineStr">
        <is>
          <t>EETJG23E07</t>
        </is>
      </c>
      <c r="H1444" s="16" t="n">
        <v>899</v>
      </c>
      <c r="I1444" s="16" t="n">
        <v>899</v>
      </c>
      <c r="J1444" s="17" t="inlineStr">
        <is>
          <t>########</t>
        </is>
      </c>
      <c r="K1444" s="16" t="inlineStr">
        <is>
          <t>(57)D/Indigo</t>
        </is>
      </c>
      <c r="L1444" s="16" t="inlineStr">
        <is>
          <t>营业中</t>
        </is>
      </c>
      <c r="M1444" s="16" t="inlineStr">
        <is>
          <t>EETJG23E0757025</t>
        </is>
      </c>
      <c r="N1444" s="16">
        <f>LEFT(M1444,12)</f>
        <v/>
      </c>
      <c r="O1444" s="16" t="inlineStr">
        <is>
          <t>EETJG23E07, (57)D/Indigo, 25(155/64A)</t>
        </is>
      </c>
      <c r="P1444" s="16" t="n">
        <v>899</v>
      </c>
      <c r="Q1444" s="16" t="n">
        <v>899</v>
      </c>
      <c r="R1444" s="16" t="n">
        <v>3</v>
      </c>
      <c r="S1444" s="18" t="n">
        <v>1736</v>
      </c>
      <c r="T1444" s="16" t="n">
        <v>1</v>
      </c>
    </row>
    <row r="1445" s="103">
      <c r="A1445" s="16" t="inlineStr">
        <is>
          <t>B331</t>
        </is>
      </c>
      <c r="B1445" s="16" t="inlineStr">
        <is>
          <t>上海区域</t>
        </is>
      </c>
      <c r="C1445" s="16" t="inlineStr">
        <is>
          <t>CN0Q</t>
        </is>
      </c>
      <c r="D1445" s="16" t="inlineStr">
        <is>
          <t>EE 苏州比斯特购物村</t>
        </is>
      </c>
      <c r="E1445" s="16" t="n">
        <v>4</v>
      </c>
      <c r="F1445" s="16" t="inlineStr">
        <is>
          <t>奥特莱斯</t>
        </is>
      </c>
      <c r="G1445" s="16" t="inlineStr">
        <is>
          <t>EETJG23E07</t>
        </is>
      </c>
      <c r="H1445" s="16" t="n">
        <v>899</v>
      </c>
      <c r="I1445" s="16" t="n">
        <v>899</v>
      </c>
      <c r="J1445" s="17" t="inlineStr">
        <is>
          <t>########</t>
        </is>
      </c>
      <c r="K1445" s="16" t="inlineStr">
        <is>
          <t>(57)D/Indigo</t>
        </is>
      </c>
      <c r="L1445" s="16" t="inlineStr">
        <is>
          <t>营业中</t>
        </is>
      </c>
      <c r="M1445" s="16" t="inlineStr">
        <is>
          <t>EETJG23E0757026</t>
        </is>
      </c>
      <c r="N1445" s="16">
        <f>LEFT(M1445,12)</f>
        <v/>
      </c>
      <c r="O1445" s="16" t="inlineStr">
        <is>
          <t>EETJG23E07, (57)D/Indigo, 26(160/66A)</t>
        </is>
      </c>
      <c r="P1445" s="16" t="n">
        <v>899</v>
      </c>
      <c r="Q1445" s="16" t="n">
        <v>899</v>
      </c>
      <c r="R1445" s="16" t="n">
        <v>3</v>
      </c>
      <c r="S1445" s="18" t="n">
        <v>1149</v>
      </c>
      <c r="T1445" s="16" t="n">
        <v>3</v>
      </c>
    </row>
    <row r="1446" s="103">
      <c r="A1446" s="16" t="inlineStr">
        <is>
          <t>B331</t>
        </is>
      </c>
      <c r="B1446" s="16" t="inlineStr">
        <is>
          <t>上海区域</t>
        </is>
      </c>
      <c r="C1446" s="16" t="inlineStr">
        <is>
          <t>CN0Q</t>
        </is>
      </c>
      <c r="D1446" s="16" t="inlineStr">
        <is>
          <t>EE 苏州比斯特购物村</t>
        </is>
      </c>
      <c r="E1446" s="16" t="n">
        <v>4</v>
      </c>
      <c r="F1446" s="16" t="inlineStr">
        <is>
          <t>奥特莱斯</t>
        </is>
      </c>
      <c r="G1446" s="16" t="inlineStr">
        <is>
          <t>EETJG23E07</t>
        </is>
      </c>
      <c r="H1446" s="16" t="n">
        <v>899</v>
      </c>
      <c r="I1446" s="16" t="n">
        <v>899</v>
      </c>
      <c r="J1446" s="17" t="inlineStr">
        <is>
          <t>########</t>
        </is>
      </c>
      <c r="K1446" s="16" t="inlineStr">
        <is>
          <t>(57)D/Indigo</t>
        </is>
      </c>
      <c r="L1446" s="16" t="inlineStr">
        <is>
          <t>营业中</t>
        </is>
      </c>
      <c r="M1446" s="16" t="inlineStr">
        <is>
          <t>EETJG23E0757027</t>
        </is>
      </c>
      <c r="N1446" s="16">
        <f>LEFT(M1446,12)</f>
        <v/>
      </c>
      <c r="O1446" s="16" t="inlineStr">
        <is>
          <t>EETJG23E07, (57)D/Indigo, 27(165/68A)</t>
        </is>
      </c>
      <c r="P1446" s="16" t="n">
        <v>899</v>
      </c>
      <c r="Q1446" s="16" t="n">
        <v>899</v>
      </c>
      <c r="R1446" s="16" t="n">
        <v>2</v>
      </c>
      <c r="S1446" s="16" t="n">
        <v>579</v>
      </c>
      <c r="T1446" s="16" t="n">
        <v>1</v>
      </c>
    </row>
    <row r="1447" s="103">
      <c r="A1447" s="16" t="inlineStr">
        <is>
          <t>B331</t>
        </is>
      </c>
      <c r="B1447" s="16" t="inlineStr">
        <is>
          <t>上海区域</t>
        </is>
      </c>
      <c r="C1447" s="16" t="inlineStr">
        <is>
          <t>CN0Q</t>
        </is>
      </c>
      <c r="D1447" s="16" t="inlineStr">
        <is>
          <t>EE 苏州比斯特购物村</t>
        </is>
      </c>
      <c r="E1447" s="16" t="n">
        <v>4</v>
      </c>
      <c r="F1447" s="16" t="inlineStr">
        <is>
          <t>奥特莱斯</t>
        </is>
      </c>
      <c r="G1447" s="16" t="inlineStr">
        <is>
          <t>EETJG23E07</t>
        </is>
      </c>
      <c r="H1447" s="16" t="n">
        <v>899</v>
      </c>
      <c r="I1447" s="16" t="n">
        <v>899</v>
      </c>
      <c r="J1447" s="17" t="inlineStr">
        <is>
          <t>########</t>
        </is>
      </c>
      <c r="K1447" s="16" t="inlineStr">
        <is>
          <t>(57)D/Indigo</t>
        </is>
      </c>
      <c r="L1447" s="16" t="inlineStr">
        <is>
          <t>营业中</t>
        </is>
      </c>
      <c r="M1447" s="16" t="inlineStr">
        <is>
          <t>EETJG23E0757028</t>
        </is>
      </c>
      <c r="N1447" s="16">
        <f>LEFT(M1447,12)</f>
        <v/>
      </c>
      <c r="O1447" s="16" t="inlineStr">
        <is>
          <t>EETJG23E07, (57)D/Indigo, 28(165/70A)</t>
        </is>
      </c>
      <c r="P1447" s="16" t="n">
        <v>899</v>
      </c>
      <c r="Q1447" s="16" t="n">
        <v>899</v>
      </c>
      <c r="R1447" s="16" t="n">
        <v>1</v>
      </c>
      <c r="S1447" s="16" t="n">
        <v>592</v>
      </c>
      <c r="T1447" s="16" t="n">
        <v>1</v>
      </c>
    </row>
    <row r="1448" s="103">
      <c r="A1448" s="16" t="inlineStr">
        <is>
          <t>B331</t>
        </is>
      </c>
      <c r="B1448" s="16" t="inlineStr">
        <is>
          <t>上海区域</t>
        </is>
      </c>
      <c r="C1448" s="16" t="inlineStr">
        <is>
          <t>CN0Q</t>
        </is>
      </c>
      <c r="D1448" s="16" t="inlineStr">
        <is>
          <t>EE 苏州比斯特购物村</t>
        </is>
      </c>
      <c r="E1448" s="16" t="n">
        <v>4</v>
      </c>
      <c r="F1448" s="16" t="inlineStr">
        <is>
          <t>奥特莱斯</t>
        </is>
      </c>
      <c r="G1448" s="16" t="inlineStr">
        <is>
          <t>EETJG23E07</t>
        </is>
      </c>
      <c r="H1448" s="16" t="n">
        <v>899</v>
      </c>
      <c r="I1448" s="16" t="n">
        <v>899</v>
      </c>
      <c r="J1448" s="17" t="inlineStr">
        <is>
          <t>########</t>
        </is>
      </c>
      <c r="K1448" s="16" t="inlineStr">
        <is>
          <t>(57)D/Indigo</t>
        </is>
      </c>
      <c r="L1448" s="16" t="inlineStr">
        <is>
          <t>营业中</t>
        </is>
      </c>
      <c r="M1448" s="16" t="inlineStr">
        <is>
          <t>EETJG23E0757029</t>
        </is>
      </c>
      <c r="N1448" s="16">
        <f>LEFT(M1448,12)</f>
        <v/>
      </c>
      <c r="O1448" s="16" t="inlineStr">
        <is>
          <t>EETJG23E07, (57)D/Indigo, 29(170/72A)</t>
        </is>
      </c>
      <c r="P1448" s="16" t="n">
        <v>899</v>
      </c>
      <c r="Q1448" s="16" t="n">
        <v>899</v>
      </c>
      <c r="R1448" s="16" t="n"/>
      <c r="S1448" s="16" t="n"/>
      <c r="T1448" s="16" t="n">
        <v>2</v>
      </c>
    </row>
    <row r="1449" s="103">
      <c r="A1449" s="16" t="inlineStr">
        <is>
          <t>B331</t>
        </is>
      </c>
      <c r="B1449" s="16" t="inlineStr">
        <is>
          <t>上海区域</t>
        </is>
      </c>
      <c r="C1449" s="16" t="inlineStr">
        <is>
          <t>CN0Q</t>
        </is>
      </c>
      <c r="D1449" s="16" t="inlineStr">
        <is>
          <t>EE 苏州比斯特购物村</t>
        </is>
      </c>
      <c r="E1449" s="16" t="n">
        <v>4</v>
      </c>
      <c r="F1449" s="16" t="inlineStr">
        <is>
          <t>奥特莱斯</t>
        </is>
      </c>
      <c r="G1449" s="16" t="inlineStr">
        <is>
          <t>EETJG23E07</t>
        </is>
      </c>
      <c r="H1449" s="16" t="n">
        <v>899</v>
      </c>
      <c r="I1449" s="16" t="n">
        <v>899</v>
      </c>
      <c r="J1449" s="17" t="inlineStr">
        <is>
          <t>########</t>
        </is>
      </c>
      <c r="K1449" s="16" t="inlineStr">
        <is>
          <t>(57)D/Indigo</t>
        </is>
      </c>
      <c r="L1449" s="16" t="inlineStr">
        <is>
          <t>营业中</t>
        </is>
      </c>
      <c r="M1449" s="16" t="inlineStr">
        <is>
          <t>EETJG23E0757030</t>
        </is>
      </c>
      <c r="N1449" s="16">
        <f>LEFT(M1449,12)</f>
        <v/>
      </c>
      <c r="O1449" s="16" t="inlineStr">
        <is>
          <t>EETJG23E07, (57)D/Indigo, 30(175/74A)</t>
        </is>
      </c>
      <c r="P1449" s="16" t="n">
        <v>899</v>
      </c>
      <c r="Q1449" s="16" t="n">
        <v>899</v>
      </c>
      <c r="R1449" s="16" t="n">
        <v>1</v>
      </c>
      <c r="S1449" s="16" t="n"/>
      <c r="T1449" s="16" t="n">
        <v>2</v>
      </c>
    </row>
    <row r="1450" s="103">
      <c r="A1450" s="16" t="inlineStr">
        <is>
          <t>B331</t>
        </is>
      </c>
      <c r="B1450" s="16" t="inlineStr">
        <is>
          <t>上海区域</t>
        </is>
      </c>
      <c r="C1450" s="16" t="inlineStr">
        <is>
          <t>CN0Q</t>
        </is>
      </c>
      <c r="D1450" s="16" t="inlineStr">
        <is>
          <t>EE 苏州比斯特购物村</t>
        </is>
      </c>
      <c r="E1450" s="16" t="n">
        <v>4</v>
      </c>
      <c r="F1450" s="16" t="inlineStr">
        <is>
          <t>奥特莱斯</t>
        </is>
      </c>
      <c r="G1450" s="16" t="inlineStr">
        <is>
          <t>EETJG23E1G</t>
        </is>
      </c>
      <c r="H1450" s="16" t="n">
        <v>899</v>
      </c>
      <c r="I1450" s="16" t="n">
        <v>899</v>
      </c>
      <c r="J1450" s="17" t="n">
        <v>46062</v>
      </c>
      <c r="K1450" s="16" t="inlineStr">
        <is>
          <t>(55)Indigo</t>
        </is>
      </c>
      <c r="L1450" s="16" t="inlineStr">
        <is>
          <t>营业中</t>
        </is>
      </c>
      <c r="M1450" s="16" t="inlineStr">
        <is>
          <t>EETJG23E1G55030</t>
        </is>
      </c>
      <c r="N1450" s="16">
        <f>LEFT(M1450,12)</f>
        <v/>
      </c>
      <c r="O1450" s="16" t="inlineStr">
        <is>
          <t>EETJG23E1G, (55)Indigo, 30(170/76A)</t>
        </is>
      </c>
      <c r="P1450" s="16" t="n">
        <v>899</v>
      </c>
      <c r="Q1450" s="16" t="n">
        <v>899</v>
      </c>
      <c r="R1450" s="16" t="n"/>
      <c r="S1450" s="16" t="n"/>
      <c r="T1450" s="16" t="n">
        <v>2</v>
      </c>
    </row>
    <row r="1451" s="103">
      <c r="A1451" s="16" t="inlineStr">
        <is>
          <t>B331</t>
        </is>
      </c>
      <c r="B1451" s="16" t="inlineStr">
        <is>
          <t>上海区域</t>
        </is>
      </c>
      <c r="C1451" s="16" t="inlineStr">
        <is>
          <t>CN0Q</t>
        </is>
      </c>
      <c r="D1451" s="16" t="inlineStr">
        <is>
          <t>EE 苏州比斯特购物村</t>
        </is>
      </c>
      <c r="E1451" s="16" t="n">
        <v>4</v>
      </c>
      <c r="F1451" s="16" t="inlineStr">
        <is>
          <t>奥特莱斯</t>
        </is>
      </c>
      <c r="G1451" s="16" t="inlineStr">
        <is>
          <t>EETJG23E1G</t>
        </is>
      </c>
      <c r="H1451" s="16" t="n">
        <v>899</v>
      </c>
      <c r="I1451" s="16" t="n">
        <v>899</v>
      </c>
      <c r="J1451" s="17" t="n">
        <v>46062</v>
      </c>
      <c r="K1451" s="16" t="inlineStr">
        <is>
          <t>(55)Indigo</t>
        </is>
      </c>
      <c r="L1451" s="16" t="inlineStr">
        <is>
          <t>营业中</t>
        </is>
      </c>
      <c r="M1451" s="16" t="inlineStr">
        <is>
          <t>EETJG23E1G55032</t>
        </is>
      </c>
      <c r="N1451" s="16">
        <f>LEFT(M1451,12)</f>
        <v/>
      </c>
      <c r="O1451" s="16" t="inlineStr">
        <is>
          <t>EETJG23E1G, (55)Indigo, 32(175/80A)</t>
        </is>
      </c>
      <c r="P1451" s="16" t="n">
        <v>899</v>
      </c>
      <c r="Q1451" s="16" t="n">
        <v>899</v>
      </c>
      <c r="R1451" s="16" t="n">
        <v>1</v>
      </c>
      <c r="S1451" s="16" t="n">
        <v>629</v>
      </c>
      <c r="T1451" s="16" t="n">
        <v>1</v>
      </c>
    </row>
    <row r="1452" s="103">
      <c r="A1452" s="16" t="inlineStr">
        <is>
          <t>B331</t>
        </is>
      </c>
      <c r="B1452" s="16" t="inlineStr">
        <is>
          <t>上海区域</t>
        </is>
      </c>
      <c r="C1452" s="16" t="inlineStr">
        <is>
          <t>CN0Q</t>
        </is>
      </c>
      <c r="D1452" s="16" t="inlineStr">
        <is>
          <t>EE 苏州比斯特购物村</t>
        </is>
      </c>
      <c r="E1452" s="16" t="n">
        <v>4</v>
      </c>
      <c r="F1452" s="16" t="inlineStr">
        <is>
          <t>奥特莱斯</t>
        </is>
      </c>
      <c r="G1452" s="16" t="inlineStr">
        <is>
          <t>EETJG23E1G</t>
        </is>
      </c>
      <c r="H1452" s="16" t="n">
        <v>899</v>
      </c>
      <c r="I1452" s="16" t="n">
        <v>899</v>
      </c>
      <c r="J1452" s="17" t="n">
        <v>46062</v>
      </c>
      <c r="K1452" s="16" t="inlineStr">
        <is>
          <t>(55)Indigo</t>
        </is>
      </c>
      <c r="L1452" s="16" t="inlineStr">
        <is>
          <t>营业中</t>
        </is>
      </c>
      <c r="M1452" s="16" t="inlineStr">
        <is>
          <t>EETJG23E1G55034</t>
        </is>
      </c>
      <c r="N1452" s="16">
        <f>LEFT(M1452,12)</f>
        <v/>
      </c>
      <c r="O1452" s="16" t="inlineStr">
        <is>
          <t>EETJG23E1G, (55)Indigo, 34(180/84A)</t>
        </is>
      </c>
      <c r="P1452" s="16" t="n">
        <v>899</v>
      </c>
      <c r="Q1452" s="16" t="n">
        <v>899</v>
      </c>
      <c r="R1452" s="16" t="n">
        <v>2</v>
      </c>
      <c r="S1452" s="16" t="n">
        <v>270</v>
      </c>
      <c r="T1452" s="16" t="n">
        <v>1</v>
      </c>
    </row>
    <row r="1453" s="103">
      <c r="A1453" s="16" t="inlineStr">
        <is>
          <t>B331</t>
        </is>
      </c>
      <c r="B1453" s="16" t="inlineStr">
        <is>
          <t>上海区域</t>
        </is>
      </c>
      <c r="C1453" s="16" t="inlineStr">
        <is>
          <t>CN0Q</t>
        </is>
      </c>
      <c r="D1453" s="16" t="inlineStr">
        <is>
          <t>EE 苏州比斯特购物村</t>
        </is>
      </c>
      <c r="E1453" s="16" t="n">
        <v>4</v>
      </c>
      <c r="F1453" s="16" t="inlineStr">
        <is>
          <t>奥特莱斯</t>
        </is>
      </c>
      <c r="G1453" s="16" t="inlineStr">
        <is>
          <t>EETJG23E1G</t>
        </is>
      </c>
      <c r="H1453" s="16" t="n">
        <v>899</v>
      </c>
      <c r="I1453" s="16" t="n">
        <v>899</v>
      </c>
      <c r="J1453" s="17" t="n">
        <v>46062</v>
      </c>
      <c r="K1453" s="16" t="inlineStr">
        <is>
          <t>(55)Indigo</t>
        </is>
      </c>
      <c r="L1453" s="16" t="inlineStr">
        <is>
          <t>营业中</t>
        </is>
      </c>
      <c r="M1453" s="16" t="inlineStr">
        <is>
          <t>EETJG23E1G55036</t>
        </is>
      </c>
      <c r="N1453" s="16">
        <f>LEFT(M1453,12)</f>
        <v/>
      </c>
      <c r="O1453" s="16" t="inlineStr">
        <is>
          <t>EETJG23E1G, (55)Indigo, 36(185/88A)</t>
        </is>
      </c>
      <c r="P1453" s="16" t="n">
        <v>899</v>
      </c>
      <c r="Q1453" s="16" t="n">
        <v>899</v>
      </c>
      <c r="R1453" s="16" t="n"/>
      <c r="S1453" s="16" t="n"/>
      <c r="T1453" s="16" t="n">
        <v>1</v>
      </c>
    </row>
    <row r="1454" s="103">
      <c r="A1454" s="16" t="inlineStr">
        <is>
          <t>B331</t>
        </is>
      </c>
      <c r="B1454" s="16" t="inlineStr">
        <is>
          <t>上海区域</t>
        </is>
      </c>
      <c r="C1454" s="16" t="inlineStr">
        <is>
          <t>CN0Q</t>
        </is>
      </c>
      <c r="D1454" s="16" t="inlineStr">
        <is>
          <t>EE 苏州比斯特购物村</t>
        </is>
      </c>
      <c r="E1454" s="16" t="n">
        <v>4</v>
      </c>
      <c r="F1454" s="16" t="inlineStr">
        <is>
          <t>奥特莱斯</t>
        </is>
      </c>
      <c r="G1454" s="16" t="inlineStr">
        <is>
          <t>EETJG23E1G</t>
        </is>
      </c>
      <c r="H1454" s="16" t="n">
        <v>899</v>
      </c>
      <c r="I1454" s="16" t="n">
        <v>899</v>
      </c>
      <c r="J1454" s="17" t="n">
        <v>46062</v>
      </c>
      <c r="K1454" s="16" t="inlineStr">
        <is>
          <t>(56)L/Indigo</t>
        </is>
      </c>
      <c r="L1454" s="16" t="inlineStr">
        <is>
          <t>营业中</t>
        </is>
      </c>
      <c r="M1454" s="16" t="inlineStr">
        <is>
          <t>EETJG23E1G56030</t>
        </is>
      </c>
      <c r="N1454" s="16">
        <f>LEFT(M1454,12)</f>
        <v/>
      </c>
      <c r="O1454" s="16" t="inlineStr">
        <is>
          <t>EETJG23E1G, (56)L/Indigo, 30(170/76A)</t>
        </is>
      </c>
      <c r="P1454" s="16" t="n">
        <v>899</v>
      </c>
      <c r="Q1454" s="16" t="n">
        <v>899</v>
      </c>
      <c r="R1454" s="16" t="n"/>
      <c r="S1454" s="16" t="n"/>
      <c r="T1454" s="16" t="n">
        <v>2</v>
      </c>
    </row>
    <row r="1455" s="103">
      <c r="A1455" s="16" t="inlineStr">
        <is>
          <t>B331</t>
        </is>
      </c>
      <c r="B1455" s="16" t="inlineStr">
        <is>
          <t>上海区域</t>
        </is>
      </c>
      <c r="C1455" s="16" t="inlineStr">
        <is>
          <t>CN0Q</t>
        </is>
      </c>
      <c r="D1455" s="16" t="inlineStr">
        <is>
          <t>EE 苏州比斯特购物村</t>
        </is>
      </c>
      <c r="E1455" s="16" t="n">
        <v>4</v>
      </c>
      <c r="F1455" s="16" t="inlineStr">
        <is>
          <t>奥特莱斯</t>
        </is>
      </c>
      <c r="G1455" s="16" t="inlineStr">
        <is>
          <t>EETJG23E1G</t>
        </is>
      </c>
      <c r="H1455" s="16" t="n">
        <v>899</v>
      </c>
      <c r="I1455" s="16" t="n">
        <v>899</v>
      </c>
      <c r="J1455" s="17" t="n">
        <v>46062</v>
      </c>
      <c r="K1455" s="16" t="inlineStr">
        <is>
          <t>(56)L/Indigo</t>
        </is>
      </c>
      <c r="L1455" s="16" t="inlineStr">
        <is>
          <t>营业中</t>
        </is>
      </c>
      <c r="M1455" s="16" t="inlineStr">
        <is>
          <t>EETJG23E1G56032</t>
        </is>
      </c>
      <c r="N1455" s="16">
        <f>LEFT(M1455,12)</f>
        <v/>
      </c>
      <c r="O1455" s="16" t="inlineStr">
        <is>
          <t>EETJG23E1G, (56)L/Indigo, 32(175/80A)</t>
        </is>
      </c>
      <c r="P1455" s="16" t="n">
        <v>899</v>
      </c>
      <c r="Q1455" s="16" t="n">
        <v>899</v>
      </c>
      <c r="R1455" s="16" t="n"/>
      <c r="S1455" s="16" t="n"/>
      <c r="T1455" s="16" t="n">
        <v>2</v>
      </c>
    </row>
    <row r="1456" s="103">
      <c r="A1456" s="16" t="inlineStr">
        <is>
          <t>B331</t>
        </is>
      </c>
      <c r="B1456" s="16" t="inlineStr">
        <is>
          <t>上海区域</t>
        </is>
      </c>
      <c r="C1456" s="16" t="inlineStr">
        <is>
          <t>CN0Q</t>
        </is>
      </c>
      <c r="D1456" s="16" t="inlineStr">
        <is>
          <t>EE 苏州比斯特购物村</t>
        </is>
      </c>
      <c r="E1456" s="16" t="n">
        <v>4</v>
      </c>
      <c r="F1456" s="16" t="inlineStr">
        <is>
          <t>奥特莱斯</t>
        </is>
      </c>
      <c r="G1456" s="16" t="inlineStr">
        <is>
          <t>EETJG23E1G</t>
        </is>
      </c>
      <c r="H1456" s="16" t="n">
        <v>899</v>
      </c>
      <c r="I1456" s="16" t="n">
        <v>899</v>
      </c>
      <c r="J1456" s="17" t="n">
        <v>46062</v>
      </c>
      <c r="K1456" s="16" t="inlineStr">
        <is>
          <t>(56)L/Indigo</t>
        </is>
      </c>
      <c r="L1456" s="16" t="inlineStr">
        <is>
          <t>营业中</t>
        </is>
      </c>
      <c r="M1456" s="16" t="inlineStr">
        <is>
          <t>EETJG23E1G56034</t>
        </is>
      </c>
      <c r="N1456" s="16">
        <f>LEFT(M1456,12)</f>
        <v/>
      </c>
      <c r="O1456" s="16" t="inlineStr">
        <is>
          <t>EETJG23E1G, (56)L/Indigo, 34(180/84A)</t>
        </is>
      </c>
      <c r="P1456" s="16" t="n">
        <v>899</v>
      </c>
      <c r="Q1456" s="16" t="n">
        <v>899</v>
      </c>
      <c r="R1456" s="16" t="n">
        <v>1</v>
      </c>
      <c r="S1456" s="16" t="n"/>
      <c r="T1456" s="16" t="n">
        <v>2</v>
      </c>
    </row>
    <row r="1457" s="103">
      <c r="A1457" s="16" t="inlineStr">
        <is>
          <t>B331</t>
        </is>
      </c>
      <c r="B1457" s="16" t="inlineStr">
        <is>
          <t>上海区域</t>
        </is>
      </c>
      <c r="C1457" s="16" t="inlineStr">
        <is>
          <t>CN0Q</t>
        </is>
      </c>
      <c r="D1457" s="16" t="inlineStr">
        <is>
          <t>EE 苏州比斯特购物村</t>
        </is>
      </c>
      <c r="E1457" s="16" t="n">
        <v>4</v>
      </c>
      <c r="F1457" s="16" t="inlineStr">
        <is>
          <t>奥特莱斯</t>
        </is>
      </c>
      <c r="G1457" s="16" t="inlineStr">
        <is>
          <t>EETJG23E1G</t>
        </is>
      </c>
      <c r="H1457" s="16" t="n">
        <v>899</v>
      </c>
      <c r="I1457" s="16" t="n">
        <v>899</v>
      </c>
      <c r="J1457" s="17" t="n">
        <v>46062</v>
      </c>
      <c r="K1457" s="16" t="inlineStr">
        <is>
          <t>(56)L/Indigo</t>
        </is>
      </c>
      <c r="L1457" s="16" t="inlineStr">
        <is>
          <t>营业中</t>
        </is>
      </c>
      <c r="M1457" s="16" t="inlineStr">
        <is>
          <t>EETJG23E1G56036</t>
        </is>
      </c>
      <c r="N1457" s="16">
        <f>LEFT(M1457,12)</f>
        <v/>
      </c>
      <c r="O1457" s="16" t="inlineStr">
        <is>
          <t>EETJG23E1G, (56)L/Indigo, 36(185/88A)</t>
        </is>
      </c>
      <c r="P1457" s="16" t="n">
        <v>899</v>
      </c>
      <c r="Q1457" s="16" t="n">
        <v>899</v>
      </c>
      <c r="R1457" s="16" t="n"/>
      <c r="S1457" s="16" t="n"/>
      <c r="T1457" s="16" t="n">
        <v>1</v>
      </c>
    </row>
    <row r="1458" s="103">
      <c r="A1458" s="16" t="inlineStr">
        <is>
          <t>B331</t>
        </is>
      </c>
      <c r="B1458" s="16" t="inlineStr">
        <is>
          <t>上海区域</t>
        </is>
      </c>
      <c r="C1458" s="16" t="inlineStr">
        <is>
          <t>CN0Q</t>
        </is>
      </c>
      <c r="D1458" s="16" t="inlineStr">
        <is>
          <t>EE 苏州比斯特购物村</t>
        </is>
      </c>
      <c r="E1458" s="16" t="n">
        <v>4</v>
      </c>
      <c r="F1458" s="16" t="inlineStr">
        <is>
          <t>奥特莱斯</t>
        </is>
      </c>
      <c r="G1458" s="16" t="inlineStr">
        <is>
          <t>EETJG23Q1G</t>
        </is>
      </c>
      <c r="H1458" s="16" t="n">
        <v>899</v>
      </c>
      <c r="I1458" s="16" t="n">
        <v>899</v>
      </c>
      <c r="J1458" s="17" t="inlineStr">
        <is>
          <t>########</t>
        </is>
      </c>
      <c r="K1458" s="16" t="inlineStr">
        <is>
          <t>(55)Indigo</t>
        </is>
      </c>
      <c r="L1458" s="16" t="inlineStr">
        <is>
          <t>营业中</t>
        </is>
      </c>
      <c r="M1458" s="16" t="inlineStr">
        <is>
          <t>EETJG23Q1G55030</t>
        </is>
      </c>
      <c r="N1458" s="16">
        <f>LEFT(M1458,12)</f>
        <v/>
      </c>
      <c r="O1458" s="16" t="inlineStr">
        <is>
          <t>EETJG23Q1G, (55)Indigo, 30(170/76A)</t>
        </is>
      </c>
      <c r="P1458" s="16" t="n">
        <v>899</v>
      </c>
      <c r="Q1458" s="16" t="n">
        <v>899</v>
      </c>
      <c r="R1458" s="16" t="n"/>
      <c r="S1458" s="16" t="n"/>
      <c r="T1458" s="16" t="n">
        <v>2</v>
      </c>
    </row>
    <row r="1459" s="103">
      <c r="A1459" s="16" t="inlineStr">
        <is>
          <t>B331</t>
        </is>
      </c>
      <c r="B1459" s="16" t="inlineStr">
        <is>
          <t>上海区域</t>
        </is>
      </c>
      <c r="C1459" s="16" t="inlineStr">
        <is>
          <t>CN0Q</t>
        </is>
      </c>
      <c r="D1459" s="16" t="inlineStr">
        <is>
          <t>EE 苏州比斯特购物村</t>
        </is>
      </c>
      <c r="E1459" s="16" t="n">
        <v>4</v>
      </c>
      <c r="F1459" s="16" t="inlineStr">
        <is>
          <t>奥特莱斯</t>
        </is>
      </c>
      <c r="G1459" s="16" t="inlineStr">
        <is>
          <t>EETJG23Q1G</t>
        </is>
      </c>
      <c r="H1459" s="16" t="n">
        <v>899</v>
      </c>
      <c r="I1459" s="16" t="n">
        <v>899</v>
      </c>
      <c r="J1459" s="17" t="inlineStr">
        <is>
          <t>########</t>
        </is>
      </c>
      <c r="K1459" s="16" t="inlineStr">
        <is>
          <t>(55)Indigo</t>
        </is>
      </c>
      <c r="L1459" s="16" t="inlineStr">
        <is>
          <t>营业中</t>
        </is>
      </c>
      <c r="M1459" s="16" t="inlineStr">
        <is>
          <t>EETJG23Q1G55032</t>
        </is>
      </c>
      <c r="N1459" s="16">
        <f>LEFT(M1459,12)</f>
        <v/>
      </c>
      <c r="O1459" s="16" t="inlineStr">
        <is>
          <t>EETJG23Q1G, (55)Indigo, 32(175/80A)</t>
        </is>
      </c>
      <c r="P1459" s="16" t="n">
        <v>899</v>
      </c>
      <c r="Q1459" s="16" t="n">
        <v>899</v>
      </c>
      <c r="R1459" s="16" t="n"/>
      <c r="S1459" s="16" t="n"/>
      <c r="T1459" s="16" t="n">
        <v>2</v>
      </c>
    </row>
    <row r="1460" s="103">
      <c r="A1460" s="16" t="inlineStr">
        <is>
          <t>B331</t>
        </is>
      </c>
      <c r="B1460" s="16" t="inlineStr">
        <is>
          <t>上海区域</t>
        </is>
      </c>
      <c r="C1460" s="16" t="inlineStr">
        <is>
          <t>CN0Q</t>
        </is>
      </c>
      <c r="D1460" s="16" t="inlineStr">
        <is>
          <t>EE 苏州比斯特购物村</t>
        </is>
      </c>
      <c r="E1460" s="16" t="n">
        <v>4</v>
      </c>
      <c r="F1460" s="16" t="inlineStr">
        <is>
          <t>奥特莱斯</t>
        </is>
      </c>
      <c r="G1460" s="16" t="inlineStr">
        <is>
          <t>EETJG23Q1G</t>
        </is>
      </c>
      <c r="H1460" s="16" t="n">
        <v>899</v>
      </c>
      <c r="I1460" s="16" t="n">
        <v>899</v>
      </c>
      <c r="J1460" s="17" t="inlineStr">
        <is>
          <t>########</t>
        </is>
      </c>
      <c r="K1460" s="16" t="inlineStr">
        <is>
          <t>(55)Indigo</t>
        </is>
      </c>
      <c r="L1460" s="16" t="inlineStr">
        <is>
          <t>营业中</t>
        </is>
      </c>
      <c r="M1460" s="16" t="inlineStr">
        <is>
          <t>EETJG23Q1G55034</t>
        </is>
      </c>
      <c r="N1460" s="16">
        <f>LEFT(M1460,12)</f>
        <v/>
      </c>
      <c r="O1460" s="16" t="inlineStr">
        <is>
          <t>EETJG23Q1G, (55)Indigo, 34(180/84A)</t>
        </is>
      </c>
      <c r="P1460" s="16" t="n">
        <v>899</v>
      </c>
      <c r="Q1460" s="16" t="n">
        <v>899</v>
      </c>
      <c r="R1460" s="16" t="n"/>
      <c r="S1460" s="16" t="n"/>
      <c r="T1460" s="16" t="n">
        <v>2</v>
      </c>
    </row>
    <row r="1461" s="103">
      <c r="A1461" s="16" t="inlineStr">
        <is>
          <t>B331</t>
        </is>
      </c>
      <c r="B1461" s="16" t="inlineStr">
        <is>
          <t>上海区域</t>
        </is>
      </c>
      <c r="C1461" s="16" t="inlineStr">
        <is>
          <t>CN0Q</t>
        </is>
      </c>
      <c r="D1461" s="16" t="inlineStr">
        <is>
          <t>EE 苏州比斯特购物村</t>
        </is>
      </c>
      <c r="E1461" s="16" t="n">
        <v>4</v>
      </c>
      <c r="F1461" s="16" t="inlineStr">
        <is>
          <t>奥特莱斯</t>
        </is>
      </c>
      <c r="G1461" s="16" t="inlineStr">
        <is>
          <t>EETJG23Q1G</t>
        </is>
      </c>
      <c r="H1461" s="16" t="n">
        <v>899</v>
      </c>
      <c r="I1461" s="16" t="n">
        <v>899</v>
      </c>
      <c r="J1461" s="17" t="inlineStr">
        <is>
          <t>########</t>
        </is>
      </c>
      <c r="K1461" s="16" t="inlineStr">
        <is>
          <t>(57)D/Indigo</t>
        </is>
      </c>
      <c r="L1461" s="16" t="inlineStr">
        <is>
          <t>营业中</t>
        </is>
      </c>
      <c r="M1461" s="16" t="inlineStr">
        <is>
          <t>EETJG23Q1G57030</t>
        </is>
      </c>
      <c r="N1461" s="16">
        <f>LEFT(M1461,12)</f>
        <v/>
      </c>
      <c r="O1461" s="16" t="inlineStr">
        <is>
          <t>EETJG23Q1G, (57)D/Indigo, 30(170/76A)</t>
        </is>
      </c>
      <c r="P1461" s="16" t="n">
        <v>899</v>
      </c>
      <c r="Q1461" s="16" t="n">
        <v>899</v>
      </c>
      <c r="R1461" s="16" t="n"/>
      <c r="S1461" s="16" t="n"/>
      <c r="T1461" s="16" t="n">
        <v>2</v>
      </c>
    </row>
    <row r="1462" s="103">
      <c r="A1462" s="16" t="inlineStr">
        <is>
          <t>B331</t>
        </is>
      </c>
      <c r="B1462" s="16" t="inlineStr">
        <is>
          <t>上海区域</t>
        </is>
      </c>
      <c r="C1462" s="16" t="inlineStr">
        <is>
          <t>CN0Q</t>
        </is>
      </c>
      <c r="D1462" s="16" t="inlineStr">
        <is>
          <t>EE 苏州比斯特购物村</t>
        </is>
      </c>
      <c r="E1462" s="16" t="n">
        <v>4</v>
      </c>
      <c r="F1462" s="16" t="inlineStr">
        <is>
          <t>奥特莱斯</t>
        </is>
      </c>
      <c r="G1462" s="16" t="inlineStr">
        <is>
          <t>EETJG23Q1G</t>
        </is>
      </c>
      <c r="H1462" s="16" t="n">
        <v>899</v>
      </c>
      <c r="I1462" s="16" t="n">
        <v>899</v>
      </c>
      <c r="J1462" s="17" t="inlineStr">
        <is>
          <t>########</t>
        </is>
      </c>
      <c r="K1462" s="16" t="inlineStr">
        <is>
          <t>(57)D/Indigo</t>
        </is>
      </c>
      <c r="L1462" s="16" t="inlineStr">
        <is>
          <t>营业中</t>
        </is>
      </c>
      <c r="M1462" s="16" t="inlineStr">
        <is>
          <t>EETJG23Q1G57032</t>
        </is>
      </c>
      <c r="N1462" s="16">
        <f>LEFT(M1462,12)</f>
        <v/>
      </c>
      <c r="O1462" s="16" t="inlineStr">
        <is>
          <t>EETJG23Q1G, (57)D/Indigo, 32(175/80A)</t>
        </is>
      </c>
      <c r="P1462" s="16" t="n">
        <v>899</v>
      </c>
      <c r="Q1462" s="16" t="n">
        <v>899</v>
      </c>
      <c r="R1462" s="16" t="n"/>
      <c r="S1462" s="16" t="n"/>
      <c r="T1462" s="16" t="n">
        <v>2</v>
      </c>
    </row>
    <row r="1463" s="103">
      <c r="A1463" s="16" t="inlineStr">
        <is>
          <t>B331</t>
        </is>
      </c>
      <c r="B1463" s="16" t="inlineStr">
        <is>
          <t>上海区域</t>
        </is>
      </c>
      <c r="C1463" s="16" t="inlineStr">
        <is>
          <t>CN0Q</t>
        </is>
      </c>
      <c r="D1463" s="16" t="inlineStr">
        <is>
          <t>EE 苏州比斯特购物村</t>
        </is>
      </c>
      <c r="E1463" s="16" t="n">
        <v>4</v>
      </c>
      <c r="F1463" s="16" t="inlineStr">
        <is>
          <t>奥特莱斯</t>
        </is>
      </c>
      <c r="G1463" s="16" t="inlineStr">
        <is>
          <t>EETJG23Q1G</t>
        </is>
      </c>
      <c r="H1463" s="16" t="n">
        <v>899</v>
      </c>
      <c r="I1463" s="16" t="n">
        <v>899</v>
      </c>
      <c r="J1463" s="17" t="inlineStr">
        <is>
          <t>########</t>
        </is>
      </c>
      <c r="K1463" s="16" t="inlineStr">
        <is>
          <t>(57)D/Indigo</t>
        </is>
      </c>
      <c r="L1463" s="16" t="inlineStr">
        <is>
          <t>营业中</t>
        </is>
      </c>
      <c r="M1463" s="16" t="inlineStr">
        <is>
          <t>EETJG23Q1G57034</t>
        </is>
      </c>
      <c r="N1463" s="16">
        <f>LEFT(M1463,12)</f>
        <v/>
      </c>
      <c r="O1463" s="16" t="inlineStr">
        <is>
          <t>EETJG23Q1G, (57)D/Indigo, 34(180/84A)</t>
        </is>
      </c>
      <c r="P1463" s="16" t="n">
        <v>899</v>
      </c>
      <c r="Q1463" s="16" t="n">
        <v>899</v>
      </c>
      <c r="R1463" s="16" t="n"/>
      <c r="S1463" s="16" t="n"/>
      <c r="T1463" s="16" t="n">
        <v>2</v>
      </c>
    </row>
    <row r="1464" s="103">
      <c r="A1464" s="16" t="inlineStr">
        <is>
          <t>B331</t>
        </is>
      </c>
      <c r="B1464" s="16" t="inlineStr">
        <is>
          <t>上海区域</t>
        </is>
      </c>
      <c r="C1464" s="16" t="inlineStr">
        <is>
          <t>CN0Q</t>
        </is>
      </c>
      <c r="D1464" s="16" t="inlineStr">
        <is>
          <t>EE 苏州比斯特购物村</t>
        </is>
      </c>
      <c r="E1464" s="16" t="n">
        <v>4</v>
      </c>
      <c r="F1464" s="16" t="inlineStr">
        <is>
          <t>奥特莱斯</t>
        </is>
      </c>
      <c r="G1464" s="16" t="inlineStr">
        <is>
          <t>EETJG24B57</t>
        </is>
      </c>
      <c r="H1464" s="16" t="n">
        <v>799</v>
      </c>
      <c r="I1464" s="16" t="n">
        <v>899</v>
      </c>
      <c r="J1464" s="17" t="inlineStr">
        <is>
          <t>########</t>
        </is>
      </c>
      <c r="K1464" s="16" t="inlineStr">
        <is>
          <t>(16)L/Grey</t>
        </is>
      </c>
      <c r="L1464" s="16" t="inlineStr">
        <is>
          <t>营业中</t>
        </is>
      </c>
      <c r="M1464" s="16" t="inlineStr">
        <is>
          <t>EETJG24B5716025</t>
        </is>
      </c>
      <c r="N1464" s="16">
        <f>LEFT(M1464,12)</f>
        <v/>
      </c>
      <c r="O1464" s="16" t="inlineStr">
        <is>
          <t>EETJG24B57, (16)L/Grey, 25(155/64A)</t>
        </is>
      </c>
      <c r="P1464" s="16" t="n">
        <v>799</v>
      </c>
      <c r="Q1464" s="16" t="n">
        <v>899</v>
      </c>
      <c r="R1464" s="16" t="n"/>
      <c r="S1464" s="16" t="n"/>
      <c r="T1464" s="16" t="n">
        <v>1</v>
      </c>
    </row>
    <row r="1465" s="103">
      <c r="A1465" s="16" t="inlineStr">
        <is>
          <t>B331</t>
        </is>
      </c>
      <c r="B1465" s="16" t="inlineStr">
        <is>
          <t>上海区域</t>
        </is>
      </c>
      <c r="C1465" s="16" t="inlineStr">
        <is>
          <t>CN0Q</t>
        </is>
      </c>
      <c r="D1465" s="16" t="inlineStr">
        <is>
          <t>EE 苏州比斯特购物村</t>
        </is>
      </c>
      <c r="E1465" s="16" t="n">
        <v>4</v>
      </c>
      <c r="F1465" s="16" t="inlineStr">
        <is>
          <t>奥特莱斯</t>
        </is>
      </c>
      <c r="G1465" s="16" t="inlineStr">
        <is>
          <t>EETJG24B57</t>
        </is>
      </c>
      <c r="H1465" s="16" t="n">
        <v>799</v>
      </c>
      <c r="I1465" s="16" t="n">
        <v>899</v>
      </c>
      <c r="J1465" s="17" t="inlineStr">
        <is>
          <t>########</t>
        </is>
      </c>
      <c r="K1465" s="16" t="inlineStr">
        <is>
          <t>(16)L/Grey</t>
        </is>
      </c>
      <c r="L1465" s="16" t="inlineStr">
        <is>
          <t>营业中</t>
        </is>
      </c>
      <c r="M1465" s="16" t="inlineStr">
        <is>
          <t>EETJG24B5716026</t>
        </is>
      </c>
      <c r="N1465" s="16">
        <f>LEFT(M1465,12)</f>
        <v/>
      </c>
      <c r="O1465" s="16" t="inlineStr">
        <is>
          <t>EETJG24B57, (16)L/Grey, 26(160/66A)</t>
        </is>
      </c>
      <c r="P1465" s="16" t="n">
        <v>799</v>
      </c>
      <c r="Q1465" s="16" t="n">
        <v>899</v>
      </c>
      <c r="R1465" s="16" t="n">
        <v>1</v>
      </c>
      <c r="S1465" s="16" t="n">
        <v>590</v>
      </c>
      <c r="T1465" s="16" t="n">
        <v>1</v>
      </c>
    </row>
    <row r="1466" s="103">
      <c r="A1466" s="16" t="inlineStr">
        <is>
          <t>B331</t>
        </is>
      </c>
      <c r="B1466" s="16" t="inlineStr">
        <is>
          <t>上海区域</t>
        </is>
      </c>
      <c r="C1466" s="16" t="inlineStr">
        <is>
          <t>CN0Q</t>
        </is>
      </c>
      <c r="D1466" s="16" t="inlineStr">
        <is>
          <t>EE 苏州比斯特购物村</t>
        </is>
      </c>
      <c r="E1466" s="16" t="n">
        <v>4</v>
      </c>
      <c r="F1466" s="16" t="inlineStr">
        <is>
          <t>奥特莱斯</t>
        </is>
      </c>
      <c r="G1466" s="16" t="inlineStr">
        <is>
          <t>EETJG24B57</t>
        </is>
      </c>
      <c r="H1466" s="16" t="n">
        <v>799</v>
      </c>
      <c r="I1466" s="16" t="n">
        <v>899</v>
      </c>
      <c r="J1466" s="17" t="inlineStr">
        <is>
          <t>########</t>
        </is>
      </c>
      <c r="K1466" s="16" t="inlineStr">
        <is>
          <t>(16)L/Grey</t>
        </is>
      </c>
      <c r="L1466" s="16" t="inlineStr">
        <is>
          <t>营业中</t>
        </is>
      </c>
      <c r="M1466" s="16" t="inlineStr">
        <is>
          <t>EETJG24B5716027</t>
        </is>
      </c>
      <c r="N1466" s="16">
        <f>LEFT(M1466,12)</f>
        <v/>
      </c>
      <c r="O1466" s="16" t="inlineStr">
        <is>
          <t>EETJG24B57, (16)L/Grey, 27(165/68A)</t>
        </is>
      </c>
      <c r="P1466" s="16" t="n">
        <v>799</v>
      </c>
      <c r="Q1466" s="16" t="n">
        <v>899</v>
      </c>
      <c r="R1466" s="16" t="n">
        <v>1</v>
      </c>
      <c r="S1466" s="16" t="n">
        <v>573</v>
      </c>
      <c r="T1466" s="16" t="n">
        <v>1</v>
      </c>
    </row>
    <row r="1467" s="103">
      <c r="A1467" s="16" t="inlineStr">
        <is>
          <t>B331</t>
        </is>
      </c>
      <c r="B1467" s="16" t="inlineStr">
        <is>
          <t>上海区域</t>
        </is>
      </c>
      <c r="C1467" s="16" t="inlineStr">
        <is>
          <t>CN0Q</t>
        </is>
      </c>
      <c r="D1467" s="16" t="inlineStr">
        <is>
          <t>EE 苏州比斯特购物村</t>
        </is>
      </c>
      <c r="E1467" s="16" t="n">
        <v>4</v>
      </c>
      <c r="F1467" s="16" t="inlineStr">
        <is>
          <t>奥特莱斯</t>
        </is>
      </c>
      <c r="G1467" s="16" t="inlineStr">
        <is>
          <t>EETJG24B57</t>
        </is>
      </c>
      <c r="H1467" s="16" t="n">
        <v>799</v>
      </c>
      <c r="I1467" s="16" t="n">
        <v>899</v>
      </c>
      <c r="J1467" s="17" t="inlineStr">
        <is>
          <t>########</t>
        </is>
      </c>
      <c r="K1467" s="16" t="inlineStr">
        <is>
          <t>(16)L/Grey</t>
        </is>
      </c>
      <c r="L1467" s="16" t="inlineStr">
        <is>
          <t>营业中</t>
        </is>
      </c>
      <c r="M1467" s="16" t="inlineStr">
        <is>
          <t>EETJG24B5716028</t>
        </is>
      </c>
      <c r="N1467" s="16">
        <f>LEFT(M1467,12)</f>
        <v/>
      </c>
      <c r="O1467" s="16" t="inlineStr">
        <is>
          <t>EETJG24B57, (16)L/Grey, 28(165/70A)</t>
        </is>
      </c>
      <c r="P1467" s="16" t="n">
        <v>799</v>
      </c>
      <c r="Q1467" s="16" t="n">
        <v>899</v>
      </c>
      <c r="R1467" s="16" t="n"/>
      <c r="S1467" s="16" t="n"/>
      <c r="T1467" s="16" t="n">
        <v>1</v>
      </c>
    </row>
    <row r="1468" s="103">
      <c r="A1468" s="16" t="inlineStr">
        <is>
          <t>B331</t>
        </is>
      </c>
      <c r="B1468" s="16" t="inlineStr">
        <is>
          <t>上海区域</t>
        </is>
      </c>
      <c r="C1468" s="16" t="inlineStr">
        <is>
          <t>CN0Q</t>
        </is>
      </c>
      <c r="D1468" s="16" t="inlineStr">
        <is>
          <t>EE 苏州比斯特购物村</t>
        </is>
      </c>
      <c r="E1468" s="16" t="n">
        <v>4</v>
      </c>
      <c r="F1468" s="16" t="inlineStr">
        <is>
          <t>奥特莱斯</t>
        </is>
      </c>
      <c r="G1468" s="16" t="inlineStr">
        <is>
          <t>EETJG24B57</t>
        </is>
      </c>
      <c r="H1468" s="16" t="n">
        <v>799</v>
      </c>
      <c r="I1468" s="16" t="n">
        <v>899</v>
      </c>
      <c r="J1468" s="17" t="inlineStr">
        <is>
          <t>########</t>
        </is>
      </c>
      <c r="K1468" s="16" t="inlineStr">
        <is>
          <t>(56)L/Indigo</t>
        </is>
      </c>
      <c r="L1468" s="16" t="inlineStr">
        <is>
          <t>营业中</t>
        </is>
      </c>
      <c r="M1468" s="16" t="inlineStr">
        <is>
          <t>EETJG24B5756025</t>
        </is>
      </c>
      <c r="N1468" s="16">
        <f>LEFT(M1468,12)</f>
        <v/>
      </c>
      <c r="O1468" s="16" t="inlineStr">
        <is>
          <t>EETJG24B57, (56)L/Indigo, 25(155/64A)</t>
        </is>
      </c>
      <c r="P1468" s="16" t="n">
        <v>799</v>
      </c>
      <c r="Q1468" s="16" t="n">
        <v>899</v>
      </c>
      <c r="R1468" s="16" t="n">
        <v>1</v>
      </c>
      <c r="S1468" s="16" t="n">
        <v>576</v>
      </c>
      <c r="T1468" s="16" t="n">
        <v>0</v>
      </c>
    </row>
    <row r="1469" s="103">
      <c r="A1469" s="16" t="inlineStr">
        <is>
          <t>B331</t>
        </is>
      </c>
      <c r="B1469" s="16" t="inlineStr">
        <is>
          <t>上海区域</t>
        </is>
      </c>
      <c r="C1469" s="16" t="inlineStr">
        <is>
          <t>CN0Q</t>
        </is>
      </c>
      <c r="D1469" s="16" t="inlineStr">
        <is>
          <t>EE 苏州比斯特购物村</t>
        </is>
      </c>
      <c r="E1469" s="16" t="n">
        <v>4</v>
      </c>
      <c r="F1469" s="16" t="inlineStr">
        <is>
          <t>奥特莱斯</t>
        </is>
      </c>
      <c r="G1469" s="16" t="inlineStr">
        <is>
          <t>EETJG24B57</t>
        </is>
      </c>
      <c r="H1469" s="16" t="n">
        <v>799</v>
      </c>
      <c r="I1469" s="16" t="n">
        <v>899</v>
      </c>
      <c r="J1469" s="17" t="inlineStr">
        <is>
          <t>########</t>
        </is>
      </c>
      <c r="K1469" s="16" t="inlineStr">
        <is>
          <t>(56)L/Indigo</t>
        </is>
      </c>
      <c r="L1469" s="16" t="inlineStr">
        <is>
          <t>营业中</t>
        </is>
      </c>
      <c r="M1469" s="16" t="inlineStr">
        <is>
          <t>EETJG24B5756026</t>
        </is>
      </c>
      <c r="N1469" s="16">
        <f>LEFT(M1469,12)</f>
        <v/>
      </c>
      <c r="O1469" s="16" t="inlineStr">
        <is>
          <t>EETJG24B57, (56)L/Indigo, 26(160/66A)</t>
        </is>
      </c>
      <c r="P1469" s="16" t="n">
        <v>799</v>
      </c>
      <c r="Q1469" s="16" t="n">
        <v>899</v>
      </c>
      <c r="R1469" s="16" t="n">
        <v>1</v>
      </c>
      <c r="S1469" s="16" t="n">
        <v>576</v>
      </c>
      <c r="T1469" s="16" t="n">
        <v>1</v>
      </c>
    </row>
    <row r="1470" s="103">
      <c r="A1470" s="16" t="inlineStr">
        <is>
          <t>B331</t>
        </is>
      </c>
      <c r="B1470" s="16" t="inlineStr">
        <is>
          <t>上海区域</t>
        </is>
      </c>
      <c r="C1470" s="16" t="inlineStr">
        <is>
          <t>CN0Q</t>
        </is>
      </c>
      <c r="D1470" s="16" t="inlineStr">
        <is>
          <t>EE 苏州比斯特购物村</t>
        </is>
      </c>
      <c r="E1470" s="16" t="n">
        <v>4</v>
      </c>
      <c r="F1470" s="16" t="inlineStr">
        <is>
          <t>奥特莱斯</t>
        </is>
      </c>
      <c r="G1470" s="16" t="inlineStr">
        <is>
          <t>EETJG24B57</t>
        </is>
      </c>
      <c r="H1470" s="16" t="n">
        <v>799</v>
      </c>
      <c r="I1470" s="16" t="n">
        <v>899</v>
      </c>
      <c r="J1470" s="17" t="inlineStr">
        <is>
          <t>########</t>
        </is>
      </c>
      <c r="K1470" s="16" t="inlineStr">
        <is>
          <t>(56)L/Indigo</t>
        </is>
      </c>
      <c r="L1470" s="16" t="inlineStr">
        <is>
          <t>营业中</t>
        </is>
      </c>
      <c r="M1470" s="16" t="inlineStr">
        <is>
          <t>EETJG24B5756027</t>
        </is>
      </c>
      <c r="N1470" s="16">
        <f>LEFT(M1470,12)</f>
        <v/>
      </c>
      <c r="O1470" s="16" t="inlineStr">
        <is>
          <t>EETJG24B57, (56)L/Indigo, 27(165/68A)</t>
        </is>
      </c>
      <c r="P1470" s="16" t="n">
        <v>799</v>
      </c>
      <c r="Q1470" s="16" t="n">
        <v>899</v>
      </c>
      <c r="R1470" s="16" t="n"/>
      <c r="S1470" s="16" t="n"/>
      <c r="T1470" s="16" t="n">
        <v>2</v>
      </c>
    </row>
    <row r="1471" s="103">
      <c r="A1471" s="16" t="inlineStr">
        <is>
          <t>B331</t>
        </is>
      </c>
      <c r="B1471" s="16" t="inlineStr">
        <is>
          <t>上海区域</t>
        </is>
      </c>
      <c r="C1471" s="16" t="inlineStr">
        <is>
          <t>CN0Q</t>
        </is>
      </c>
      <c r="D1471" s="16" t="inlineStr">
        <is>
          <t>EE 苏州比斯特购物村</t>
        </is>
      </c>
      <c r="E1471" s="16" t="n">
        <v>4</v>
      </c>
      <c r="F1471" s="16" t="inlineStr">
        <is>
          <t>奥特莱斯</t>
        </is>
      </c>
      <c r="G1471" s="16" t="inlineStr">
        <is>
          <t>EETJG24B57</t>
        </is>
      </c>
      <c r="H1471" s="16" t="n">
        <v>799</v>
      </c>
      <c r="I1471" s="16" t="n">
        <v>899</v>
      </c>
      <c r="J1471" s="17" t="inlineStr">
        <is>
          <t>########</t>
        </is>
      </c>
      <c r="K1471" s="16" t="inlineStr">
        <is>
          <t>(56)L/Indigo</t>
        </is>
      </c>
      <c r="L1471" s="16" t="inlineStr">
        <is>
          <t>营业中</t>
        </is>
      </c>
      <c r="M1471" s="16" t="inlineStr">
        <is>
          <t>EETJG24B5756028</t>
        </is>
      </c>
      <c r="N1471" s="16">
        <f>LEFT(M1471,12)</f>
        <v/>
      </c>
      <c r="O1471" s="16" t="inlineStr">
        <is>
          <t>EETJG24B57, (56)L/Indigo, 28(165/70A)</t>
        </is>
      </c>
      <c r="P1471" s="16" t="n">
        <v>799</v>
      </c>
      <c r="Q1471" s="16" t="n">
        <v>899</v>
      </c>
      <c r="R1471" s="16" t="n">
        <v>1</v>
      </c>
      <c r="S1471" s="16" t="n">
        <v>579</v>
      </c>
      <c r="T1471" s="16" t="n">
        <v>0</v>
      </c>
    </row>
    <row r="1472" s="103">
      <c r="A1472" s="16" t="inlineStr">
        <is>
          <t>B331</t>
        </is>
      </c>
      <c r="B1472" s="16" t="inlineStr">
        <is>
          <t>上海区域</t>
        </is>
      </c>
      <c r="C1472" s="16" t="inlineStr">
        <is>
          <t>CN0Q</t>
        </is>
      </c>
      <c r="D1472" s="16" t="inlineStr">
        <is>
          <t>EE 苏州比斯特购物村</t>
        </is>
      </c>
      <c r="E1472" s="16" t="n">
        <v>4</v>
      </c>
      <c r="F1472" s="16" t="inlineStr">
        <is>
          <t>奥特莱斯</t>
        </is>
      </c>
      <c r="G1472" s="16" t="inlineStr">
        <is>
          <t>EETJG24B58</t>
        </is>
      </c>
      <c r="H1472" s="16" t="n">
        <v>799</v>
      </c>
      <c r="I1472" s="16" t="n">
        <v>899</v>
      </c>
      <c r="J1472" s="17" t="inlineStr">
        <is>
          <t>########</t>
        </is>
      </c>
      <c r="K1472" s="16" t="inlineStr">
        <is>
          <t>(56)L/Indigo</t>
        </is>
      </c>
      <c r="L1472" s="16" t="inlineStr">
        <is>
          <t>营业中</t>
        </is>
      </c>
      <c r="M1472" s="16" t="inlineStr">
        <is>
          <t>EETJG24B5856025</t>
        </is>
      </c>
      <c r="N1472" s="16">
        <f>LEFT(M1472,12)</f>
        <v/>
      </c>
      <c r="O1472" s="16" t="inlineStr">
        <is>
          <t>EETJG24B58, (56)L/Indigo, 25(155/64A)</t>
        </is>
      </c>
      <c r="P1472" s="16" t="n">
        <v>799</v>
      </c>
      <c r="Q1472" s="16" t="n">
        <v>899</v>
      </c>
      <c r="R1472" s="16" t="n">
        <v>1</v>
      </c>
      <c r="S1472" s="16" t="n">
        <v>590</v>
      </c>
      <c r="T1472" s="16" t="n">
        <v>0</v>
      </c>
    </row>
    <row r="1473" s="103">
      <c r="A1473" s="16" t="inlineStr">
        <is>
          <t>B331</t>
        </is>
      </c>
      <c r="B1473" s="16" t="inlineStr">
        <is>
          <t>上海区域</t>
        </is>
      </c>
      <c r="C1473" s="16" t="inlineStr">
        <is>
          <t>CN0Q</t>
        </is>
      </c>
      <c r="D1473" s="16" t="inlineStr">
        <is>
          <t>EE 苏州比斯特购物村</t>
        </is>
      </c>
      <c r="E1473" s="16" t="n">
        <v>4</v>
      </c>
      <c r="F1473" s="16" t="inlineStr">
        <is>
          <t>奥特莱斯</t>
        </is>
      </c>
      <c r="G1473" s="16" t="inlineStr">
        <is>
          <t>EETJG24B58</t>
        </is>
      </c>
      <c r="H1473" s="16" t="n">
        <v>799</v>
      </c>
      <c r="I1473" s="16" t="n">
        <v>899</v>
      </c>
      <c r="J1473" s="17" t="inlineStr">
        <is>
          <t>########</t>
        </is>
      </c>
      <c r="K1473" s="16" t="inlineStr">
        <is>
          <t>(56)L/Indigo</t>
        </is>
      </c>
      <c r="L1473" s="16" t="inlineStr">
        <is>
          <t>营业中</t>
        </is>
      </c>
      <c r="M1473" s="16" t="inlineStr">
        <is>
          <t>EETJG24B5856026</t>
        </is>
      </c>
      <c r="N1473" s="16">
        <f>LEFT(M1473,12)</f>
        <v/>
      </c>
      <c r="O1473" s="16" t="inlineStr">
        <is>
          <t>EETJG24B58, (56)L/Indigo, 26(160/66A)</t>
        </is>
      </c>
      <c r="P1473" s="16" t="n">
        <v>799</v>
      </c>
      <c r="Q1473" s="16" t="n">
        <v>899</v>
      </c>
      <c r="R1473" s="16" t="n">
        <v>1</v>
      </c>
      <c r="S1473" s="16" t="n">
        <v>629</v>
      </c>
      <c r="T1473" s="16" t="n">
        <v>1</v>
      </c>
    </row>
    <row r="1474" s="103">
      <c r="A1474" s="16" t="inlineStr">
        <is>
          <t>B331</t>
        </is>
      </c>
      <c r="B1474" s="16" t="inlineStr">
        <is>
          <t>上海区域</t>
        </is>
      </c>
      <c r="C1474" s="16" t="inlineStr">
        <is>
          <t>CN0Q</t>
        </is>
      </c>
      <c r="D1474" s="16" t="inlineStr">
        <is>
          <t>EE 苏州比斯特购物村</t>
        </is>
      </c>
      <c r="E1474" s="16" t="n">
        <v>4</v>
      </c>
      <c r="F1474" s="16" t="inlineStr">
        <is>
          <t>奥特莱斯</t>
        </is>
      </c>
      <c r="G1474" s="16" t="inlineStr">
        <is>
          <t>EETJG24B58</t>
        </is>
      </c>
      <c r="H1474" s="16" t="n">
        <v>799</v>
      </c>
      <c r="I1474" s="16" t="n">
        <v>899</v>
      </c>
      <c r="J1474" s="17" t="inlineStr">
        <is>
          <t>########</t>
        </is>
      </c>
      <c r="K1474" s="16" t="inlineStr">
        <is>
          <t>(56)L/Indigo</t>
        </is>
      </c>
      <c r="L1474" s="16" t="inlineStr">
        <is>
          <t>营业中</t>
        </is>
      </c>
      <c r="M1474" s="16" t="inlineStr">
        <is>
          <t>EETJG24B5856027</t>
        </is>
      </c>
      <c r="N1474" s="16">
        <f>LEFT(M1474,12)</f>
        <v/>
      </c>
      <c r="O1474" s="16" t="inlineStr">
        <is>
          <t>EETJG24B58, (56)L/Indigo, 27(165/68A)</t>
        </is>
      </c>
      <c r="P1474" s="16" t="n">
        <v>799</v>
      </c>
      <c r="Q1474" s="16" t="n">
        <v>899</v>
      </c>
      <c r="R1474" s="16" t="n">
        <v>1</v>
      </c>
      <c r="S1474" s="16" t="n">
        <v>629</v>
      </c>
      <c r="T1474" s="16" t="n">
        <v>0</v>
      </c>
    </row>
    <row r="1475" s="103">
      <c r="A1475" s="16" t="inlineStr">
        <is>
          <t>B331</t>
        </is>
      </c>
      <c r="B1475" s="16" t="inlineStr">
        <is>
          <t>上海区域</t>
        </is>
      </c>
      <c r="C1475" s="16" t="inlineStr">
        <is>
          <t>CN0Q</t>
        </is>
      </c>
      <c r="D1475" s="16" t="inlineStr">
        <is>
          <t>EE 苏州比斯特购物村</t>
        </is>
      </c>
      <c r="E1475" s="16" t="n">
        <v>4</v>
      </c>
      <c r="F1475" s="16" t="inlineStr">
        <is>
          <t>奥特莱斯</t>
        </is>
      </c>
      <c r="G1475" s="16" t="inlineStr">
        <is>
          <t>EETJG24B58</t>
        </is>
      </c>
      <c r="H1475" s="16" t="n">
        <v>799</v>
      </c>
      <c r="I1475" s="16" t="n">
        <v>899</v>
      </c>
      <c r="J1475" s="17" t="inlineStr">
        <is>
          <t>########</t>
        </is>
      </c>
      <c r="K1475" s="16" t="inlineStr">
        <is>
          <t>(56)L/Indigo</t>
        </is>
      </c>
      <c r="L1475" s="16" t="inlineStr">
        <is>
          <t>营业中</t>
        </is>
      </c>
      <c r="M1475" s="16" t="inlineStr">
        <is>
          <t>EETJG24B5856028</t>
        </is>
      </c>
      <c r="N1475" s="16">
        <f>LEFT(M1475,12)</f>
        <v/>
      </c>
      <c r="O1475" s="16" t="inlineStr">
        <is>
          <t>EETJG24B58, (56)L/Indigo, 28(165/70A)</t>
        </is>
      </c>
      <c r="P1475" s="16" t="n">
        <v>799</v>
      </c>
      <c r="Q1475" s="16" t="n">
        <v>899</v>
      </c>
      <c r="R1475" s="16" t="n"/>
      <c r="S1475" s="16" t="n"/>
      <c r="T1475" s="16" t="n">
        <v>1</v>
      </c>
    </row>
    <row r="1476" s="103">
      <c r="A1476" s="16" t="inlineStr">
        <is>
          <t>B331</t>
        </is>
      </c>
      <c r="B1476" s="16" t="inlineStr">
        <is>
          <t>上海区域</t>
        </is>
      </c>
      <c r="C1476" s="16" t="inlineStr">
        <is>
          <t>CN0Q</t>
        </is>
      </c>
      <c r="D1476" s="16" t="inlineStr">
        <is>
          <t>EE 苏州比斯特购物村</t>
        </is>
      </c>
      <c r="E1476" s="16" t="n">
        <v>4</v>
      </c>
      <c r="F1476" s="16" t="inlineStr">
        <is>
          <t>奥特莱斯</t>
        </is>
      </c>
      <c r="G1476" s="16" t="inlineStr">
        <is>
          <t>EETJG24E01</t>
        </is>
      </c>
      <c r="H1476" s="16" t="n">
        <v>799</v>
      </c>
      <c r="I1476" s="16" t="n">
        <v>799</v>
      </c>
      <c r="J1476" s="17" t="inlineStr">
        <is>
          <t>########</t>
        </is>
      </c>
      <c r="K1476" s="16" t="inlineStr">
        <is>
          <t>(39)Ivory</t>
        </is>
      </c>
      <c r="L1476" s="16" t="inlineStr">
        <is>
          <t>营业中</t>
        </is>
      </c>
      <c r="M1476" s="16" t="inlineStr">
        <is>
          <t>EETJG24E0139025</t>
        </is>
      </c>
      <c r="N1476" s="16">
        <f>LEFT(M1476,12)</f>
        <v/>
      </c>
      <c r="O1476" s="16" t="inlineStr">
        <is>
          <t>EETJG24E01, (39)Ivory, 25(155/64A)</t>
        </is>
      </c>
      <c r="P1476" s="16" t="n">
        <v>799</v>
      </c>
      <c r="Q1476" s="16" t="n">
        <v>799</v>
      </c>
      <c r="R1476" s="16" t="n">
        <v>11</v>
      </c>
      <c r="S1476" s="18" t="n">
        <v>3926</v>
      </c>
      <c r="T1476" s="16" t="n">
        <v>1</v>
      </c>
    </row>
    <row r="1477" s="103">
      <c r="A1477" s="16" t="inlineStr">
        <is>
          <t>B331</t>
        </is>
      </c>
      <c r="B1477" s="16" t="inlineStr">
        <is>
          <t>上海区域</t>
        </is>
      </c>
      <c r="C1477" s="16" t="inlineStr">
        <is>
          <t>CN0Q</t>
        </is>
      </c>
      <c r="D1477" s="16" t="inlineStr">
        <is>
          <t>EE 苏州比斯特购物村</t>
        </is>
      </c>
      <c r="E1477" s="16" t="n">
        <v>4</v>
      </c>
      <c r="F1477" s="16" t="inlineStr">
        <is>
          <t>奥特莱斯</t>
        </is>
      </c>
      <c r="G1477" s="16" t="inlineStr">
        <is>
          <t>EETJG24E01</t>
        </is>
      </c>
      <c r="H1477" s="16" t="n">
        <v>799</v>
      </c>
      <c r="I1477" s="16" t="n">
        <v>799</v>
      </c>
      <c r="J1477" s="17" t="inlineStr">
        <is>
          <t>########</t>
        </is>
      </c>
      <c r="K1477" s="16" t="inlineStr">
        <is>
          <t>(39)Ivory</t>
        </is>
      </c>
      <c r="L1477" s="16" t="inlineStr">
        <is>
          <t>营业中</t>
        </is>
      </c>
      <c r="M1477" s="16" t="inlineStr">
        <is>
          <t>EETJG24E0139026</t>
        </is>
      </c>
      <c r="N1477" s="16">
        <f>LEFT(M1477,12)</f>
        <v/>
      </c>
      <c r="O1477" s="16" t="inlineStr">
        <is>
          <t>EETJG24E01, (39)Ivory, 26(160/66A)</t>
        </is>
      </c>
      <c r="P1477" s="16" t="n">
        <v>799</v>
      </c>
      <c r="Q1477" s="16" t="n">
        <v>799</v>
      </c>
      <c r="R1477" s="16" t="n">
        <v>16</v>
      </c>
      <c r="S1477" s="18" t="n">
        <v>4937</v>
      </c>
      <c r="T1477" s="16" t="n">
        <v>3</v>
      </c>
    </row>
    <row r="1478" s="103">
      <c r="A1478" s="16" t="inlineStr">
        <is>
          <t>B331</t>
        </is>
      </c>
      <c r="B1478" s="16" t="inlineStr">
        <is>
          <t>上海区域</t>
        </is>
      </c>
      <c r="C1478" s="16" t="inlineStr">
        <is>
          <t>CN0Q</t>
        </is>
      </c>
      <c r="D1478" s="16" t="inlineStr">
        <is>
          <t>EE 苏州比斯特购物村</t>
        </is>
      </c>
      <c r="E1478" s="16" t="n">
        <v>4</v>
      </c>
      <c r="F1478" s="16" t="inlineStr">
        <is>
          <t>奥特莱斯</t>
        </is>
      </c>
      <c r="G1478" s="16" t="inlineStr">
        <is>
          <t>EETJG24E01</t>
        </is>
      </c>
      <c r="H1478" s="16" t="n">
        <v>799</v>
      </c>
      <c r="I1478" s="16" t="n">
        <v>799</v>
      </c>
      <c r="J1478" s="17" t="inlineStr">
        <is>
          <t>########</t>
        </is>
      </c>
      <c r="K1478" s="16" t="inlineStr">
        <is>
          <t>(39)Ivory</t>
        </is>
      </c>
      <c r="L1478" s="16" t="inlineStr">
        <is>
          <t>营业中</t>
        </is>
      </c>
      <c r="M1478" s="16" t="inlineStr">
        <is>
          <t>EETJG24E0139027</t>
        </is>
      </c>
      <c r="N1478" s="16">
        <f>LEFT(M1478,12)</f>
        <v/>
      </c>
      <c r="O1478" s="16" t="inlineStr">
        <is>
          <t>EETJG24E01, (39)Ivory, 27(165/68A)</t>
        </is>
      </c>
      <c r="P1478" s="16" t="n">
        <v>799</v>
      </c>
      <c r="Q1478" s="16" t="n">
        <v>799</v>
      </c>
      <c r="R1478" s="16" t="n">
        <v>21</v>
      </c>
      <c r="S1478" s="18" t="n">
        <v>5191</v>
      </c>
      <c r="T1478" s="16" t="n">
        <v>10</v>
      </c>
    </row>
    <row r="1479" s="103">
      <c r="A1479" s="16" t="inlineStr">
        <is>
          <t>B331</t>
        </is>
      </c>
      <c r="B1479" s="16" t="inlineStr">
        <is>
          <t>上海区域</t>
        </is>
      </c>
      <c r="C1479" s="16" t="inlineStr">
        <is>
          <t>CN0Q</t>
        </is>
      </c>
      <c r="D1479" s="16" t="inlineStr">
        <is>
          <t>EE 苏州比斯特购物村</t>
        </is>
      </c>
      <c r="E1479" s="16" t="n">
        <v>4</v>
      </c>
      <c r="F1479" s="16" t="inlineStr">
        <is>
          <t>奥特莱斯</t>
        </is>
      </c>
      <c r="G1479" s="16" t="inlineStr">
        <is>
          <t>EETJG24E01</t>
        </is>
      </c>
      <c r="H1479" s="16" t="n">
        <v>799</v>
      </c>
      <c r="I1479" s="16" t="n">
        <v>799</v>
      </c>
      <c r="J1479" s="17" t="inlineStr">
        <is>
          <t>########</t>
        </is>
      </c>
      <c r="K1479" s="16" t="inlineStr">
        <is>
          <t>(39)Ivory</t>
        </is>
      </c>
      <c r="L1479" s="16" t="inlineStr">
        <is>
          <t>营业中</t>
        </is>
      </c>
      <c r="M1479" s="16" t="inlineStr">
        <is>
          <t>EETJG24E0139028</t>
        </is>
      </c>
      <c r="N1479" s="16">
        <f>LEFT(M1479,12)</f>
        <v/>
      </c>
      <c r="O1479" s="16" t="inlineStr">
        <is>
          <t>EETJG24E01, (39)Ivory, 28(165/70A)</t>
        </is>
      </c>
      <c r="P1479" s="16" t="n">
        <v>799</v>
      </c>
      <c r="Q1479" s="16" t="n">
        <v>799</v>
      </c>
      <c r="R1479" s="16" t="n">
        <v>9</v>
      </c>
      <c r="S1479" s="18" t="n">
        <v>2035</v>
      </c>
      <c r="T1479" s="16" t="n">
        <v>9</v>
      </c>
    </row>
    <row r="1480" s="103">
      <c r="A1480" s="16" t="inlineStr">
        <is>
          <t>B331</t>
        </is>
      </c>
      <c r="B1480" s="16" t="inlineStr">
        <is>
          <t>上海区域</t>
        </is>
      </c>
      <c r="C1480" s="16" t="inlineStr">
        <is>
          <t>CN0Q</t>
        </is>
      </c>
      <c r="D1480" s="16" t="inlineStr">
        <is>
          <t>EE 苏州比斯特购物村</t>
        </is>
      </c>
      <c r="E1480" s="16" t="n">
        <v>4</v>
      </c>
      <c r="F1480" s="16" t="inlineStr">
        <is>
          <t>奥特莱斯</t>
        </is>
      </c>
      <c r="G1480" s="16" t="inlineStr">
        <is>
          <t>EETJG24E01</t>
        </is>
      </c>
      <c r="H1480" s="16" t="n">
        <v>799</v>
      </c>
      <c r="I1480" s="16" t="n">
        <v>799</v>
      </c>
      <c r="J1480" s="17" t="inlineStr">
        <is>
          <t>########</t>
        </is>
      </c>
      <c r="K1480" s="16" t="inlineStr">
        <is>
          <t>(39)Ivory</t>
        </is>
      </c>
      <c r="L1480" s="16" t="inlineStr">
        <is>
          <t>营业中</t>
        </is>
      </c>
      <c r="M1480" s="16" t="inlineStr">
        <is>
          <t>EETJG24E0139029</t>
        </is>
      </c>
      <c r="N1480" s="16">
        <f>LEFT(M1480,12)</f>
        <v/>
      </c>
      <c r="O1480" s="16" t="inlineStr">
        <is>
          <t>EETJG24E01, (39)Ivory, 29(170/72A)</t>
        </is>
      </c>
      <c r="P1480" s="16" t="n">
        <v>799</v>
      </c>
      <c r="Q1480" s="16" t="n">
        <v>799</v>
      </c>
      <c r="R1480" s="16" t="n">
        <v>6</v>
      </c>
      <c r="S1480" s="18" t="n">
        <v>1815</v>
      </c>
      <c r="T1480" s="16" t="n">
        <v>3</v>
      </c>
    </row>
    <row r="1481" s="103">
      <c r="A1481" s="16" t="inlineStr">
        <is>
          <t>B331</t>
        </is>
      </c>
      <c r="B1481" s="16" t="inlineStr">
        <is>
          <t>上海区域</t>
        </is>
      </c>
      <c r="C1481" s="16" t="inlineStr">
        <is>
          <t>CN0Q</t>
        </is>
      </c>
      <c r="D1481" s="16" t="inlineStr">
        <is>
          <t>EE 苏州比斯特购物村</t>
        </is>
      </c>
      <c r="E1481" s="16" t="n">
        <v>4</v>
      </c>
      <c r="F1481" s="16" t="inlineStr">
        <is>
          <t>奥特莱斯</t>
        </is>
      </c>
      <c r="G1481" s="16" t="inlineStr">
        <is>
          <t>EETJG24E01</t>
        </is>
      </c>
      <c r="H1481" s="16" t="n">
        <v>799</v>
      </c>
      <c r="I1481" s="16" t="n">
        <v>799</v>
      </c>
      <c r="J1481" s="17" t="inlineStr">
        <is>
          <t>########</t>
        </is>
      </c>
      <c r="K1481" s="16" t="inlineStr">
        <is>
          <t>(39)Ivory</t>
        </is>
      </c>
      <c r="L1481" s="16" t="inlineStr">
        <is>
          <t>营业中</t>
        </is>
      </c>
      <c r="M1481" s="16" t="inlineStr">
        <is>
          <t>EETJG24E0139030</t>
        </is>
      </c>
      <c r="N1481" s="16">
        <f>LEFT(M1481,12)</f>
        <v/>
      </c>
      <c r="O1481" s="16" t="inlineStr">
        <is>
          <t>EETJG24E01, (39)Ivory, 30(175/74A)</t>
        </is>
      </c>
      <c r="P1481" s="16" t="n">
        <v>799</v>
      </c>
      <c r="Q1481" s="16" t="n">
        <v>799</v>
      </c>
      <c r="R1481" s="16" t="n">
        <v>2</v>
      </c>
      <c r="S1481" s="18" t="n">
        <v>1013</v>
      </c>
      <c r="T1481" s="16" t="n">
        <v>1</v>
      </c>
    </row>
    <row r="1482" s="103">
      <c r="A1482" s="16" t="inlineStr">
        <is>
          <t>B331</t>
        </is>
      </c>
      <c r="B1482" s="16" t="inlineStr">
        <is>
          <t>上海区域</t>
        </is>
      </c>
      <c r="C1482" s="16" t="inlineStr">
        <is>
          <t>CN0Q</t>
        </is>
      </c>
      <c r="D1482" s="16" t="inlineStr">
        <is>
          <t>EE 苏州比斯特购物村</t>
        </is>
      </c>
      <c r="E1482" s="16" t="n">
        <v>4</v>
      </c>
      <c r="F1482" s="16" t="inlineStr">
        <is>
          <t>奥特莱斯</t>
        </is>
      </c>
      <c r="G1482" s="16" t="inlineStr">
        <is>
          <t>EETJG24E01</t>
        </is>
      </c>
      <c r="H1482" s="16" t="n">
        <v>799</v>
      </c>
      <c r="I1482" s="16" t="n">
        <v>799</v>
      </c>
      <c r="J1482" s="17" t="inlineStr">
        <is>
          <t>########</t>
        </is>
      </c>
      <c r="K1482" s="16" t="inlineStr">
        <is>
          <t>(55)Indigo</t>
        </is>
      </c>
      <c r="L1482" s="16" t="inlineStr">
        <is>
          <t>营业中</t>
        </is>
      </c>
      <c r="M1482" s="16" t="inlineStr">
        <is>
          <t>EETJG24E0155025</t>
        </is>
      </c>
      <c r="N1482" s="16">
        <f>LEFT(M1482,12)</f>
        <v/>
      </c>
      <c r="O1482" s="16" t="inlineStr">
        <is>
          <t>EETJG24E01, (55)Indigo, 25(155/64A)</t>
        </is>
      </c>
      <c r="P1482" s="16" t="n">
        <v>799</v>
      </c>
      <c r="Q1482" s="16" t="n">
        <v>799</v>
      </c>
      <c r="R1482" s="16" t="n"/>
      <c r="S1482" s="16" t="n"/>
      <c r="T1482" s="16" t="n">
        <v>1</v>
      </c>
    </row>
    <row r="1483" s="103">
      <c r="A1483" s="16" t="inlineStr">
        <is>
          <t>B331</t>
        </is>
      </c>
      <c r="B1483" s="16" t="inlineStr">
        <is>
          <t>上海区域</t>
        </is>
      </c>
      <c r="C1483" s="16" t="inlineStr">
        <is>
          <t>CN0Q</t>
        </is>
      </c>
      <c r="D1483" s="16" t="inlineStr">
        <is>
          <t>EE 苏州比斯特购物村</t>
        </is>
      </c>
      <c r="E1483" s="16" t="n">
        <v>4</v>
      </c>
      <c r="F1483" s="16" t="inlineStr">
        <is>
          <t>奥特莱斯</t>
        </is>
      </c>
      <c r="G1483" s="16" t="inlineStr">
        <is>
          <t>EETJG24E01</t>
        </is>
      </c>
      <c r="H1483" s="16" t="n">
        <v>799</v>
      </c>
      <c r="I1483" s="16" t="n">
        <v>799</v>
      </c>
      <c r="J1483" s="17" t="inlineStr">
        <is>
          <t>########</t>
        </is>
      </c>
      <c r="K1483" s="16" t="inlineStr">
        <is>
          <t>(55)Indigo</t>
        </is>
      </c>
      <c r="L1483" s="16" t="inlineStr">
        <is>
          <t>营业中</t>
        </is>
      </c>
      <c r="M1483" s="16" t="inlineStr">
        <is>
          <t>EETJG24E0155026</t>
        </is>
      </c>
      <c r="N1483" s="16">
        <f>LEFT(M1483,12)</f>
        <v/>
      </c>
      <c r="O1483" s="16" t="inlineStr">
        <is>
          <t>EETJG24E01, (55)Indigo, 26(160/66A)</t>
        </is>
      </c>
      <c r="P1483" s="16" t="n">
        <v>799</v>
      </c>
      <c r="Q1483" s="16" t="n">
        <v>799</v>
      </c>
      <c r="R1483" s="16" t="n">
        <v>1</v>
      </c>
      <c r="S1483" s="16" t="n">
        <v>234</v>
      </c>
      <c r="T1483" s="16" t="n">
        <v>2</v>
      </c>
    </row>
    <row r="1484" s="103">
      <c r="A1484" s="16" t="inlineStr">
        <is>
          <t>B331</t>
        </is>
      </c>
      <c r="B1484" s="16" t="inlineStr">
        <is>
          <t>上海区域</t>
        </is>
      </c>
      <c r="C1484" s="16" t="inlineStr">
        <is>
          <t>CN0Q</t>
        </is>
      </c>
      <c r="D1484" s="16" t="inlineStr">
        <is>
          <t>EE 苏州比斯特购物村</t>
        </is>
      </c>
      <c r="E1484" s="16" t="n">
        <v>4</v>
      </c>
      <c r="F1484" s="16" t="inlineStr">
        <is>
          <t>奥特莱斯</t>
        </is>
      </c>
      <c r="G1484" s="16" t="inlineStr">
        <is>
          <t>EETJG24E01</t>
        </is>
      </c>
      <c r="H1484" s="16" t="n">
        <v>799</v>
      </c>
      <c r="I1484" s="16" t="n">
        <v>799</v>
      </c>
      <c r="J1484" s="17" t="inlineStr">
        <is>
          <t>########</t>
        </is>
      </c>
      <c r="K1484" s="16" t="inlineStr">
        <is>
          <t>(55)Indigo</t>
        </is>
      </c>
      <c r="L1484" s="16" t="inlineStr">
        <is>
          <t>营业中</t>
        </is>
      </c>
      <c r="M1484" s="16" t="inlineStr">
        <is>
          <t>EETJG24E0155027</t>
        </is>
      </c>
      <c r="N1484" s="16">
        <f>LEFT(M1484,12)</f>
        <v/>
      </c>
      <c r="O1484" s="16" t="inlineStr">
        <is>
          <t>EETJG24E01, (55)Indigo, 27(165/68A)</t>
        </is>
      </c>
      <c r="P1484" s="16" t="n">
        <v>799</v>
      </c>
      <c r="Q1484" s="16" t="n">
        <v>799</v>
      </c>
      <c r="R1484" s="16" t="n">
        <v>1</v>
      </c>
      <c r="S1484" s="16" t="n">
        <v>-240</v>
      </c>
      <c r="T1484" s="16" t="n">
        <v>2</v>
      </c>
    </row>
    <row r="1485" s="103">
      <c r="A1485" s="16" t="inlineStr">
        <is>
          <t>B331</t>
        </is>
      </c>
      <c r="B1485" s="16" t="inlineStr">
        <is>
          <t>上海区域</t>
        </is>
      </c>
      <c r="C1485" s="16" t="inlineStr">
        <is>
          <t>CN0Q</t>
        </is>
      </c>
      <c r="D1485" s="16" t="inlineStr">
        <is>
          <t>EE 苏州比斯特购物村</t>
        </is>
      </c>
      <c r="E1485" s="16" t="n">
        <v>4</v>
      </c>
      <c r="F1485" s="16" t="inlineStr">
        <is>
          <t>奥特莱斯</t>
        </is>
      </c>
      <c r="G1485" s="16" t="inlineStr">
        <is>
          <t>EETJG24E01</t>
        </is>
      </c>
      <c r="H1485" s="16" t="n">
        <v>799</v>
      </c>
      <c r="I1485" s="16" t="n">
        <v>799</v>
      </c>
      <c r="J1485" s="17" t="inlineStr">
        <is>
          <t>########</t>
        </is>
      </c>
      <c r="K1485" s="16" t="inlineStr">
        <is>
          <t>(55)Indigo</t>
        </is>
      </c>
      <c r="L1485" s="16" t="inlineStr">
        <is>
          <t>营业中</t>
        </is>
      </c>
      <c r="M1485" s="16" t="inlineStr">
        <is>
          <t>EETJG24E0155028</t>
        </is>
      </c>
      <c r="N1485" s="16">
        <f>LEFT(M1485,12)</f>
        <v/>
      </c>
      <c r="O1485" s="16" t="inlineStr">
        <is>
          <t>EETJG24E01, (55)Indigo, 28(165/70A)</t>
        </is>
      </c>
      <c r="P1485" s="16" t="n">
        <v>799</v>
      </c>
      <c r="Q1485" s="16" t="n">
        <v>799</v>
      </c>
      <c r="R1485" s="16" t="n"/>
      <c r="S1485" s="16" t="n"/>
      <c r="T1485" s="16" t="n">
        <v>2</v>
      </c>
    </row>
    <row r="1486" s="103">
      <c r="A1486" s="16" t="inlineStr">
        <is>
          <t>B331</t>
        </is>
      </c>
      <c r="B1486" s="16" t="inlineStr">
        <is>
          <t>上海区域</t>
        </is>
      </c>
      <c r="C1486" s="16" t="inlineStr">
        <is>
          <t>CN0Q</t>
        </is>
      </c>
      <c r="D1486" s="16" t="inlineStr">
        <is>
          <t>EE 苏州比斯特购物村</t>
        </is>
      </c>
      <c r="E1486" s="16" t="n">
        <v>4</v>
      </c>
      <c r="F1486" s="16" t="inlineStr">
        <is>
          <t>奥特莱斯</t>
        </is>
      </c>
      <c r="G1486" s="16" t="inlineStr">
        <is>
          <t>EETJG24E01</t>
        </is>
      </c>
      <c r="H1486" s="16" t="n">
        <v>799</v>
      </c>
      <c r="I1486" s="16" t="n">
        <v>799</v>
      </c>
      <c r="J1486" s="17" t="inlineStr">
        <is>
          <t>########</t>
        </is>
      </c>
      <c r="K1486" s="16" t="inlineStr">
        <is>
          <t>(55)Indigo</t>
        </is>
      </c>
      <c r="L1486" s="16" t="inlineStr">
        <is>
          <t>营业中</t>
        </is>
      </c>
      <c r="M1486" s="16" t="inlineStr">
        <is>
          <t>EETJG24E0155029</t>
        </is>
      </c>
      <c r="N1486" s="16">
        <f>LEFT(M1486,12)</f>
        <v/>
      </c>
      <c r="O1486" s="16" t="inlineStr">
        <is>
          <t>EETJG24E01, (55)Indigo, 29(170/72A)</t>
        </is>
      </c>
      <c r="P1486" s="16" t="n">
        <v>799</v>
      </c>
      <c r="Q1486" s="16" t="n">
        <v>799</v>
      </c>
      <c r="R1486" s="16" t="n">
        <v>2</v>
      </c>
      <c r="S1486" s="16" t="n">
        <v>526</v>
      </c>
      <c r="T1486" s="16" t="n">
        <v>1</v>
      </c>
    </row>
    <row r="1487" s="103">
      <c r="A1487" s="16" t="inlineStr">
        <is>
          <t>B331</t>
        </is>
      </c>
      <c r="B1487" s="16" t="inlineStr">
        <is>
          <t>上海区域</t>
        </is>
      </c>
      <c r="C1487" s="16" t="inlineStr">
        <is>
          <t>CN0Q</t>
        </is>
      </c>
      <c r="D1487" s="16" t="inlineStr">
        <is>
          <t>EE 苏州比斯特购物村</t>
        </is>
      </c>
      <c r="E1487" s="16" t="n">
        <v>4</v>
      </c>
      <c r="F1487" s="16" t="inlineStr">
        <is>
          <t>奥特莱斯</t>
        </is>
      </c>
      <c r="G1487" s="16" t="inlineStr">
        <is>
          <t>EETJG24E01</t>
        </is>
      </c>
      <c r="H1487" s="16" t="n">
        <v>799</v>
      </c>
      <c r="I1487" s="16" t="n">
        <v>799</v>
      </c>
      <c r="J1487" s="17" t="inlineStr">
        <is>
          <t>########</t>
        </is>
      </c>
      <c r="K1487" s="16" t="inlineStr">
        <is>
          <t>(55)Indigo</t>
        </is>
      </c>
      <c r="L1487" s="16" t="inlineStr">
        <is>
          <t>营业中</t>
        </is>
      </c>
      <c r="M1487" s="16" t="inlineStr">
        <is>
          <t>EETJG24E0155030</t>
        </is>
      </c>
      <c r="N1487" s="16">
        <f>LEFT(M1487,12)</f>
        <v/>
      </c>
      <c r="O1487" s="16" t="inlineStr">
        <is>
          <t>EETJG24E01, (55)Indigo, 30(175/74A)</t>
        </is>
      </c>
      <c r="P1487" s="16" t="n">
        <v>799</v>
      </c>
      <c r="Q1487" s="16" t="n">
        <v>799</v>
      </c>
      <c r="R1487" s="16" t="n"/>
      <c r="S1487" s="16" t="n"/>
      <c r="T1487" s="16" t="n">
        <v>2</v>
      </c>
    </row>
    <row r="1488" s="103">
      <c r="A1488" s="16" t="inlineStr">
        <is>
          <t>B331</t>
        </is>
      </c>
      <c r="B1488" s="16" t="inlineStr">
        <is>
          <t>上海区域</t>
        </is>
      </c>
      <c r="C1488" s="16" t="inlineStr">
        <is>
          <t>CN0Q</t>
        </is>
      </c>
      <c r="D1488" s="16" t="inlineStr">
        <is>
          <t>EE 苏州比斯特购物村</t>
        </is>
      </c>
      <c r="E1488" s="16" t="n">
        <v>4</v>
      </c>
      <c r="F1488" s="16" t="inlineStr">
        <is>
          <t>奥特莱斯</t>
        </is>
      </c>
      <c r="G1488" s="16" t="inlineStr">
        <is>
          <t>EETJG24E01</t>
        </is>
      </c>
      <c r="H1488" s="16" t="n">
        <v>799</v>
      </c>
      <c r="I1488" s="16" t="n">
        <v>799</v>
      </c>
      <c r="J1488" s="17" t="inlineStr">
        <is>
          <t>########</t>
        </is>
      </c>
      <c r="K1488" s="16" t="inlineStr">
        <is>
          <t>(57)D/Indigo</t>
        </is>
      </c>
      <c r="L1488" s="16" t="inlineStr">
        <is>
          <t>营业中</t>
        </is>
      </c>
      <c r="M1488" s="16" t="inlineStr">
        <is>
          <t>EETJG24E0157025</t>
        </is>
      </c>
      <c r="N1488" s="16">
        <f>LEFT(M1488,12)</f>
        <v/>
      </c>
      <c r="O1488" s="16" t="inlineStr">
        <is>
          <t>EETJG24E01, (57)D/Indigo, 25(155/64A)</t>
        </is>
      </c>
      <c r="P1488" s="16" t="n">
        <v>799</v>
      </c>
      <c r="Q1488" s="16" t="n">
        <v>799</v>
      </c>
      <c r="R1488" s="16" t="n">
        <v>1</v>
      </c>
      <c r="S1488" s="16" t="n">
        <v>509</v>
      </c>
      <c r="T1488" s="16" t="n">
        <v>0</v>
      </c>
    </row>
    <row r="1489" s="103">
      <c r="A1489" s="16" t="inlineStr">
        <is>
          <t>B331</t>
        </is>
      </c>
      <c r="B1489" s="16" t="inlineStr">
        <is>
          <t>上海区域</t>
        </is>
      </c>
      <c r="C1489" s="16" t="inlineStr">
        <is>
          <t>CN0Q</t>
        </is>
      </c>
      <c r="D1489" s="16" t="inlineStr">
        <is>
          <t>EE 苏州比斯特购物村</t>
        </is>
      </c>
      <c r="E1489" s="16" t="n">
        <v>4</v>
      </c>
      <c r="F1489" s="16" t="inlineStr">
        <is>
          <t>奥特莱斯</t>
        </is>
      </c>
      <c r="G1489" s="16" t="inlineStr">
        <is>
          <t>EETJG24E01</t>
        </is>
      </c>
      <c r="H1489" s="16" t="n">
        <v>799</v>
      </c>
      <c r="I1489" s="16" t="n">
        <v>799</v>
      </c>
      <c r="J1489" s="17" t="inlineStr">
        <is>
          <t>########</t>
        </is>
      </c>
      <c r="K1489" s="16" t="inlineStr">
        <is>
          <t>(57)D/Indigo</t>
        </is>
      </c>
      <c r="L1489" s="16" t="inlineStr">
        <is>
          <t>营业中</t>
        </is>
      </c>
      <c r="M1489" s="16" t="inlineStr">
        <is>
          <t>EETJG24E0157026</t>
        </is>
      </c>
      <c r="N1489" s="16">
        <f>LEFT(M1489,12)</f>
        <v/>
      </c>
      <c r="O1489" s="16" t="inlineStr">
        <is>
          <t>EETJG24E01, (57)D/Indigo, 26(160/66A)</t>
        </is>
      </c>
      <c r="P1489" s="16" t="n">
        <v>799</v>
      </c>
      <c r="Q1489" s="16" t="n">
        <v>799</v>
      </c>
      <c r="R1489" s="16" t="n">
        <v>3</v>
      </c>
      <c r="S1489" s="16" t="n">
        <v>302</v>
      </c>
      <c r="T1489" s="16" t="n">
        <v>3</v>
      </c>
    </row>
    <row r="1490" s="103">
      <c r="A1490" s="16" t="inlineStr">
        <is>
          <t>B331</t>
        </is>
      </c>
      <c r="B1490" s="16" t="inlineStr">
        <is>
          <t>上海区域</t>
        </is>
      </c>
      <c r="C1490" s="16" t="inlineStr">
        <is>
          <t>CN0Q</t>
        </is>
      </c>
      <c r="D1490" s="16" t="inlineStr">
        <is>
          <t>EE 苏州比斯特购物村</t>
        </is>
      </c>
      <c r="E1490" s="16" t="n">
        <v>4</v>
      </c>
      <c r="F1490" s="16" t="inlineStr">
        <is>
          <t>奥特莱斯</t>
        </is>
      </c>
      <c r="G1490" s="16" t="inlineStr">
        <is>
          <t>EETJG24E01</t>
        </is>
      </c>
      <c r="H1490" s="16" t="n">
        <v>799</v>
      </c>
      <c r="I1490" s="16" t="n">
        <v>799</v>
      </c>
      <c r="J1490" s="17" t="inlineStr">
        <is>
          <t>########</t>
        </is>
      </c>
      <c r="K1490" s="16" t="inlineStr">
        <is>
          <t>(57)D/Indigo</t>
        </is>
      </c>
      <c r="L1490" s="16" t="inlineStr">
        <is>
          <t>营业中</t>
        </is>
      </c>
      <c r="M1490" s="16" t="inlineStr">
        <is>
          <t>EETJG24E0157027</t>
        </is>
      </c>
      <c r="N1490" s="16">
        <f>LEFT(M1490,12)</f>
        <v/>
      </c>
      <c r="O1490" s="16" t="inlineStr">
        <is>
          <t>EETJG24E01, (57)D/Indigo, 27(165/68A)</t>
        </is>
      </c>
      <c r="P1490" s="16" t="n">
        <v>799</v>
      </c>
      <c r="Q1490" s="16" t="n">
        <v>799</v>
      </c>
      <c r="R1490" s="16" t="n">
        <v>2</v>
      </c>
      <c r="S1490" s="18" t="n">
        <v>1012</v>
      </c>
      <c r="T1490" s="16" t="n">
        <v>3</v>
      </c>
    </row>
    <row r="1491" s="103">
      <c r="A1491" s="16" t="inlineStr">
        <is>
          <t>B331</t>
        </is>
      </c>
      <c r="B1491" s="16" t="inlineStr">
        <is>
          <t>上海区域</t>
        </is>
      </c>
      <c r="C1491" s="16" t="inlineStr">
        <is>
          <t>CN0Q</t>
        </is>
      </c>
      <c r="D1491" s="16" t="inlineStr">
        <is>
          <t>EE 苏州比斯特购物村</t>
        </is>
      </c>
      <c r="E1491" s="16" t="n">
        <v>4</v>
      </c>
      <c r="F1491" s="16" t="inlineStr">
        <is>
          <t>奥特莱斯</t>
        </is>
      </c>
      <c r="G1491" s="16" t="inlineStr">
        <is>
          <t>EETJG24E01</t>
        </is>
      </c>
      <c r="H1491" s="16" t="n">
        <v>799</v>
      </c>
      <c r="I1491" s="16" t="n">
        <v>799</v>
      </c>
      <c r="J1491" s="17" t="inlineStr">
        <is>
          <t>########</t>
        </is>
      </c>
      <c r="K1491" s="16" t="inlineStr">
        <is>
          <t>(57)D/Indigo</t>
        </is>
      </c>
      <c r="L1491" s="16" t="inlineStr">
        <is>
          <t>营业中</t>
        </is>
      </c>
      <c r="M1491" s="16" t="inlineStr">
        <is>
          <t>EETJG24E0157028</t>
        </is>
      </c>
      <c r="N1491" s="16">
        <f>LEFT(M1491,12)</f>
        <v/>
      </c>
      <c r="O1491" s="16" t="inlineStr">
        <is>
          <t>EETJG24E01, (57)D/Indigo, 28(165/70A)</t>
        </is>
      </c>
      <c r="P1491" s="16" t="n">
        <v>799</v>
      </c>
      <c r="Q1491" s="16" t="n">
        <v>799</v>
      </c>
      <c r="R1491" s="16" t="n">
        <v>2</v>
      </c>
      <c r="S1491" s="18" t="n">
        <v>1012</v>
      </c>
      <c r="T1491" s="16" t="n">
        <v>2</v>
      </c>
    </row>
    <row r="1492" s="103">
      <c r="A1492" s="16" t="inlineStr">
        <is>
          <t>B331</t>
        </is>
      </c>
      <c r="B1492" s="16" t="inlineStr">
        <is>
          <t>上海区域</t>
        </is>
      </c>
      <c r="C1492" s="16" t="inlineStr">
        <is>
          <t>CN0Q</t>
        </is>
      </c>
      <c r="D1492" s="16" t="inlineStr">
        <is>
          <t>EE 苏州比斯特购物村</t>
        </is>
      </c>
      <c r="E1492" s="16" t="n">
        <v>4</v>
      </c>
      <c r="F1492" s="16" t="inlineStr">
        <is>
          <t>奥特莱斯</t>
        </is>
      </c>
      <c r="G1492" s="16" t="inlineStr">
        <is>
          <t>EETJG24E01</t>
        </is>
      </c>
      <c r="H1492" s="16" t="n">
        <v>799</v>
      </c>
      <c r="I1492" s="16" t="n">
        <v>799</v>
      </c>
      <c r="J1492" s="17" t="inlineStr">
        <is>
          <t>########</t>
        </is>
      </c>
      <c r="K1492" s="16" t="inlineStr">
        <is>
          <t>(57)D/Indigo</t>
        </is>
      </c>
      <c r="L1492" s="16" t="inlineStr">
        <is>
          <t>营业中</t>
        </is>
      </c>
      <c r="M1492" s="16" t="inlineStr">
        <is>
          <t>EETJG24E0157029</t>
        </is>
      </c>
      <c r="N1492" s="16">
        <f>LEFT(M1492,12)</f>
        <v/>
      </c>
      <c r="O1492" s="16" t="inlineStr">
        <is>
          <t>EETJG24E01, (57)D/Indigo, 29(170/72A)</t>
        </is>
      </c>
      <c r="P1492" s="16" t="n">
        <v>799</v>
      </c>
      <c r="Q1492" s="16" t="n">
        <v>799</v>
      </c>
      <c r="R1492" s="16" t="n"/>
      <c r="S1492" s="16" t="n"/>
      <c r="T1492" s="16" t="n">
        <v>3</v>
      </c>
    </row>
    <row r="1493" s="103">
      <c r="A1493" s="16" t="inlineStr">
        <is>
          <t>B331</t>
        </is>
      </c>
      <c r="B1493" s="16" t="inlineStr">
        <is>
          <t>上海区域</t>
        </is>
      </c>
      <c r="C1493" s="16" t="inlineStr">
        <is>
          <t>CN0Q</t>
        </is>
      </c>
      <c r="D1493" s="16" t="inlineStr">
        <is>
          <t>EE 苏州比斯特购物村</t>
        </is>
      </c>
      <c r="E1493" s="16" t="n">
        <v>4</v>
      </c>
      <c r="F1493" s="16" t="inlineStr">
        <is>
          <t>奥特莱斯</t>
        </is>
      </c>
      <c r="G1493" s="16" t="inlineStr">
        <is>
          <t>EETJG24E01</t>
        </is>
      </c>
      <c r="H1493" s="16" t="n">
        <v>799</v>
      </c>
      <c r="I1493" s="16" t="n">
        <v>799</v>
      </c>
      <c r="J1493" s="17" t="inlineStr">
        <is>
          <t>########</t>
        </is>
      </c>
      <c r="K1493" s="16" t="inlineStr">
        <is>
          <t>(57)D/Indigo</t>
        </is>
      </c>
      <c r="L1493" s="16" t="inlineStr">
        <is>
          <t>营业中</t>
        </is>
      </c>
      <c r="M1493" s="16" t="inlineStr">
        <is>
          <t>EETJG24E0157030</t>
        </is>
      </c>
      <c r="N1493" s="16">
        <f>LEFT(M1493,12)</f>
        <v/>
      </c>
      <c r="O1493" s="16" t="inlineStr">
        <is>
          <t>EETJG24E01, (57)D/Indigo, 30(175/74A)</t>
        </is>
      </c>
      <c r="P1493" s="16" t="n">
        <v>799</v>
      </c>
      <c r="Q1493" s="16" t="n">
        <v>799</v>
      </c>
      <c r="R1493" s="16" t="n"/>
      <c r="S1493" s="16" t="n"/>
      <c r="T1493" s="16" t="n">
        <v>1</v>
      </c>
    </row>
    <row r="1494" s="103">
      <c r="A1494" s="16" t="inlineStr">
        <is>
          <t>B331</t>
        </is>
      </c>
      <c r="B1494" s="16" t="inlineStr">
        <is>
          <t>上海区域</t>
        </is>
      </c>
      <c r="C1494" s="16" t="inlineStr">
        <is>
          <t>CN0Q</t>
        </is>
      </c>
      <c r="D1494" s="16" t="inlineStr">
        <is>
          <t>EE 苏州比斯特购物村</t>
        </is>
      </c>
      <c r="E1494" s="16" t="n">
        <v>4</v>
      </c>
      <c r="F1494" s="16" t="inlineStr">
        <is>
          <t>奥特莱斯</t>
        </is>
      </c>
      <c r="G1494" s="16" t="inlineStr">
        <is>
          <t>EETJG24E02</t>
        </is>
      </c>
      <c r="H1494" s="16" t="n">
        <v>699</v>
      </c>
      <c r="I1494" s="16" t="n">
        <v>699</v>
      </c>
      <c r="J1494" s="17" t="inlineStr">
        <is>
          <t>########</t>
        </is>
      </c>
      <c r="K1494" s="16" t="inlineStr">
        <is>
          <t>(36)L/Beige</t>
        </is>
      </c>
      <c r="L1494" s="16" t="inlineStr">
        <is>
          <t>营业中</t>
        </is>
      </c>
      <c r="M1494" s="16" t="inlineStr">
        <is>
          <t>EETJG24E0236025</t>
        </is>
      </c>
      <c r="N1494" s="16">
        <f>LEFT(M1494,12)</f>
        <v/>
      </c>
      <c r="O1494" s="16" t="inlineStr">
        <is>
          <t>EETJG24E02, (36)L/Beige, 25(155/64A)</t>
        </is>
      </c>
      <c r="P1494" s="16" t="n">
        <v>699</v>
      </c>
      <c r="Q1494" s="16" t="n">
        <v>699</v>
      </c>
      <c r="R1494" s="16" t="n"/>
      <c r="S1494" s="16" t="n"/>
      <c r="T1494" s="16" t="n">
        <v>1</v>
      </c>
    </row>
    <row r="1495" s="103">
      <c r="A1495" s="16" t="inlineStr">
        <is>
          <t>B331</t>
        </is>
      </c>
      <c r="B1495" s="16" t="inlineStr">
        <is>
          <t>上海区域</t>
        </is>
      </c>
      <c r="C1495" s="16" t="inlineStr">
        <is>
          <t>CN0Q</t>
        </is>
      </c>
      <c r="D1495" s="16" t="inlineStr">
        <is>
          <t>EE 苏州比斯特购物村</t>
        </is>
      </c>
      <c r="E1495" s="16" t="n">
        <v>4</v>
      </c>
      <c r="F1495" s="16" t="inlineStr">
        <is>
          <t>奥特莱斯</t>
        </is>
      </c>
      <c r="G1495" s="16" t="inlineStr">
        <is>
          <t>EETJG24E02</t>
        </is>
      </c>
      <c r="H1495" s="16" t="n">
        <v>699</v>
      </c>
      <c r="I1495" s="16" t="n">
        <v>699</v>
      </c>
      <c r="J1495" s="17" t="inlineStr">
        <is>
          <t>########</t>
        </is>
      </c>
      <c r="K1495" s="16" t="inlineStr">
        <is>
          <t>(36)L/Beige</t>
        </is>
      </c>
      <c r="L1495" s="16" t="inlineStr">
        <is>
          <t>营业中</t>
        </is>
      </c>
      <c r="M1495" s="16" t="inlineStr">
        <is>
          <t>EETJG24E0236026</t>
        </is>
      </c>
      <c r="N1495" s="16">
        <f>LEFT(M1495,12)</f>
        <v/>
      </c>
      <c r="O1495" s="16" t="inlineStr">
        <is>
          <t>EETJG24E02, (36)L/Beige, 26(160/66A)</t>
        </is>
      </c>
      <c r="P1495" s="16" t="n">
        <v>699</v>
      </c>
      <c r="Q1495" s="16" t="n">
        <v>699</v>
      </c>
      <c r="R1495" s="16" t="n">
        <v>4</v>
      </c>
      <c r="S1495" s="16" t="n">
        <v>882</v>
      </c>
      <c r="T1495" s="16" t="n">
        <v>2</v>
      </c>
    </row>
    <row r="1496" s="103">
      <c r="A1496" s="16" t="inlineStr">
        <is>
          <t>B331</t>
        </is>
      </c>
      <c r="B1496" s="16" t="inlineStr">
        <is>
          <t>上海区域</t>
        </is>
      </c>
      <c r="C1496" s="16" t="inlineStr">
        <is>
          <t>CN0Q</t>
        </is>
      </c>
      <c r="D1496" s="16" t="inlineStr">
        <is>
          <t>EE 苏州比斯特购物村</t>
        </is>
      </c>
      <c r="E1496" s="16" t="n">
        <v>4</v>
      </c>
      <c r="F1496" s="16" t="inlineStr">
        <is>
          <t>奥特莱斯</t>
        </is>
      </c>
      <c r="G1496" s="16" t="inlineStr">
        <is>
          <t>EETJG24E02</t>
        </is>
      </c>
      <c r="H1496" s="16" t="n">
        <v>699</v>
      </c>
      <c r="I1496" s="16" t="n">
        <v>699</v>
      </c>
      <c r="J1496" s="17" t="inlineStr">
        <is>
          <t>########</t>
        </is>
      </c>
      <c r="K1496" s="16" t="inlineStr">
        <is>
          <t>(36)L/Beige</t>
        </is>
      </c>
      <c r="L1496" s="16" t="inlineStr">
        <is>
          <t>营业中</t>
        </is>
      </c>
      <c r="M1496" s="16" t="inlineStr">
        <is>
          <t>EETJG24E0236027</t>
        </is>
      </c>
      <c r="N1496" s="16">
        <f>LEFT(M1496,12)</f>
        <v/>
      </c>
      <c r="O1496" s="16" t="inlineStr">
        <is>
          <t>EETJG24E02, (36)L/Beige, 27(165/68A)</t>
        </is>
      </c>
      <c r="P1496" s="16" t="n">
        <v>699</v>
      </c>
      <c r="Q1496" s="16" t="n">
        <v>699</v>
      </c>
      <c r="R1496" s="16" t="n">
        <v>5</v>
      </c>
      <c r="S1496" s="18" t="n">
        <v>1374</v>
      </c>
      <c r="T1496" s="16" t="n">
        <v>1</v>
      </c>
    </row>
    <row r="1497" s="103">
      <c r="A1497" s="16" t="inlineStr">
        <is>
          <t>B331</t>
        </is>
      </c>
      <c r="B1497" s="16" t="inlineStr">
        <is>
          <t>上海区域</t>
        </is>
      </c>
      <c r="C1497" s="16" t="inlineStr">
        <is>
          <t>CN0Q</t>
        </is>
      </c>
      <c r="D1497" s="16" t="inlineStr">
        <is>
          <t>EE 苏州比斯特购物村</t>
        </is>
      </c>
      <c r="E1497" s="16" t="n">
        <v>4</v>
      </c>
      <c r="F1497" s="16" t="inlineStr">
        <is>
          <t>奥特莱斯</t>
        </is>
      </c>
      <c r="G1497" s="16" t="inlineStr">
        <is>
          <t>EETJG24E02</t>
        </is>
      </c>
      <c r="H1497" s="16" t="n">
        <v>699</v>
      </c>
      <c r="I1497" s="16" t="n">
        <v>699</v>
      </c>
      <c r="J1497" s="17" t="inlineStr">
        <is>
          <t>########</t>
        </is>
      </c>
      <c r="K1497" s="16" t="inlineStr">
        <is>
          <t>(36)L/Beige</t>
        </is>
      </c>
      <c r="L1497" s="16" t="inlineStr">
        <is>
          <t>营业中</t>
        </is>
      </c>
      <c r="M1497" s="16" t="inlineStr">
        <is>
          <t>EETJG24E0236028</t>
        </is>
      </c>
      <c r="N1497" s="16">
        <f>LEFT(M1497,12)</f>
        <v/>
      </c>
      <c r="O1497" s="16" t="inlineStr">
        <is>
          <t>EETJG24E02, (36)L/Beige, 28(165/70A)</t>
        </is>
      </c>
      <c r="P1497" s="16" t="n">
        <v>699</v>
      </c>
      <c r="Q1497" s="16" t="n">
        <v>699</v>
      </c>
      <c r="R1497" s="16" t="n">
        <v>1</v>
      </c>
      <c r="S1497" s="16" t="n">
        <v>451</v>
      </c>
      <c r="T1497" s="16" t="n">
        <v>1</v>
      </c>
    </row>
    <row r="1498" s="103">
      <c r="A1498" s="16" t="inlineStr">
        <is>
          <t>B331</t>
        </is>
      </c>
      <c r="B1498" s="16" t="inlineStr">
        <is>
          <t>上海区域</t>
        </is>
      </c>
      <c r="C1498" s="16" t="inlineStr">
        <is>
          <t>CN0Q</t>
        </is>
      </c>
      <c r="D1498" s="16" t="inlineStr">
        <is>
          <t>EE 苏州比斯特购物村</t>
        </is>
      </c>
      <c r="E1498" s="16" t="n">
        <v>4</v>
      </c>
      <c r="F1498" s="16" t="inlineStr">
        <is>
          <t>奥特莱斯</t>
        </is>
      </c>
      <c r="G1498" s="16" t="inlineStr">
        <is>
          <t>EETJG24E02</t>
        </is>
      </c>
      <c r="H1498" s="16" t="n">
        <v>699</v>
      </c>
      <c r="I1498" s="16" t="n">
        <v>699</v>
      </c>
      <c r="J1498" s="17" t="inlineStr">
        <is>
          <t>########</t>
        </is>
      </c>
      <c r="K1498" s="16" t="inlineStr">
        <is>
          <t>(36)L/Beige</t>
        </is>
      </c>
      <c r="L1498" s="16" t="inlineStr">
        <is>
          <t>营业中</t>
        </is>
      </c>
      <c r="M1498" s="16" t="inlineStr">
        <is>
          <t>EETJG24E0236029</t>
        </is>
      </c>
      <c r="N1498" s="16">
        <f>LEFT(M1498,12)</f>
        <v/>
      </c>
      <c r="O1498" s="16" t="inlineStr">
        <is>
          <t>EETJG24E02, (36)L/Beige, 29(170/72A)</t>
        </is>
      </c>
      <c r="P1498" s="16" t="n">
        <v>699</v>
      </c>
      <c r="Q1498" s="16" t="n">
        <v>699</v>
      </c>
      <c r="R1498" s="16" t="n">
        <v>1</v>
      </c>
      <c r="S1498" s="16" t="n">
        <v>444</v>
      </c>
      <c r="T1498" s="16" t="n">
        <v>1</v>
      </c>
    </row>
    <row r="1499" s="103">
      <c r="A1499" s="16" t="inlineStr">
        <is>
          <t>B331</t>
        </is>
      </c>
      <c r="B1499" s="16" t="inlineStr">
        <is>
          <t>上海区域</t>
        </is>
      </c>
      <c r="C1499" s="16" t="inlineStr">
        <is>
          <t>CN0Q</t>
        </is>
      </c>
      <c r="D1499" s="16" t="inlineStr">
        <is>
          <t>EE 苏州比斯特购物村</t>
        </is>
      </c>
      <c r="E1499" s="16" t="n">
        <v>4</v>
      </c>
      <c r="F1499" s="16" t="inlineStr">
        <is>
          <t>奥特莱斯</t>
        </is>
      </c>
      <c r="G1499" s="16" t="inlineStr">
        <is>
          <t>EETJG24E02</t>
        </is>
      </c>
      <c r="H1499" s="16" t="n">
        <v>699</v>
      </c>
      <c r="I1499" s="16" t="n">
        <v>699</v>
      </c>
      <c r="J1499" s="17" t="inlineStr">
        <is>
          <t>########</t>
        </is>
      </c>
      <c r="K1499" s="16" t="inlineStr">
        <is>
          <t>(36)L/Beige</t>
        </is>
      </c>
      <c r="L1499" s="16" t="inlineStr">
        <is>
          <t>营业中</t>
        </is>
      </c>
      <c r="M1499" s="16" t="inlineStr">
        <is>
          <t>EETJG24E0236030</t>
        </is>
      </c>
      <c r="N1499" s="16">
        <f>LEFT(M1499,12)</f>
        <v/>
      </c>
      <c r="O1499" s="16" t="inlineStr">
        <is>
          <t>EETJG24E02, (36)L/Beige, 30(175/74A)</t>
        </is>
      </c>
      <c r="P1499" s="16" t="n">
        <v>699</v>
      </c>
      <c r="Q1499" s="16" t="n">
        <v>699</v>
      </c>
      <c r="R1499" s="16" t="n"/>
      <c r="S1499" s="16" t="n"/>
      <c r="T1499" s="16" t="n">
        <v>1</v>
      </c>
    </row>
    <row r="1500" s="103">
      <c r="A1500" s="16" t="inlineStr">
        <is>
          <t>B331</t>
        </is>
      </c>
      <c r="B1500" s="16" t="inlineStr">
        <is>
          <t>上海区域</t>
        </is>
      </c>
      <c r="C1500" s="16" t="inlineStr">
        <is>
          <t>CN0Q</t>
        </is>
      </c>
      <c r="D1500" s="16" t="inlineStr">
        <is>
          <t>EE 苏州比斯特购物村</t>
        </is>
      </c>
      <c r="E1500" s="16" t="n">
        <v>4</v>
      </c>
      <c r="F1500" s="16" t="inlineStr">
        <is>
          <t>奥特莱斯</t>
        </is>
      </c>
      <c r="G1500" s="16" t="inlineStr">
        <is>
          <t>EETJG24E02</t>
        </is>
      </c>
      <c r="H1500" s="16" t="n">
        <v>699</v>
      </c>
      <c r="I1500" s="16" t="n">
        <v>699</v>
      </c>
      <c r="J1500" s="17" t="inlineStr">
        <is>
          <t>########</t>
        </is>
      </c>
      <c r="K1500" s="16" t="inlineStr">
        <is>
          <t>(56)L/Indigo</t>
        </is>
      </c>
      <c r="L1500" s="16" t="inlineStr">
        <is>
          <t>营业中</t>
        </is>
      </c>
      <c r="M1500" s="16" t="inlineStr">
        <is>
          <t>EETJG24E0256025</t>
        </is>
      </c>
      <c r="N1500" s="16">
        <f>LEFT(M1500,12)</f>
        <v/>
      </c>
      <c r="O1500" s="16" t="inlineStr">
        <is>
          <t>EETJG24E02, (56)L/Indigo, 25(155/64A)</t>
        </is>
      </c>
      <c r="P1500" s="16" t="n">
        <v>699</v>
      </c>
      <c r="Q1500" s="16" t="n">
        <v>699</v>
      </c>
      <c r="R1500" s="16" t="n"/>
      <c r="S1500" s="16" t="n"/>
      <c r="T1500" s="16" t="n">
        <v>1</v>
      </c>
    </row>
    <row r="1501" s="103">
      <c r="A1501" s="16" t="inlineStr">
        <is>
          <t>B331</t>
        </is>
      </c>
      <c r="B1501" s="16" t="inlineStr">
        <is>
          <t>上海区域</t>
        </is>
      </c>
      <c r="C1501" s="16" t="inlineStr">
        <is>
          <t>CN0Q</t>
        </is>
      </c>
      <c r="D1501" s="16" t="inlineStr">
        <is>
          <t>EE 苏州比斯特购物村</t>
        </is>
      </c>
      <c r="E1501" s="16" t="n">
        <v>4</v>
      </c>
      <c r="F1501" s="16" t="inlineStr">
        <is>
          <t>奥特莱斯</t>
        </is>
      </c>
      <c r="G1501" s="16" t="inlineStr">
        <is>
          <t>EETJG24E02</t>
        </is>
      </c>
      <c r="H1501" s="16" t="n">
        <v>699</v>
      </c>
      <c r="I1501" s="16" t="n">
        <v>699</v>
      </c>
      <c r="J1501" s="17" t="inlineStr">
        <is>
          <t>########</t>
        </is>
      </c>
      <c r="K1501" s="16" t="inlineStr">
        <is>
          <t>(56)L/Indigo</t>
        </is>
      </c>
      <c r="L1501" s="16" t="inlineStr">
        <is>
          <t>营业中</t>
        </is>
      </c>
      <c r="M1501" s="16" t="inlineStr">
        <is>
          <t>EETJG24E0256026</t>
        </is>
      </c>
      <c r="N1501" s="16">
        <f>LEFT(M1501,12)</f>
        <v/>
      </c>
      <c r="O1501" s="16" t="inlineStr">
        <is>
          <t>EETJG24E02, (56)L/Indigo, 26(160/66A)</t>
        </is>
      </c>
      <c r="P1501" s="16" t="n">
        <v>699</v>
      </c>
      <c r="Q1501" s="16" t="n">
        <v>699</v>
      </c>
      <c r="R1501" s="16" t="n"/>
      <c r="S1501" s="16" t="n"/>
      <c r="T1501" s="16" t="n">
        <v>2</v>
      </c>
    </row>
    <row r="1502" s="103">
      <c r="A1502" s="16" t="inlineStr">
        <is>
          <t>B331</t>
        </is>
      </c>
      <c r="B1502" s="16" t="inlineStr">
        <is>
          <t>上海区域</t>
        </is>
      </c>
      <c r="C1502" s="16" t="inlineStr">
        <is>
          <t>CN0Q</t>
        </is>
      </c>
      <c r="D1502" s="16" t="inlineStr">
        <is>
          <t>EE 苏州比斯特购物村</t>
        </is>
      </c>
      <c r="E1502" s="16" t="n">
        <v>4</v>
      </c>
      <c r="F1502" s="16" t="inlineStr">
        <is>
          <t>奥特莱斯</t>
        </is>
      </c>
      <c r="G1502" s="16" t="inlineStr">
        <is>
          <t>EETJG24E02</t>
        </is>
      </c>
      <c r="H1502" s="16" t="n">
        <v>699</v>
      </c>
      <c r="I1502" s="16" t="n">
        <v>699</v>
      </c>
      <c r="J1502" s="17" t="inlineStr">
        <is>
          <t>########</t>
        </is>
      </c>
      <c r="K1502" s="16" t="inlineStr">
        <is>
          <t>(56)L/Indigo</t>
        </is>
      </c>
      <c r="L1502" s="16" t="inlineStr">
        <is>
          <t>营业中</t>
        </is>
      </c>
      <c r="M1502" s="16" t="inlineStr">
        <is>
          <t>EETJG24E0256027</t>
        </is>
      </c>
      <c r="N1502" s="16">
        <f>LEFT(M1502,12)</f>
        <v/>
      </c>
      <c r="O1502" s="16" t="inlineStr">
        <is>
          <t>EETJG24E02, (56)L/Indigo, 27(165/68A)</t>
        </is>
      </c>
      <c r="P1502" s="16" t="n">
        <v>699</v>
      </c>
      <c r="Q1502" s="16" t="n">
        <v>699</v>
      </c>
      <c r="R1502" s="16" t="n"/>
      <c r="S1502" s="16" t="n"/>
      <c r="T1502" s="16" t="n">
        <v>3</v>
      </c>
    </row>
    <row r="1503" s="103">
      <c r="A1503" s="16" t="inlineStr">
        <is>
          <t>B331</t>
        </is>
      </c>
      <c r="B1503" s="16" t="inlineStr">
        <is>
          <t>上海区域</t>
        </is>
      </c>
      <c r="C1503" s="16" t="inlineStr">
        <is>
          <t>CN0Q</t>
        </is>
      </c>
      <c r="D1503" s="16" t="inlineStr">
        <is>
          <t>EE 苏州比斯特购物村</t>
        </is>
      </c>
      <c r="E1503" s="16" t="n">
        <v>4</v>
      </c>
      <c r="F1503" s="16" t="inlineStr">
        <is>
          <t>奥特莱斯</t>
        </is>
      </c>
      <c r="G1503" s="16" t="inlineStr">
        <is>
          <t>EETJG24E02</t>
        </is>
      </c>
      <c r="H1503" s="16" t="n">
        <v>699</v>
      </c>
      <c r="I1503" s="16" t="n">
        <v>699</v>
      </c>
      <c r="J1503" s="17" t="inlineStr">
        <is>
          <t>########</t>
        </is>
      </c>
      <c r="K1503" s="16" t="inlineStr">
        <is>
          <t>(56)L/Indigo</t>
        </is>
      </c>
      <c r="L1503" s="16" t="inlineStr">
        <is>
          <t>营业中</t>
        </is>
      </c>
      <c r="M1503" s="16" t="inlineStr">
        <is>
          <t>EETJG24E0256028</t>
        </is>
      </c>
      <c r="N1503" s="16">
        <f>LEFT(M1503,12)</f>
        <v/>
      </c>
      <c r="O1503" s="16" t="inlineStr">
        <is>
          <t>EETJG24E02, (56)L/Indigo, 28(165/70A)</t>
        </is>
      </c>
      <c r="P1503" s="16" t="n">
        <v>699</v>
      </c>
      <c r="Q1503" s="16" t="n">
        <v>699</v>
      </c>
      <c r="R1503" s="16" t="n"/>
      <c r="S1503" s="16" t="n"/>
      <c r="T1503" s="16" t="n">
        <v>3</v>
      </c>
    </row>
    <row r="1504" s="103">
      <c r="A1504" s="16" t="inlineStr">
        <is>
          <t>B331</t>
        </is>
      </c>
      <c r="B1504" s="16" t="inlineStr">
        <is>
          <t>上海区域</t>
        </is>
      </c>
      <c r="C1504" s="16" t="inlineStr">
        <is>
          <t>CN0Q</t>
        </is>
      </c>
      <c r="D1504" s="16" t="inlineStr">
        <is>
          <t>EE 苏州比斯特购物村</t>
        </is>
      </c>
      <c r="E1504" s="16" t="n">
        <v>4</v>
      </c>
      <c r="F1504" s="16" t="inlineStr">
        <is>
          <t>奥特莱斯</t>
        </is>
      </c>
      <c r="G1504" s="16" t="inlineStr">
        <is>
          <t>EETJG24E02</t>
        </is>
      </c>
      <c r="H1504" s="16" t="n">
        <v>699</v>
      </c>
      <c r="I1504" s="16" t="n">
        <v>699</v>
      </c>
      <c r="J1504" s="17" t="inlineStr">
        <is>
          <t>########</t>
        </is>
      </c>
      <c r="K1504" s="16" t="inlineStr">
        <is>
          <t>(56)L/Indigo</t>
        </is>
      </c>
      <c r="L1504" s="16" t="inlineStr">
        <is>
          <t>营业中</t>
        </is>
      </c>
      <c r="M1504" s="16" t="inlineStr">
        <is>
          <t>EETJG24E0256029</t>
        </is>
      </c>
      <c r="N1504" s="16">
        <f>LEFT(M1504,12)</f>
        <v/>
      </c>
      <c r="O1504" s="16" t="inlineStr">
        <is>
          <t>EETJG24E02, (56)L/Indigo, 29(170/72A)</t>
        </is>
      </c>
      <c r="P1504" s="16" t="n">
        <v>699</v>
      </c>
      <c r="Q1504" s="16" t="n">
        <v>699</v>
      </c>
      <c r="R1504" s="16" t="n"/>
      <c r="S1504" s="16" t="n"/>
      <c r="T1504" s="16" t="n">
        <v>2</v>
      </c>
    </row>
    <row r="1505" s="103">
      <c r="A1505" s="16" t="inlineStr">
        <is>
          <t>B331</t>
        </is>
      </c>
      <c r="B1505" s="16" t="inlineStr">
        <is>
          <t>上海区域</t>
        </is>
      </c>
      <c r="C1505" s="16" t="inlineStr">
        <is>
          <t>CN0Q</t>
        </is>
      </c>
      <c r="D1505" s="16" t="inlineStr">
        <is>
          <t>EE 苏州比斯特购物村</t>
        </is>
      </c>
      <c r="E1505" s="16" t="n">
        <v>4</v>
      </c>
      <c r="F1505" s="16" t="inlineStr">
        <is>
          <t>奥特莱斯</t>
        </is>
      </c>
      <c r="G1505" s="16" t="inlineStr">
        <is>
          <t>EETJG24E04</t>
        </is>
      </c>
      <c r="H1505" s="16" t="n">
        <v>699</v>
      </c>
      <c r="I1505" s="16" t="n">
        <v>699</v>
      </c>
      <c r="J1505" s="17" t="inlineStr">
        <is>
          <t>########</t>
        </is>
      </c>
      <c r="K1505" s="16" t="inlineStr">
        <is>
          <t>(16)L/Grey</t>
        </is>
      </c>
      <c r="L1505" s="16" t="inlineStr">
        <is>
          <t>营业中</t>
        </is>
      </c>
      <c r="M1505" s="16" t="inlineStr">
        <is>
          <t>EETJG24E0416026</t>
        </is>
      </c>
      <c r="N1505" s="16">
        <f>LEFT(M1505,12)</f>
        <v/>
      </c>
      <c r="O1505" s="16" t="inlineStr">
        <is>
          <t>EETJG24E04, (16)L/Grey, 26(160/66A)</t>
        </is>
      </c>
      <c r="P1505" s="16" t="n">
        <v>699</v>
      </c>
      <c r="Q1505" s="16" t="n">
        <v>699</v>
      </c>
      <c r="R1505" s="16" t="n"/>
      <c r="S1505" s="16" t="n"/>
      <c r="T1505" s="16" t="n">
        <v>2</v>
      </c>
    </row>
    <row r="1506" s="103">
      <c r="A1506" s="16" t="inlineStr">
        <is>
          <t>B331</t>
        </is>
      </c>
      <c r="B1506" s="16" t="inlineStr">
        <is>
          <t>上海区域</t>
        </is>
      </c>
      <c r="C1506" s="16" t="inlineStr">
        <is>
          <t>CN0Q</t>
        </is>
      </c>
      <c r="D1506" s="16" t="inlineStr">
        <is>
          <t>EE 苏州比斯特购物村</t>
        </is>
      </c>
      <c r="E1506" s="16" t="n">
        <v>4</v>
      </c>
      <c r="F1506" s="16" t="inlineStr">
        <is>
          <t>奥特莱斯</t>
        </is>
      </c>
      <c r="G1506" s="16" t="inlineStr">
        <is>
          <t>EETJG24E04</t>
        </is>
      </c>
      <c r="H1506" s="16" t="n">
        <v>699</v>
      </c>
      <c r="I1506" s="16" t="n">
        <v>699</v>
      </c>
      <c r="J1506" s="17" t="inlineStr">
        <is>
          <t>########</t>
        </is>
      </c>
      <c r="K1506" s="16" t="inlineStr">
        <is>
          <t>(16)L/Grey</t>
        </is>
      </c>
      <c r="L1506" s="16" t="inlineStr">
        <is>
          <t>营业中</t>
        </is>
      </c>
      <c r="M1506" s="16" t="inlineStr">
        <is>
          <t>EETJG24E0416027</t>
        </is>
      </c>
      <c r="N1506" s="16">
        <f>LEFT(M1506,12)</f>
        <v/>
      </c>
      <c r="O1506" s="16" t="inlineStr">
        <is>
          <t>EETJG24E04, (16)L/Grey, 27(165/68A)</t>
        </is>
      </c>
      <c r="P1506" s="16" t="n">
        <v>699</v>
      </c>
      <c r="Q1506" s="16" t="n">
        <v>699</v>
      </c>
      <c r="R1506" s="16" t="n"/>
      <c r="S1506" s="16" t="n"/>
      <c r="T1506" s="16" t="n">
        <v>1</v>
      </c>
    </row>
    <row r="1507" s="103">
      <c r="A1507" s="16" t="inlineStr">
        <is>
          <t>B331</t>
        </is>
      </c>
      <c r="B1507" s="16" t="inlineStr">
        <is>
          <t>上海区域</t>
        </is>
      </c>
      <c r="C1507" s="16" t="inlineStr">
        <is>
          <t>CN0Q</t>
        </is>
      </c>
      <c r="D1507" s="16" t="inlineStr">
        <is>
          <t>EE 苏州比斯特购物村</t>
        </is>
      </c>
      <c r="E1507" s="16" t="n">
        <v>4</v>
      </c>
      <c r="F1507" s="16" t="inlineStr">
        <is>
          <t>奥特莱斯</t>
        </is>
      </c>
      <c r="G1507" s="16" t="inlineStr">
        <is>
          <t>EETJG24E04</t>
        </is>
      </c>
      <c r="H1507" s="16" t="n">
        <v>699</v>
      </c>
      <c r="I1507" s="16" t="n">
        <v>699</v>
      </c>
      <c r="J1507" s="17" t="inlineStr">
        <is>
          <t>########</t>
        </is>
      </c>
      <c r="K1507" s="16" t="inlineStr">
        <is>
          <t>(16)L/Grey</t>
        </is>
      </c>
      <c r="L1507" s="16" t="inlineStr">
        <is>
          <t>营业中</t>
        </is>
      </c>
      <c r="M1507" s="16" t="inlineStr">
        <is>
          <t>EETJG24E0416028</t>
        </is>
      </c>
      <c r="N1507" s="16">
        <f>LEFT(M1507,12)</f>
        <v/>
      </c>
      <c r="O1507" s="16" t="inlineStr">
        <is>
          <t>EETJG24E04, (16)L/Grey, 28(165/70A)</t>
        </is>
      </c>
      <c r="P1507" s="16" t="n">
        <v>699</v>
      </c>
      <c r="Q1507" s="16" t="n">
        <v>699</v>
      </c>
      <c r="R1507" s="16" t="n"/>
      <c r="S1507" s="16" t="n"/>
      <c r="T1507" s="16" t="n">
        <v>2</v>
      </c>
    </row>
    <row r="1508" s="103">
      <c r="A1508" s="16" t="inlineStr">
        <is>
          <t>B331</t>
        </is>
      </c>
      <c r="B1508" s="16" t="inlineStr">
        <is>
          <t>上海区域</t>
        </is>
      </c>
      <c r="C1508" s="16" t="inlineStr">
        <is>
          <t>CN0Q</t>
        </is>
      </c>
      <c r="D1508" s="16" t="inlineStr">
        <is>
          <t>EE 苏州比斯特购物村</t>
        </is>
      </c>
      <c r="E1508" s="16" t="n">
        <v>4</v>
      </c>
      <c r="F1508" s="16" t="inlineStr">
        <is>
          <t>奥特莱斯</t>
        </is>
      </c>
      <c r="G1508" s="16" t="inlineStr">
        <is>
          <t>EETJG24E04</t>
        </is>
      </c>
      <c r="H1508" s="16" t="n">
        <v>699</v>
      </c>
      <c r="I1508" s="16" t="n">
        <v>699</v>
      </c>
      <c r="J1508" s="17" t="inlineStr">
        <is>
          <t>########</t>
        </is>
      </c>
      <c r="K1508" s="16" t="inlineStr">
        <is>
          <t>(16)L/Grey</t>
        </is>
      </c>
      <c r="L1508" s="16" t="inlineStr">
        <is>
          <t>营业中</t>
        </is>
      </c>
      <c r="M1508" s="16" t="inlineStr">
        <is>
          <t>EETJG24E0416029</t>
        </is>
      </c>
      <c r="N1508" s="16">
        <f>LEFT(M1508,12)</f>
        <v/>
      </c>
      <c r="O1508" s="16" t="inlineStr">
        <is>
          <t>EETJG24E04, (16)L/Grey, 29(170/72A)</t>
        </is>
      </c>
      <c r="P1508" s="16" t="n">
        <v>699</v>
      </c>
      <c r="Q1508" s="16" t="n">
        <v>699</v>
      </c>
      <c r="R1508" s="16" t="n"/>
      <c r="S1508" s="16" t="n"/>
      <c r="T1508" s="16" t="n">
        <v>1</v>
      </c>
    </row>
    <row r="1509" s="103">
      <c r="A1509" s="16" t="inlineStr">
        <is>
          <t>B331</t>
        </is>
      </c>
      <c r="B1509" s="16" t="inlineStr">
        <is>
          <t>上海区域</t>
        </is>
      </c>
      <c r="C1509" s="16" t="inlineStr">
        <is>
          <t>CN0Q</t>
        </is>
      </c>
      <c r="D1509" s="16" t="inlineStr">
        <is>
          <t>EE 苏州比斯特购物村</t>
        </is>
      </c>
      <c r="E1509" s="16" t="n">
        <v>4</v>
      </c>
      <c r="F1509" s="16" t="inlineStr">
        <is>
          <t>奥特莱斯</t>
        </is>
      </c>
      <c r="G1509" s="16" t="inlineStr">
        <is>
          <t>EETJG24E04</t>
        </is>
      </c>
      <c r="H1509" s="16" t="n">
        <v>699</v>
      </c>
      <c r="I1509" s="16" t="n">
        <v>699</v>
      </c>
      <c r="J1509" s="17" t="inlineStr">
        <is>
          <t>########</t>
        </is>
      </c>
      <c r="K1509" s="16" t="inlineStr">
        <is>
          <t>(55)Indigo</t>
        </is>
      </c>
      <c r="L1509" s="16" t="inlineStr">
        <is>
          <t>营业中</t>
        </is>
      </c>
      <c r="M1509" s="16" t="inlineStr">
        <is>
          <t>EETJG24E0455025</t>
        </is>
      </c>
      <c r="N1509" s="16">
        <f>LEFT(M1509,12)</f>
        <v/>
      </c>
      <c r="O1509" s="16" t="inlineStr">
        <is>
          <t>EETJG24E04, (55)Indigo, 25(155/64A)</t>
        </is>
      </c>
      <c r="P1509" s="16" t="n">
        <v>699</v>
      </c>
      <c r="Q1509" s="16" t="n">
        <v>699</v>
      </c>
      <c r="R1509" s="16" t="n"/>
      <c r="S1509" s="16" t="n"/>
      <c r="T1509" s="16" t="n">
        <v>1</v>
      </c>
    </row>
    <row r="1510" s="103">
      <c r="A1510" s="16" t="inlineStr">
        <is>
          <t>B331</t>
        </is>
      </c>
      <c r="B1510" s="16" t="inlineStr">
        <is>
          <t>上海区域</t>
        </is>
      </c>
      <c r="C1510" s="16" t="inlineStr">
        <is>
          <t>CN0Q</t>
        </is>
      </c>
      <c r="D1510" s="16" t="inlineStr">
        <is>
          <t>EE 苏州比斯特购物村</t>
        </is>
      </c>
      <c r="E1510" s="16" t="n">
        <v>4</v>
      </c>
      <c r="F1510" s="16" t="inlineStr">
        <is>
          <t>奥特莱斯</t>
        </is>
      </c>
      <c r="G1510" s="16" t="inlineStr">
        <is>
          <t>EETJG24E04</t>
        </is>
      </c>
      <c r="H1510" s="16" t="n">
        <v>699</v>
      </c>
      <c r="I1510" s="16" t="n">
        <v>699</v>
      </c>
      <c r="J1510" s="17" t="inlineStr">
        <is>
          <t>########</t>
        </is>
      </c>
      <c r="K1510" s="16" t="inlineStr">
        <is>
          <t>(55)Indigo</t>
        </is>
      </c>
      <c r="L1510" s="16" t="inlineStr">
        <is>
          <t>营业中</t>
        </is>
      </c>
      <c r="M1510" s="16" t="inlineStr">
        <is>
          <t>EETJG24E0455026</t>
        </is>
      </c>
      <c r="N1510" s="16">
        <f>LEFT(M1510,12)</f>
        <v/>
      </c>
      <c r="O1510" s="16" t="inlineStr">
        <is>
          <t>EETJG24E04, (55)Indigo, 26(160/66A)</t>
        </is>
      </c>
      <c r="P1510" s="16" t="n">
        <v>699</v>
      </c>
      <c r="Q1510" s="16" t="n">
        <v>699</v>
      </c>
      <c r="R1510" s="16" t="n"/>
      <c r="S1510" s="16" t="n"/>
      <c r="T1510" s="16" t="n">
        <v>2</v>
      </c>
    </row>
    <row r="1511" s="103">
      <c r="A1511" s="16" t="inlineStr">
        <is>
          <t>B331</t>
        </is>
      </c>
      <c r="B1511" s="16" t="inlineStr">
        <is>
          <t>上海区域</t>
        </is>
      </c>
      <c r="C1511" s="16" t="inlineStr">
        <is>
          <t>CN0Q</t>
        </is>
      </c>
      <c r="D1511" s="16" t="inlineStr">
        <is>
          <t>EE 苏州比斯特购物村</t>
        </is>
      </c>
      <c r="E1511" s="16" t="n">
        <v>4</v>
      </c>
      <c r="F1511" s="16" t="inlineStr">
        <is>
          <t>奥特莱斯</t>
        </is>
      </c>
      <c r="G1511" s="16" t="inlineStr">
        <is>
          <t>EETJG24E04</t>
        </is>
      </c>
      <c r="H1511" s="16" t="n">
        <v>699</v>
      </c>
      <c r="I1511" s="16" t="n">
        <v>699</v>
      </c>
      <c r="J1511" s="17" t="inlineStr">
        <is>
          <t>########</t>
        </is>
      </c>
      <c r="K1511" s="16" t="inlineStr">
        <is>
          <t>(55)Indigo</t>
        </is>
      </c>
      <c r="L1511" s="16" t="inlineStr">
        <is>
          <t>营业中</t>
        </is>
      </c>
      <c r="M1511" s="16" t="inlineStr">
        <is>
          <t>EETJG24E0455027</t>
        </is>
      </c>
      <c r="N1511" s="16">
        <f>LEFT(M1511,12)</f>
        <v/>
      </c>
      <c r="O1511" s="16" t="inlineStr">
        <is>
          <t>EETJG24E04, (55)Indigo, 27(165/68A)</t>
        </is>
      </c>
      <c r="P1511" s="16" t="n">
        <v>699</v>
      </c>
      <c r="Q1511" s="16" t="n">
        <v>699</v>
      </c>
      <c r="R1511" s="16" t="n"/>
      <c r="S1511" s="16" t="n"/>
      <c r="T1511" s="16" t="n">
        <v>1</v>
      </c>
    </row>
    <row r="1512" s="103">
      <c r="A1512" s="16" t="inlineStr">
        <is>
          <t>B331</t>
        </is>
      </c>
      <c r="B1512" s="16" t="inlineStr">
        <is>
          <t>上海区域</t>
        </is>
      </c>
      <c r="C1512" s="16" t="inlineStr">
        <is>
          <t>CN0Q</t>
        </is>
      </c>
      <c r="D1512" s="16" t="inlineStr">
        <is>
          <t>EE 苏州比斯特购物村</t>
        </is>
      </c>
      <c r="E1512" s="16" t="n">
        <v>4</v>
      </c>
      <c r="F1512" s="16" t="inlineStr">
        <is>
          <t>奥特莱斯</t>
        </is>
      </c>
      <c r="G1512" s="16" t="inlineStr">
        <is>
          <t>EETJG24E04</t>
        </is>
      </c>
      <c r="H1512" s="16" t="n">
        <v>699</v>
      </c>
      <c r="I1512" s="16" t="n">
        <v>699</v>
      </c>
      <c r="J1512" s="17" t="inlineStr">
        <is>
          <t>########</t>
        </is>
      </c>
      <c r="K1512" s="16" t="inlineStr">
        <is>
          <t>(55)Indigo</t>
        </is>
      </c>
      <c r="L1512" s="16" t="inlineStr">
        <is>
          <t>营业中</t>
        </is>
      </c>
      <c r="M1512" s="16" t="inlineStr">
        <is>
          <t>EETJG24E0455028</t>
        </is>
      </c>
      <c r="N1512" s="16">
        <f>LEFT(M1512,12)</f>
        <v/>
      </c>
      <c r="O1512" s="16" t="inlineStr">
        <is>
          <t>EETJG24E04, (55)Indigo, 28(165/70A)</t>
        </is>
      </c>
      <c r="P1512" s="16" t="n">
        <v>699</v>
      </c>
      <c r="Q1512" s="16" t="n">
        <v>699</v>
      </c>
      <c r="R1512" s="16" t="n"/>
      <c r="S1512" s="16" t="n"/>
      <c r="T1512" s="16" t="n">
        <v>2</v>
      </c>
    </row>
    <row r="1513" s="103">
      <c r="A1513" s="16" t="inlineStr">
        <is>
          <t>B331</t>
        </is>
      </c>
      <c r="B1513" s="16" t="inlineStr">
        <is>
          <t>上海区域</t>
        </is>
      </c>
      <c r="C1513" s="16" t="inlineStr">
        <is>
          <t>CN0Q</t>
        </is>
      </c>
      <c r="D1513" s="16" t="inlineStr">
        <is>
          <t>EE 苏州比斯特购物村</t>
        </is>
      </c>
      <c r="E1513" s="16" t="n">
        <v>4</v>
      </c>
      <c r="F1513" s="16" t="inlineStr">
        <is>
          <t>奥特莱斯</t>
        </is>
      </c>
      <c r="G1513" s="16" t="inlineStr">
        <is>
          <t>EETJG24E04</t>
        </is>
      </c>
      <c r="H1513" s="16" t="n">
        <v>699</v>
      </c>
      <c r="I1513" s="16" t="n">
        <v>699</v>
      </c>
      <c r="J1513" s="17" t="inlineStr">
        <is>
          <t>########</t>
        </is>
      </c>
      <c r="K1513" s="16" t="inlineStr">
        <is>
          <t>(55)Indigo</t>
        </is>
      </c>
      <c r="L1513" s="16" t="inlineStr">
        <is>
          <t>营业中</t>
        </is>
      </c>
      <c r="M1513" s="16" t="inlineStr">
        <is>
          <t>EETJG24E0455029</t>
        </is>
      </c>
      <c r="N1513" s="16">
        <f>LEFT(M1513,12)</f>
        <v/>
      </c>
      <c r="O1513" s="16" t="inlineStr">
        <is>
          <t>EETJG24E04, (55)Indigo, 29(170/72A)</t>
        </is>
      </c>
      <c r="P1513" s="16" t="n">
        <v>699</v>
      </c>
      <c r="Q1513" s="16" t="n">
        <v>699</v>
      </c>
      <c r="R1513" s="16" t="n"/>
      <c r="S1513" s="16" t="n"/>
      <c r="T1513" s="16" t="n">
        <v>2</v>
      </c>
    </row>
    <row r="1514" s="103">
      <c r="A1514" s="16" t="inlineStr">
        <is>
          <t>B331</t>
        </is>
      </c>
      <c r="B1514" s="16" t="inlineStr">
        <is>
          <t>上海区域</t>
        </is>
      </c>
      <c r="C1514" s="16" t="inlineStr">
        <is>
          <t>CN0Q</t>
        </is>
      </c>
      <c r="D1514" s="16" t="inlineStr">
        <is>
          <t>EE 苏州比斯特购物村</t>
        </is>
      </c>
      <c r="E1514" s="16" t="n">
        <v>4</v>
      </c>
      <c r="F1514" s="16" t="inlineStr">
        <is>
          <t>奥特莱斯</t>
        </is>
      </c>
      <c r="G1514" s="16" t="inlineStr">
        <is>
          <t>EETJG24E05</t>
        </is>
      </c>
      <c r="H1514" s="16" t="n">
        <v>699</v>
      </c>
      <c r="I1514" s="16" t="n">
        <v>599</v>
      </c>
      <c r="J1514" s="17" t="inlineStr">
        <is>
          <t>########</t>
        </is>
      </c>
      <c r="K1514" s="16" t="inlineStr">
        <is>
          <t>(36)L/Beige</t>
        </is>
      </c>
      <c r="L1514" s="16" t="inlineStr">
        <is>
          <t>营业中</t>
        </is>
      </c>
      <c r="M1514" s="16" t="inlineStr">
        <is>
          <t>EETJG24E0536026</t>
        </is>
      </c>
      <c r="N1514" s="16">
        <f>LEFT(M1514,12)</f>
        <v/>
      </c>
      <c r="O1514" s="16" t="inlineStr">
        <is>
          <t>EETJG24E05, (36)L/Beige, 26(160/66A)</t>
        </is>
      </c>
      <c r="P1514" s="16" t="n">
        <v>699</v>
      </c>
      <c r="Q1514" s="16" t="n">
        <v>599</v>
      </c>
      <c r="R1514" s="16" t="n"/>
      <c r="S1514" s="16" t="n"/>
      <c r="T1514" s="16" t="n">
        <v>2</v>
      </c>
    </row>
    <row r="1515" s="103">
      <c r="A1515" s="16" t="inlineStr">
        <is>
          <t>B331</t>
        </is>
      </c>
      <c r="B1515" s="16" t="inlineStr">
        <is>
          <t>上海区域</t>
        </is>
      </c>
      <c r="C1515" s="16" t="inlineStr">
        <is>
          <t>CN0Q</t>
        </is>
      </c>
      <c r="D1515" s="16" t="inlineStr">
        <is>
          <t>EE 苏州比斯特购物村</t>
        </is>
      </c>
      <c r="E1515" s="16" t="n">
        <v>4</v>
      </c>
      <c r="F1515" s="16" t="inlineStr">
        <is>
          <t>奥特莱斯</t>
        </is>
      </c>
      <c r="G1515" s="16" t="inlineStr">
        <is>
          <t>EETJG24E05</t>
        </is>
      </c>
      <c r="H1515" s="16" t="n">
        <v>699</v>
      </c>
      <c r="I1515" s="16" t="n">
        <v>599</v>
      </c>
      <c r="J1515" s="17" t="inlineStr">
        <is>
          <t>########</t>
        </is>
      </c>
      <c r="K1515" s="16" t="inlineStr">
        <is>
          <t>(36)L/Beige</t>
        </is>
      </c>
      <c r="L1515" s="16" t="inlineStr">
        <is>
          <t>营业中</t>
        </is>
      </c>
      <c r="M1515" s="16" t="inlineStr">
        <is>
          <t>EETJG24E0536027</t>
        </is>
      </c>
      <c r="N1515" s="16">
        <f>LEFT(M1515,12)</f>
        <v/>
      </c>
      <c r="O1515" s="16" t="inlineStr">
        <is>
          <t>EETJG24E05, (36)L/Beige, 27(165/68A)</t>
        </is>
      </c>
      <c r="P1515" s="16" t="n">
        <v>699</v>
      </c>
      <c r="Q1515" s="16" t="n">
        <v>599</v>
      </c>
      <c r="R1515" s="16" t="n">
        <v>1</v>
      </c>
      <c r="S1515" s="16" t="n">
        <v>392</v>
      </c>
      <c r="T1515" s="16" t="n">
        <v>2</v>
      </c>
    </row>
    <row r="1516" s="103">
      <c r="A1516" s="16" t="inlineStr">
        <is>
          <t>B331</t>
        </is>
      </c>
      <c r="B1516" s="16" t="inlineStr">
        <is>
          <t>上海区域</t>
        </is>
      </c>
      <c r="C1516" s="16" t="inlineStr">
        <is>
          <t>CN0Q</t>
        </is>
      </c>
      <c r="D1516" s="16" t="inlineStr">
        <is>
          <t>EE 苏州比斯特购物村</t>
        </is>
      </c>
      <c r="E1516" s="16" t="n">
        <v>4</v>
      </c>
      <c r="F1516" s="16" t="inlineStr">
        <is>
          <t>奥特莱斯</t>
        </is>
      </c>
      <c r="G1516" s="16" t="inlineStr">
        <is>
          <t>EETJG24E05</t>
        </is>
      </c>
      <c r="H1516" s="16" t="n">
        <v>699</v>
      </c>
      <c r="I1516" s="16" t="n">
        <v>599</v>
      </c>
      <c r="J1516" s="17" t="inlineStr">
        <is>
          <t>########</t>
        </is>
      </c>
      <c r="K1516" s="16" t="inlineStr">
        <is>
          <t>(36)L/Beige</t>
        </is>
      </c>
      <c r="L1516" s="16" t="inlineStr">
        <is>
          <t>营业中</t>
        </is>
      </c>
      <c r="M1516" s="16" t="inlineStr">
        <is>
          <t>EETJG24E0536028</t>
        </is>
      </c>
      <c r="N1516" s="16">
        <f>LEFT(M1516,12)</f>
        <v/>
      </c>
      <c r="O1516" s="16" t="inlineStr">
        <is>
          <t>EETJG24E05, (36)L/Beige, 28(165/70A)</t>
        </is>
      </c>
      <c r="P1516" s="16" t="n">
        <v>699</v>
      </c>
      <c r="Q1516" s="16" t="n">
        <v>599</v>
      </c>
      <c r="R1516" s="16" t="n">
        <v>1</v>
      </c>
      <c r="S1516" s="16" t="n">
        <v>382</v>
      </c>
      <c r="T1516" s="16" t="n">
        <v>2</v>
      </c>
    </row>
    <row r="1517" s="103">
      <c r="A1517" s="16" t="inlineStr">
        <is>
          <t>B331</t>
        </is>
      </c>
      <c r="B1517" s="16" t="inlineStr">
        <is>
          <t>上海区域</t>
        </is>
      </c>
      <c r="C1517" s="16" t="inlineStr">
        <is>
          <t>CN0Q</t>
        </is>
      </c>
      <c r="D1517" s="16" t="inlineStr">
        <is>
          <t>EE 苏州比斯特购物村</t>
        </is>
      </c>
      <c r="E1517" s="16" t="n">
        <v>4</v>
      </c>
      <c r="F1517" s="16" t="inlineStr">
        <is>
          <t>奥特莱斯</t>
        </is>
      </c>
      <c r="G1517" s="16" t="inlineStr">
        <is>
          <t>EETJG24E05</t>
        </is>
      </c>
      <c r="H1517" s="16" t="n">
        <v>699</v>
      </c>
      <c r="I1517" s="16" t="n">
        <v>599</v>
      </c>
      <c r="J1517" s="17" t="inlineStr">
        <is>
          <t>########</t>
        </is>
      </c>
      <c r="K1517" s="16" t="inlineStr">
        <is>
          <t>(36)L/Beige</t>
        </is>
      </c>
      <c r="L1517" s="16" t="inlineStr">
        <is>
          <t>营业中</t>
        </is>
      </c>
      <c r="M1517" s="16" t="inlineStr">
        <is>
          <t>EETJG24E0536029</t>
        </is>
      </c>
      <c r="N1517" s="16">
        <f>LEFT(M1517,12)</f>
        <v/>
      </c>
      <c r="O1517" s="16" t="inlineStr">
        <is>
          <t>EETJG24E05, (36)L/Beige, 29(170/72A)</t>
        </is>
      </c>
      <c r="P1517" s="16" t="n">
        <v>699</v>
      </c>
      <c r="Q1517" s="16" t="n">
        <v>599</v>
      </c>
      <c r="R1517" s="16" t="n"/>
      <c r="S1517" s="16" t="n"/>
      <c r="T1517" s="16" t="n">
        <v>1</v>
      </c>
    </row>
    <row r="1518" s="103">
      <c r="A1518" s="16" t="inlineStr">
        <is>
          <t>B331</t>
        </is>
      </c>
      <c r="B1518" s="16" t="inlineStr">
        <is>
          <t>上海区域</t>
        </is>
      </c>
      <c r="C1518" s="16" t="inlineStr">
        <is>
          <t>CN0Q</t>
        </is>
      </c>
      <c r="D1518" s="16" t="inlineStr">
        <is>
          <t>EE 苏州比斯特购物村</t>
        </is>
      </c>
      <c r="E1518" s="16" t="n">
        <v>4</v>
      </c>
      <c r="F1518" s="16" t="inlineStr">
        <is>
          <t>奥特莱斯</t>
        </is>
      </c>
      <c r="G1518" s="16" t="inlineStr">
        <is>
          <t>EETJG24E05</t>
        </is>
      </c>
      <c r="H1518" s="16" t="n">
        <v>699</v>
      </c>
      <c r="I1518" s="16" t="n">
        <v>599</v>
      </c>
      <c r="J1518" s="17" t="inlineStr">
        <is>
          <t>########</t>
        </is>
      </c>
      <c r="K1518" s="16" t="inlineStr">
        <is>
          <t>(56)L/Indigo</t>
        </is>
      </c>
      <c r="L1518" s="16" t="inlineStr">
        <is>
          <t>营业中</t>
        </is>
      </c>
      <c r="M1518" s="16" t="inlineStr">
        <is>
          <t>EETJG24E0556025</t>
        </is>
      </c>
      <c r="N1518" s="16">
        <f>LEFT(M1518,12)</f>
        <v/>
      </c>
      <c r="O1518" s="16" t="inlineStr">
        <is>
          <t>EETJG24E05, (56)L/Indigo, 25(155/64A)</t>
        </is>
      </c>
      <c r="P1518" s="16" t="n">
        <v>699</v>
      </c>
      <c r="Q1518" s="16" t="n">
        <v>599</v>
      </c>
      <c r="R1518" s="16" t="n">
        <v>3</v>
      </c>
      <c r="S1518" s="16" t="n">
        <v>801</v>
      </c>
      <c r="T1518" s="16" t="n">
        <v>1</v>
      </c>
    </row>
    <row r="1519" s="103">
      <c r="A1519" s="16" t="inlineStr">
        <is>
          <t>B331</t>
        </is>
      </c>
      <c r="B1519" s="16" t="inlineStr">
        <is>
          <t>上海区域</t>
        </is>
      </c>
      <c r="C1519" s="16" t="inlineStr">
        <is>
          <t>CN0Q</t>
        </is>
      </c>
      <c r="D1519" s="16" t="inlineStr">
        <is>
          <t>EE 苏州比斯特购物村</t>
        </is>
      </c>
      <c r="E1519" s="16" t="n">
        <v>4</v>
      </c>
      <c r="F1519" s="16" t="inlineStr">
        <is>
          <t>奥特莱斯</t>
        </is>
      </c>
      <c r="G1519" s="16" t="inlineStr">
        <is>
          <t>EETJG24E05</t>
        </is>
      </c>
      <c r="H1519" s="16" t="n">
        <v>699</v>
      </c>
      <c r="I1519" s="16" t="n">
        <v>599</v>
      </c>
      <c r="J1519" s="17" t="inlineStr">
        <is>
          <t>########</t>
        </is>
      </c>
      <c r="K1519" s="16" t="inlineStr">
        <is>
          <t>(56)L/Indigo</t>
        </is>
      </c>
      <c r="L1519" s="16" t="inlineStr">
        <is>
          <t>营业中</t>
        </is>
      </c>
      <c r="M1519" s="16" t="inlineStr">
        <is>
          <t>EETJG24E0556026</t>
        </is>
      </c>
      <c r="N1519" s="16">
        <f>LEFT(M1519,12)</f>
        <v/>
      </c>
      <c r="O1519" s="16" t="inlineStr">
        <is>
          <t>EETJG24E05, (56)L/Indigo, 26(160/66A)</t>
        </is>
      </c>
      <c r="P1519" s="16" t="n">
        <v>699</v>
      </c>
      <c r="Q1519" s="16" t="n">
        <v>599</v>
      </c>
      <c r="R1519" s="16" t="n">
        <v>6</v>
      </c>
      <c r="S1519" s="18" t="n">
        <v>1587</v>
      </c>
      <c r="T1519" s="16" t="n">
        <v>6</v>
      </c>
    </row>
    <row r="1520" s="103">
      <c r="A1520" s="16" t="inlineStr">
        <is>
          <t>B331</t>
        </is>
      </c>
      <c r="B1520" s="16" t="inlineStr">
        <is>
          <t>上海区域</t>
        </is>
      </c>
      <c r="C1520" s="16" t="inlineStr">
        <is>
          <t>CN0Q</t>
        </is>
      </c>
      <c r="D1520" s="16" t="inlineStr">
        <is>
          <t>EE 苏州比斯特购物村</t>
        </is>
      </c>
      <c r="E1520" s="16" t="n">
        <v>4</v>
      </c>
      <c r="F1520" s="16" t="inlineStr">
        <is>
          <t>奥特莱斯</t>
        </is>
      </c>
      <c r="G1520" s="16" t="inlineStr">
        <is>
          <t>EETJG24E05</t>
        </is>
      </c>
      <c r="H1520" s="16" t="n">
        <v>699</v>
      </c>
      <c r="I1520" s="16" t="n">
        <v>599</v>
      </c>
      <c r="J1520" s="17" t="inlineStr">
        <is>
          <t>########</t>
        </is>
      </c>
      <c r="K1520" s="16" t="inlineStr">
        <is>
          <t>(56)L/Indigo</t>
        </is>
      </c>
      <c r="L1520" s="16" t="inlineStr">
        <is>
          <t>营业中</t>
        </is>
      </c>
      <c r="M1520" s="16" t="inlineStr">
        <is>
          <t>EETJG24E0556027</t>
        </is>
      </c>
      <c r="N1520" s="16">
        <f>LEFT(M1520,12)</f>
        <v/>
      </c>
      <c r="O1520" s="16" t="inlineStr">
        <is>
          <t>EETJG24E05, (56)L/Indigo, 27(165/68A)</t>
        </is>
      </c>
      <c r="P1520" s="16" t="n">
        <v>699</v>
      </c>
      <c r="Q1520" s="16" t="n">
        <v>599</v>
      </c>
      <c r="R1520" s="16" t="n">
        <v>2</v>
      </c>
      <c r="S1520" s="16" t="n">
        <v>770</v>
      </c>
      <c r="T1520" s="16" t="n">
        <v>2</v>
      </c>
    </row>
    <row r="1521" s="103">
      <c r="A1521" s="16" t="inlineStr">
        <is>
          <t>B331</t>
        </is>
      </c>
      <c r="B1521" s="16" t="inlineStr">
        <is>
          <t>上海区域</t>
        </is>
      </c>
      <c r="C1521" s="16" t="inlineStr">
        <is>
          <t>CN0Q</t>
        </is>
      </c>
      <c r="D1521" s="16" t="inlineStr">
        <is>
          <t>EE 苏州比斯特购物村</t>
        </is>
      </c>
      <c r="E1521" s="16" t="n">
        <v>4</v>
      </c>
      <c r="F1521" s="16" t="inlineStr">
        <is>
          <t>奥特莱斯</t>
        </is>
      </c>
      <c r="G1521" s="16" t="inlineStr">
        <is>
          <t>EETJG24E05</t>
        </is>
      </c>
      <c r="H1521" s="16" t="n">
        <v>699</v>
      </c>
      <c r="I1521" s="16" t="n">
        <v>599</v>
      </c>
      <c r="J1521" s="17" t="inlineStr">
        <is>
          <t>########</t>
        </is>
      </c>
      <c r="K1521" s="16" t="inlineStr">
        <is>
          <t>(56)L/Indigo</t>
        </is>
      </c>
      <c r="L1521" s="16" t="inlineStr">
        <is>
          <t>营业中</t>
        </is>
      </c>
      <c r="M1521" s="16" t="inlineStr">
        <is>
          <t>EETJG24E0556028</t>
        </is>
      </c>
      <c r="N1521" s="16">
        <f>LEFT(M1521,12)</f>
        <v/>
      </c>
      <c r="O1521" s="16" t="inlineStr">
        <is>
          <t>EETJG24E05, (56)L/Indigo, 28(165/70A)</t>
        </is>
      </c>
      <c r="P1521" s="16" t="n">
        <v>699</v>
      </c>
      <c r="Q1521" s="16" t="n">
        <v>599</v>
      </c>
      <c r="R1521" s="16" t="n">
        <v>4</v>
      </c>
      <c r="S1521" s="18" t="n">
        <v>1188</v>
      </c>
      <c r="T1521" s="16" t="n">
        <v>2</v>
      </c>
    </row>
    <row r="1522" s="103">
      <c r="A1522" s="16" t="inlineStr">
        <is>
          <t>B331</t>
        </is>
      </c>
      <c r="B1522" s="16" t="inlineStr">
        <is>
          <t>上海区域</t>
        </is>
      </c>
      <c r="C1522" s="16" t="inlineStr">
        <is>
          <t>CN0Q</t>
        </is>
      </c>
      <c r="D1522" s="16" t="inlineStr">
        <is>
          <t>EE 苏州比斯特购物村</t>
        </is>
      </c>
      <c r="E1522" s="16" t="n">
        <v>4</v>
      </c>
      <c r="F1522" s="16" t="inlineStr">
        <is>
          <t>奥特莱斯</t>
        </is>
      </c>
      <c r="G1522" s="16" t="inlineStr">
        <is>
          <t>EETJG24E05</t>
        </is>
      </c>
      <c r="H1522" s="16" t="n">
        <v>699</v>
      </c>
      <c r="I1522" s="16" t="n">
        <v>599</v>
      </c>
      <c r="J1522" s="17" t="inlineStr">
        <is>
          <t>########</t>
        </is>
      </c>
      <c r="K1522" s="16" t="inlineStr">
        <is>
          <t>(56)L/Indigo</t>
        </is>
      </c>
      <c r="L1522" s="16" t="inlineStr">
        <is>
          <t>营业中</t>
        </is>
      </c>
      <c r="M1522" s="16" t="inlineStr">
        <is>
          <t>EETJG24E0556029</t>
        </is>
      </c>
      <c r="N1522" s="16">
        <f>LEFT(M1522,12)</f>
        <v/>
      </c>
      <c r="O1522" s="16" t="inlineStr">
        <is>
          <t>EETJG24E05, (56)L/Indigo, 29(170/72A)</t>
        </is>
      </c>
      <c r="P1522" s="16" t="n">
        <v>699</v>
      </c>
      <c r="Q1522" s="16" t="n">
        <v>599</v>
      </c>
      <c r="R1522" s="16" t="n">
        <v>1</v>
      </c>
      <c r="S1522" s="16" t="n">
        <v>378</v>
      </c>
      <c r="T1522" s="16" t="n">
        <v>0</v>
      </c>
    </row>
    <row r="1523" s="103">
      <c r="A1523" s="16" t="inlineStr">
        <is>
          <t>B331</t>
        </is>
      </c>
      <c r="B1523" s="16" t="inlineStr">
        <is>
          <t>上海区域</t>
        </is>
      </c>
      <c r="C1523" s="16" t="inlineStr">
        <is>
          <t>CN0Q</t>
        </is>
      </c>
      <c r="D1523" s="16" t="inlineStr">
        <is>
          <t>EE 苏州比斯特购物村</t>
        </is>
      </c>
      <c r="E1523" s="16" t="n">
        <v>4</v>
      </c>
      <c r="F1523" s="16" t="inlineStr">
        <is>
          <t>奥特莱斯</t>
        </is>
      </c>
      <c r="G1523" s="16" t="inlineStr">
        <is>
          <t>EETJG24E05</t>
        </is>
      </c>
      <c r="H1523" s="16" t="n">
        <v>699</v>
      </c>
      <c r="I1523" s="16" t="n">
        <v>599</v>
      </c>
      <c r="J1523" s="17" t="inlineStr">
        <is>
          <t>########</t>
        </is>
      </c>
      <c r="K1523" s="16" t="inlineStr">
        <is>
          <t>(57)D/Indigo</t>
        </is>
      </c>
      <c r="L1523" s="16" t="inlineStr">
        <is>
          <t>营业中</t>
        </is>
      </c>
      <c r="M1523" s="16" t="inlineStr">
        <is>
          <t>EETJG24E0557026</t>
        </is>
      </c>
      <c r="N1523" s="16">
        <f>LEFT(M1523,12)</f>
        <v/>
      </c>
      <c r="O1523" s="16" t="inlineStr">
        <is>
          <t>EETJG24E05, (57)D/Indigo, 26(160/66A)</t>
        </is>
      </c>
      <c r="P1523" s="16" t="n">
        <v>699</v>
      </c>
      <c r="Q1523" s="16" t="n">
        <v>599</v>
      </c>
      <c r="R1523" s="16" t="n">
        <v>1</v>
      </c>
      <c r="S1523" s="16" t="n">
        <v>393</v>
      </c>
      <c r="T1523" s="16" t="n">
        <v>1</v>
      </c>
    </row>
    <row r="1524" s="103">
      <c r="A1524" s="16" t="inlineStr">
        <is>
          <t>B331</t>
        </is>
      </c>
      <c r="B1524" s="16" t="inlineStr">
        <is>
          <t>上海区域</t>
        </is>
      </c>
      <c r="C1524" s="16" t="inlineStr">
        <is>
          <t>CN0Q</t>
        </is>
      </c>
      <c r="D1524" s="16" t="inlineStr">
        <is>
          <t>EE 苏州比斯特购物村</t>
        </is>
      </c>
      <c r="E1524" s="16" t="n">
        <v>4</v>
      </c>
      <c r="F1524" s="16" t="inlineStr">
        <is>
          <t>奥特莱斯</t>
        </is>
      </c>
      <c r="G1524" s="16" t="inlineStr">
        <is>
          <t>EETJG24E05</t>
        </is>
      </c>
      <c r="H1524" s="16" t="n">
        <v>699</v>
      </c>
      <c r="I1524" s="16" t="n">
        <v>599</v>
      </c>
      <c r="J1524" s="17" t="inlineStr">
        <is>
          <t>########</t>
        </is>
      </c>
      <c r="K1524" s="16" t="inlineStr">
        <is>
          <t>(57)D/Indigo</t>
        </is>
      </c>
      <c r="L1524" s="16" t="inlineStr">
        <is>
          <t>营业中</t>
        </is>
      </c>
      <c r="M1524" s="16" t="inlineStr">
        <is>
          <t>EETJG24E0557027</t>
        </is>
      </c>
      <c r="N1524" s="16">
        <f>LEFT(M1524,12)</f>
        <v/>
      </c>
      <c r="O1524" s="16" t="inlineStr">
        <is>
          <t>EETJG24E05, (57)D/Indigo, 27(165/68A)</t>
        </is>
      </c>
      <c r="P1524" s="16" t="n">
        <v>699</v>
      </c>
      <c r="Q1524" s="16" t="n">
        <v>599</v>
      </c>
      <c r="R1524" s="16" t="n">
        <v>1</v>
      </c>
      <c r="S1524" s="16" t="n">
        <v>391</v>
      </c>
      <c r="T1524" s="16" t="n">
        <v>2</v>
      </c>
    </row>
    <row r="1525" s="103">
      <c r="A1525" s="16" t="inlineStr">
        <is>
          <t>B331</t>
        </is>
      </c>
      <c r="B1525" s="16" t="inlineStr">
        <is>
          <t>上海区域</t>
        </is>
      </c>
      <c r="C1525" s="16" t="inlineStr">
        <is>
          <t>CN0Q</t>
        </is>
      </c>
      <c r="D1525" s="16" t="inlineStr">
        <is>
          <t>EE 苏州比斯特购物村</t>
        </is>
      </c>
      <c r="E1525" s="16" t="n">
        <v>4</v>
      </c>
      <c r="F1525" s="16" t="inlineStr">
        <is>
          <t>奥特莱斯</t>
        </is>
      </c>
      <c r="G1525" s="16" t="inlineStr">
        <is>
          <t>EETJG24E05</t>
        </is>
      </c>
      <c r="H1525" s="16" t="n">
        <v>699</v>
      </c>
      <c r="I1525" s="16" t="n">
        <v>599</v>
      </c>
      <c r="J1525" s="17" t="inlineStr">
        <is>
          <t>########</t>
        </is>
      </c>
      <c r="K1525" s="16" t="inlineStr">
        <is>
          <t>(57)D/Indigo</t>
        </is>
      </c>
      <c r="L1525" s="16" t="inlineStr">
        <is>
          <t>营业中</t>
        </is>
      </c>
      <c r="M1525" s="16" t="inlineStr">
        <is>
          <t>EETJG24E0557028</t>
        </is>
      </c>
      <c r="N1525" s="16">
        <f>LEFT(M1525,12)</f>
        <v/>
      </c>
      <c r="O1525" s="16" t="inlineStr">
        <is>
          <t>EETJG24E05, (57)D/Indigo, 28(165/70A)</t>
        </is>
      </c>
      <c r="P1525" s="16" t="n">
        <v>699</v>
      </c>
      <c r="Q1525" s="16" t="n">
        <v>599</v>
      </c>
      <c r="R1525" s="16" t="n">
        <v>2</v>
      </c>
      <c r="S1525" s="16" t="n">
        <v>799</v>
      </c>
      <c r="T1525" s="16" t="n">
        <v>2</v>
      </c>
    </row>
    <row r="1526" s="103">
      <c r="A1526" s="16" t="inlineStr">
        <is>
          <t>B331</t>
        </is>
      </c>
      <c r="B1526" s="16" t="inlineStr">
        <is>
          <t>上海区域</t>
        </is>
      </c>
      <c r="C1526" s="16" t="inlineStr">
        <is>
          <t>CN0Q</t>
        </is>
      </c>
      <c r="D1526" s="16" t="inlineStr">
        <is>
          <t>EE 苏州比斯特购物村</t>
        </is>
      </c>
      <c r="E1526" s="16" t="n">
        <v>4</v>
      </c>
      <c r="F1526" s="16" t="inlineStr">
        <is>
          <t>奥特莱斯</t>
        </is>
      </c>
      <c r="G1526" s="16" t="inlineStr">
        <is>
          <t>EETJG24E05</t>
        </is>
      </c>
      <c r="H1526" s="16" t="n">
        <v>699</v>
      </c>
      <c r="I1526" s="16" t="n">
        <v>599</v>
      </c>
      <c r="J1526" s="17" t="inlineStr">
        <is>
          <t>########</t>
        </is>
      </c>
      <c r="K1526" s="16" t="inlineStr">
        <is>
          <t>(57)D/Indigo</t>
        </is>
      </c>
      <c r="L1526" s="16" t="inlineStr">
        <is>
          <t>营业中</t>
        </is>
      </c>
      <c r="M1526" s="16" t="inlineStr">
        <is>
          <t>EETJG24E0557029</t>
        </is>
      </c>
      <c r="N1526" s="16">
        <f>LEFT(M1526,12)</f>
        <v/>
      </c>
      <c r="O1526" s="16" t="inlineStr">
        <is>
          <t>EETJG24E05, (57)D/Indigo, 29(170/72A)</t>
        </is>
      </c>
      <c r="P1526" s="16" t="n">
        <v>699</v>
      </c>
      <c r="Q1526" s="16" t="n">
        <v>599</v>
      </c>
      <c r="R1526" s="16" t="n"/>
      <c r="S1526" s="16" t="n"/>
      <c r="T1526" s="16" t="n">
        <v>1</v>
      </c>
    </row>
    <row r="1527" s="103">
      <c r="A1527" s="16" t="inlineStr">
        <is>
          <t>B331</t>
        </is>
      </c>
      <c r="B1527" s="16" t="inlineStr">
        <is>
          <t>上海区域</t>
        </is>
      </c>
      <c r="C1527" s="16" t="inlineStr">
        <is>
          <t>CN0Q</t>
        </is>
      </c>
      <c r="D1527" s="16" t="inlineStr">
        <is>
          <t>EE 苏州比斯特购物村</t>
        </is>
      </c>
      <c r="E1527" s="16" t="n">
        <v>4</v>
      </c>
      <c r="F1527" s="16" t="inlineStr">
        <is>
          <t>奥特莱斯</t>
        </is>
      </c>
      <c r="G1527" s="16" t="inlineStr">
        <is>
          <t>EETJG24E06</t>
        </is>
      </c>
      <c r="H1527" s="16" t="n">
        <v>599</v>
      </c>
      <c r="I1527" s="16" t="n">
        <v>599</v>
      </c>
      <c r="J1527" s="17" t="inlineStr">
        <is>
          <t>########</t>
        </is>
      </c>
      <c r="K1527" s="16" t="inlineStr">
        <is>
          <t>(39)Ivory</t>
        </is>
      </c>
      <c r="L1527" s="16" t="inlineStr">
        <is>
          <t>营业中</t>
        </is>
      </c>
      <c r="M1527" s="16" t="inlineStr">
        <is>
          <t>EETJG24E0639026</t>
        </is>
      </c>
      <c r="N1527" s="16">
        <f>LEFT(M1527,12)</f>
        <v/>
      </c>
      <c r="O1527" s="16" t="inlineStr">
        <is>
          <t>EETJG24E06, (39)Ivory, 26(160/66A)</t>
        </is>
      </c>
      <c r="P1527" s="16" t="n">
        <v>599</v>
      </c>
      <c r="Q1527" s="16" t="n">
        <v>599</v>
      </c>
      <c r="R1527" s="16" t="n">
        <v>2</v>
      </c>
      <c r="S1527" s="16" t="n">
        <v>388</v>
      </c>
      <c r="T1527" s="16" t="n">
        <v>2</v>
      </c>
    </row>
    <row r="1528" s="103">
      <c r="A1528" s="16" t="inlineStr">
        <is>
          <t>B331</t>
        </is>
      </c>
      <c r="B1528" s="16" t="inlineStr">
        <is>
          <t>上海区域</t>
        </is>
      </c>
      <c r="C1528" s="16" t="inlineStr">
        <is>
          <t>CN0Q</t>
        </is>
      </c>
      <c r="D1528" s="16" t="inlineStr">
        <is>
          <t>EE 苏州比斯特购物村</t>
        </is>
      </c>
      <c r="E1528" s="16" t="n">
        <v>4</v>
      </c>
      <c r="F1528" s="16" t="inlineStr">
        <is>
          <t>奥特莱斯</t>
        </is>
      </c>
      <c r="G1528" s="16" t="inlineStr">
        <is>
          <t>EETJG24E06</t>
        </is>
      </c>
      <c r="H1528" s="16" t="n">
        <v>599</v>
      </c>
      <c r="I1528" s="16" t="n">
        <v>599</v>
      </c>
      <c r="J1528" s="17" t="inlineStr">
        <is>
          <t>########</t>
        </is>
      </c>
      <c r="K1528" s="16" t="inlineStr">
        <is>
          <t>(39)Ivory</t>
        </is>
      </c>
      <c r="L1528" s="16" t="inlineStr">
        <is>
          <t>营业中</t>
        </is>
      </c>
      <c r="M1528" s="16" t="inlineStr">
        <is>
          <t>EETJG24E0639027</t>
        </is>
      </c>
      <c r="N1528" s="16">
        <f>LEFT(M1528,12)</f>
        <v/>
      </c>
      <c r="O1528" s="16" t="inlineStr">
        <is>
          <t>EETJG24E06, (39)Ivory, 27(165/68A)</t>
        </is>
      </c>
      <c r="P1528" s="16" t="n">
        <v>599</v>
      </c>
      <c r="Q1528" s="16" t="n">
        <v>599</v>
      </c>
      <c r="R1528" s="16" t="n">
        <v>1</v>
      </c>
      <c r="S1528" s="16" t="n">
        <v>382</v>
      </c>
      <c r="T1528" s="16" t="n">
        <v>1</v>
      </c>
    </row>
    <row r="1529" s="103">
      <c r="A1529" s="16" t="inlineStr">
        <is>
          <t>B331</t>
        </is>
      </c>
      <c r="B1529" s="16" t="inlineStr">
        <is>
          <t>上海区域</t>
        </is>
      </c>
      <c r="C1529" s="16" t="inlineStr">
        <is>
          <t>CN0Q</t>
        </is>
      </c>
      <c r="D1529" s="16" t="inlineStr">
        <is>
          <t>EE 苏州比斯特购物村</t>
        </is>
      </c>
      <c r="E1529" s="16" t="n">
        <v>4</v>
      </c>
      <c r="F1529" s="16" t="inlineStr">
        <is>
          <t>奥特莱斯</t>
        </is>
      </c>
      <c r="G1529" s="16" t="inlineStr">
        <is>
          <t>EETJG24E06</t>
        </is>
      </c>
      <c r="H1529" s="16" t="n">
        <v>599</v>
      </c>
      <c r="I1529" s="16" t="n">
        <v>599</v>
      </c>
      <c r="J1529" s="17" t="inlineStr">
        <is>
          <t>########</t>
        </is>
      </c>
      <c r="K1529" s="16" t="inlineStr">
        <is>
          <t>(39)Ivory</t>
        </is>
      </c>
      <c r="L1529" s="16" t="inlineStr">
        <is>
          <t>营业中</t>
        </is>
      </c>
      <c r="M1529" s="16" t="inlineStr">
        <is>
          <t>EETJG24E0639028</t>
        </is>
      </c>
      <c r="N1529" s="16">
        <f>LEFT(M1529,12)</f>
        <v/>
      </c>
      <c r="O1529" s="16" t="inlineStr">
        <is>
          <t>EETJG24E06, (39)Ivory, 28(165/70A)</t>
        </is>
      </c>
      <c r="P1529" s="16" t="n">
        <v>599</v>
      </c>
      <c r="Q1529" s="16" t="n">
        <v>599</v>
      </c>
      <c r="R1529" s="16" t="n">
        <v>1</v>
      </c>
      <c r="S1529" s="16" t="n">
        <v>387</v>
      </c>
      <c r="T1529" s="16" t="n">
        <v>1</v>
      </c>
    </row>
    <row r="1530" s="103">
      <c r="A1530" s="16" t="inlineStr">
        <is>
          <t>B331</t>
        </is>
      </c>
      <c r="B1530" s="16" t="inlineStr">
        <is>
          <t>上海区域</t>
        </is>
      </c>
      <c r="C1530" s="16" t="inlineStr">
        <is>
          <t>CN0Q</t>
        </is>
      </c>
      <c r="D1530" s="16" t="inlineStr">
        <is>
          <t>EE 苏州比斯特购物村</t>
        </is>
      </c>
      <c r="E1530" s="16" t="n">
        <v>4</v>
      </c>
      <c r="F1530" s="16" t="inlineStr">
        <is>
          <t>奥特莱斯</t>
        </is>
      </c>
      <c r="G1530" s="16" t="inlineStr">
        <is>
          <t>EETJG24E06</t>
        </is>
      </c>
      <c r="H1530" s="16" t="n">
        <v>599</v>
      </c>
      <c r="I1530" s="16" t="n">
        <v>599</v>
      </c>
      <c r="J1530" s="17" t="inlineStr">
        <is>
          <t>########</t>
        </is>
      </c>
      <c r="K1530" s="16" t="inlineStr">
        <is>
          <t>(39)Ivory</t>
        </is>
      </c>
      <c r="L1530" s="16" t="inlineStr">
        <is>
          <t>营业中</t>
        </is>
      </c>
      <c r="M1530" s="16" t="inlineStr">
        <is>
          <t>EETJG24E0639029</t>
        </is>
      </c>
      <c r="N1530" s="16">
        <f>LEFT(M1530,12)</f>
        <v/>
      </c>
      <c r="O1530" s="16" t="inlineStr">
        <is>
          <t>EETJG24E06, (39)Ivory, 29(170/72A)</t>
        </is>
      </c>
      <c r="P1530" s="16" t="n">
        <v>599</v>
      </c>
      <c r="Q1530" s="16" t="n">
        <v>599</v>
      </c>
      <c r="R1530" s="16" t="n"/>
      <c r="S1530" s="16" t="n"/>
      <c r="T1530" s="16" t="n">
        <v>1</v>
      </c>
    </row>
    <row r="1531" s="103">
      <c r="A1531" s="16" t="inlineStr">
        <is>
          <t>B331</t>
        </is>
      </c>
      <c r="B1531" s="16" t="inlineStr">
        <is>
          <t>上海区域</t>
        </is>
      </c>
      <c r="C1531" s="16" t="inlineStr">
        <is>
          <t>CN0Q</t>
        </is>
      </c>
      <c r="D1531" s="16" t="inlineStr">
        <is>
          <t>EE 苏州比斯特购物村</t>
        </is>
      </c>
      <c r="E1531" s="16" t="n">
        <v>4</v>
      </c>
      <c r="F1531" s="16" t="inlineStr">
        <is>
          <t>奥特莱斯</t>
        </is>
      </c>
      <c r="G1531" s="16" t="inlineStr">
        <is>
          <t>EETJG24E06</t>
        </is>
      </c>
      <c r="H1531" s="16" t="n">
        <v>599</v>
      </c>
      <c r="I1531" s="16" t="n">
        <v>599</v>
      </c>
      <c r="J1531" s="17" t="inlineStr">
        <is>
          <t>########</t>
        </is>
      </c>
      <c r="K1531" s="16" t="inlineStr">
        <is>
          <t>(55)Indigo</t>
        </is>
      </c>
      <c r="L1531" s="16" t="inlineStr">
        <is>
          <t>营业中</t>
        </is>
      </c>
      <c r="M1531" s="16" t="inlineStr">
        <is>
          <t>EETJG24E0655026</t>
        </is>
      </c>
      <c r="N1531" s="16">
        <f>LEFT(M1531,12)</f>
        <v/>
      </c>
      <c r="O1531" s="16" t="inlineStr">
        <is>
          <t>EETJG24E06, (55)Indigo, 26(160/66A)</t>
        </is>
      </c>
      <c r="P1531" s="16" t="n">
        <v>599</v>
      </c>
      <c r="Q1531" s="16" t="n">
        <v>599</v>
      </c>
      <c r="R1531" s="16" t="n"/>
      <c r="S1531" s="16" t="n"/>
      <c r="T1531" s="16" t="n">
        <v>2</v>
      </c>
    </row>
    <row r="1532" s="103">
      <c r="A1532" s="16" t="inlineStr">
        <is>
          <t>B331</t>
        </is>
      </c>
      <c r="B1532" s="16" t="inlineStr">
        <is>
          <t>上海区域</t>
        </is>
      </c>
      <c r="C1532" s="16" t="inlineStr">
        <is>
          <t>CN0Q</t>
        </is>
      </c>
      <c r="D1532" s="16" t="inlineStr">
        <is>
          <t>EE 苏州比斯特购物村</t>
        </is>
      </c>
      <c r="E1532" s="16" t="n">
        <v>4</v>
      </c>
      <c r="F1532" s="16" t="inlineStr">
        <is>
          <t>奥特莱斯</t>
        </is>
      </c>
      <c r="G1532" s="16" t="inlineStr">
        <is>
          <t>EETJG24E06</t>
        </is>
      </c>
      <c r="H1532" s="16" t="n">
        <v>599</v>
      </c>
      <c r="I1532" s="16" t="n">
        <v>599</v>
      </c>
      <c r="J1532" s="17" t="inlineStr">
        <is>
          <t>########</t>
        </is>
      </c>
      <c r="K1532" s="16" t="inlineStr">
        <is>
          <t>(55)Indigo</t>
        </is>
      </c>
      <c r="L1532" s="16" t="inlineStr">
        <is>
          <t>营业中</t>
        </is>
      </c>
      <c r="M1532" s="16" t="inlineStr">
        <is>
          <t>EETJG24E0655027</t>
        </is>
      </c>
      <c r="N1532" s="16">
        <f>LEFT(M1532,12)</f>
        <v/>
      </c>
      <c r="O1532" s="16" t="inlineStr">
        <is>
          <t>EETJG24E06, (55)Indigo, 27(165/68A)</t>
        </is>
      </c>
      <c r="P1532" s="16" t="n">
        <v>599</v>
      </c>
      <c r="Q1532" s="16" t="n">
        <v>599</v>
      </c>
      <c r="R1532" s="16" t="n">
        <v>1</v>
      </c>
      <c r="S1532" s="16" t="n">
        <v>381</v>
      </c>
      <c r="T1532" s="16" t="n">
        <v>1</v>
      </c>
    </row>
    <row r="1533" s="103">
      <c r="A1533" s="16" t="inlineStr">
        <is>
          <t>B331</t>
        </is>
      </c>
      <c r="B1533" s="16" t="inlineStr">
        <is>
          <t>上海区域</t>
        </is>
      </c>
      <c r="C1533" s="16" t="inlineStr">
        <is>
          <t>CN0Q</t>
        </is>
      </c>
      <c r="D1533" s="16" t="inlineStr">
        <is>
          <t>EE 苏州比斯特购物村</t>
        </is>
      </c>
      <c r="E1533" s="16" t="n">
        <v>4</v>
      </c>
      <c r="F1533" s="16" t="inlineStr">
        <is>
          <t>奥特莱斯</t>
        </is>
      </c>
      <c r="G1533" s="16" t="inlineStr">
        <is>
          <t>EETJG24E06</t>
        </is>
      </c>
      <c r="H1533" s="16" t="n">
        <v>599</v>
      </c>
      <c r="I1533" s="16" t="n">
        <v>599</v>
      </c>
      <c r="J1533" s="17" t="inlineStr">
        <is>
          <t>########</t>
        </is>
      </c>
      <c r="K1533" s="16" t="inlineStr">
        <is>
          <t>(55)Indigo</t>
        </is>
      </c>
      <c r="L1533" s="16" t="inlineStr">
        <is>
          <t>营业中</t>
        </is>
      </c>
      <c r="M1533" s="16" t="inlineStr">
        <is>
          <t>EETJG24E0655028</t>
        </is>
      </c>
      <c r="N1533" s="16">
        <f>LEFT(M1533,12)</f>
        <v/>
      </c>
      <c r="O1533" s="16" t="inlineStr">
        <is>
          <t>EETJG24E06, (55)Indigo, 28(165/70A)</t>
        </is>
      </c>
      <c r="P1533" s="16" t="n">
        <v>599</v>
      </c>
      <c r="Q1533" s="16" t="n">
        <v>599</v>
      </c>
      <c r="R1533" s="16" t="n">
        <v>1</v>
      </c>
      <c r="S1533" s="16" t="n">
        <v>180</v>
      </c>
      <c r="T1533" s="16" t="n">
        <v>1</v>
      </c>
    </row>
    <row r="1534" s="103">
      <c r="A1534" s="16" t="inlineStr">
        <is>
          <t>B331</t>
        </is>
      </c>
      <c r="B1534" s="16" t="inlineStr">
        <is>
          <t>上海区域</t>
        </is>
      </c>
      <c r="C1534" s="16" t="inlineStr">
        <is>
          <t>CN0Q</t>
        </is>
      </c>
      <c r="D1534" s="16" t="inlineStr">
        <is>
          <t>EE 苏州比斯特购物村</t>
        </is>
      </c>
      <c r="E1534" s="16" t="n">
        <v>4</v>
      </c>
      <c r="F1534" s="16" t="inlineStr">
        <is>
          <t>奥特莱斯</t>
        </is>
      </c>
      <c r="G1534" s="16" t="inlineStr">
        <is>
          <t>EETJG24E06</t>
        </is>
      </c>
      <c r="H1534" s="16" t="n">
        <v>599</v>
      </c>
      <c r="I1534" s="16" t="n">
        <v>599</v>
      </c>
      <c r="J1534" s="17" t="inlineStr">
        <is>
          <t>########</t>
        </is>
      </c>
      <c r="K1534" s="16" t="inlineStr">
        <is>
          <t>(55)Indigo</t>
        </is>
      </c>
      <c r="L1534" s="16" t="inlineStr">
        <is>
          <t>营业中</t>
        </is>
      </c>
      <c r="M1534" s="16" t="inlineStr">
        <is>
          <t>EETJG24E0655029</t>
        </is>
      </c>
      <c r="N1534" s="16">
        <f>LEFT(M1534,12)</f>
        <v/>
      </c>
      <c r="O1534" s="16" t="inlineStr">
        <is>
          <t>EETJG24E06, (55)Indigo, 29(170/72A)</t>
        </is>
      </c>
      <c r="P1534" s="16" t="n">
        <v>599</v>
      </c>
      <c r="Q1534" s="16" t="n">
        <v>599</v>
      </c>
      <c r="R1534" s="16" t="n"/>
      <c r="S1534" s="16" t="n"/>
      <c r="T1534" s="16" t="n">
        <v>1</v>
      </c>
    </row>
    <row r="1535" s="103">
      <c r="A1535" s="16" t="inlineStr">
        <is>
          <t>B331</t>
        </is>
      </c>
      <c r="B1535" s="16" t="inlineStr">
        <is>
          <t>上海区域</t>
        </is>
      </c>
      <c r="C1535" s="16" t="inlineStr">
        <is>
          <t>CN0Q</t>
        </is>
      </c>
      <c r="D1535" s="16" t="inlineStr">
        <is>
          <t>EE 苏州比斯特购物村</t>
        </is>
      </c>
      <c r="E1535" s="16" t="n">
        <v>4</v>
      </c>
      <c r="F1535" s="16" t="inlineStr">
        <is>
          <t>奥特莱斯</t>
        </is>
      </c>
      <c r="G1535" s="16" t="inlineStr">
        <is>
          <t>EETJG25B03</t>
        </is>
      </c>
      <c r="H1535" s="16" t="n">
        <v>999</v>
      </c>
      <c r="I1535" s="16" t="n">
        <v>999</v>
      </c>
      <c r="J1535" s="17" t="inlineStr">
        <is>
          <t>########</t>
        </is>
      </c>
      <c r="K1535" s="16" t="inlineStr">
        <is>
          <t>(55)Indigo</t>
        </is>
      </c>
      <c r="L1535" s="16" t="inlineStr">
        <is>
          <t>营业中</t>
        </is>
      </c>
      <c r="M1535" s="16" t="inlineStr">
        <is>
          <t>EETJG25B0355025</t>
        </is>
      </c>
      <c r="N1535" s="16">
        <f>LEFT(M1535,12)</f>
        <v/>
      </c>
      <c r="O1535" s="16" t="inlineStr">
        <is>
          <t>EETJG25B03, (55)Indigo, 25(155/64A)</t>
        </is>
      </c>
      <c r="P1535" s="16" t="n">
        <v>999</v>
      </c>
      <c r="Q1535" s="16" t="n">
        <v>999</v>
      </c>
      <c r="R1535" s="16" t="n">
        <v>1</v>
      </c>
      <c r="S1535" s="16" t="n">
        <v>699</v>
      </c>
      <c r="T1535" s="16" t="n">
        <v>1</v>
      </c>
    </row>
    <row r="1536" s="103">
      <c r="A1536" s="16" t="inlineStr">
        <is>
          <t>B331</t>
        </is>
      </c>
      <c r="B1536" s="16" t="inlineStr">
        <is>
          <t>上海区域</t>
        </is>
      </c>
      <c r="C1536" s="16" t="inlineStr">
        <is>
          <t>CN0Q</t>
        </is>
      </c>
      <c r="D1536" s="16" t="inlineStr">
        <is>
          <t>EE 苏州比斯特购物村</t>
        </is>
      </c>
      <c r="E1536" s="16" t="n">
        <v>4</v>
      </c>
      <c r="F1536" s="16" t="inlineStr">
        <is>
          <t>奥特莱斯</t>
        </is>
      </c>
      <c r="G1536" s="16" t="inlineStr">
        <is>
          <t>EETJG25B03</t>
        </is>
      </c>
      <c r="H1536" s="16" t="n">
        <v>999</v>
      </c>
      <c r="I1536" s="16" t="n">
        <v>999</v>
      </c>
      <c r="J1536" s="17" t="inlineStr">
        <is>
          <t>########</t>
        </is>
      </c>
      <c r="K1536" s="16" t="inlineStr">
        <is>
          <t>(55)Indigo</t>
        </is>
      </c>
      <c r="L1536" s="16" t="inlineStr">
        <is>
          <t>营业中</t>
        </is>
      </c>
      <c r="M1536" s="16" t="inlineStr">
        <is>
          <t>EETJG25B0355026</t>
        </is>
      </c>
      <c r="N1536" s="16">
        <f>LEFT(M1536,12)</f>
        <v/>
      </c>
      <c r="O1536" s="16" t="inlineStr">
        <is>
          <t>EETJG25B03, (55)Indigo, 26(160/66A)</t>
        </is>
      </c>
      <c r="P1536" s="16" t="n">
        <v>999</v>
      </c>
      <c r="Q1536" s="16" t="n">
        <v>999</v>
      </c>
      <c r="R1536" s="16" t="n"/>
      <c r="S1536" s="16" t="n"/>
      <c r="T1536" s="16" t="n">
        <v>3</v>
      </c>
    </row>
    <row r="1537" s="103">
      <c r="A1537" s="16" t="inlineStr">
        <is>
          <t>B331</t>
        </is>
      </c>
      <c r="B1537" s="16" t="inlineStr">
        <is>
          <t>上海区域</t>
        </is>
      </c>
      <c r="C1537" s="16" t="inlineStr">
        <is>
          <t>CN0Q</t>
        </is>
      </c>
      <c r="D1537" s="16" t="inlineStr">
        <is>
          <t>EE 苏州比斯特购物村</t>
        </is>
      </c>
      <c r="E1537" s="16" t="n">
        <v>4</v>
      </c>
      <c r="F1537" s="16" t="inlineStr">
        <is>
          <t>奥特莱斯</t>
        </is>
      </c>
      <c r="G1537" s="16" t="inlineStr">
        <is>
          <t>EETJG25B03</t>
        </is>
      </c>
      <c r="H1537" s="16" t="n">
        <v>999</v>
      </c>
      <c r="I1537" s="16" t="n">
        <v>999</v>
      </c>
      <c r="J1537" s="17" t="inlineStr">
        <is>
          <t>########</t>
        </is>
      </c>
      <c r="K1537" s="16" t="inlineStr">
        <is>
          <t>(55)Indigo</t>
        </is>
      </c>
      <c r="L1537" s="16" t="inlineStr">
        <is>
          <t>营业中</t>
        </is>
      </c>
      <c r="M1537" s="16" t="inlineStr">
        <is>
          <t>EETJG25B0355027</t>
        </is>
      </c>
      <c r="N1537" s="16">
        <f>LEFT(M1537,12)</f>
        <v/>
      </c>
      <c r="O1537" s="16" t="inlineStr">
        <is>
          <t>EETJG25B03, (55)Indigo, 27(165/68A)</t>
        </is>
      </c>
      <c r="P1537" s="16" t="n">
        <v>999</v>
      </c>
      <c r="Q1537" s="16" t="n">
        <v>999</v>
      </c>
      <c r="R1537" s="16" t="n">
        <v>1</v>
      </c>
      <c r="S1537" s="16" t="n">
        <v>699</v>
      </c>
      <c r="T1537" s="16" t="n">
        <v>2</v>
      </c>
    </row>
    <row r="1538" s="103">
      <c r="A1538" s="16" t="inlineStr">
        <is>
          <t>B331</t>
        </is>
      </c>
      <c r="B1538" s="16" t="inlineStr">
        <is>
          <t>上海区域</t>
        </is>
      </c>
      <c r="C1538" s="16" t="inlineStr">
        <is>
          <t>CN0Q</t>
        </is>
      </c>
      <c r="D1538" s="16" t="inlineStr">
        <is>
          <t>EE 苏州比斯特购物村</t>
        </is>
      </c>
      <c r="E1538" s="16" t="n">
        <v>4</v>
      </c>
      <c r="F1538" s="16" t="inlineStr">
        <is>
          <t>奥特莱斯</t>
        </is>
      </c>
      <c r="G1538" s="16" t="inlineStr">
        <is>
          <t>EETJG25B03</t>
        </is>
      </c>
      <c r="H1538" s="16" t="n">
        <v>999</v>
      </c>
      <c r="I1538" s="16" t="n">
        <v>999</v>
      </c>
      <c r="J1538" s="17" t="inlineStr">
        <is>
          <t>########</t>
        </is>
      </c>
      <c r="K1538" s="16" t="inlineStr">
        <is>
          <t>(55)Indigo</t>
        </is>
      </c>
      <c r="L1538" s="16" t="inlineStr">
        <is>
          <t>营业中</t>
        </is>
      </c>
      <c r="M1538" s="16" t="inlineStr">
        <is>
          <t>EETJG25B0355028</t>
        </is>
      </c>
      <c r="N1538" s="16">
        <f>LEFT(M1538,12)</f>
        <v/>
      </c>
      <c r="O1538" s="16" t="inlineStr">
        <is>
          <t>EETJG25B03, (55)Indigo, 28(165/70A)</t>
        </is>
      </c>
      <c r="P1538" s="16" t="n">
        <v>999</v>
      </c>
      <c r="Q1538" s="16" t="n">
        <v>999</v>
      </c>
      <c r="R1538" s="16" t="n"/>
      <c r="S1538" s="16" t="n"/>
      <c r="T1538" s="16" t="n">
        <v>2</v>
      </c>
    </row>
    <row r="1539" s="103">
      <c r="A1539" s="16" t="inlineStr">
        <is>
          <t>B331</t>
        </is>
      </c>
      <c r="B1539" s="16" t="inlineStr">
        <is>
          <t>上海区域</t>
        </is>
      </c>
      <c r="C1539" s="16" t="inlineStr">
        <is>
          <t>CN0Q</t>
        </is>
      </c>
      <c r="D1539" s="16" t="inlineStr">
        <is>
          <t>EE 苏州比斯特购物村</t>
        </is>
      </c>
      <c r="E1539" s="16" t="n">
        <v>4</v>
      </c>
      <c r="F1539" s="16" t="inlineStr">
        <is>
          <t>奥特莱斯</t>
        </is>
      </c>
      <c r="G1539" s="16" t="inlineStr">
        <is>
          <t>EETJG25E1G</t>
        </is>
      </c>
      <c r="H1539" s="16" t="n">
        <v>699</v>
      </c>
      <c r="I1539" s="16" t="n">
        <v>699</v>
      </c>
      <c r="J1539" s="17" t="inlineStr">
        <is>
          <t>########</t>
        </is>
      </c>
      <c r="K1539" s="16" t="inlineStr">
        <is>
          <t>(55)Indigo</t>
        </is>
      </c>
      <c r="L1539" s="16" t="inlineStr">
        <is>
          <t>营业中</t>
        </is>
      </c>
      <c r="M1539" s="16" t="inlineStr">
        <is>
          <t>EETJG25E1G55030</t>
        </is>
      </c>
      <c r="N1539" s="16">
        <f>LEFT(M1539,12)</f>
        <v/>
      </c>
      <c r="O1539" s="16" t="inlineStr">
        <is>
          <t>EETJG25E1G, (55)Indigo, 30(170/76A)</t>
        </is>
      </c>
      <c r="P1539" s="16" t="n">
        <v>699</v>
      </c>
      <c r="Q1539" s="16" t="n">
        <v>699</v>
      </c>
      <c r="R1539" s="16" t="n">
        <v>1</v>
      </c>
      <c r="S1539" s="16" t="n"/>
      <c r="T1539" s="16" t="n">
        <v>2</v>
      </c>
    </row>
    <row r="1540" s="103">
      <c r="A1540" s="16" t="inlineStr">
        <is>
          <t>B331</t>
        </is>
      </c>
      <c r="B1540" s="16" t="inlineStr">
        <is>
          <t>上海区域</t>
        </is>
      </c>
      <c r="C1540" s="16" t="inlineStr">
        <is>
          <t>CN0Q</t>
        </is>
      </c>
      <c r="D1540" s="16" t="inlineStr">
        <is>
          <t>EE 苏州比斯特购物村</t>
        </is>
      </c>
      <c r="E1540" s="16" t="n">
        <v>4</v>
      </c>
      <c r="F1540" s="16" t="inlineStr">
        <is>
          <t>奥特莱斯</t>
        </is>
      </c>
      <c r="G1540" s="16" t="inlineStr">
        <is>
          <t>EETJG25E1G</t>
        </is>
      </c>
      <c r="H1540" s="16" t="n">
        <v>699</v>
      </c>
      <c r="I1540" s="16" t="n">
        <v>699</v>
      </c>
      <c r="J1540" s="17" t="inlineStr">
        <is>
          <t>########</t>
        </is>
      </c>
      <c r="K1540" s="16" t="inlineStr">
        <is>
          <t>(55)Indigo</t>
        </is>
      </c>
      <c r="L1540" s="16" t="inlineStr">
        <is>
          <t>营业中</t>
        </is>
      </c>
      <c r="M1540" s="16" t="inlineStr">
        <is>
          <t>EETJG25E1G55032</t>
        </is>
      </c>
      <c r="N1540" s="16">
        <f>LEFT(M1540,12)</f>
        <v/>
      </c>
      <c r="O1540" s="16" t="inlineStr">
        <is>
          <t>EETJG25E1G, (55)Indigo, 32(175/80A)</t>
        </is>
      </c>
      <c r="P1540" s="16" t="n">
        <v>699</v>
      </c>
      <c r="Q1540" s="16" t="n">
        <v>699</v>
      </c>
      <c r="R1540" s="16" t="n"/>
      <c r="S1540" s="16" t="n"/>
      <c r="T1540" s="16" t="n">
        <v>3</v>
      </c>
    </row>
    <row r="1541" s="103">
      <c r="A1541" s="16" t="inlineStr">
        <is>
          <t>B331</t>
        </is>
      </c>
      <c r="B1541" s="16" t="inlineStr">
        <is>
          <t>上海区域</t>
        </is>
      </c>
      <c r="C1541" s="16" t="inlineStr">
        <is>
          <t>CN0Q</t>
        </is>
      </c>
      <c r="D1541" s="16" t="inlineStr">
        <is>
          <t>EE 苏州比斯特购物村</t>
        </is>
      </c>
      <c r="E1541" s="16" t="n">
        <v>4</v>
      </c>
      <c r="F1541" s="16" t="inlineStr">
        <is>
          <t>奥特莱斯</t>
        </is>
      </c>
      <c r="G1541" s="16" t="inlineStr">
        <is>
          <t>EETJG25E1G</t>
        </is>
      </c>
      <c r="H1541" s="16" t="n">
        <v>699</v>
      </c>
      <c r="I1541" s="16" t="n">
        <v>699</v>
      </c>
      <c r="J1541" s="17" t="inlineStr">
        <is>
          <t>########</t>
        </is>
      </c>
      <c r="K1541" s="16" t="inlineStr">
        <is>
          <t>(55)Indigo</t>
        </is>
      </c>
      <c r="L1541" s="16" t="inlineStr">
        <is>
          <t>营业中</t>
        </is>
      </c>
      <c r="M1541" s="16" t="inlineStr">
        <is>
          <t>EETJG25E1G55034</t>
        </is>
      </c>
      <c r="N1541" s="16">
        <f>LEFT(M1541,12)</f>
        <v/>
      </c>
      <c r="O1541" s="16" t="inlineStr">
        <is>
          <t>EETJG25E1G, (55)Indigo, 34(180/84A)</t>
        </is>
      </c>
      <c r="P1541" s="16" t="n">
        <v>699</v>
      </c>
      <c r="Q1541" s="16" t="n">
        <v>699</v>
      </c>
      <c r="R1541" s="16" t="n"/>
      <c r="S1541" s="16" t="n"/>
      <c r="T1541" s="16" t="n">
        <v>2</v>
      </c>
    </row>
    <row r="1542" s="103">
      <c r="A1542" s="16" t="inlineStr">
        <is>
          <t>B331</t>
        </is>
      </c>
      <c r="B1542" s="16" t="inlineStr">
        <is>
          <t>上海区域</t>
        </is>
      </c>
      <c r="C1542" s="16" t="inlineStr">
        <is>
          <t>CN0Q</t>
        </is>
      </c>
      <c r="D1542" s="16" t="inlineStr">
        <is>
          <t>EE 苏州比斯特购物村</t>
        </is>
      </c>
      <c r="E1542" s="16" t="n">
        <v>4</v>
      </c>
      <c r="F1542" s="16" t="inlineStr">
        <is>
          <t>奥特莱斯</t>
        </is>
      </c>
      <c r="G1542" s="16" t="inlineStr">
        <is>
          <t>EETJG25E1G</t>
        </is>
      </c>
      <c r="H1542" s="16" t="n">
        <v>699</v>
      </c>
      <c r="I1542" s="16" t="n">
        <v>699</v>
      </c>
      <c r="J1542" s="17" t="inlineStr">
        <is>
          <t>########</t>
        </is>
      </c>
      <c r="K1542" s="16" t="inlineStr">
        <is>
          <t>(55)Indigo</t>
        </is>
      </c>
      <c r="L1542" s="16" t="inlineStr">
        <is>
          <t>营业中</t>
        </is>
      </c>
      <c r="M1542" s="16" t="inlineStr">
        <is>
          <t>EETJG25E1G55036</t>
        </is>
      </c>
      <c r="N1542" s="16">
        <f>LEFT(M1542,12)</f>
        <v/>
      </c>
      <c r="O1542" s="16" t="inlineStr">
        <is>
          <t>EETJG25E1G, (55)Indigo, 36(185/88A)</t>
        </is>
      </c>
      <c r="P1542" s="16" t="n">
        <v>699</v>
      </c>
      <c r="Q1542" s="16" t="n">
        <v>699</v>
      </c>
      <c r="R1542" s="16" t="n"/>
      <c r="S1542" s="16" t="n"/>
      <c r="T1542" s="16" t="n">
        <v>2</v>
      </c>
    </row>
    <row r="1543" s="103">
      <c r="A1543" s="16" t="inlineStr">
        <is>
          <t>B331</t>
        </is>
      </c>
      <c r="B1543" s="16" t="inlineStr">
        <is>
          <t>上海区域</t>
        </is>
      </c>
      <c r="C1543" s="16" t="inlineStr">
        <is>
          <t>CN0Q</t>
        </is>
      </c>
      <c r="D1543" s="16" t="inlineStr">
        <is>
          <t>EE 苏州比斯特购物村</t>
        </is>
      </c>
      <c r="E1543" s="16" t="n">
        <v>4</v>
      </c>
      <c r="F1543" s="16" t="inlineStr">
        <is>
          <t>奥特莱斯</t>
        </is>
      </c>
      <c r="G1543" s="16" t="inlineStr">
        <is>
          <t>EETJG65L37</t>
        </is>
      </c>
      <c r="H1543" s="16" t="n">
        <v>799</v>
      </c>
      <c r="I1543" s="16" t="n">
        <v>799</v>
      </c>
      <c r="J1543" s="17" t="n">
        <v>46114</v>
      </c>
      <c r="K1543" s="16" t="inlineStr">
        <is>
          <t>(39)Ivory</t>
        </is>
      </c>
      <c r="L1543" s="16" t="inlineStr">
        <is>
          <t>营业中</t>
        </is>
      </c>
      <c r="M1543" s="16" t="inlineStr">
        <is>
          <t>EETJG65L3739025</t>
        </is>
      </c>
      <c r="N1543" s="16">
        <f>LEFT(M1543,12)</f>
        <v/>
      </c>
      <c r="O1543" s="16" t="inlineStr">
        <is>
          <t>EETJG65L37, (39)Ivory, 25(155/64A)</t>
        </is>
      </c>
      <c r="P1543" s="16" t="n">
        <v>799</v>
      </c>
      <c r="Q1543" s="16" t="n">
        <v>799</v>
      </c>
      <c r="R1543" s="16" t="n">
        <v>3</v>
      </c>
      <c r="S1543" s="18" t="n">
        <v>1094</v>
      </c>
      <c r="T1543" s="16" t="n">
        <v>0</v>
      </c>
    </row>
    <row r="1544" s="103">
      <c r="A1544" s="16" t="inlineStr">
        <is>
          <t>B331</t>
        </is>
      </c>
      <c r="B1544" s="16" t="inlineStr">
        <is>
          <t>上海区域</t>
        </is>
      </c>
      <c r="C1544" s="16" t="inlineStr">
        <is>
          <t>CN0Q</t>
        </is>
      </c>
      <c r="D1544" s="16" t="inlineStr">
        <is>
          <t>EE 苏州比斯特购物村</t>
        </is>
      </c>
      <c r="E1544" s="16" t="n">
        <v>4</v>
      </c>
      <c r="F1544" s="16" t="inlineStr">
        <is>
          <t>奥特莱斯</t>
        </is>
      </c>
      <c r="G1544" s="16" t="inlineStr">
        <is>
          <t>EETJG65L37</t>
        </is>
      </c>
      <c r="H1544" s="16" t="n">
        <v>799</v>
      </c>
      <c r="I1544" s="16" t="n">
        <v>799</v>
      </c>
      <c r="J1544" s="17" t="n">
        <v>46114</v>
      </c>
      <c r="K1544" s="16" t="inlineStr">
        <is>
          <t>(39)Ivory</t>
        </is>
      </c>
      <c r="L1544" s="16" t="inlineStr">
        <is>
          <t>营业中</t>
        </is>
      </c>
      <c r="M1544" s="16" t="inlineStr">
        <is>
          <t>EETJG65L3739026</t>
        </is>
      </c>
      <c r="N1544" s="16">
        <f>LEFT(M1544,12)</f>
        <v/>
      </c>
      <c r="O1544" s="16" t="inlineStr">
        <is>
          <t>EETJG65L37, (39)Ivory, 26(160/66A)</t>
        </is>
      </c>
      <c r="P1544" s="16" t="n">
        <v>799</v>
      </c>
      <c r="Q1544" s="16" t="n">
        <v>799</v>
      </c>
      <c r="R1544" s="16" t="n">
        <v>3</v>
      </c>
      <c r="S1544" s="18" t="n">
        <v>1132</v>
      </c>
      <c r="T1544" s="16" t="n">
        <v>2</v>
      </c>
    </row>
    <row r="1545" s="103">
      <c r="A1545" s="16" t="inlineStr">
        <is>
          <t>B331</t>
        </is>
      </c>
      <c r="B1545" s="16" t="inlineStr">
        <is>
          <t>上海区域</t>
        </is>
      </c>
      <c r="C1545" s="16" t="inlineStr">
        <is>
          <t>CN0Q</t>
        </is>
      </c>
      <c r="D1545" s="16" t="inlineStr">
        <is>
          <t>EE 苏州比斯特购物村</t>
        </is>
      </c>
      <c r="E1545" s="16" t="n">
        <v>4</v>
      </c>
      <c r="F1545" s="16" t="inlineStr">
        <is>
          <t>奥特莱斯</t>
        </is>
      </c>
      <c r="G1545" s="16" t="inlineStr">
        <is>
          <t>EETJG65L37</t>
        </is>
      </c>
      <c r="H1545" s="16" t="n">
        <v>799</v>
      </c>
      <c r="I1545" s="16" t="n">
        <v>799</v>
      </c>
      <c r="J1545" s="17" t="n">
        <v>46114</v>
      </c>
      <c r="K1545" s="16" t="inlineStr">
        <is>
          <t>(39)Ivory</t>
        </is>
      </c>
      <c r="L1545" s="16" t="inlineStr">
        <is>
          <t>营业中</t>
        </is>
      </c>
      <c r="M1545" s="16" t="inlineStr">
        <is>
          <t>EETJG65L3739027</t>
        </is>
      </c>
      <c r="N1545" s="16">
        <f>LEFT(M1545,12)</f>
        <v/>
      </c>
      <c r="O1545" s="16" t="inlineStr">
        <is>
          <t>EETJG65L37, (39)Ivory, 27(165/68A)</t>
        </is>
      </c>
      <c r="P1545" s="16" t="n">
        <v>799</v>
      </c>
      <c r="Q1545" s="16" t="n">
        <v>799</v>
      </c>
      <c r="R1545" s="16" t="n"/>
      <c r="S1545" s="16" t="n"/>
      <c r="T1545" s="16" t="n">
        <v>8</v>
      </c>
    </row>
    <row r="1546" s="103">
      <c r="A1546" s="16" t="inlineStr">
        <is>
          <t>B331</t>
        </is>
      </c>
      <c r="B1546" s="16" t="inlineStr">
        <is>
          <t>上海区域</t>
        </is>
      </c>
      <c r="C1546" s="16" t="inlineStr">
        <is>
          <t>CN0Q</t>
        </is>
      </c>
      <c r="D1546" s="16" t="inlineStr">
        <is>
          <t>EE 苏州比斯特购物村</t>
        </is>
      </c>
      <c r="E1546" s="16" t="n">
        <v>4</v>
      </c>
      <c r="F1546" s="16" t="inlineStr">
        <is>
          <t>奥特莱斯</t>
        </is>
      </c>
      <c r="G1546" s="16" t="inlineStr">
        <is>
          <t>EETKG25D01</t>
        </is>
      </c>
      <c r="H1546" s="16" t="n">
        <v>799</v>
      </c>
      <c r="I1546" s="16" t="n">
        <v>799</v>
      </c>
      <c r="J1546" s="17" t="inlineStr">
        <is>
          <t>########</t>
        </is>
      </c>
      <c r="K1546" s="16" t="inlineStr">
        <is>
          <t>(39)Ivory</t>
        </is>
      </c>
      <c r="L1546" s="16" t="inlineStr">
        <is>
          <t>营业中</t>
        </is>
      </c>
      <c r="M1546" s="16" t="inlineStr">
        <is>
          <t>EETKG25D0139160</t>
        </is>
      </c>
      <c r="N1546" s="16">
        <f>LEFT(M1546,12)</f>
        <v/>
      </c>
      <c r="O1546" s="16" t="inlineStr">
        <is>
          <t>EETKG25D01, (39)Ivory, (160)160</t>
        </is>
      </c>
      <c r="P1546" s="16" t="n">
        <v>799</v>
      </c>
      <c r="Q1546" s="16" t="n">
        <v>799</v>
      </c>
      <c r="R1546" s="16" t="n"/>
      <c r="S1546" s="16" t="n"/>
      <c r="T1546" s="16" t="n">
        <v>2</v>
      </c>
    </row>
    <row r="1547" s="103">
      <c r="A1547" s="16" t="inlineStr">
        <is>
          <t>B331</t>
        </is>
      </c>
      <c r="B1547" s="16" t="inlineStr">
        <is>
          <t>上海区域</t>
        </is>
      </c>
      <c r="C1547" s="16" t="inlineStr">
        <is>
          <t>CN0Q</t>
        </is>
      </c>
      <c r="D1547" s="16" t="inlineStr">
        <is>
          <t>EE 苏州比斯特购物村</t>
        </is>
      </c>
      <c r="E1547" s="16" t="n">
        <v>4</v>
      </c>
      <c r="F1547" s="16" t="inlineStr">
        <is>
          <t>奥特莱斯</t>
        </is>
      </c>
      <c r="G1547" s="16" t="inlineStr">
        <is>
          <t>EETKG25D01</t>
        </is>
      </c>
      <c r="H1547" s="16" t="n">
        <v>799</v>
      </c>
      <c r="I1547" s="16" t="n">
        <v>799</v>
      </c>
      <c r="J1547" s="17" t="inlineStr">
        <is>
          <t>########</t>
        </is>
      </c>
      <c r="K1547" s="16" t="inlineStr">
        <is>
          <t>(39)Ivory</t>
        </is>
      </c>
      <c r="L1547" s="16" t="inlineStr">
        <is>
          <t>营业中</t>
        </is>
      </c>
      <c r="M1547" s="16" t="inlineStr">
        <is>
          <t>EETKG25D0139165</t>
        </is>
      </c>
      <c r="N1547" s="16">
        <f>LEFT(M1547,12)</f>
        <v/>
      </c>
      <c r="O1547" s="16" t="inlineStr">
        <is>
          <t>EETKG25D01, (39)Ivory, (165)165</t>
        </is>
      </c>
      <c r="P1547" s="16" t="n">
        <v>799</v>
      </c>
      <c r="Q1547" s="16" t="n">
        <v>799</v>
      </c>
      <c r="R1547" s="16" t="n">
        <v>2</v>
      </c>
      <c r="S1547" s="16" t="n">
        <v>559</v>
      </c>
      <c r="T1547" s="16" t="n">
        <v>0</v>
      </c>
    </row>
    <row r="1548" s="103">
      <c r="A1548" s="16" t="inlineStr">
        <is>
          <t>B331</t>
        </is>
      </c>
      <c r="B1548" s="16" t="inlineStr">
        <is>
          <t>上海区域</t>
        </is>
      </c>
      <c r="C1548" s="16" t="inlineStr">
        <is>
          <t>CN0Q</t>
        </is>
      </c>
      <c r="D1548" s="16" t="inlineStr">
        <is>
          <t>EE 苏州比斯特购物村</t>
        </is>
      </c>
      <c r="E1548" s="16" t="n">
        <v>4</v>
      </c>
      <c r="F1548" s="16" t="inlineStr">
        <is>
          <t>奥特莱斯</t>
        </is>
      </c>
      <c r="G1548" s="16" t="inlineStr">
        <is>
          <t>EETKG25D01</t>
        </is>
      </c>
      <c r="H1548" s="16" t="n">
        <v>799</v>
      </c>
      <c r="I1548" s="16" t="n">
        <v>799</v>
      </c>
      <c r="J1548" s="17" t="inlineStr">
        <is>
          <t>########</t>
        </is>
      </c>
      <c r="K1548" s="16" t="inlineStr">
        <is>
          <t>(39)Ivory</t>
        </is>
      </c>
      <c r="L1548" s="16" t="inlineStr">
        <is>
          <t>营业中</t>
        </is>
      </c>
      <c r="M1548" s="16" t="inlineStr">
        <is>
          <t>EETKG25D0139170</t>
        </is>
      </c>
      <c r="N1548" s="16">
        <f>LEFT(M1548,12)</f>
        <v/>
      </c>
      <c r="O1548" s="16" t="inlineStr">
        <is>
          <t>EETKG25D01, (39)Ivory, (170)170</t>
        </is>
      </c>
      <c r="P1548" s="16" t="n">
        <v>799</v>
      </c>
      <c r="Q1548" s="16" t="n">
        <v>799</v>
      </c>
      <c r="R1548" s="16" t="n">
        <v>1</v>
      </c>
      <c r="S1548" s="16" t="n"/>
      <c r="T1548" s="16" t="n">
        <v>0</v>
      </c>
    </row>
    <row r="1549" s="103">
      <c r="A1549" s="16" t="inlineStr">
        <is>
          <t>B331</t>
        </is>
      </c>
      <c r="B1549" s="16" t="inlineStr">
        <is>
          <t>上海区域</t>
        </is>
      </c>
      <c r="C1549" s="16" t="inlineStr">
        <is>
          <t>CN0Q</t>
        </is>
      </c>
      <c r="D1549" s="16" t="inlineStr">
        <is>
          <t>EE 苏州比斯特购物村</t>
        </is>
      </c>
      <c r="E1549" s="16" t="n">
        <v>4</v>
      </c>
      <c r="F1549" s="16" t="inlineStr">
        <is>
          <t>奥特莱斯</t>
        </is>
      </c>
      <c r="G1549" s="16" t="inlineStr">
        <is>
          <t>EETMG11E01</t>
        </is>
      </c>
      <c r="H1549" s="16" t="n">
        <v>699</v>
      </c>
      <c r="I1549" s="16" t="n">
        <v>799</v>
      </c>
      <c r="J1549" s="17" t="inlineStr">
        <is>
          <t>########</t>
        </is>
      </c>
      <c r="K1549" s="16" t="inlineStr">
        <is>
          <t>(64)Cream</t>
        </is>
      </c>
      <c r="L1549" s="16" t="inlineStr">
        <is>
          <t>营业中</t>
        </is>
      </c>
      <c r="M1549" s="16" t="inlineStr">
        <is>
          <t>EETMG11E0164155</t>
        </is>
      </c>
      <c r="N1549" s="16">
        <f>LEFT(M1549,12)</f>
        <v/>
      </c>
      <c r="O1549" s="16" t="inlineStr">
        <is>
          <t>EETMG11E01, (64)Cream, (155)155</t>
        </is>
      </c>
      <c r="P1549" s="16" t="n">
        <v>699</v>
      </c>
      <c r="Q1549" s="16" t="n">
        <v>799</v>
      </c>
      <c r="R1549" s="16" t="n"/>
      <c r="S1549" s="16" t="n"/>
      <c r="T1549" s="16" t="n">
        <v>3</v>
      </c>
    </row>
    <row r="1550" s="103">
      <c r="A1550" s="16" t="inlineStr">
        <is>
          <t>B331</t>
        </is>
      </c>
      <c r="B1550" s="16" t="inlineStr">
        <is>
          <t>上海区域</t>
        </is>
      </c>
      <c r="C1550" s="16" t="inlineStr">
        <is>
          <t>CN0Q</t>
        </is>
      </c>
      <c r="D1550" s="16" t="inlineStr">
        <is>
          <t>EE 苏州比斯特购物村</t>
        </is>
      </c>
      <c r="E1550" s="16" t="n">
        <v>4</v>
      </c>
      <c r="F1550" s="16" t="inlineStr">
        <is>
          <t>奥特莱斯</t>
        </is>
      </c>
      <c r="G1550" s="16" t="inlineStr">
        <is>
          <t>EETMG11E01</t>
        </is>
      </c>
      <c r="H1550" s="16" t="n">
        <v>699</v>
      </c>
      <c r="I1550" s="16" t="n">
        <v>799</v>
      </c>
      <c r="J1550" s="17" t="inlineStr">
        <is>
          <t>########</t>
        </is>
      </c>
      <c r="K1550" s="16" t="inlineStr">
        <is>
          <t>(64)Cream</t>
        </is>
      </c>
      <c r="L1550" s="16" t="inlineStr">
        <is>
          <t>营业中</t>
        </is>
      </c>
      <c r="M1550" s="16" t="inlineStr">
        <is>
          <t>EETMG11E0164160</t>
        </is>
      </c>
      <c r="N1550" s="16">
        <f>LEFT(M1550,12)</f>
        <v/>
      </c>
      <c r="O1550" s="16" t="inlineStr">
        <is>
          <t>EETMG11E01, (64)Cream, (160)160</t>
        </is>
      </c>
      <c r="P1550" s="16" t="n">
        <v>699</v>
      </c>
      <c r="Q1550" s="16" t="n">
        <v>799</v>
      </c>
      <c r="R1550" s="16" t="n"/>
      <c r="S1550" s="16" t="n"/>
      <c r="T1550" s="16" t="n">
        <v>3</v>
      </c>
    </row>
    <row r="1551" s="103">
      <c r="A1551" s="16" t="inlineStr">
        <is>
          <t>B331</t>
        </is>
      </c>
      <c r="B1551" s="16" t="inlineStr">
        <is>
          <t>上海区域</t>
        </is>
      </c>
      <c r="C1551" s="16" t="inlineStr">
        <is>
          <t>CN0Q</t>
        </is>
      </c>
      <c r="D1551" s="16" t="inlineStr">
        <is>
          <t>EE 苏州比斯特购物村</t>
        </is>
      </c>
      <c r="E1551" s="16" t="n">
        <v>4</v>
      </c>
      <c r="F1551" s="16" t="inlineStr">
        <is>
          <t>奥特莱斯</t>
        </is>
      </c>
      <c r="G1551" s="16" t="inlineStr">
        <is>
          <t>EETMG11E01</t>
        </is>
      </c>
      <c r="H1551" s="16" t="n">
        <v>699</v>
      </c>
      <c r="I1551" s="16" t="n">
        <v>799</v>
      </c>
      <c r="J1551" s="17" t="inlineStr">
        <is>
          <t>########</t>
        </is>
      </c>
      <c r="K1551" s="16" t="inlineStr">
        <is>
          <t>(64)Cream</t>
        </is>
      </c>
      <c r="L1551" s="16" t="inlineStr">
        <is>
          <t>营业中</t>
        </is>
      </c>
      <c r="M1551" s="16" t="inlineStr">
        <is>
          <t>EETMG11E0164165</t>
        </is>
      </c>
      <c r="N1551" s="16">
        <f>LEFT(M1551,12)</f>
        <v/>
      </c>
      <c r="O1551" s="16" t="inlineStr">
        <is>
          <t>EETMG11E01, (64)Cream, (165)165</t>
        </is>
      </c>
      <c r="P1551" s="16" t="n">
        <v>699</v>
      </c>
      <c r="Q1551" s="16" t="n">
        <v>799</v>
      </c>
      <c r="R1551" s="16" t="n"/>
      <c r="S1551" s="16" t="n"/>
      <c r="T1551" s="16" t="n">
        <v>3</v>
      </c>
    </row>
    <row r="1552" s="103">
      <c r="A1552" s="16" t="inlineStr">
        <is>
          <t>B331</t>
        </is>
      </c>
      <c r="B1552" s="16" t="inlineStr">
        <is>
          <t>上海区域</t>
        </is>
      </c>
      <c r="C1552" s="16" t="inlineStr">
        <is>
          <t>CN0Q</t>
        </is>
      </c>
      <c r="D1552" s="16" t="inlineStr">
        <is>
          <t>EE 苏州比斯特购物村</t>
        </is>
      </c>
      <c r="E1552" s="16" t="n">
        <v>4</v>
      </c>
      <c r="F1552" s="16" t="inlineStr">
        <is>
          <t>奥特莱斯</t>
        </is>
      </c>
      <c r="G1552" s="16" t="inlineStr">
        <is>
          <t>EETMG11E01</t>
        </is>
      </c>
      <c r="H1552" s="16" t="n">
        <v>699</v>
      </c>
      <c r="I1552" s="16" t="n">
        <v>799</v>
      </c>
      <c r="J1552" s="17" t="inlineStr">
        <is>
          <t>########</t>
        </is>
      </c>
      <c r="K1552" s="16" t="inlineStr">
        <is>
          <t>(64)Cream</t>
        </is>
      </c>
      <c r="L1552" s="16" t="inlineStr">
        <is>
          <t>营业中</t>
        </is>
      </c>
      <c r="M1552" s="16" t="inlineStr">
        <is>
          <t>EETMG11E0164170</t>
        </is>
      </c>
      <c r="N1552" s="16">
        <f>LEFT(M1552,12)</f>
        <v/>
      </c>
      <c r="O1552" s="16" t="inlineStr">
        <is>
          <t>EETMG11E01, (64)Cream, (170)170</t>
        </is>
      </c>
      <c r="P1552" s="16" t="n">
        <v>699</v>
      </c>
      <c r="Q1552" s="16" t="n">
        <v>799</v>
      </c>
      <c r="R1552" s="16" t="n"/>
      <c r="S1552" s="16" t="n"/>
      <c r="T1552" s="16" t="n">
        <v>3</v>
      </c>
    </row>
    <row r="1553" s="103">
      <c r="A1553" s="16" t="inlineStr">
        <is>
          <t>B331</t>
        </is>
      </c>
      <c r="B1553" s="16" t="inlineStr">
        <is>
          <t>上海区域</t>
        </is>
      </c>
      <c r="C1553" s="16" t="inlineStr">
        <is>
          <t>CN0Q</t>
        </is>
      </c>
      <c r="D1553" s="16" t="inlineStr">
        <is>
          <t>EE 苏州比斯特购物村</t>
        </is>
      </c>
      <c r="E1553" s="16" t="n">
        <v>4</v>
      </c>
      <c r="F1553" s="16" t="inlineStr">
        <is>
          <t>奥特莱斯</t>
        </is>
      </c>
      <c r="G1553" s="16" t="inlineStr">
        <is>
          <t>EETMG25B51</t>
        </is>
      </c>
      <c r="H1553" s="16" t="n">
        <v>699</v>
      </c>
      <c r="I1553" s="16" t="n">
        <v>699</v>
      </c>
      <c r="J1553" s="17" t="inlineStr">
        <is>
          <t>########</t>
        </is>
      </c>
      <c r="K1553" s="16" t="inlineStr">
        <is>
          <t>(17)D/Grey</t>
        </is>
      </c>
      <c r="L1553" s="16" t="inlineStr">
        <is>
          <t>营业中</t>
        </is>
      </c>
      <c r="M1553" s="16" t="inlineStr">
        <is>
          <t>EETMG25B5117160</t>
        </is>
      </c>
      <c r="N1553" s="16">
        <f>LEFT(M1553,12)</f>
        <v/>
      </c>
      <c r="O1553" s="16" t="inlineStr">
        <is>
          <t>EETMG25B51, (17)D/Grey, (160)160</t>
        </is>
      </c>
      <c r="P1553" s="16" t="n">
        <v>699</v>
      </c>
      <c r="Q1553" s="16" t="n">
        <v>699</v>
      </c>
      <c r="R1553" s="16" t="n">
        <v>1</v>
      </c>
      <c r="S1553" s="16" t="n">
        <v>446</v>
      </c>
      <c r="T1553" s="16" t="n">
        <v>2</v>
      </c>
    </row>
    <row r="1554" s="103">
      <c r="A1554" s="16" t="inlineStr">
        <is>
          <t>B331</t>
        </is>
      </c>
      <c r="B1554" s="16" t="inlineStr">
        <is>
          <t>上海区域</t>
        </is>
      </c>
      <c r="C1554" s="16" t="inlineStr">
        <is>
          <t>CN0Q</t>
        </is>
      </c>
      <c r="D1554" s="16" t="inlineStr">
        <is>
          <t>EE 苏州比斯特购物村</t>
        </is>
      </c>
      <c r="E1554" s="16" t="n">
        <v>4</v>
      </c>
      <c r="F1554" s="16" t="inlineStr">
        <is>
          <t>奥特莱斯</t>
        </is>
      </c>
      <c r="G1554" s="16" t="inlineStr">
        <is>
          <t>EETMG25B51</t>
        </is>
      </c>
      <c r="H1554" s="16" t="n">
        <v>699</v>
      </c>
      <c r="I1554" s="16" t="n">
        <v>699</v>
      </c>
      <c r="J1554" s="17" t="inlineStr">
        <is>
          <t>########</t>
        </is>
      </c>
      <c r="K1554" s="16" t="inlineStr">
        <is>
          <t>(17)D/Grey</t>
        </is>
      </c>
      <c r="L1554" s="16" t="inlineStr">
        <is>
          <t>营业中</t>
        </is>
      </c>
      <c r="M1554" s="16" t="inlineStr">
        <is>
          <t>EETMG25B5117165</t>
        </is>
      </c>
      <c r="N1554" s="16">
        <f>LEFT(M1554,12)</f>
        <v/>
      </c>
      <c r="O1554" s="16" t="inlineStr">
        <is>
          <t>EETMG25B51, (17)D/Grey, (165)165</t>
        </is>
      </c>
      <c r="P1554" s="16" t="n">
        <v>699</v>
      </c>
      <c r="Q1554" s="16" t="n">
        <v>699</v>
      </c>
      <c r="R1554" s="16" t="n"/>
      <c r="S1554" s="16" t="n"/>
      <c r="T1554" s="16" t="n">
        <v>3</v>
      </c>
    </row>
    <row r="1555" s="103">
      <c r="A1555" s="16" t="inlineStr">
        <is>
          <t>B331</t>
        </is>
      </c>
      <c r="B1555" s="16" t="inlineStr">
        <is>
          <t>上海区域</t>
        </is>
      </c>
      <c r="C1555" s="16" t="inlineStr">
        <is>
          <t>CN0Q</t>
        </is>
      </c>
      <c r="D1555" s="16" t="inlineStr">
        <is>
          <t>EE 苏州比斯特购物村</t>
        </is>
      </c>
      <c r="E1555" s="16" t="n">
        <v>4</v>
      </c>
      <c r="F1555" s="16" t="inlineStr">
        <is>
          <t>奥特莱斯</t>
        </is>
      </c>
      <c r="G1555" s="16" t="inlineStr">
        <is>
          <t>EETMG25B51</t>
        </is>
      </c>
      <c r="H1555" s="16" t="n">
        <v>699</v>
      </c>
      <c r="I1555" s="16" t="n">
        <v>699</v>
      </c>
      <c r="J1555" s="17" t="inlineStr">
        <is>
          <t>########</t>
        </is>
      </c>
      <c r="K1555" s="16" t="inlineStr">
        <is>
          <t>(17)D/Grey</t>
        </is>
      </c>
      <c r="L1555" s="16" t="inlineStr">
        <is>
          <t>营业中</t>
        </is>
      </c>
      <c r="M1555" s="16" t="inlineStr">
        <is>
          <t>EETMG25B5117170</t>
        </is>
      </c>
      <c r="N1555" s="16">
        <f>LEFT(M1555,12)</f>
        <v/>
      </c>
      <c r="O1555" s="16" t="inlineStr">
        <is>
          <t>EETMG25B51, (17)D/Grey, (170)170</t>
        </is>
      </c>
      <c r="P1555" s="16" t="n">
        <v>699</v>
      </c>
      <c r="Q1555" s="16" t="n">
        <v>699</v>
      </c>
      <c r="R1555" s="16" t="n"/>
      <c r="S1555" s="16" t="n"/>
      <c r="T1555" s="16" t="n">
        <v>2</v>
      </c>
    </row>
    <row r="1556" s="103">
      <c r="A1556" s="16" t="inlineStr">
        <is>
          <t>B331</t>
        </is>
      </c>
      <c r="B1556" s="16" t="inlineStr">
        <is>
          <t>上海区域</t>
        </is>
      </c>
      <c r="C1556" s="16" t="inlineStr">
        <is>
          <t>CN0Q</t>
        </is>
      </c>
      <c r="D1556" s="16" t="inlineStr">
        <is>
          <t>EE 苏州比斯特购物村</t>
        </is>
      </c>
      <c r="E1556" s="16" t="n">
        <v>4</v>
      </c>
      <c r="F1556" s="16" t="inlineStr">
        <is>
          <t>奥特莱斯</t>
        </is>
      </c>
      <c r="G1556" s="16" t="inlineStr">
        <is>
          <t>EETMG25B51</t>
        </is>
      </c>
      <c r="H1556" s="16" t="n">
        <v>699</v>
      </c>
      <c r="I1556" s="16" t="n">
        <v>699</v>
      </c>
      <c r="J1556" s="17" t="inlineStr">
        <is>
          <t>########</t>
        </is>
      </c>
      <c r="K1556" s="16" t="inlineStr">
        <is>
          <t>(64)Cream</t>
        </is>
      </c>
      <c r="L1556" s="16" t="inlineStr">
        <is>
          <t>营业中</t>
        </is>
      </c>
      <c r="M1556" s="16" t="inlineStr">
        <is>
          <t>EETMG25B5164160</t>
        </is>
      </c>
      <c r="N1556" s="16">
        <f>LEFT(M1556,12)</f>
        <v/>
      </c>
      <c r="O1556" s="16" t="inlineStr">
        <is>
          <t>EETMG25B51, (64)Cream, (160)160</t>
        </is>
      </c>
      <c r="P1556" s="16" t="n">
        <v>699</v>
      </c>
      <c r="Q1556" s="16" t="n">
        <v>699</v>
      </c>
      <c r="R1556" s="16" t="n"/>
      <c r="S1556" s="16" t="n"/>
      <c r="T1556" s="16" t="n">
        <v>3</v>
      </c>
    </row>
    <row r="1557" s="103">
      <c r="A1557" s="16" t="inlineStr">
        <is>
          <t>B331</t>
        </is>
      </c>
      <c r="B1557" s="16" t="inlineStr">
        <is>
          <t>上海区域</t>
        </is>
      </c>
      <c r="C1557" s="16" t="inlineStr">
        <is>
          <t>CN0Q</t>
        </is>
      </c>
      <c r="D1557" s="16" t="inlineStr">
        <is>
          <t>EE 苏州比斯特购物村</t>
        </is>
      </c>
      <c r="E1557" s="16" t="n">
        <v>4</v>
      </c>
      <c r="F1557" s="16" t="inlineStr">
        <is>
          <t>奥特莱斯</t>
        </is>
      </c>
      <c r="G1557" s="16" t="inlineStr">
        <is>
          <t>EETMG25B51</t>
        </is>
      </c>
      <c r="H1557" s="16" t="n">
        <v>699</v>
      </c>
      <c r="I1557" s="16" t="n">
        <v>699</v>
      </c>
      <c r="J1557" s="17" t="inlineStr">
        <is>
          <t>########</t>
        </is>
      </c>
      <c r="K1557" s="16" t="inlineStr">
        <is>
          <t>(64)Cream</t>
        </is>
      </c>
      <c r="L1557" s="16" t="inlineStr">
        <is>
          <t>营业中</t>
        </is>
      </c>
      <c r="M1557" s="16" t="inlineStr">
        <is>
          <t>EETMG25B5164165</t>
        </is>
      </c>
      <c r="N1557" s="16">
        <f>LEFT(M1557,12)</f>
        <v/>
      </c>
      <c r="O1557" s="16" t="inlineStr">
        <is>
          <t>EETMG25B51, (64)Cream, (165)165</t>
        </is>
      </c>
      <c r="P1557" s="16" t="n">
        <v>699</v>
      </c>
      <c r="Q1557" s="16" t="n">
        <v>699</v>
      </c>
      <c r="R1557" s="16" t="n"/>
      <c r="S1557" s="16" t="n"/>
      <c r="T1557" s="16" t="n">
        <v>3</v>
      </c>
    </row>
    <row r="1558" s="103">
      <c r="A1558" s="16" t="inlineStr">
        <is>
          <t>B331</t>
        </is>
      </c>
      <c r="B1558" s="16" t="inlineStr">
        <is>
          <t>上海区域</t>
        </is>
      </c>
      <c r="C1558" s="16" t="inlineStr">
        <is>
          <t>CN0Q</t>
        </is>
      </c>
      <c r="D1558" s="16" t="inlineStr">
        <is>
          <t>EE 苏州比斯特购物村</t>
        </is>
      </c>
      <c r="E1558" s="16" t="n">
        <v>4</v>
      </c>
      <c r="F1558" s="16" t="inlineStr">
        <is>
          <t>奥特莱斯</t>
        </is>
      </c>
      <c r="G1558" s="16" t="inlineStr">
        <is>
          <t>EETMG25B51</t>
        </is>
      </c>
      <c r="H1558" s="16" t="n">
        <v>699</v>
      </c>
      <c r="I1558" s="16" t="n">
        <v>699</v>
      </c>
      <c r="J1558" s="17" t="inlineStr">
        <is>
          <t>########</t>
        </is>
      </c>
      <c r="K1558" s="16" t="inlineStr">
        <is>
          <t>(64)Cream</t>
        </is>
      </c>
      <c r="L1558" s="16" t="inlineStr">
        <is>
          <t>营业中</t>
        </is>
      </c>
      <c r="M1558" s="16" t="inlineStr">
        <is>
          <t>EETMG25B5164170</t>
        </is>
      </c>
      <c r="N1558" s="16">
        <f>LEFT(M1558,12)</f>
        <v/>
      </c>
      <c r="O1558" s="16" t="inlineStr">
        <is>
          <t>EETMG25B51, (64)Cream, (170)170</t>
        </is>
      </c>
      <c r="P1558" s="16" t="n">
        <v>699</v>
      </c>
      <c r="Q1558" s="16" t="n">
        <v>699</v>
      </c>
      <c r="R1558" s="16" t="n"/>
      <c r="S1558" s="16" t="n"/>
      <c r="T1558" s="16" t="n">
        <v>2</v>
      </c>
    </row>
    <row r="1559" s="103">
      <c r="A1559" s="16" t="inlineStr">
        <is>
          <t>B331</t>
        </is>
      </c>
      <c r="B1559" s="16" t="inlineStr">
        <is>
          <t>上海区域</t>
        </is>
      </c>
      <c r="C1559" s="16" t="inlineStr">
        <is>
          <t>CN0Q</t>
        </is>
      </c>
      <c r="D1559" s="16" t="inlineStr">
        <is>
          <t>EE 苏州比斯特购物村</t>
        </is>
      </c>
      <c r="E1559" s="16" t="n">
        <v>4</v>
      </c>
      <c r="F1559" s="16" t="inlineStr">
        <is>
          <t>奥特莱斯</t>
        </is>
      </c>
      <c r="G1559" s="16" t="inlineStr">
        <is>
          <t>EEVJG23D01</t>
        </is>
      </c>
      <c r="H1559" s="16" t="n">
        <v>799</v>
      </c>
      <c r="I1559" s="16" t="n">
        <v>799</v>
      </c>
      <c r="J1559" s="17" t="inlineStr">
        <is>
          <t>########</t>
        </is>
      </c>
      <c r="K1559" s="16" t="inlineStr">
        <is>
          <t>(56)L/Indigo</t>
        </is>
      </c>
      <c r="L1559" s="16" t="inlineStr">
        <is>
          <t>营业中</t>
        </is>
      </c>
      <c r="M1559" s="16" t="inlineStr">
        <is>
          <t>EEVJG23D0156160</t>
        </is>
      </c>
      <c r="N1559" s="16">
        <f>LEFT(M1559,12)</f>
        <v/>
      </c>
      <c r="O1559" s="16" t="inlineStr">
        <is>
          <t>EEVJG23D01, (56)L/Indigo, (160)160</t>
        </is>
      </c>
      <c r="P1559" s="16" t="n">
        <v>799</v>
      </c>
      <c r="Q1559" s="16" t="n">
        <v>799</v>
      </c>
      <c r="R1559" s="16" t="n">
        <v>1</v>
      </c>
      <c r="S1559" s="16" t="n"/>
      <c r="T1559" s="16" t="n">
        <v>2</v>
      </c>
    </row>
    <row r="1560" s="103">
      <c r="A1560" s="16" t="inlineStr">
        <is>
          <t>B331</t>
        </is>
      </c>
      <c r="B1560" s="16" t="inlineStr">
        <is>
          <t>上海区域</t>
        </is>
      </c>
      <c r="C1560" s="16" t="inlineStr">
        <is>
          <t>CN0Q</t>
        </is>
      </c>
      <c r="D1560" s="16" t="inlineStr">
        <is>
          <t>EE 苏州比斯特购物村</t>
        </is>
      </c>
      <c r="E1560" s="16" t="n">
        <v>4</v>
      </c>
      <c r="F1560" s="16" t="inlineStr">
        <is>
          <t>奥特莱斯</t>
        </is>
      </c>
      <c r="G1560" s="16" t="inlineStr">
        <is>
          <t>EEVJG23D01</t>
        </is>
      </c>
      <c r="H1560" s="16" t="n">
        <v>799</v>
      </c>
      <c r="I1560" s="16" t="n">
        <v>799</v>
      </c>
      <c r="J1560" s="17" t="inlineStr">
        <is>
          <t>########</t>
        </is>
      </c>
      <c r="K1560" s="16" t="inlineStr">
        <is>
          <t>(56)L/Indigo</t>
        </is>
      </c>
      <c r="L1560" s="16" t="inlineStr">
        <is>
          <t>营业中</t>
        </is>
      </c>
      <c r="M1560" s="16" t="inlineStr">
        <is>
          <t>EEVJG23D0156165</t>
        </is>
      </c>
      <c r="N1560" s="16">
        <f>LEFT(M1560,12)</f>
        <v/>
      </c>
      <c r="O1560" s="16" t="inlineStr">
        <is>
          <t>EEVJG23D01, (56)L/Indigo, (165)165</t>
        </is>
      </c>
      <c r="P1560" s="16" t="n">
        <v>799</v>
      </c>
      <c r="Q1560" s="16" t="n">
        <v>799</v>
      </c>
      <c r="R1560" s="16" t="n"/>
      <c r="S1560" s="16" t="n"/>
      <c r="T1560" s="16" t="n">
        <v>2</v>
      </c>
    </row>
    <row r="1561" s="103">
      <c r="A1561" s="16" t="inlineStr">
        <is>
          <t>B331</t>
        </is>
      </c>
      <c r="B1561" s="16" t="inlineStr">
        <is>
          <t>上海区域</t>
        </is>
      </c>
      <c r="C1561" s="16" t="inlineStr">
        <is>
          <t>CN0Q</t>
        </is>
      </c>
      <c r="D1561" s="16" t="inlineStr">
        <is>
          <t>EE 苏州比斯特购物村</t>
        </is>
      </c>
      <c r="E1561" s="16" t="n">
        <v>4</v>
      </c>
      <c r="F1561" s="16" t="inlineStr">
        <is>
          <t>奥特莱斯</t>
        </is>
      </c>
      <c r="G1561" s="16" t="inlineStr">
        <is>
          <t>EEVJG23D01</t>
        </is>
      </c>
      <c r="H1561" s="16" t="n">
        <v>799</v>
      </c>
      <c r="I1561" s="16" t="n">
        <v>799</v>
      </c>
      <c r="J1561" s="17" t="inlineStr">
        <is>
          <t>########</t>
        </is>
      </c>
      <c r="K1561" s="16" t="inlineStr">
        <is>
          <t>(56)L/Indigo</t>
        </is>
      </c>
      <c r="L1561" s="16" t="inlineStr">
        <is>
          <t>营业中</t>
        </is>
      </c>
      <c r="M1561" s="16" t="inlineStr">
        <is>
          <t>EEVJG23D0156170</t>
        </is>
      </c>
      <c r="N1561" s="16">
        <f>LEFT(M1561,12)</f>
        <v/>
      </c>
      <c r="O1561" s="16" t="inlineStr">
        <is>
          <t>EEVJG23D01, (56)L/Indigo, (170)170</t>
        </is>
      </c>
      <c r="P1561" s="16" t="n">
        <v>799</v>
      </c>
      <c r="Q1561" s="16" t="n">
        <v>799</v>
      </c>
      <c r="R1561" s="16" t="n"/>
      <c r="S1561" s="16" t="n"/>
      <c r="T1561" s="16" t="n">
        <v>2</v>
      </c>
    </row>
    <row r="1562" s="103">
      <c r="A1562" s="16" t="inlineStr">
        <is>
          <t>B331</t>
        </is>
      </c>
      <c r="B1562" s="16" t="inlineStr">
        <is>
          <t>上海区域</t>
        </is>
      </c>
      <c r="C1562" s="16" t="inlineStr">
        <is>
          <t>CN0Q</t>
        </is>
      </c>
      <c r="D1562" s="16" t="inlineStr">
        <is>
          <t>EE 苏州比斯特购物村</t>
        </is>
      </c>
      <c r="E1562" s="16" t="n">
        <v>4</v>
      </c>
      <c r="F1562" s="16" t="inlineStr">
        <is>
          <t>奥特莱斯</t>
        </is>
      </c>
      <c r="G1562" s="16" t="inlineStr">
        <is>
          <t>EEVKF37R31</t>
        </is>
      </c>
      <c r="H1562" s="16" t="n">
        <v>499</v>
      </c>
      <c r="I1562" s="16" t="n">
        <v>499</v>
      </c>
      <c r="J1562" s="17" t="inlineStr">
        <is>
          <t>########</t>
        </is>
      </c>
      <c r="K1562" s="16" t="inlineStr">
        <is>
          <t>(19)BLACK</t>
        </is>
      </c>
      <c r="L1562" s="16" t="inlineStr">
        <is>
          <t>营业中</t>
        </is>
      </c>
      <c r="M1562" s="16" t="inlineStr">
        <is>
          <t>EEVKF37R3119160</t>
        </is>
      </c>
      <c r="N1562" s="16">
        <f>LEFT(M1562,12)</f>
        <v/>
      </c>
      <c r="O1562" s="16" t="inlineStr">
        <is>
          <t>EEVKF37R31, (19)BLACK, (160)160</t>
        </is>
      </c>
      <c r="P1562" s="16" t="n">
        <v>499</v>
      </c>
      <c r="Q1562" s="16" t="n">
        <v>499</v>
      </c>
      <c r="R1562" s="16" t="n">
        <v>1</v>
      </c>
      <c r="S1562" s="16" t="n">
        <v>225</v>
      </c>
      <c r="T1562" s="16" t="n">
        <v>1</v>
      </c>
    </row>
    <row r="1563" s="103">
      <c r="A1563" s="16" t="inlineStr">
        <is>
          <t>B331</t>
        </is>
      </c>
      <c r="B1563" s="16" t="inlineStr">
        <is>
          <t>上海区域</t>
        </is>
      </c>
      <c r="C1563" s="16" t="inlineStr">
        <is>
          <t>CN0Q</t>
        </is>
      </c>
      <c r="D1563" s="16" t="inlineStr">
        <is>
          <t>EE 苏州比斯特购物村</t>
        </is>
      </c>
      <c r="E1563" s="16" t="n">
        <v>4</v>
      </c>
      <c r="F1563" s="16" t="inlineStr">
        <is>
          <t>奥特莱斯</t>
        </is>
      </c>
      <c r="G1563" s="16" t="inlineStr">
        <is>
          <t>EEVKF37R31</t>
        </is>
      </c>
      <c r="H1563" s="16" t="n">
        <v>499</v>
      </c>
      <c r="I1563" s="16" t="n">
        <v>499</v>
      </c>
      <c r="J1563" s="17" t="inlineStr">
        <is>
          <t>########</t>
        </is>
      </c>
      <c r="K1563" s="16" t="inlineStr">
        <is>
          <t>(19)BLACK</t>
        </is>
      </c>
      <c r="L1563" s="16" t="inlineStr">
        <is>
          <t>营业中</t>
        </is>
      </c>
      <c r="M1563" s="16" t="inlineStr">
        <is>
          <t>EEVKF37R3119165</t>
        </is>
      </c>
      <c r="N1563" s="16">
        <f>LEFT(M1563,12)</f>
        <v/>
      </c>
      <c r="O1563" s="16" t="inlineStr">
        <is>
          <t>EEVKF37R31, (19)BLACK, (165)165</t>
        </is>
      </c>
      <c r="P1563" s="16" t="n">
        <v>499</v>
      </c>
      <c r="Q1563" s="16" t="n">
        <v>499</v>
      </c>
      <c r="R1563" s="16" t="n">
        <v>1</v>
      </c>
      <c r="S1563" s="16" t="n">
        <v>228</v>
      </c>
      <c r="T1563" s="16" t="n">
        <v>1</v>
      </c>
    </row>
    <row r="1564" s="103">
      <c r="A1564" s="16" t="inlineStr">
        <is>
          <t>B331</t>
        </is>
      </c>
      <c r="B1564" s="16" t="inlineStr">
        <is>
          <t>上海区域</t>
        </is>
      </c>
      <c r="C1564" s="16" t="inlineStr">
        <is>
          <t>CN0Q</t>
        </is>
      </c>
      <c r="D1564" s="16" t="inlineStr">
        <is>
          <t>EE 苏州比斯特购物村</t>
        </is>
      </c>
      <c r="E1564" s="16" t="n">
        <v>4</v>
      </c>
      <c r="F1564" s="16" t="inlineStr">
        <is>
          <t>奥特莱斯</t>
        </is>
      </c>
      <c r="G1564" s="16" t="inlineStr">
        <is>
          <t>EEVKF37R31</t>
        </is>
      </c>
      <c r="H1564" s="16" t="n">
        <v>499</v>
      </c>
      <c r="I1564" s="16" t="n">
        <v>499</v>
      </c>
      <c r="J1564" s="17" t="inlineStr">
        <is>
          <t>########</t>
        </is>
      </c>
      <c r="K1564" s="16" t="inlineStr">
        <is>
          <t>(19)BLACK</t>
        </is>
      </c>
      <c r="L1564" s="16" t="inlineStr">
        <is>
          <t>营业中</t>
        </is>
      </c>
      <c r="M1564" s="16" t="inlineStr">
        <is>
          <t>EEVKF37R3119170</t>
        </is>
      </c>
      <c r="N1564" s="16">
        <f>LEFT(M1564,12)</f>
        <v/>
      </c>
      <c r="O1564" s="16" t="inlineStr">
        <is>
          <t>EEVKF37R31, (19)BLACK, (170)170</t>
        </is>
      </c>
      <c r="P1564" s="16" t="n">
        <v>499</v>
      </c>
      <c r="Q1564" s="16" t="n">
        <v>499</v>
      </c>
      <c r="R1564" s="16" t="n"/>
      <c r="S1564" s="16" t="n"/>
      <c r="T1564" s="16" t="n">
        <v>2</v>
      </c>
    </row>
    <row r="1565" s="103">
      <c r="A1565" s="16" t="inlineStr">
        <is>
          <t>B331</t>
        </is>
      </c>
      <c r="B1565" s="16" t="inlineStr">
        <is>
          <t>上海区域</t>
        </is>
      </c>
      <c r="C1565" s="16" t="inlineStr">
        <is>
          <t>CN0Q</t>
        </is>
      </c>
      <c r="D1565" s="16" t="inlineStr">
        <is>
          <t>EE 苏州比斯特购物村</t>
        </is>
      </c>
      <c r="E1565" s="16" t="n">
        <v>4</v>
      </c>
      <c r="F1565" s="16" t="inlineStr">
        <is>
          <t>奥特莱斯</t>
        </is>
      </c>
      <c r="G1565" s="16" t="inlineStr">
        <is>
          <t>EEVKF37R31</t>
        </is>
      </c>
      <c r="H1565" s="16" t="n">
        <v>499</v>
      </c>
      <c r="I1565" s="16" t="n">
        <v>499</v>
      </c>
      <c r="J1565" s="17" t="inlineStr">
        <is>
          <t>########</t>
        </is>
      </c>
      <c r="K1565" s="16" t="inlineStr">
        <is>
          <t>(39)Ivory</t>
        </is>
      </c>
      <c r="L1565" s="16" t="inlineStr">
        <is>
          <t>营业中</t>
        </is>
      </c>
      <c r="M1565" s="16" t="inlineStr">
        <is>
          <t>EEVKF37R3139160</t>
        </is>
      </c>
      <c r="N1565" s="16">
        <f>LEFT(M1565,12)</f>
        <v/>
      </c>
      <c r="O1565" s="16" t="inlineStr">
        <is>
          <t>EEVKF37R31, (39)Ivory, (160)160</t>
        </is>
      </c>
      <c r="P1565" s="16" t="n">
        <v>499</v>
      </c>
      <c r="Q1565" s="16" t="n">
        <v>499</v>
      </c>
      <c r="R1565" s="16" t="n"/>
      <c r="S1565" s="16" t="n"/>
      <c r="T1565" s="16" t="n">
        <v>4</v>
      </c>
    </row>
    <row r="1566" s="103">
      <c r="A1566" s="16" t="inlineStr">
        <is>
          <t>B331</t>
        </is>
      </c>
      <c r="B1566" s="16" t="inlineStr">
        <is>
          <t>上海区域</t>
        </is>
      </c>
      <c r="C1566" s="16" t="inlineStr">
        <is>
          <t>CN0Q</t>
        </is>
      </c>
      <c r="D1566" s="16" t="inlineStr">
        <is>
          <t>EE 苏州比斯特购物村</t>
        </is>
      </c>
      <c r="E1566" s="16" t="n">
        <v>4</v>
      </c>
      <c r="F1566" s="16" t="inlineStr">
        <is>
          <t>奥特莱斯</t>
        </is>
      </c>
      <c r="G1566" s="16" t="inlineStr">
        <is>
          <t>EEVKF37R31</t>
        </is>
      </c>
      <c r="H1566" s="16" t="n">
        <v>499</v>
      </c>
      <c r="I1566" s="16" t="n">
        <v>499</v>
      </c>
      <c r="J1566" s="17" t="inlineStr">
        <is>
          <t>########</t>
        </is>
      </c>
      <c r="K1566" s="16" t="inlineStr">
        <is>
          <t>(39)Ivory</t>
        </is>
      </c>
      <c r="L1566" s="16" t="inlineStr">
        <is>
          <t>营业中</t>
        </is>
      </c>
      <c r="M1566" s="16" t="inlineStr">
        <is>
          <t>EEVKF37R3139165</t>
        </is>
      </c>
      <c r="N1566" s="16">
        <f>LEFT(M1566,12)</f>
        <v/>
      </c>
      <c r="O1566" s="16" t="inlineStr">
        <is>
          <t>EEVKF37R31, (39)Ivory, (165)165</t>
        </is>
      </c>
      <c r="P1566" s="16" t="n">
        <v>499</v>
      </c>
      <c r="Q1566" s="16" t="n">
        <v>499</v>
      </c>
      <c r="R1566" s="16" t="n"/>
      <c r="S1566" s="16" t="n"/>
      <c r="T1566" s="16" t="n">
        <v>6</v>
      </c>
    </row>
    <row r="1567" s="103">
      <c r="A1567" s="16" t="inlineStr">
        <is>
          <t>B331</t>
        </is>
      </c>
      <c r="B1567" s="16" t="inlineStr">
        <is>
          <t>上海区域</t>
        </is>
      </c>
      <c r="C1567" s="16" t="inlineStr">
        <is>
          <t>CN0Q</t>
        </is>
      </c>
      <c r="D1567" s="16" t="inlineStr">
        <is>
          <t>EE 苏州比斯特购物村</t>
        </is>
      </c>
      <c r="E1567" s="16" t="n">
        <v>4</v>
      </c>
      <c r="F1567" s="16" t="inlineStr">
        <is>
          <t>奥特莱斯</t>
        </is>
      </c>
      <c r="G1567" s="16" t="inlineStr">
        <is>
          <t>EEVKF37R31</t>
        </is>
      </c>
      <c r="H1567" s="16" t="n">
        <v>499</v>
      </c>
      <c r="I1567" s="16" t="n">
        <v>499</v>
      </c>
      <c r="J1567" s="17" t="inlineStr">
        <is>
          <t>########</t>
        </is>
      </c>
      <c r="K1567" s="16" t="inlineStr">
        <is>
          <t>(39)Ivory</t>
        </is>
      </c>
      <c r="L1567" s="16" t="inlineStr">
        <is>
          <t>营业中</t>
        </is>
      </c>
      <c r="M1567" s="16" t="inlineStr">
        <is>
          <t>EEVKF37R3139170</t>
        </is>
      </c>
      <c r="N1567" s="16">
        <f>LEFT(M1567,12)</f>
        <v/>
      </c>
      <c r="O1567" s="16" t="inlineStr">
        <is>
          <t>EEVKF37R31, (39)Ivory, (170)170</t>
        </is>
      </c>
      <c r="P1567" s="16" t="n">
        <v>499</v>
      </c>
      <c r="Q1567" s="16" t="n">
        <v>499</v>
      </c>
      <c r="R1567" s="16" t="n"/>
      <c r="S1567" s="16" t="n"/>
      <c r="T1567" s="16" t="n">
        <v>2</v>
      </c>
    </row>
    <row r="1568" s="103">
      <c r="A1568" s="16" t="inlineStr">
        <is>
          <t>B331</t>
        </is>
      </c>
      <c r="B1568" s="16" t="inlineStr">
        <is>
          <t>上海区域</t>
        </is>
      </c>
      <c r="C1568" s="16" t="inlineStr">
        <is>
          <t>CN0Q</t>
        </is>
      </c>
      <c r="D1568" s="16" t="inlineStr">
        <is>
          <t>EE 苏州比斯特购物村</t>
        </is>
      </c>
      <c r="E1568" s="16" t="n">
        <v>4</v>
      </c>
      <c r="F1568" s="16" t="inlineStr">
        <is>
          <t>奥特莱斯</t>
        </is>
      </c>
      <c r="G1568" s="16" t="inlineStr">
        <is>
          <t>EEVKG23B02</t>
        </is>
      </c>
      <c r="H1568" s="16" t="n">
        <v>599</v>
      </c>
      <c r="I1568" s="16" t="n">
        <v>699</v>
      </c>
      <c r="J1568" s="17" t="inlineStr">
        <is>
          <t>########</t>
        </is>
      </c>
      <c r="K1568" s="16" t="inlineStr">
        <is>
          <t>(55)Indigo</t>
        </is>
      </c>
      <c r="L1568" s="16" t="inlineStr">
        <is>
          <t>营业中</t>
        </is>
      </c>
      <c r="M1568" s="16" t="inlineStr">
        <is>
          <t>EEVKG23B0255160</t>
        </is>
      </c>
      <c r="N1568" s="16">
        <f>LEFT(M1568,12)</f>
        <v/>
      </c>
      <c r="O1568" s="16" t="inlineStr">
        <is>
          <t>EEVKG23B02, (55)Indigo, (160)160</t>
        </is>
      </c>
      <c r="P1568" s="16" t="n">
        <v>599</v>
      </c>
      <c r="Q1568" s="16" t="n">
        <v>699</v>
      </c>
      <c r="R1568" s="16" t="n"/>
      <c r="S1568" s="16" t="n"/>
      <c r="T1568" s="16" t="n">
        <v>2</v>
      </c>
    </row>
    <row r="1569" s="103">
      <c r="A1569" s="16" t="inlineStr">
        <is>
          <t>B331</t>
        </is>
      </c>
      <c r="B1569" s="16" t="inlineStr">
        <is>
          <t>上海区域</t>
        </is>
      </c>
      <c r="C1569" s="16" t="inlineStr">
        <is>
          <t>CN0Q</t>
        </is>
      </c>
      <c r="D1569" s="16" t="inlineStr">
        <is>
          <t>EE 苏州比斯特购物村</t>
        </is>
      </c>
      <c r="E1569" s="16" t="n">
        <v>4</v>
      </c>
      <c r="F1569" s="16" t="inlineStr">
        <is>
          <t>奥特莱斯</t>
        </is>
      </c>
      <c r="G1569" s="16" t="inlineStr">
        <is>
          <t>EEVKG23B02</t>
        </is>
      </c>
      <c r="H1569" s="16" t="n">
        <v>599</v>
      </c>
      <c r="I1569" s="16" t="n">
        <v>699</v>
      </c>
      <c r="J1569" s="17" t="inlineStr">
        <is>
          <t>########</t>
        </is>
      </c>
      <c r="K1569" s="16" t="inlineStr">
        <is>
          <t>(55)Indigo</t>
        </is>
      </c>
      <c r="L1569" s="16" t="inlineStr">
        <is>
          <t>营业中</t>
        </is>
      </c>
      <c r="M1569" s="16" t="inlineStr">
        <is>
          <t>EEVKG23B0255165</t>
        </is>
      </c>
      <c r="N1569" s="16">
        <f>LEFT(M1569,12)</f>
        <v/>
      </c>
      <c r="O1569" s="16" t="inlineStr">
        <is>
          <t>EEVKG23B02, (55)Indigo, (165)165</t>
        </is>
      </c>
      <c r="P1569" s="16" t="n">
        <v>599</v>
      </c>
      <c r="Q1569" s="16" t="n">
        <v>699</v>
      </c>
      <c r="R1569" s="16" t="n"/>
      <c r="S1569" s="16" t="n"/>
      <c r="T1569" s="16" t="n">
        <v>2</v>
      </c>
    </row>
    <row r="1570" s="103">
      <c r="A1570" s="16" t="inlineStr">
        <is>
          <t>B331</t>
        </is>
      </c>
      <c r="B1570" s="16" t="inlineStr">
        <is>
          <t>上海区域</t>
        </is>
      </c>
      <c r="C1570" s="16" t="inlineStr">
        <is>
          <t>CN0Q</t>
        </is>
      </c>
      <c r="D1570" s="16" t="inlineStr">
        <is>
          <t>EE 苏州比斯特购物村</t>
        </is>
      </c>
      <c r="E1570" s="16" t="n">
        <v>4</v>
      </c>
      <c r="F1570" s="16" t="inlineStr">
        <is>
          <t>奥特莱斯</t>
        </is>
      </c>
      <c r="G1570" s="16" t="inlineStr">
        <is>
          <t>EEVKG23B02</t>
        </is>
      </c>
      <c r="H1570" s="16" t="n">
        <v>599</v>
      </c>
      <c r="I1570" s="16" t="n">
        <v>699</v>
      </c>
      <c r="J1570" s="17" t="inlineStr">
        <is>
          <t>########</t>
        </is>
      </c>
      <c r="K1570" s="16" t="inlineStr">
        <is>
          <t>(55)Indigo</t>
        </is>
      </c>
      <c r="L1570" s="16" t="inlineStr">
        <is>
          <t>营业中</t>
        </is>
      </c>
      <c r="M1570" s="16" t="inlineStr">
        <is>
          <t>EEVKG23B0255170</t>
        </is>
      </c>
      <c r="N1570" s="16">
        <f>LEFT(M1570,12)</f>
        <v/>
      </c>
      <c r="O1570" s="16" t="inlineStr">
        <is>
          <t>EEVKG23B02, (55)Indigo, (170)170</t>
        </is>
      </c>
      <c r="P1570" s="16" t="n">
        <v>599</v>
      </c>
      <c r="Q1570" s="16" t="n">
        <v>699</v>
      </c>
      <c r="R1570" s="16" t="n"/>
      <c r="S1570" s="16" t="n"/>
      <c r="T1570" s="16" t="n">
        <v>2</v>
      </c>
    </row>
    <row r="1571" s="103">
      <c r="A1571" s="16" t="inlineStr">
        <is>
          <t>B331</t>
        </is>
      </c>
      <c r="B1571" s="16" t="inlineStr">
        <is>
          <t>上海区域</t>
        </is>
      </c>
      <c r="C1571" s="16" t="inlineStr">
        <is>
          <t>CN0Q</t>
        </is>
      </c>
      <c r="D1571" s="16" t="inlineStr">
        <is>
          <t>EE 苏州比斯特购物村</t>
        </is>
      </c>
      <c r="E1571" s="16" t="n">
        <v>4</v>
      </c>
      <c r="F1571" s="16" t="inlineStr">
        <is>
          <t>奥特莱斯</t>
        </is>
      </c>
      <c r="G1571" s="16" t="inlineStr">
        <is>
          <t>EEVKG23B03</t>
        </is>
      </c>
      <c r="H1571" s="16" t="n">
        <v>499</v>
      </c>
      <c r="I1571" s="16" t="n">
        <v>499</v>
      </c>
      <c r="J1571" s="17" t="inlineStr">
        <is>
          <t>########</t>
        </is>
      </c>
      <c r="K1571" s="16" t="inlineStr">
        <is>
          <t>(64)Cream</t>
        </is>
      </c>
      <c r="L1571" s="16" t="inlineStr">
        <is>
          <t>营业中</t>
        </is>
      </c>
      <c r="M1571" s="16" t="inlineStr">
        <is>
          <t>EEVKG23B0364160</t>
        </is>
      </c>
      <c r="N1571" s="16">
        <f>LEFT(M1571,12)</f>
        <v/>
      </c>
      <c r="O1571" s="16" t="inlineStr">
        <is>
          <t>EEVKG23B03, (64)Cream, (160)160</t>
        </is>
      </c>
      <c r="P1571" s="16" t="n">
        <v>499</v>
      </c>
      <c r="Q1571" s="16" t="n">
        <v>499</v>
      </c>
      <c r="R1571" s="16" t="n">
        <v>2</v>
      </c>
      <c r="S1571" s="16" t="n">
        <v>683</v>
      </c>
      <c r="T1571" s="16" t="n">
        <v>0</v>
      </c>
    </row>
    <row r="1572" s="103">
      <c r="A1572" s="16" t="inlineStr">
        <is>
          <t>B331</t>
        </is>
      </c>
      <c r="B1572" s="16" t="inlineStr">
        <is>
          <t>上海区域</t>
        </is>
      </c>
      <c r="C1572" s="16" t="inlineStr">
        <is>
          <t>CN0Q</t>
        </is>
      </c>
      <c r="D1572" s="16" t="inlineStr">
        <is>
          <t>EE 苏州比斯特购物村</t>
        </is>
      </c>
      <c r="E1572" s="16" t="n">
        <v>4</v>
      </c>
      <c r="F1572" s="16" t="inlineStr">
        <is>
          <t>奥特莱斯</t>
        </is>
      </c>
      <c r="G1572" s="16" t="inlineStr">
        <is>
          <t>EEVKG23B03</t>
        </is>
      </c>
      <c r="H1572" s="16" t="n">
        <v>499</v>
      </c>
      <c r="I1572" s="16" t="n">
        <v>499</v>
      </c>
      <c r="J1572" s="17" t="inlineStr">
        <is>
          <t>########</t>
        </is>
      </c>
      <c r="K1572" s="16" t="inlineStr">
        <is>
          <t>(64)Cream</t>
        </is>
      </c>
      <c r="L1572" s="16" t="inlineStr">
        <is>
          <t>营业中</t>
        </is>
      </c>
      <c r="M1572" s="16" t="inlineStr">
        <is>
          <t>EEVKG23B0364165</t>
        </is>
      </c>
      <c r="N1572" s="16">
        <f>LEFT(M1572,12)</f>
        <v/>
      </c>
      <c r="O1572" s="16" t="inlineStr">
        <is>
          <t>EEVKG23B03, (64)Cream, (165)165</t>
        </is>
      </c>
      <c r="P1572" s="16" t="n">
        <v>499</v>
      </c>
      <c r="Q1572" s="16" t="n">
        <v>499</v>
      </c>
      <c r="R1572" s="16" t="n">
        <v>2</v>
      </c>
      <c r="S1572" s="16" t="n">
        <v>655</v>
      </c>
      <c r="T1572" s="16" t="n">
        <v>0</v>
      </c>
    </row>
    <row r="1573" s="103">
      <c r="A1573" s="16" t="inlineStr">
        <is>
          <t>B331</t>
        </is>
      </c>
      <c r="B1573" s="16" t="inlineStr">
        <is>
          <t>上海区域</t>
        </is>
      </c>
      <c r="C1573" s="16" t="inlineStr">
        <is>
          <t>CN0Q</t>
        </is>
      </c>
      <c r="D1573" s="16" t="inlineStr">
        <is>
          <t>EE 苏州比斯特购物村</t>
        </is>
      </c>
      <c r="E1573" s="16" t="n">
        <v>4</v>
      </c>
      <c r="F1573" s="16" t="inlineStr">
        <is>
          <t>奥特莱斯</t>
        </is>
      </c>
      <c r="G1573" s="16" t="inlineStr">
        <is>
          <t>EEVKG23B03</t>
        </is>
      </c>
      <c r="H1573" s="16" t="n">
        <v>499</v>
      </c>
      <c r="I1573" s="16" t="n">
        <v>499</v>
      </c>
      <c r="J1573" s="17" t="inlineStr">
        <is>
          <t>########</t>
        </is>
      </c>
      <c r="K1573" s="16" t="inlineStr">
        <is>
          <t>(64)Cream</t>
        </is>
      </c>
      <c r="L1573" s="16" t="inlineStr">
        <is>
          <t>营业中</t>
        </is>
      </c>
      <c r="M1573" s="16" t="inlineStr">
        <is>
          <t>EEVKG23B0364170</t>
        </is>
      </c>
      <c r="N1573" s="16">
        <f>LEFT(M1573,12)</f>
        <v/>
      </c>
      <c r="O1573" s="16" t="inlineStr">
        <is>
          <t>EEVKG23B03, (64)Cream, (170)170</t>
        </is>
      </c>
      <c r="P1573" s="16" t="n">
        <v>499</v>
      </c>
      <c r="Q1573" s="16" t="n">
        <v>499</v>
      </c>
      <c r="R1573" s="16" t="n">
        <v>1</v>
      </c>
      <c r="S1573" s="16" t="n">
        <v>318</v>
      </c>
      <c r="T1573" s="16" t="n">
        <v>1</v>
      </c>
    </row>
    <row r="1574" s="103">
      <c r="A1574" s="16" t="inlineStr">
        <is>
          <t>B331</t>
        </is>
      </c>
      <c r="B1574" s="16" t="inlineStr">
        <is>
          <t>上海区域</t>
        </is>
      </c>
      <c r="C1574" s="16" t="inlineStr">
        <is>
          <t>CN0Q</t>
        </is>
      </c>
      <c r="D1574" s="16" t="inlineStr">
        <is>
          <t>EE 苏州比斯特购物村</t>
        </is>
      </c>
      <c r="E1574" s="16" t="n">
        <v>4</v>
      </c>
      <c r="F1574" s="16" t="inlineStr">
        <is>
          <t>奥特莱斯</t>
        </is>
      </c>
      <c r="G1574" s="16" t="inlineStr">
        <is>
          <t>EEVKG24E01</t>
        </is>
      </c>
      <c r="H1574" s="16" t="n">
        <v>699</v>
      </c>
      <c r="I1574" s="16" t="n">
        <v>599</v>
      </c>
      <c r="J1574" s="17" t="inlineStr">
        <is>
          <t>########</t>
        </is>
      </c>
      <c r="K1574" s="16" t="inlineStr">
        <is>
          <t>(18)M/Grey</t>
        </is>
      </c>
      <c r="L1574" s="16" t="inlineStr">
        <is>
          <t>营业中</t>
        </is>
      </c>
      <c r="M1574" s="16" t="inlineStr">
        <is>
          <t>EEVKG24E0118160</t>
        </is>
      </c>
      <c r="N1574" s="16">
        <f>LEFT(M1574,12)</f>
        <v/>
      </c>
      <c r="O1574" s="16" t="inlineStr">
        <is>
          <t>EEVKG24E01, (18)M/Grey, (160)160</t>
        </is>
      </c>
      <c r="P1574" s="16" t="n">
        <v>699</v>
      </c>
      <c r="Q1574" s="16" t="n">
        <v>599</v>
      </c>
      <c r="R1574" s="16" t="n">
        <v>1</v>
      </c>
      <c r="S1574" s="16" t="n">
        <v>389</v>
      </c>
      <c r="T1574" s="16" t="n">
        <v>3</v>
      </c>
    </row>
    <row r="1575" s="103">
      <c r="A1575" s="16" t="inlineStr">
        <is>
          <t>B331</t>
        </is>
      </c>
      <c r="B1575" s="16" t="inlineStr">
        <is>
          <t>上海区域</t>
        </is>
      </c>
      <c r="C1575" s="16" t="inlineStr">
        <is>
          <t>CN0Q</t>
        </is>
      </c>
      <c r="D1575" s="16" t="inlineStr">
        <is>
          <t>EE 苏州比斯特购物村</t>
        </is>
      </c>
      <c r="E1575" s="16" t="n">
        <v>4</v>
      </c>
      <c r="F1575" s="16" t="inlineStr">
        <is>
          <t>奥特莱斯</t>
        </is>
      </c>
      <c r="G1575" s="16" t="inlineStr">
        <is>
          <t>EEVKG24E01</t>
        </is>
      </c>
      <c r="H1575" s="16" t="n">
        <v>699</v>
      </c>
      <c r="I1575" s="16" t="n">
        <v>599</v>
      </c>
      <c r="J1575" s="17" t="inlineStr">
        <is>
          <t>########</t>
        </is>
      </c>
      <c r="K1575" s="16" t="inlineStr">
        <is>
          <t>(18)M/Grey</t>
        </is>
      </c>
      <c r="L1575" s="16" t="inlineStr">
        <is>
          <t>营业中</t>
        </is>
      </c>
      <c r="M1575" s="16" t="inlineStr">
        <is>
          <t>EEVKG24E0118165</t>
        </is>
      </c>
      <c r="N1575" s="16">
        <f>LEFT(M1575,12)</f>
        <v/>
      </c>
      <c r="O1575" s="16" t="inlineStr">
        <is>
          <t>EEVKG24E01, (18)M/Grey, (165)165</t>
        </is>
      </c>
      <c r="P1575" s="16" t="n">
        <v>699</v>
      </c>
      <c r="Q1575" s="16" t="n">
        <v>599</v>
      </c>
      <c r="R1575" s="16" t="n">
        <v>1</v>
      </c>
      <c r="S1575" s="16" t="n">
        <v>419</v>
      </c>
      <c r="T1575" s="16" t="n">
        <v>3</v>
      </c>
    </row>
    <row r="1576" s="103">
      <c r="A1576" s="16" t="inlineStr">
        <is>
          <t>B331</t>
        </is>
      </c>
      <c r="B1576" s="16" t="inlineStr">
        <is>
          <t>上海区域</t>
        </is>
      </c>
      <c r="C1576" s="16" t="inlineStr">
        <is>
          <t>CN0Q</t>
        </is>
      </c>
      <c r="D1576" s="16" t="inlineStr">
        <is>
          <t>EE 苏州比斯特购物村</t>
        </is>
      </c>
      <c r="E1576" s="16" t="n">
        <v>4</v>
      </c>
      <c r="F1576" s="16" t="inlineStr">
        <is>
          <t>奥特莱斯</t>
        </is>
      </c>
      <c r="G1576" s="16" t="inlineStr">
        <is>
          <t>EEVKG24E01</t>
        </is>
      </c>
      <c r="H1576" s="16" t="n">
        <v>699</v>
      </c>
      <c r="I1576" s="16" t="n">
        <v>599</v>
      </c>
      <c r="J1576" s="17" t="inlineStr">
        <is>
          <t>########</t>
        </is>
      </c>
      <c r="K1576" s="16" t="inlineStr">
        <is>
          <t>(18)M/Grey</t>
        </is>
      </c>
      <c r="L1576" s="16" t="inlineStr">
        <is>
          <t>营业中</t>
        </is>
      </c>
      <c r="M1576" s="16" t="inlineStr">
        <is>
          <t>EEVKG24E0118170</t>
        </is>
      </c>
      <c r="N1576" s="16">
        <f>LEFT(M1576,12)</f>
        <v/>
      </c>
      <c r="O1576" s="16" t="inlineStr">
        <is>
          <t>EEVKG24E01, (18)M/Grey, (170)170</t>
        </is>
      </c>
      <c r="P1576" s="16" t="n">
        <v>699</v>
      </c>
      <c r="Q1576" s="16" t="n">
        <v>599</v>
      </c>
      <c r="R1576" s="16" t="n"/>
      <c r="S1576" s="16" t="n"/>
      <c r="T1576" s="16" t="n">
        <v>2</v>
      </c>
    </row>
    <row r="1577" s="103">
      <c r="A1577" s="16" t="inlineStr">
        <is>
          <t>B331</t>
        </is>
      </c>
      <c r="B1577" s="16" t="inlineStr">
        <is>
          <t>上海区域</t>
        </is>
      </c>
      <c r="C1577" s="16" t="inlineStr">
        <is>
          <t>CN0Q</t>
        </is>
      </c>
      <c r="D1577" s="16" t="inlineStr">
        <is>
          <t>EE 苏州比斯特购物村</t>
        </is>
      </c>
      <c r="E1577" s="16" t="n">
        <v>4</v>
      </c>
      <c r="F1577" s="16" t="inlineStr">
        <is>
          <t>奥特莱斯</t>
        </is>
      </c>
      <c r="G1577" s="16" t="inlineStr">
        <is>
          <t>EEVKG24E01</t>
        </is>
      </c>
      <c r="H1577" s="16" t="n">
        <v>699</v>
      </c>
      <c r="I1577" s="16" t="n">
        <v>599</v>
      </c>
      <c r="J1577" s="17" t="inlineStr">
        <is>
          <t>########</t>
        </is>
      </c>
      <c r="K1577" s="16" t="inlineStr">
        <is>
          <t>(39)Ivory</t>
        </is>
      </c>
      <c r="L1577" s="16" t="inlineStr">
        <is>
          <t>营业中</t>
        </is>
      </c>
      <c r="M1577" s="16" t="inlineStr">
        <is>
          <t>EEVKG24E0139160</t>
        </is>
      </c>
      <c r="N1577" s="16">
        <f>LEFT(M1577,12)</f>
        <v/>
      </c>
      <c r="O1577" s="16" t="inlineStr">
        <is>
          <t>EEVKG24E01, (39)Ivory, (160)160</t>
        </is>
      </c>
      <c r="P1577" s="16" t="n">
        <v>699</v>
      </c>
      <c r="Q1577" s="16" t="n">
        <v>599</v>
      </c>
      <c r="R1577" s="16" t="n">
        <v>1</v>
      </c>
      <c r="S1577" s="16" t="n">
        <v>419</v>
      </c>
      <c r="T1577" s="16" t="n">
        <v>3</v>
      </c>
    </row>
    <row r="1578" s="103">
      <c r="A1578" s="16" t="inlineStr">
        <is>
          <t>B331</t>
        </is>
      </c>
      <c r="B1578" s="16" t="inlineStr">
        <is>
          <t>上海区域</t>
        </is>
      </c>
      <c r="C1578" s="16" t="inlineStr">
        <is>
          <t>CN0Q</t>
        </is>
      </c>
      <c r="D1578" s="16" t="inlineStr">
        <is>
          <t>EE 苏州比斯特购物村</t>
        </is>
      </c>
      <c r="E1578" s="16" t="n">
        <v>4</v>
      </c>
      <c r="F1578" s="16" t="inlineStr">
        <is>
          <t>奥特莱斯</t>
        </is>
      </c>
      <c r="G1578" s="16" t="inlineStr">
        <is>
          <t>EEVKG24E01</t>
        </is>
      </c>
      <c r="H1578" s="16" t="n">
        <v>699</v>
      </c>
      <c r="I1578" s="16" t="n">
        <v>599</v>
      </c>
      <c r="J1578" s="17" t="inlineStr">
        <is>
          <t>########</t>
        </is>
      </c>
      <c r="K1578" s="16" t="inlineStr">
        <is>
          <t>(39)Ivory</t>
        </is>
      </c>
      <c r="L1578" s="16" t="inlineStr">
        <is>
          <t>营业中</t>
        </is>
      </c>
      <c r="M1578" s="16" t="inlineStr">
        <is>
          <t>EEVKG24E0139165</t>
        </is>
      </c>
      <c r="N1578" s="16">
        <f>LEFT(M1578,12)</f>
        <v/>
      </c>
      <c r="O1578" s="16" t="inlineStr">
        <is>
          <t>EEVKG24E01, (39)Ivory, (165)165</t>
        </is>
      </c>
      <c r="P1578" s="16" t="n">
        <v>699</v>
      </c>
      <c r="Q1578" s="16" t="n">
        <v>599</v>
      </c>
      <c r="R1578" s="16" t="n"/>
      <c r="S1578" s="16" t="n"/>
      <c r="T1578" s="16" t="n">
        <v>3</v>
      </c>
    </row>
    <row r="1579" s="103">
      <c r="A1579" s="16" t="inlineStr">
        <is>
          <t>B331</t>
        </is>
      </c>
      <c r="B1579" s="16" t="inlineStr">
        <is>
          <t>上海区域</t>
        </is>
      </c>
      <c r="C1579" s="16" t="inlineStr">
        <is>
          <t>CN0Q</t>
        </is>
      </c>
      <c r="D1579" s="16" t="inlineStr">
        <is>
          <t>EE 苏州比斯特购物村</t>
        </is>
      </c>
      <c r="E1579" s="16" t="n">
        <v>4</v>
      </c>
      <c r="F1579" s="16" t="inlineStr">
        <is>
          <t>奥特莱斯</t>
        </is>
      </c>
      <c r="G1579" s="16" t="inlineStr">
        <is>
          <t>EEVKG24E01</t>
        </is>
      </c>
      <c r="H1579" s="16" t="n">
        <v>699</v>
      </c>
      <c r="I1579" s="16" t="n">
        <v>599</v>
      </c>
      <c r="J1579" s="17" t="inlineStr">
        <is>
          <t>########</t>
        </is>
      </c>
      <c r="K1579" s="16" t="inlineStr">
        <is>
          <t>(39)Ivory</t>
        </is>
      </c>
      <c r="L1579" s="16" t="inlineStr">
        <is>
          <t>营业中</t>
        </is>
      </c>
      <c r="M1579" s="16" t="inlineStr">
        <is>
          <t>EEVKG24E0139170</t>
        </is>
      </c>
      <c r="N1579" s="16">
        <f>LEFT(M1579,12)</f>
        <v/>
      </c>
      <c r="O1579" s="16" t="inlineStr">
        <is>
          <t>EEVKG24E01, (39)Ivory, (170)170</t>
        </is>
      </c>
      <c r="P1579" s="16" t="n">
        <v>699</v>
      </c>
      <c r="Q1579" s="16" t="n">
        <v>599</v>
      </c>
      <c r="R1579" s="16" t="n"/>
      <c r="S1579" s="16" t="n"/>
      <c r="T1579" s="16" t="n">
        <v>2</v>
      </c>
    </row>
    <row r="1580" s="103">
      <c r="A1580" s="16" t="inlineStr">
        <is>
          <t>B331</t>
        </is>
      </c>
      <c r="B1580" s="16" t="inlineStr">
        <is>
          <t>上海区域</t>
        </is>
      </c>
      <c r="C1580" s="16" t="inlineStr">
        <is>
          <t>CN0Q</t>
        </is>
      </c>
      <c r="D1580" s="16" t="inlineStr">
        <is>
          <t>EE 苏州比斯特购物村</t>
        </is>
      </c>
      <c r="E1580" s="16" t="n">
        <v>4</v>
      </c>
      <c r="F1580" s="16" t="inlineStr">
        <is>
          <t>奥特莱斯</t>
        </is>
      </c>
      <c r="G1580" s="16" t="inlineStr">
        <is>
          <t>EEVKG25B02</t>
        </is>
      </c>
      <c r="H1580" s="16" t="n">
        <v>599</v>
      </c>
      <c r="I1580" s="16" t="n">
        <v>699</v>
      </c>
      <c r="J1580" s="17" t="inlineStr">
        <is>
          <t>########</t>
        </is>
      </c>
      <c r="K1580" s="16" t="inlineStr">
        <is>
          <t>(99)MIX</t>
        </is>
      </c>
      <c r="L1580" s="16" t="inlineStr">
        <is>
          <t>营业中</t>
        </is>
      </c>
      <c r="M1580" s="16" t="inlineStr">
        <is>
          <t>EEVKG25B0299160</t>
        </is>
      </c>
      <c r="N1580" s="16">
        <f>LEFT(M1580,12)</f>
        <v/>
      </c>
      <c r="O1580" s="16" t="inlineStr">
        <is>
          <t>EEVKG25B02, (99)MIX, (160)160</t>
        </is>
      </c>
      <c r="P1580" s="16" t="n">
        <v>599</v>
      </c>
      <c r="Q1580" s="16" t="n">
        <v>699</v>
      </c>
      <c r="R1580" s="16" t="n">
        <v>1</v>
      </c>
      <c r="S1580" s="16" t="n"/>
      <c r="T1580" s="16" t="n">
        <v>1</v>
      </c>
    </row>
    <row r="1581" s="103">
      <c r="A1581" s="16" t="inlineStr">
        <is>
          <t>B331</t>
        </is>
      </c>
      <c r="B1581" s="16" t="inlineStr">
        <is>
          <t>上海区域</t>
        </is>
      </c>
      <c r="C1581" s="16" t="inlineStr">
        <is>
          <t>CN0Q</t>
        </is>
      </c>
      <c r="D1581" s="16" t="inlineStr">
        <is>
          <t>EE 苏州比斯特购物村</t>
        </is>
      </c>
      <c r="E1581" s="16" t="n">
        <v>4</v>
      </c>
      <c r="F1581" s="16" t="inlineStr">
        <is>
          <t>奥特莱斯</t>
        </is>
      </c>
      <c r="G1581" s="16" t="inlineStr">
        <is>
          <t>EEVKG25B02</t>
        </is>
      </c>
      <c r="H1581" s="16" t="n">
        <v>599</v>
      </c>
      <c r="I1581" s="16" t="n">
        <v>699</v>
      </c>
      <c r="J1581" s="17" t="inlineStr">
        <is>
          <t>########</t>
        </is>
      </c>
      <c r="K1581" s="16" t="inlineStr">
        <is>
          <t>(99)MIX</t>
        </is>
      </c>
      <c r="L1581" s="16" t="inlineStr">
        <is>
          <t>营业中</t>
        </is>
      </c>
      <c r="M1581" s="16" t="inlineStr">
        <is>
          <t>EEVKG25B0299165</t>
        </is>
      </c>
      <c r="N1581" s="16">
        <f>LEFT(M1581,12)</f>
        <v/>
      </c>
      <c r="O1581" s="16" t="inlineStr">
        <is>
          <t>EEVKG25B02, (99)MIX, (165)165</t>
        </is>
      </c>
      <c r="P1581" s="16" t="n">
        <v>599</v>
      </c>
      <c r="Q1581" s="16" t="n">
        <v>699</v>
      </c>
      <c r="R1581" s="16" t="n"/>
      <c r="S1581" s="16" t="n"/>
      <c r="T1581" s="16" t="n">
        <v>2</v>
      </c>
    </row>
    <row r="1582" s="103">
      <c r="A1582" s="16" t="inlineStr">
        <is>
          <t>B331</t>
        </is>
      </c>
      <c r="B1582" s="16" t="inlineStr">
        <is>
          <t>上海区域</t>
        </is>
      </c>
      <c r="C1582" s="16" t="inlineStr">
        <is>
          <t>CN0Q</t>
        </is>
      </c>
      <c r="D1582" s="16" t="inlineStr">
        <is>
          <t>EE 苏州比斯特购物村</t>
        </is>
      </c>
      <c r="E1582" s="16" t="n">
        <v>4</v>
      </c>
      <c r="F1582" s="16" t="inlineStr">
        <is>
          <t>奥特莱斯</t>
        </is>
      </c>
      <c r="G1582" s="16" t="inlineStr">
        <is>
          <t>EEVKG25B02</t>
        </is>
      </c>
      <c r="H1582" s="16" t="n">
        <v>599</v>
      </c>
      <c r="I1582" s="16" t="n">
        <v>699</v>
      </c>
      <c r="J1582" s="17" t="inlineStr">
        <is>
          <t>########</t>
        </is>
      </c>
      <c r="K1582" s="16" t="inlineStr">
        <is>
          <t>(99)MIX</t>
        </is>
      </c>
      <c r="L1582" s="16" t="inlineStr">
        <is>
          <t>营业中</t>
        </is>
      </c>
      <c r="M1582" s="16" t="inlineStr">
        <is>
          <t>EEVKG25B0299170</t>
        </is>
      </c>
      <c r="N1582" s="16">
        <f>LEFT(M1582,12)</f>
        <v/>
      </c>
      <c r="O1582" s="16" t="inlineStr">
        <is>
          <t>EEVKG25B02, (99)MIX, (170)170</t>
        </is>
      </c>
      <c r="P1582" s="16" t="n">
        <v>599</v>
      </c>
      <c r="Q1582" s="16" t="n">
        <v>699</v>
      </c>
      <c r="R1582" s="16" t="n">
        <v>1</v>
      </c>
      <c r="S1582" s="16" t="n">
        <v>489</v>
      </c>
      <c r="T1582" s="16" t="n">
        <v>1</v>
      </c>
    </row>
    <row r="1583" s="103">
      <c r="A1583" s="16" t="inlineStr">
        <is>
          <t>B331</t>
        </is>
      </c>
      <c r="B1583" s="16" t="inlineStr">
        <is>
          <t>上海区域</t>
        </is>
      </c>
      <c r="C1583" s="16" t="inlineStr">
        <is>
          <t>CN0Q</t>
        </is>
      </c>
      <c r="D1583" s="16" t="inlineStr">
        <is>
          <t>EE 苏州比斯特购物村</t>
        </is>
      </c>
      <c r="E1583" s="16" t="n">
        <v>4</v>
      </c>
      <c r="F1583" s="16" t="inlineStr">
        <is>
          <t>奥特莱斯</t>
        </is>
      </c>
      <c r="G1583" s="16" t="inlineStr">
        <is>
          <t>EEVKG25B03</t>
        </is>
      </c>
      <c r="H1583" s="16" t="n">
        <v>699</v>
      </c>
      <c r="I1583" s="16" t="n">
        <v>699</v>
      </c>
      <c r="J1583" s="17" t="inlineStr">
        <is>
          <t>########</t>
        </is>
      </c>
      <c r="K1583" s="16" t="inlineStr">
        <is>
          <t>(39)Ivory</t>
        </is>
      </c>
      <c r="L1583" s="16" t="inlineStr">
        <is>
          <t>营业中</t>
        </is>
      </c>
      <c r="M1583" s="16" t="inlineStr">
        <is>
          <t>EEVKG25B0339160</t>
        </is>
      </c>
      <c r="N1583" s="16">
        <f>LEFT(M1583,12)</f>
        <v/>
      </c>
      <c r="O1583" s="16" t="inlineStr">
        <is>
          <t>EEVKG25B03, (39)Ivory, (160)160</t>
        </is>
      </c>
      <c r="P1583" s="16" t="n">
        <v>699</v>
      </c>
      <c r="Q1583" s="16" t="n">
        <v>699</v>
      </c>
      <c r="R1583" s="16" t="n">
        <v>6</v>
      </c>
      <c r="S1583" s="18" t="n">
        <v>2177</v>
      </c>
      <c r="T1583" s="16" t="n">
        <v>6</v>
      </c>
    </row>
    <row r="1584" s="103">
      <c r="A1584" s="16" t="inlineStr">
        <is>
          <t>B331</t>
        </is>
      </c>
      <c r="B1584" s="16" t="inlineStr">
        <is>
          <t>上海区域</t>
        </is>
      </c>
      <c r="C1584" s="16" t="inlineStr">
        <is>
          <t>CN0Q</t>
        </is>
      </c>
      <c r="D1584" s="16" t="inlineStr">
        <is>
          <t>EE 苏州比斯特购物村</t>
        </is>
      </c>
      <c r="E1584" s="16" t="n">
        <v>4</v>
      </c>
      <c r="F1584" s="16" t="inlineStr">
        <is>
          <t>奥特莱斯</t>
        </is>
      </c>
      <c r="G1584" s="16" t="inlineStr">
        <is>
          <t>EEVKG25B03</t>
        </is>
      </c>
      <c r="H1584" s="16" t="n">
        <v>699</v>
      </c>
      <c r="I1584" s="16" t="n">
        <v>699</v>
      </c>
      <c r="J1584" s="17" t="inlineStr">
        <is>
          <t>########</t>
        </is>
      </c>
      <c r="K1584" s="16" t="inlineStr">
        <is>
          <t>(39)Ivory</t>
        </is>
      </c>
      <c r="L1584" s="16" t="inlineStr">
        <is>
          <t>营业中</t>
        </is>
      </c>
      <c r="M1584" s="16" t="inlineStr">
        <is>
          <t>EEVKG25B0339165</t>
        </is>
      </c>
      <c r="N1584" s="16">
        <f>LEFT(M1584,12)</f>
        <v/>
      </c>
      <c r="O1584" s="16" t="inlineStr">
        <is>
          <t>EEVKG25B03, (39)Ivory, (165)165</t>
        </is>
      </c>
      <c r="P1584" s="16" t="n">
        <v>699</v>
      </c>
      <c r="Q1584" s="16" t="n">
        <v>699</v>
      </c>
      <c r="R1584" s="16" t="n">
        <v>1</v>
      </c>
      <c r="S1584" s="16" t="n">
        <v>489</v>
      </c>
      <c r="T1584" s="16" t="n">
        <v>2</v>
      </c>
    </row>
    <row r="1585" s="103">
      <c r="A1585" s="16" t="inlineStr">
        <is>
          <t>B331</t>
        </is>
      </c>
      <c r="B1585" s="16" t="inlineStr">
        <is>
          <t>上海区域</t>
        </is>
      </c>
      <c r="C1585" s="16" t="inlineStr">
        <is>
          <t>CN0Q</t>
        </is>
      </c>
      <c r="D1585" s="16" t="inlineStr">
        <is>
          <t>EE 苏州比斯特购物村</t>
        </is>
      </c>
      <c r="E1585" s="16" t="n">
        <v>4</v>
      </c>
      <c r="F1585" s="16" t="inlineStr">
        <is>
          <t>奥特莱斯</t>
        </is>
      </c>
      <c r="G1585" s="16" t="inlineStr">
        <is>
          <t>EEVKG25B03</t>
        </is>
      </c>
      <c r="H1585" s="16" t="n">
        <v>699</v>
      </c>
      <c r="I1585" s="16" t="n">
        <v>699</v>
      </c>
      <c r="J1585" s="17" t="inlineStr">
        <is>
          <t>########</t>
        </is>
      </c>
      <c r="K1585" s="16" t="inlineStr">
        <is>
          <t>(39)Ivory</t>
        </is>
      </c>
      <c r="L1585" s="16" t="inlineStr">
        <is>
          <t>营业中</t>
        </is>
      </c>
      <c r="M1585" s="16" t="inlineStr">
        <is>
          <t>EEVKG25B0339170</t>
        </is>
      </c>
      <c r="N1585" s="16">
        <f>LEFT(M1585,12)</f>
        <v/>
      </c>
      <c r="O1585" s="16" t="inlineStr">
        <is>
          <t>EEVKG25B03, (39)Ivory, (170)170</t>
        </is>
      </c>
      <c r="P1585" s="16" t="n">
        <v>699</v>
      </c>
      <c r="Q1585" s="16" t="n">
        <v>699</v>
      </c>
      <c r="R1585" s="16" t="n">
        <v>2</v>
      </c>
      <c r="S1585" s="16" t="n"/>
      <c r="T1585" s="16" t="n">
        <v>2</v>
      </c>
    </row>
    <row r="1586" s="103">
      <c r="A1586" s="16" t="inlineStr">
        <is>
          <t>B331</t>
        </is>
      </c>
      <c r="B1586" s="16" t="inlineStr">
        <is>
          <t>上海区域</t>
        </is>
      </c>
      <c r="C1586" s="16" t="inlineStr">
        <is>
          <t>CN0Q</t>
        </is>
      </c>
      <c r="D1586" s="16" t="inlineStr">
        <is>
          <t>EE 苏州比斯特购物村</t>
        </is>
      </c>
      <c r="E1586" s="16" t="n">
        <v>4</v>
      </c>
      <c r="F1586" s="16" t="inlineStr">
        <is>
          <t>奥特莱斯</t>
        </is>
      </c>
      <c r="G1586" s="16" t="inlineStr">
        <is>
          <t>EEVKG25B04</t>
        </is>
      </c>
      <c r="H1586" s="16" t="n">
        <v>699</v>
      </c>
      <c r="I1586" s="16" t="n">
        <v>699</v>
      </c>
      <c r="J1586" s="17" t="inlineStr">
        <is>
          <t>########</t>
        </is>
      </c>
      <c r="K1586" s="16" t="inlineStr">
        <is>
          <t>(39)Ivory</t>
        </is>
      </c>
      <c r="L1586" s="16" t="inlineStr">
        <is>
          <t>营业中</t>
        </is>
      </c>
      <c r="M1586" s="16" t="inlineStr">
        <is>
          <t>EEVKG25B0439160</t>
        </is>
      </c>
      <c r="N1586" s="16">
        <f>LEFT(M1586,12)</f>
        <v/>
      </c>
      <c r="O1586" s="16" t="inlineStr">
        <is>
          <t>EEVKG25B04, (39)Ivory, (160)160</t>
        </is>
      </c>
      <c r="P1586" s="16" t="n">
        <v>699</v>
      </c>
      <c r="Q1586" s="16" t="n">
        <v>699</v>
      </c>
      <c r="R1586" s="16" t="n">
        <v>1</v>
      </c>
      <c r="S1586" s="16" t="n"/>
      <c r="T1586" s="16" t="n">
        <v>1</v>
      </c>
    </row>
    <row r="1587" s="103">
      <c r="A1587" s="16" t="inlineStr">
        <is>
          <t>B331</t>
        </is>
      </c>
      <c r="B1587" s="16" t="inlineStr">
        <is>
          <t>上海区域</t>
        </is>
      </c>
      <c r="C1587" s="16" t="inlineStr">
        <is>
          <t>CN0Q</t>
        </is>
      </c>
      <c r="D1587" s="16" t="inlineStr">
        <is>
          <t>EE 苏州比斯特购物村</t>
        </is>
      </c>
      <c r="E1587" s="16" t="n">
        <v>4</v>
      </c>
      <c r="F1587" s="16" t="inlineStr">
        <is>
          <t>奥特莱斯</t>
        </is>
      </c>
      <c r="G1587" s="16" t="inlineStr">
        <is>
          <t>EEVKG25B04</t>
        </is>
      </c>
      <c r="H1587" s="16" t="n">
        <v>699</v>
      </c>
      <c r="I1587" s="16" t="n">
        <v>699</v>
      </c>
      <c r="J1587" s="17" t="inlineStr">
        <is>
          <t>########</t>
        </is>
      </c>
      <c r="K1587" s="16" t="inlineStr">
        <is>
          <t>(39)Ivory</t>
        </is>
      </c>
      <c r="L1587" s="16" t="inlineStr">
        <is>
          <t>营业中</t>
        </is>
      </c>
      <c r="M1587" s="16" t="inlineStr">
        <is>
          <t>EEVKG25B0439165</t>
        </is>
      </c>
      <c r="N1587" s="16">
        <f>LEFT(M1587,12)</f>
        <v/>
      </c>
      <c r="O1587" s="16" t="inlineStr">
        <is>
          <t>EEVKG25B04, (39)Ivory, (165)165</t>
        </is>
      </c>
      <c r="P1587" s="16" t="n">
        <v>699</v>
      </c>
      <c r="Q1587" s="16" t="n">
        <v>699</v>
      </c>
      <c r="R1587" s="16" t="n">
        <v>1</v>
      </c>
      <c r="S1587" s="16" t="n"/>
      <c r="T1587" s="16" t="n">
        <v>1</v>
      </c>
    </row>
    <row r="1588" s="103">
      <c r="A1588" s="16" t="inlineStr">
        <is>
          <t>B331</t>
        </is>
      </c>
      <c r="B1588" s="16" t="inlineStr">
        <is>
          <t>上海区域</t>
        </is>
      </c>
      <c r="C1588" s="16" t="inlineStr">
        <is>
          <t>CN0Q</t>
        </is>
      </c>
      <c r="D1588" s="16" t="inlineStr">
        <is>
          <t>EE 苏州比斯特购物村</t>
        </is>
      </c>
      <c r="E1588" s="16" t="n">
        <v>4</v>
      </c>
      <c r="F1588" s="16" t="inlineStr">
        <is>
          <t>奥特莱斯</t>
        </is>
      </c>
      <c r="G1588" s="16" t="inlineStr">
        <is>
          <t>EEVKG25B04</t>
        </is>
      </c>
      <c r="H1588" s="16" t="n">
        <v>699</v>
      </c>
      <c r="I1588" s="16" t="n">
        <v>699</v>
      </c>
      <c r="J1588" s="17" t="inlineStr">
        <is>
          <t>########</t>
        </is>
      </c>
      <c r="K1588" s="16" t="inlineStr">
        <is>
          <t>(39)Ivory</t>
        </is>
      </c>
      <c r="L1588" s="16" t="inlineStr">
        <is>
          <t>营业中</t>
        </is>
      </c>
      <c r="M1588" s="16" t="inlineStr">
        <is>
          <t>EEVKG25B0439170</t>
        </is>
      </c>
      <c r="N1588" s="16">
        <f>LEFT(M1588,12)</f>
        <v/>
      </c>
      <c r="O1588" s="16" t="inlineStr">
        <is>
          <t>EEVKG25B04, (39)Ivory, (170)170</t>
        </is>
      </c>
      <c r="P1588" s="16" t="n">
        <v>699</v>
      </c>
      <c r="Q1588" s="16" t="n">
        <v>699</v>
      </c>
      <c r="R1588" s="16" t="n"/>
      <c r="S1588" s="16" t="n"/>
      <c r="T1588" s="16" t="n">
        <v>1</v>
      </c>
    </row>
    <row r="1589" s="103">
      <c r="A1589" s="16" t="inlineStr">
        <is>
          <t>B331</t>
        </is>
      </c>
      <c r="B1589" s="16" t="inlineStr">
        <is>
          <t>上海区域</t>
        </is>
      </c>
      <c r="C1589" s="16" t="inlineStr">
        <is>
          <t>CN0Q</t>
        </is>
      </c>
      <c r="D1589" s="16" t="inlineStr">
        <is>
          <t>EE 苏州比斯特购物村</t>
        </is>
      </c>
      <c r="E1589" s="16" t="n">
        <v>4</v>
      </c>
      <c r="F1589" s="16" t="inlineStr">
        <is>
          <t>奥特莱斯</t>
        </is>
      </c>
      <c r="G1589" s="16" t="inlineStr">
        <is>
          <t>EEVKG25D05</t>
        </is>
      </c>
      <c r="H1589" s="16" t="n">
        <v>899</v>
      </c>
      <c r="I1589" s="16" t="n">
        <v>899</v>
      </c>
      <c r="J1589" s="17" t="inlineStr">
        <is>
          <t>########</t>
        </is>
      </c>
      <c r="K1589" s="16" t="inlineStr">
        <is>
          <t>(39)Ivory</t>
        </is>
      </c>
      <c r="L1589" s="16" t="inlineStr">
        <is>
          <t>营业中</t>
        </is>
      </c>
      <c r="M1589" s="16" t="inlineStr">
        <is>
          <t>EEVKG25D0539160</t>
        </is>
      </c>
      <c r="N1589" s="16">
        <f>LEFT(M1589,12)</f>
        <v/>
      </c>
      <c r="O1589" s="16" t="inlineStr">
        <is>
          <t>EEVKG25D05, (39)Ivory, (160)160</t>
        </is>
      </c>
      <c r="P1589" s="16" t="n">
        <v>899</v>
      </c>
      <c r="Q1589" s="16" t="n">
        <v>899</v>
      </c>
      <c r="R1589" s="16" t="n">
        <v>2</v>
      </c>
      <c r="S1589" s="16" t="n">
        <v>579</v>
      </c>
      <c r="T1589" s="16" t="n">
        <v>0</v>
      </c>
    </row>
    <row r="1590" s="103">
      <c r="A1590" s="16" t="inlineStr">
        <is>
          <t>B331</t>
        </is>
      </c>
      <c r="B1590" s="16" t="inlineStr">
        <is>
          <t>上海区域</t>
        </is>
      </c>
      <c r="C1590" s="16" t="inlineStr">
        <is>
          <t>CN0Q</t>
        </is>
      </c>
      <c r="D1590" s="16" t="inlineStr">
        <is>
          <t>EE 苏州比斯特购物村</t>
        </is>
      </c>
      <c r="E1590" s="16" t="n">
        <v>4</v>
      </c>
      <c r="F1590" s="16" t="inlineStr">
        <is>
          <t>奥特莱斯</t>
        </is>
      </c>
      <c r="G1590" s="16" t="inlineStr">
        <is>
          <t>EEVKG25D05</t>
        </is>
      </c>
      <c r="H1590" s="16" t="n">
        <v>899</v>
      </c>
      <c r="I1590" s="16" t="n">
        <v>899</v>
      </c>
      <c r="J1590" s="17" t="inlineStr">
        <is>
          <t>########</t>
        </is>
      </c>
      <c r="K1590" s="16" t="inlineStr">
        <is>
          <t>(39)Ivory</t>
        </is>
      </c>
      <c r="L1590" s="16" t="inlineStr">
        <is>
          <t>营业中</t>
        </is>
      </c>
      <c r="M1590" s="16" t="inlineStr">
        <is>
          <t>EEVKG25D0539165</t>
        </is>
      </c>
      <c r="N1590" s="16">
        <f>LEFT(M1590,12)</f>
        <v/>
      </c>
      <c r="O1590" s="16" t="inlineStr">
        <is>
          <t>EEVKG25D05, (39)Ivory, (165)165</t>
        </is>
      </c>
      <c r="P1590" s="16" t="n">
        <v>899</v>
      </c>
      <c r="Q1590" s="16" t="n">
        <v>899</v>
      </c>
      <c r="R1590" s="16" t="n">
        <v>2</v>
      </c>
      <c r="S1590" s="16" t="n"/>
      <c r="T1590" s="16" t="n">
        <v>0</v>
      </c>
    </row>
    <row r="1591" s="103">
      <c r="A1591" s="16" t="inlineStr">
        <is>
          <t>B331</t>
        </is>
      </c>
      <c r="B1591" s="16" t="inlineStr">
        <is>
          <t>上海区域</t>
        </is>
      </c>
      <c r="C1591" s="16" t="inlineStr">
        <is>
          <t>CN0Q</t>
        </is>
      </c>
      <c r="D1591" s="16" t="inlineStr">
        <is>
          <t>EE 苏州比斯特购物村</t>
        </is>
      </c>
      <c r="E1591" s="16" t="n">
        <v>4</v>
      </c>
      <c r="F1591" s="16" t="inlineStr">
        <is>
          <t>奥特莱斯</t>
        </is>
      </c>
      <c r="G1591" s="16" t="inlineStr">
        <is>
          <t>EEVKG25D05</t>
        </is>
      </c>
      <c r="H1591" s="16" t="n">
        <v>899</v>
      </c>
      <c r="I1591" s="16" t="n">
        <v>899</v>
      </c>
      <c r="J1591" s="17" t="inlineStr">
        <is>
          <t>########</t>
        </is>
      </c>
      <c r="K1591" s="16" t="inlineStr">
        <is>
          <t>(39)Ivory</t>
        </is>
      </c>
      <c r="L1591" s="16" t="inlineStr">
        <is>
          <t>营业中</t>
        </is>
      </c>
      <c r="M1591" s="16" t="inlineStr">
        <is>
          <t>EEVKG25D0539170</t>
        </is>
      </c>
      <c r="N1591" s="16">
        <f>LEFT(M1591,12)</f>
        <v/>
      </c>
      <c r="O1591" s="16" t="inlineStr">
        <is>
          <t>EEVKG25D05, (39)Ivory, (170)170</t>
        </is>
      </c>
      <c r="P1591" s="16" t="n">
        <v>899</v>
      </c>
      <c r="Q1591" s="16" t="n">
        <v>899</v>
      </c>
      <c r="R1591" s="16" t="n">
        <v>2</v>
      </c>
      <c r="S1591" s="16" t="n">
        <v>629</v>
      </c>
      <c r="T1591" s="16" t="n">
        <v>0</v>
      </c>
    </row>
    <row r="1592" s="103">
      <c r="A1592" s="16" t="inlineStr">
        <is>
          <t>B331</t>
        </is>
      </c>
      <c r="B1592" s="16" t="inlineStr">
        <is>
          <t>上海区域</t>
        </is>
      </c>
      <c r="C1592" s="16" t="inlineStr">
        <is>
          <t>CN0Q</t>
        </is>
      </c>
      <c r="D1592" s="16" t="inlineStr">
        <is>
          <t>EE 苏州比斯特购物村</t>
        </is>
      </c>
      <c r="E1592" s="16" t="n">
        <v>4</v>
      </c>
      <c r="F1592" s="16" t="inlineStr">
        <is>
          <t>奥特莱斯</t>
        </is>
      </c>
      <c r="G1592" s="16" t="inlineStr">
        <is>
          <t>EEVKG25E01</t>
        </is>
      </c>
      <c r="H1592" s="16" t="n">
        <v>599</v>
      </c>
      <c r="I1592" s="16" t="n">
        <v>499</v>
      </c>
      <c r="J1592" s="17" t="inlineStr">
        <is>
          <t>########</t>
        </is>
      </c>
      <c r="K1592" s="16" t="inlineStr">
        <is>
          <t>(18)M/Grey</t>
        </is>
      </c>
      <c r="L1592" s="16" t="inlineStr">
        <is>
          <t>营业中</t>
        </is>
      </c>
      <c r="M1592" s="16" t="inlineStr">
        <is>
          <t>EEVKG25E0118160</t>
        </is>
      </c>
      <c r="N1592" s="16">
        <f>LEFT(M1592,12)</f>
        <v/>
      </c>
      <c r="O1592" s="16" t="inlineStr">
        <is>
          <t>EEVKG25E01, (18)M/Grey, (160)160</t>
        </is>
      </c>
      <c r="P1592" s="16" t="n">
        <v>599</v>
      </c>
      <c r="Q1592" s="16" t="n">
        <v>499</v>
      </c>
      <c r="R1592" s="16" t="n">
        <v>3</v>
      </c>
      <c r="S1592" s="18" t="n">
        <v>1000</v>
      </c>
      <c r="T1592" s="16" t="n">
        <v>2</v>
      </c>
    </row>
    <row r="1593" s="103">
      <c r="A1593" s="16" t="inlineStr">
        <is>
          <t>B331</t>
        </is>
      </c>
      <c r="B1593" s="16" t="inlineStr">
        <is>
          <t>上海区域</t>
        </is>
      </c>
      <c r="C1593" s="16" t="inlineStr">
        <is>
          <t>CN0Q</t>
        </is>
      </c>
      <c r="D1593" s="16" t="inlineStr">
        <is>
          <t>EE 苏州比斯特购物村</t>
        </is>
      </c>
      <c r="E1593" s="16" t="n">
        <v>4</v>
      </c>
      <c r="F1593" s="16" t="inlineStr">
        <is>
          <t>奥特莱斯</t>
        </is>
      </c>
      <c r="G1593" s="16" t="inlineStr">
        <is>
          <t>EEVKG25E01</t>
        </is>
      </c>
      <c r="H1593" s="16" t="n">
        <v>599</v>
      </c>
      <c r="I1593" s="16" t="n">
        <v>499</v>
      </c>
      <c r="J1593" s="17" t="inlineStr">
        <is>
          <t>########</t>
        </is>
      </c>
      <c r="K1593" s="16" t="inlineStr">
        <is>
          <t>(18)M/Grey</t>
        </is>
      </c>
      <c r="L1593" s="16" t="inlineStr">
        <is>
          <t>营业中</t>
        </is>
      </c>
      <c r="M1593" s="16" t="inlineStr">
        <is>
          <t>EEVKG25E0118165</t>
        </is>
      </c>
      <c r="N1593" s="16">
        <f>LEFT(M1593,12)</f>
        <v/>
      </c>
      <c r="O1593" s="16" t="inlineStr">
        <is>
          <t>EEVKG25E01, (18)M/Grey, (165)165</t>
        </is>
      </c>
      <c r="P1593" s="16" t="n">
        <v>599</v>
      </c>
      <c r="Q1593" s="16" t="n">
        <v>499</v>
      </c>
      <c r="R1593" s="16" t="n">
        <v>5</v>
      </c>
      <c r="S1593" s="16" t="n">
        <v>991</v>
      </c>
      <c r="T1593" s="16" t="n">
        <v>5</v>
      </c>
    </row>
    <row r="1594" s="103">
      <c r="A1594" s="16" t="inlineStr">
        <is>
          <t>B331</t>
        </is>
      </c>
      <c r="B1594" s="16" t="inlineStr">
        <is>
          <t>上海区域</t>
        </is>
      </c>
      <c r="C1594" s="16" t="inlineStr">
        <is>
          <t>CN0Q</t>
        </is>
      </c>
      <c r="D1594" s="16" t="inlineStr">
        <is>
          <t>EE 苏州比斯特购物村</t>
        </is>
      </c>
      <c r="E1594" s="16" t="n">
        <v>4</v>
      </c>
      <c r="F1594" s="16" t="inlineStr">
        <is>
          <t>奥特莱斯</t>
        </is>
      </c>
      <c r="G1594" s="16" t="inlineStr">
        <is>
          <t>EEVKG25E01</t>
        </is>
      </c>
      <c r="H1594" s="16" t="n">
        <v>599</v>
      </c>
      <c r="I1594" s="16" t="n">
        <v>499</v>
      </c>
      <c r="J1594" s="17" t="inlineStr">
        <is>
          <t>########</t>
        </is>
      </c>
      <c r="K1594" s="16" t="inlineStr">
        <is>
          <t>(18)M/Grey</t>
        </is>
      </c>
      <c r="L1594" s="16" t="inlineStr">
        <is>
          <t>营业中</t>
        </is>
      </c>
      <c r="M1594" s="16" t="inlineStr">
        <is>
          <t>EEVKG25E0118170</t>
        </is>
      </c>
      <c r="N1594" s="16">
        <f>LEFT(M1594,12)</f>
        <v/>
      </c>
      <c r="O1594" s="16" t="inlineStr">
        <is>
          <t>EEVKG25E01, (18)M/Grey, (170)170</t>
        </is>
      </c>
      <c r="P1594" s="16" t="n">
        <v>599</v>
      </c>
      <c r="Q1594" s="16" t="n">
        <v>499</v>
      </c>
      <c r="R1594" s="16" t="n">
        <v>2</v>
      </c>
      <c r="S1594" s="16" t="n">
        <v>677</v>
      </c>
      <c r="T1594" s="16" t="n">
        <v>2</v>
      </c>
    </row>
    <row r="1595" s="103">
      <c r="A1595" s="16" t="inlineStr">
        <is>
          <t>B331</t>
        </is>
      </c>
      <c r="B1595" s="16" t="inlineStr">
        <is>
          <t>上海区域</t>
        </is>
      </c>
      <c r="C1595" s="16" t="inlineStr">
        <is>
          <t>CN0Q</t>
        </is>
      </c>
      <c r="D1595" s="16" t="inlineStr">
        <is>
          <t>EE 苏州比斯特购物村</t>
        </is>
      </c>
      <c r="E1595" s="16" t="n">
        <v>4</v>
      </c>
      <c r="F1595" s="16" t="inlineStr">
        <is>
          <t>奥特莱斯</t>
        </is>
      </c>
      <c r="G1595" s="16" t="inlineStr">
        <is>
          <t>EEVKG25E01</t>
        </is>
      </c>
      <c r="H1595" s="16" t="n">
        <v>599</v>
      </c>
      <c r="I1595" s="16" t="n">
        <v>499</v>
      </c>
      <c r="J1595" s="17" t="inlineStr">
        <is>
          <t>########</t>
        </is>
      </c>
      <c r="K1595" s="16" t="inlineStr">
        <is>
          <t>(30)Yellow</t>
        </is>
      </c>
      <c r="L1595" s="16" t="inlineStr">
        <is>
          <t>营业中</t>
        </is>
      </c>
      <c r="M1595" s="16" t="inlineStr">
        <is>
          <t>EEVKG25E0130160</t>
        </is>
      </c>
      <c r="N1595" s="16">
        <f>LEFT(M1595,12)</f>
        <v/>
      </c>
      <c r="O1595" s="16" t="inlineStr">
        <is>
          <t>EEVKG25E01, (30)Yellow, (160)160</t>
        </is>
      </c>
      <c r="P1595" s="16" t="n">
        <v>599</v>
      </c>
      <c r="Q1595" s="16" t="n">
        <v>499</v>
      </c>
      <c r="R1595" s="16" t="n">
        <v>7</v>
      </c>
      <c r="S1595" s="18" t="n">
        <v>1868</v>
      </c>
      <c r="T1595" s="16" t="n">
        <v>7</v>
      </c>
    </row>
    <row r="1596" s="103">
      <c r="A1596" s="16" t="inlineStr">
        <is>
          <t>B331</t>
        </is>
      </c>
      <c r="B1596" s="16" t="inlineStr">
        <is>
          <t>上海区域</t>
        </is>
      </c>
      <c r="C1596" s="16" t="inlineStr">
        <is>
          <t>CN0Q</t>
        </is>
      </c>
      <c r="D1596" s="16" t="inlineStr">
        <is>
          <t>EE 苏州比斯特购物村</t>
        </is>
      </c>
      <c r="E1596" s="16" t="n">
        <v>4</v>
      </c>
      <c r="F1596" s="16" t="inlineStr">
        <is>
          <t>奥特莱斯</t>
        </is>
      </c>
      <c r="G1596" s="16" t="inlineStr">
        <is>
          <t>EEVKG25E01</t>
        </is>
      </c>
      <c r="H1596" s="16" t="n">
        <v>599</v>
      </c>
      <c r="I1596" s="16" t="n">
        <v>499</v>
      </c>
      <c r="J1596" s="17" t="inlineStr">
        <is>
          <t>########</t>
        </is>
      </c>
      <c r="K1596" s="16" t="inlineStr">
        <is>
          <t>(30)Yellow</t>
        </is>
      </c>
      <c r="L1596" s="16" t="inlineStr">
        <is>
          <t>营业中</t>
        </is>
      </c>
      <c r="M1596" s="16" t="inlineStr">
        <is>
          <t>EEVKG25E0130165</t>
        </is>
      </c>
      <c r="N1596" s="16">
        <f>LEFT(M1596,12)</f>
        <v/>
      </c>
      <c r="O1596" s="16" t="inlineStr">
        <is>
          <t>EEVKG25E01, (30)Yellow, (165)165</t>
        </is>
      </c>
      <c r="P1596" s="16" t="n">
        <v>599</v>
      </c>
      <c r="Q1596" s="16" t="n">
        <v>499</v>
      </c>
      <c r="R1596" s="16" t="n">
        <v>6</v>
      </c>
      <c r="S1596" s="18" t="n">
        <v>1096</v>
      </c>
      <c r="T1596" s="16" t="n">
        <v>6</v>
      </c>
    </row>
    <row r="1597" s="103">
      <c r="A1597" s="16" t="inlineStr">
        <is>
          <t>B331</t>
        </is>
      </c>
      <c r="B1597" s="16" t="inlineStr">
        <is>
          <t>上海区域</t>
        </is>
      </c>
      <c r="C1597" s="16" t="inlineStr">
        <is>
          <t>CN0Q</t>
        </is>
      </c>
      <c r="D1597" s="16" t="inlineStr">
        <is>
          <t>EE 苏州比斯特购物村</t>
        </is>
      </c>
      <c r="E1597" s="16" t="n">
        <v>4</v>
      </c>
      <c r="F1597" s="16" t="inlineStr">
        <is>
          <t>奥特莱斯</t>
        </is>
      </c>
      <c r="G1597" s="16" t="inlineStr">
        <is>
          <t>EEVKG25E01</t>
        </is>
      </c>
      <c r="H1597" s="16" t="n">
        <v>599</v>
      </c>
      <c r="I1597" s="16" t="n">
        <v>499</v>
      </c>
      <c r="J1597" s="17" t="inlineStr">
        <is>
          <t>########</t>
        </is>
      </c>
      <c r="K1597" s="16" t="inlineStr">
        <is>
          <t>(30)Yellow</t>
        </is>
      </c>
      <c r="L1597" s="16" t="inlineStr">
        <is>
          <t>营业中</t>
        </is>
      </c>
      <c r="M1597" s="16" t="inlineStr">
        <is>
          <t>EEVKG25E0130170</t>
        </is>
      </c>
      <c r="N1597" s="16">
        <f>LEFT(M1597,12)</f>
        <v/>
      </c>
      <c r="O1597" s="16" t="inlineStr">
        <is>
          <t>EEVKG25E01, (30)Yellow, (170)170</t>
        </is>
      </c>
      <c r="P1597" s="16" t="n">
        <v>599</v>
      </c>
      <c r="Q1597" s="16" t="n">
        <v>499</v>
      </c>
      <c r="R1597" s="16" t="n">
        <v>1</v>
      </c>
      <c r="S1597" s="16" t="n"/>
      <c r="T1597" s="16" t="n">
        <v>1</v>
      </c>
    </row>
    <row r="1598" s="103">
      <c r="A1598" s="16" t="inlineStr">
        <is>
          <t>B331</t>
        </is>
      </c>
      <c r="B1598" s="16" t="inlineStr">
        <is>
          <t>上海区域</t>
        </is>
      </c>
      <c r="C1598" s="16" t="inlineStr">
        <is>
          <t>CN0Q</t>
        </is>
      </c>
      <c r="D1598" s="16" t="inlineStr">
        <is>
          <t>EE 苏州比斯特购物村</t>
        </is>
      </c>
      <c r="E1598" s="16" t="n">
        <v>4</v>
      </c>
      <c r="F1598" s="16" t="inlineStr">
        <is>
          <t>奥特莱斯</t>
        </is>
      </c>
      <c r="G1598" s="16" t="inlineStr">
        <is>
          <t>EEVKG25E01</t>
        </is>
      </c>
      <c r="H1598" s="16" t="n">
        <v>599</v>
      </c>
      <c r="I1598" s="16" t="n">
        <v>499</v>
      </c>
      <c r="J1598" s="17" t="inlineStr">
        <is>
          <t>########</t>
        </is>
      </c>
      <c r="K1598" s="16" t="inlineStr">
        <is>
          <t>(39)Ivory</t>
        </is>
      </c>
      <c r="L1598" s="16" t="inlineStr">
        <is>
          <t>营业中</t>
        </is>
      </c>
      <c r="M1598" s="16" t="inlineStr">
        <is>
          <t>EEVKG25E0139160</t>
        </is>
      </c>
      <c r="N1598" s="16">
        <f>LEFT(M1598,12)</f>
        <v/>
      </c>
      <c r="O1598" s="16" t="inlineStr">
        <is>
          <t>EEVKG25E01, (39)Ivory, (160)160</t>
        </is>
      </c>
      <c r="P1598" s="16" t="n">
        <v>599</v>
      </c>
      <c r="Q1598" s="16" t="n">
        <v>499</v>
      </c>
      <c r="R1598" s="16" t="n">
        <v>7</v>
      </c>
      <c r="S1598" s="18" t="n">
        <v>1967</v>
      </c>
      <c r="T1598" s="16" t="n">
        <v>3</v>
      </c>
    </row>
    <row r="1599" s="103">
      <c r="A1599" s="16" t="inlineStr">
        <is>
          <t>B331</t>
        </is>
      </c>
      <c r="B1599" s="16" t="inlineStr">
        <is>
          <t>上海区域</t>
        </is>
      </c>
      <c r="C1599" s="16" t="inlineStr">
        <is>
          <t>CN0Q</t>
        </is>
      </c>
      <c r="D1599" s="16" t="inlineStr">
        <is>
          <t>EE 苏州比斯特购物村</t>
        </is>
      </c>
      <c r="E1599" s="16" t="n">
        <v>4</v>
      </c>
      <c r="F1599" s="16" t="inlineStr">
        <is>
          <t>奥特莱斯</t>
        </is>
      </c>
      <c r="G1599" s="16" t="inlineStr">
        <is>
          <t>EEVKG25E01</t>
        </is>
      </c>
      <c r="H1599" s="16" t="n">
        <v>599</v>
      </c>
      <c r="I1599" s="16" t="n">
        <v>499</v>
      </c>
      <c r="J1599" s="17" t="inlineStr">
        <is>
          <t>########</t>
        </is>
      </c>
      <c r="K1599" s="16" t="inlineStr">
        <is>
          <t>(39)Ivory</t>
        </is>
      </c>
      <c r="L1599" s="16" t="inlineStr">
        <is>
          <t>营业中</t>
        </is>
      </c>
      <c r="M1599" s="16" t="inlineStr">
        <is>
          <t>EEVKG25E0139165</t>
        </is>
      </c>
      <c r="N1599" s="16">
        <f>LEFT(M1599,12)</f>
        <v/>
      </c>
      <c r="O1599" s="16" t="inlineStr">
        <is>
          <t>EEVKG25E01, (39)Ivory, (165)165</t>
        </is>
      </c>
      <c r="P1599" s="16" t="n">
        <v>599</v>
      </c>
      <c r="Q1599" s="16" t="n">
        <v>499</v>
      </c>
      <c r="R1599" s="16" t="n">
        <v>5</v>
      </c>
      <c r="S1599" s="18" t="n">
        <v>1641</v>
      </c>
      <c r="T1599" s="16" t="n">
        <v>3</v>
      </c>
    </row>
    <row r="1600" s="103">
      <c r="A1600" s="16" t="inlineStr">
        <is>
          <t>B331</t>
        </is>
      </c>
      <c r="B1600" s="16" t="inlineStr">
        <is>
          <t>上海区域</t>
        </is>
      </c>
      <c r="C1600" s="16" t="inlineStr">
        <is>
          <t>CN0Q</t>
        </is>
      </c>
      <c r="D1600" s="16" t="inlineStr">
        <is>
          <t>EE 苏州比斯特购物村</t>
        </is>
      </c>
      <c r="E1600" s="16" t="n">
        <v>4</v>
      </c>
      <c r="F1600" s="16" t="inlineStr">
        <is>
          <t>奥特莱斯</t>
        </is>
      </c>
      <c r="G1600" s="16" t="inlineStr">
        <is>
          <t>EEVKG25E01</t>
        </is>
      </c>
      <c r="H1600" s="16" t="n">
        <v>599</v>
      </c>
      <c r="I1600" s="16" t="n">
        <v>499</v>
      </c>
      <c r="J1600" s="17" t="inlineStr">
        <is>
          <t>########</t>
        </is>
      </c>
      <c r="K1600" s="16" t="inlineStr">
        <is>
          <t>(39)Ivory</t>
        </is>
      </c>
      <c r="L1600" s="16" t="inlineStr">
        <is>
          <t>营业中</t>
        </is>
      </c>
      <c r="M1600" s="16" t="inlineStr">
        <is>
          <t>EEVKG25E0139170</t>
        </is>
      </c>
      <c r="N1600" s="16">
        <f>LEFT(M1600,12)</f>
        <v/>
      </c>
      <c r="O1600" s="16" t="inlineStr">
        <is>
          <t>EEVKG25E01, (39)Ivory, (170)170</t>
        </is>
      </c>
      <c r="P1600" s="16" t="n">
        <v>599</v>
      </c>
      <c r="Q1600" s="16" t="n">
        <v>499</v>
      </c>
      <c r="R1600" s="16" t="n">
        <v>3</v>
      </c>
      <c r="S1600" s="16" t="n">
        <v>477</v>
      </c>
      <c r="T1600" s="16" t="n">
        <v>3</v>
      </c>
    </row>
    <row r="1601" s="103">
      <c r="A1601" s="16" t="inlineStr">
        <is>
          <t>B331</t>
        </is>
      </c>
      <c r="B1601" s="16" t="inlineStr">
        <is>
          <t>上海区域</t>
        </is>
      </c>
      <c r="C1601" s="16" t="inlineStr">
        <is>
          <t>CN0Q</t>
        </is>
      </c>
      <c r="D1601" s="16" t="inlineStr">
        <is>
          <t>EE 苏州比斯特购物村</t>
        </is>
      </c>
      <c r="E1601" s="16" t="n">
        <v>4</v>
      </c>
      <c r="F1601" s="16" t="inlineStr">
        <is>
          <t>奥特莱斯</t>
        </is>
      </c>
      <c r="G1601" s="16" t="inlineStr">
        <is>
          <t>EEVKG64S01</t>
        </is>
      </c>
      <c r="H1601" s="16" t="n">
        <v>599</v>
      </c>
      <c r="I1601" s="16" t="n">
        <v>599</v>
      </c>
      <c r="J1601" s="17" t="inlineStr">
        <is>
          <t>########</t>
        </is>
      </c>
      <c r="K1601" s="16" t="inlineStr">
        <is>
          <t>(39)Ivory</t>
        </is>
      </c>
      <c r="L1601" s="16" t="inlineStr">
        <is>
          <t>营业中</t>
        </is>
      </c>
      <c r="M1601" s="16" t="inlineStr">
        <is>
          <t>EEVKG64S0139160</t>
        </is>
      </c>
      <c r="N1601" s="16">
        <f>LEFT(M1601,12)</f>
        <v/>
      </c>
      <c r="O1601" s="16" t="inlineStr">
        <is>
          <t>EEVKG64S01, (39)Ivory, (160)160</t>
        </is>
      </c>
      <c r="P1601" s="16" t="n">
        <v>599</v>
      </c>
      <c r="Q1601" s="16" t="n">
        <v>599</v>
      </c>
      <c r="R1601" s="16" t="n">
        <v>2</v>
      </c>
      <c r="S1601" s="16" t="n"/>
      <c r="T1601" s="16" t="n">
        <v>3</v>
      </c>
    </row>
    <row r="1602" s="103">
      <c r="A1602" s="16" t="inlineStr">
        <is>
          <t>B331</t>
        </is>
      </c>
      <c r="B1602" s="16" t="inlineStr">
        <is>
          <t>上海区域</t>
        </is>
      </c>
      <c r="C1602" s="16" t="inlineStr">
        <is>
          <t>CN0Q</t>
        </is>
      </c>
      <c r="D1602" s="16" t="inlineStr">
        <is>
          <t>EE 苏州比斯特购物村</t>
        </is>
      </c>
      <c r="E1602" s="16" t="n">
        <v>4</v>
      </c>
      <c r="F1602" s="16" t="inlineStr">
        <is>
          <t>奥特莱斯</t>
        </is>
      </c>
      <c r="G1602" s="16" t="inlineStr">
        <is>
          <t>EEVKG64S01</t>
        </is>
      </c>
      <c r="H1602" s="16" t="n">
        <v>599</v>
      </c>
      <c r="I1602" s="16" t="n">
        <v>599</v>
      </c>
      <c r="J1602" s="17" t="inlineStr">
        <is>
          <t>########</t>
        </is>
      </c>
      <c r="K1602" s="16" t="inlineStr">
        <is>
          <t>(39)Ivory</t>
        </is>
      </c>
      <c r="L1602" s="16" t="inlineStr">
        <is>
          <t>营业中</t>
        </is>
      </c>
      <c r="M1602" s="16" t="inlineStr">
        <is>
          <t>EEVKG64S0139165</t>
        </is>
      </c>
      <c r="N1602" s="16">
        <f>LEFT(M1602,12)</f>
        <v/>
      </c>
      <c r="O1602" s="16" t="inlineStr">
        <is>
          <t>EEVKG64S01, (39)Ivory, (165)165</t>
        </is>
      </c>
      <c r="P1602" s="16" t="n">
        <v>599</v>
      </c>
      <c r="Q1602" s="16" t="n">
        <v>599</v>
      </c>
      <c r="R1602" s="16" t="n"/>
      <c r="S1602" s="16" t="n"/>
      <c r="T1602" s="16" t="n">
        <v>1</v>
      </c>
    </row>
    <row r="1603" s="103">
      <c r="A1603" s="16" t="inlineStr">
        <is>
          <t>B331</t>
        </is>
      </c>
      <c r="B1603" s="16" t="inlineStr">
        <is>
          <t>上海区域</t>
        </is>
      </c>
      <c r="C1603" s="16" t="inlineStr">
        <is>
          <t>CN0Q</t>
        </is>
      </c>
      <c r="D1603" s="16" t="inlineStr">
        <is>
          <t>EE 苏州比斯特购物村</t>
        </is>
      </c>
      <c r="E1603" s="16" t="n">
        <v>4</v>
      </c>
      <c r="F1603" s="16" t="inlineStr">
        <is>
          <t>奥特莱斯</t>
        </is>
      </c>
      <c r="G1603" s="16" t="inlineStr">
        <is>
          <t>EEVWG24E01</t>
        </is>
      </c>
      <c r="H1603" s="16" t="n">
        <v>899</v>
      </c>
      <c r="I1603" s="16" t="n">
        <v>899</v>
      </c>
      <c r="J1603" s="17" t="inlineStr">
        <is>
          <t>########</t>
        </is>
      </c>
      <c r="K1603" s="16" t="inlineStr">
        <is>
          <t>(39)Ivory</t>
        </is>
      </c>
      <c r="L1603" s="16" t="inlineStr">
        <is>
          <t>营业中</t>
        </is>
      </c>
      <c r="M1603" s="16" t="inlineStr">
        <is>
          <t>EEVWG24E0139160</t>
        </is>
      </c>
      <c r="N1603" s="16">
        <f>LEFT(M1603,12)</f>
        <v/>
      </c>
      <c r="O1603" s="16" t="inlineStr">
        <is>
          <t>EEVWG24E01, (39)Ivory, (160)160</t>
        </is>
      </c>
      <c r="P1603" s="16" t="n">
        <v>899</v>
      </c>
      <c r="Q1603" s="16" t="n">
        <v>899</v>
      </c>
      <c r="R1603" s="16" t="n">
        <v>4</v>
      </c>
      <c r="S1603" s="18" t="n">
        <v>1166</v>
      </c>
      <c r="T1603" s="16" t="n">
        <v>8</v>
      </c>
    </row>
    <row r="1604" s="103">
      <c r="A1604" s="16" t="inlineStr">
        <is>
          <t>B331</t>
        </is>
      </c>
      <c r="B1604" s="16" t="inlineStr">
        <is>
          <t>上海区域</t>
        </is>
      </c>
      <c r="C1604" s="16" t="inlineStr">
        <is>
          <t>CN0Q</t>
        </is>
      </c>
      <c r="D1604" s="16" t="inlineStr">
        <is>
          <t>EE 苏州比斯特购物村</t>
        </is>
      </c>
      <c r="E1604" s="16" t="n">
        <v>4</v>
      </c>
      <c r="F1604" s="16" t="inlineStr">
        <is>
          <t>奥特莱斯</t>
        </is>
      </c>
      <c r="G1604" s="16" t="inlineStr">
        <is>
          <t>EEVWG24E01</t>
        </is>
      </c>
      <c r="H1604" s="16" t="n">
        <v>899</v>
      </c>
      <c r="I1604" s="16" t="n">
        <v>899</v>
      </c>
      <c r="J1604" s="17" t="inlineStr">
        <is>
          <t>########</t>
        </is>
      </c>
      <c r="K1604" s="16" t="inlineStr">
        <is>
          <t>(39)Ivory</t>
        </is>
      </c>
      <c r="L1604" s="16" t="inlineStr">
        <is>
          <t>营业中</t>
        </is>
      </c>
      <c r="M1604" s="16" t="inlineStr">
        <is>
          <t>EEVWG24E0139165</t>
        </is>
      </c>
      <c r="N1604" s="16">
        <f>LEFT(M1604,12)</f>
        <v/>
      </c>
      <c r="O1604" s="16" t="inlineStr">
        <is>
          <t>EEVWG24E01, (39)Ivory, (165)165</t>
        </is>
      </c>
      <c r="P1604" s="16" t="n">
        <v>899</v>
      </c>
      <c r="Q1604" s="16" t="n">
        <v>899</v>
      </c>
      <c r="R1604" s="16" t="n">
        <v>5</v>
      </c>
      <c r="S1604" s="18" t="n">
        <v>1743</v>
      </c>
      <c r="T1604" s="16" t="n">
        <v>7</v>
      </c>
    </row>
    <row r="1605" s="103">
      <c r="A1605" s="16" t="inlineStr">
        <is>
          <t>B331</t>
        </is>
      </c>
      <c r="B1605" s="16" t="inlineStr">
        <is>
          <t>上海区域</t>
        </is>
      </c>
      <c r="C1605" s="16" t="inlineStr">
        <is>
          <t>CN0Q</t>
        </is>
      </c>
      <c r="D1605" s="16" t="inlineStr">
        <is>
          <t>EE 苏州比斯特购物村</t>
        </is>
      </c>
      <c r="E1605" s="16" t="n">
        <v>4</v>
      </c>
      <c r="F1605" s="16" t="inlineStr">
        <is>
          <t>奥特莱斯</t>
        </is>
      </c>
      <c r="G1605" s="16" t="inlineStr">
        <is>
          <t>EEVWG24E01</t>
        </is>
      </c>
      <c r="H1605" s="16" t="n">
        <v>899</v>
      </c>
      <c r="I1605" s="16" t="n">
        <v>899</v>
      </c>
      <c r="J1605" s="17" t="inlineStr">
        <is>
          <t>########</t>
        </is>
      </c>
      <c r="K1605" s="16" t="inlineStr">
        <is>
          <t>(39)Ivory</t>
        </is>
      </c>
      <c r="L1605" s="16" t="inlineStr">
        <is>
          <t>营业中</t>
        </is>
      </c>
      <c r="M1605" s="16" t="inlineStr">
        <is>
          <t>EEVWG24E0139170</t>
        </is>
      </c>
      <c r="N1605" s="16">
        <f>LEFT(M1605,12)</f>
        <v/>
      </c>
      <c r="O1605" s="16" t="inlineStr">
        <is>
          <t>EEVWG24E01, (39)Ivory, (170)170</t>
        </is>
      </c>
      <c r="P1605" s="16" t="n">
        <v>899</v>
      </c>
      <c r="Q1605" s="16" t="n">
        <v>899</v>
      </c>
      <c r="R1605" s="16" t="n"/>
      <c r="S1605" s="16" t="n"/>
      <c r="T1605" s="16" t="n">
        <v>3</v>
      </c>
    </row>
    <row r="1606" s="103">
      <c r="A1606" s="16" t="inlineStr">
        <is>
          <t>B331</t>
        </is>
      </c>
      <c r="B1606" s="16" t="inlineStr">
        <is>
          <t>上海区域</t>
        </is>
      </c>
      <c r="C1606" s="16" t="inlineStr">
        <is>
          <t>CN0Q</t>
        </is>
      </c>
      <c r="D1606" s="16" t="inlineStr">
        <is>
          <t>EE 苏州比斯特购物村</t>
        </is>
      </c>
      <c r="E1606" s="16" t="n">
        <v>4</v>
      </c>
      <c r="F1606" s="16" t="inlineStr">
        <is>
          <t>奥特莱斯</t>
        </is>
      </c>
      <c r="G1606" s="16" t="inlineStr">
        <is>
          <t>EEVWG24E01</t>
        </is>
      </c>
      <c r="H1606" s="16" t="n">
        <v>899</v>
      </c>
      <c r="I1606" s="16" t="n">
        <v>899</v>
      </c>
      <c r="J1606" s="17" t="inlineStr">
        <is>
          <t>########</t>
        </is>
      </c>
      <c r="K1606" s="16" t="inlineStr">
        <is>
          <t>(59)Navy</t>
        </is>
      </c>
      <c r="L1606" s="16" t="inlineStr">
        <is>
          <t>营业中</t>
        </is>
      </c>
      <c r="M1606" s="16" t="inlineStr">
        <is>
          <t>EEVWG24E0159160</t>
        </is>
      </c>
      <c r="N1606" s="16">
        <f>LEFT(M1606,12)</f>
        <v/>
      </c>
      <c r="O1606" s="16" t="inlineStr">
        <is>
          <t>EEVWG24E01, (59)Navy, (160)160</t>
        </is>
      </c>
      <c r="P1606" s="16" t="n">
        <v>899</v>
      </c>
      <c r="Q1606" s="16" t="n">
        <v>899</v>
      </c>
      <c r="R1606" s="16" t="n">
        <v>7</v>
      </c>
      <c r="S1606" s="18" t="n">
        <v>2903</v>
      </c>
      <c r="T1606" s="16" t="n">
        <v>11</v>
      </c>
    </row>
    <row r="1607" s="103">
      <c r="A1607" s="16" t="inlineStr">
        <is>
          <t>B331</t>
        </is>
      </c>
      <c r="B1607" s="16" t="inlineStr">
        <is>
          <t>上海区域</t>
        </is>
      </c>
      <c r="C1607" s="16" t="inlineStr">
        <is>
          <t>CN0Q</t>
        </is>
      </c>
      <c r="D1607" s="16" t="inlineStr">
        <is>
          <t>EE 苏州比斯特购物村</t>
        </is>
      </c>
      <c r="E1607" s="16" t="n">
        <v>4</v>
      </c>
      <c r="F1607" s="16" t="inlineStr">
        <is>
          <t>奥特莱斯</t>
        </is>
      </c>
      <c r="G1607" s="16" t="inlineStr">
        <is>
          <t>EEVWG24E01</t>
        </is>
      </c>
      <c r="H1607" s="16" t="n">
        <v>899</v>
      </c>
      <c r="I1607" s="16" t="n">
        <v>899</v>
      </c>
      <c r="J1607" s="17" t="inlineStr">
        <is>
          <t>########</t>
        </is>
      </c>
      <c r="K1607" s="16" t="inlineStr">
        <is>
          <t>(59)Navy</t>
        </is>
      </c>
      <c r="L1607" s="16" t="inlineStr">
        <is>
          <t>营业中</t>
        </is>
      </c>
      <c r="M1607" s="16" t="inlineStr">
        <is>
          <t>EEVWG24E0159165</t>
        </is>
      </c>
      <c r="N1607" s="16">
        <f>LEFT(M1607,12)</f>
        <v/>
      </c>
      <c r="O1607" s="16" t="inlineStr">
        <is>
          <t>EEVWG24E01, (59)Navy, (165)165</t>
        </is>
      </c>
      <c r="P1607" s="16" t="n">
        <v>899</v>
      </c>
      <c r="Q1607" s="16" t="n">
        <v>899</v>
      </c>
      <c r="R1607" s="16" t="n">
        <v>4</v>
      </c>
      <c r="S1607" s="18" t="n">
        <v>1754</v>
      </c>
      <c r="T1607" s="16" t="n">
        <v>3</v>
      </c>
    </row>
    <row r="1608" s="103">
      <c r="A1608" s="16" t="inlineStr">
        <is>
          <t>B331</t>
        </is>
      </c>
      <c r="B1608" s="16" t="inlineStr">
        <is>
          <t>上海区域</t>
        </is>
      </c>
      <c r="C1608" s="16" t="inlineStr">
        <is>
          <t>CN0Q</t>
        </is>
      </c>
      <c r="D1608" s="16" t="inlineStr">
        <is>
          <t>EE 苏州比斯特购物村</t>
        </is>
      </c>
      <c r="E1608" s="16" t="n">
        <v>4</v>
      </c>
      <c r="F1608" s="16" t="inlineStr">
        <is>
          <t>奥特莱斯</t>
        </is>
      </c>
      <c r="G1608" s="16" t="inlineStr">
        <is>
          <t>EEVWG24E01</t>
        </is>
      </c>
      <c r="H1608" s="16" t="n">
        <v>899</v>
      </c>
      <c r="I1608" s="16" t="n">
        <v>899</v>
      </c>
      <c r="J1608" s="17" t="inlineStr">
        <is>
          <t>########</t>
        </is>
      </c>
      <c r="K1608" s="16" t="inlineStr">
        <is>
          <t>(59)Navy</t>
        </is>
      </c>
      <c r="L1608" s="16" t="inlineStr">
        <is>
          <t>营业中</t>
        </is>
      </c>
      <c r="M1608" s="16" t="inlineStr">
        <is>
          <t>EEVWG24E0159170</t>
        </is>
      </c>
      <c r="N1608" s="16">
        <f>LEFT(M1608,12)</f>
        <v/>
      </c>
      <c r="O1608" s="16" t="inlineStr">
        <is>
          <t>EEVWG24E01, (59)Navy, (170)170</t>
        </is>
      </c>
      <c r="P1608" s="16" t="n">
        <v>899</v>
      </c>
      <c r="Q1608" s="16" t="n">
        <v>899</v>
      </c>
      <c r="R1608" s="16" t="n">
        <v>3</v>
      </c>
      <c r="S1608" s="18" t="n">
        <v>1737</v>
      </c>
      <c r="T1608" s="16" t="n">
        <v>1</v>
      </c>
    </row>
    <row r="1609" s="103">
      <c r="A1609" s="16" t="inlineStr">
        <is>
          <t>B331</t>
        </is>
      </c>
      <c r="B1609" s="16" t="inlineStr">
        <is>
          <t>上海区域</t>
        </is>
      </c>
      <c r="C1609" s="16" t="inlineStr">
        <is>
          <t>CN0Q</t>
        </is>
      </c>
      <c r="D1609" s="16" t="inlineStr">
        <is>
          <t>EE 苏州比斯特购物村</t>
        </is>
      </c>
      <c r="E1609" s="16" t="n">
        <v>4</v>
      </c>
      <c r="F1609" s="16" t="inlineStr">
        <is>
          <t>奥特莱斯</t>
        </is>
      </c>
      <c r="G1609" s="16" t="inlineStr">
        <is>
          <t>EEVWG25B01</t>
        </is>
      </c>
      <c r="H1609" s="16" t="n">
        <v>999</v>
      </c>
      <c r="I1609" s="16" t="n">
        <v>999</v>
      </c>
      <c r="J1609" s="17" t="inlineStr">
        <is>
          <t>########</t>
        </is>
      </c>
      <c r="K1609" s="16" t="inlineStr">
        <is>
          <t>(19)BLACK</t>
        </is>
      </c>
      <c r="L1609" s="16" t="inlineStr">
        <is>
          <t>营业中</t>
        </is>
      </c>
      <c r="M1609" s="16" t="inlineStr">
        <is>
          <t>EEVWG25B0119160</t>
        </is>
      </c>
      <c r="N1609" s="16">
        <f>LEFT(M1609,12)</f>
        <v/>
      </c>
      <c r="O1609" s="16" t="inlineStr">
        <is>
          <t>EEVWG25B01, (19)BLACK, (160)160</t>
        </is>
      </c>
      <c r="P1609" s="16" t="n">
        <v>999</v>
      </c>
      <c r="Q1609" s="16" t="n">
        <v>999</v>
      </c>
      <c r="R1609" s="16" t="n">
        <v>1</v>
      </c>
      <c r="S1609" s="16" t="n">
        <v>644</v>
      </c>
      <c r="T1609" s="16" t="n">
        <v>1</v>
      </c>
    </row>
    <row r="1610" s="103">
      <c r="A1610" s="16" t="inlineStr">
        <is>
          <t>B331</t>
        </is>
      </c>
      <c r="B1610" s="16" t="inlineStr">
        <is>
          <t>上海区域</t>
        </is>
      </c>
      <c r="C1610" s="16" t="inlineStr">
        <is>
          <t>CN0Q</t>
        </is>
      </c>
      <c r="D1610" s="16" t="inlineStr">
        <is>
          <t>EE 苏州比斯特购物村</t>
        </is>
      </c>
      <c r="E1610" s="16" t="n">
        <v>4</v>
      </c>
      <c r="F1610" s="16" t="inlineStr">
        <is>
          <t>奥特莱斯</t>
        </is>
      </c>
      <c r="G1610" s="16" t="inlineStr">
        <is>
          <t>EEVWG25B01</t>
        </is>
      </c>
      <c r="H1610" s="16" t="n">
        <v>999</v>
      </c>
      <c r="I1610" s="16" t="n">
        <v>999</v>
      </c>
      <c r="J1610" s="17" t="inlineStr">
        <is>
          <t>########</t>
        </is>
      </c>
      <c r="K1610" s="16" t="inlineStr">
        <is>
          <t>(19)BLACK</t>
        </is>
      </c>
      <c r="L1610" s="16" t="inlineStr">
        <is>
          <t>营业中</t>
        </is>
      </c>
      <c r="M1610" s="16" t="inlineStr">
        <is>
          <t>EEVWG25B0119165</t>
        </is>
      </c>
      <c r="N1610" s="16">
        <f>LEFT(M1610,12)</f>
        <v/>
      </c>
      <c r="O1610" s="16" t="inlineStr">
        <is>
          <t>EEVWG25B01, (19)BLACK, (165)165</t>
        </is>
      </c>
      <c r="P1610" s="16" t="n">
        <v>999</v>
      </c>
      <c r="Q1610" s="16" t="n">
        <v>999</v>
      </c>
      <c r="R1610" s="16" t="n">
        <v>3</v>
      </c>
      <c r="S1610" s="18" t="n">
        <v>1287</v>
      </c>
      <c r="T1610" s="16" t="n">
        <v>2</v>
      </c>
    </row>
    <row r="1611" s="103">
      <c r="A1611" s="16" t="inlineStr">
        <is>
          <t>B331</t>
        </is>
      </c>
      <c r="B1611" s="16" t="inlineStr">
        <is>
          <t>上海区域</t>
        </is>
      </c>
      <c r="C1611" s="16" t="inlineStr">
        <is>
          <t>CN0Q</t>
        </is>
      </c>
      <c r="D1611" s="16" t="inlineStr">
        <is>
          <t>EE 苏州比斯特购物村</t>
        </is>
      </c>
      <c r="E1611" s="16" t="n">
        <v>4</v>
      </c>
      <c r="F1611" s="16" t="inlineStr">
        <is>
          <t>奥特莱斯</t>
        </is>
      </c>
      <c r="G1611" s="16" t="inlineStr">
        <is>
          <t>EEVWG25B01</t>
        </is>
      </c>
      <c r="H1611" s="16" t="n">
        <v>999</v>
      </c>
      <c r="I1611" s="16" t="n">
        <v>999</v>
      </c>
      <c r="J1611" s="17" t="inlineStr">
        <is>
          <t>########</t>
        </is>
      </c>
      <c r="K1611" s="16" t="inlineStr">
        <is>
          <t>(19)BLACK</t>
        </is>
      </c>
      <c r="L1611" s="16" t="inlineStr">
        <is>
          <t>营业中</t>
        </is>
      </c>
      <c r="M1611" s="16" t="inlineStr">
        <is>
          <t>EEVWG25B0119170</t>
        </is>
      </c>
      <c r="N1611" s="16">
        <f>LEFT(M1611,12)</f>
        <v/>
      </c>
      <c r="O1611" s="16" t="inlineStr">
        <is>
          <t>EEVWG25B01, (19)BLACK, (170)170</t>
        </is>
      </c>
      <c r="P1611" s="16" t="n">
        <v>999</v>
      </c>
      <c r="Q1611" s="16" t="n">
        <v>999</v>
      </c>
      <c r="R1611" s="16" t="n">
        <v>1</v>
      </c>
      <c r="S1611" s="16" t="n"/>
      <c r="T1611" s="16" t="n">
        <v>0</v>
      </c>
    </row>
    <row r="1612" s="103">
      <c r="A1612" s="16" t="inlineStr">
        <is>
          <t>B331</t>
        </is>
      </c>
      <c r="B1612" s="16" t="inlineStr">
        <is>
          <t>上海区域</t>
        </is>
      </c>
      <c r="C1612" s="16" t="inlineStr">
        <is>
          <t>CN0Q</t>
        </is>
      </c>
      <c r="D1612" s="16" t="inlineStr">
        <is>
          <t>EE 苏州比斯特购物村</t>
        </is>
      </c>
      <c r="E1612" s="16" t="n">
        <v>4</v>
      </c>
      <c r="F1612" s="16" t="inlineStr">
        <is>
          <t>奥特莱斯</t>
        </is>
      </c>
      <c r="G1612" s="16" t="inlineStr">
        <is>
          <t>EEWHF23M01</t>
        </is>
      </c>
      <c r="H1612" s="16" t="n">
        <v>699</v>
      </c>
      <c r="I1612" s="16" t="n">
        <v>699</v>
      </c>
      <c r="J1612" s="17" t="inlineStr">
        <is>
          <t>########</t>
        </is>
      </c>
      <c r="K1612" s="16" t="inlineStr">
        <is>
          <t>(35)Beige</t>
        </is>
      </c>
      <c r="L1612" s="16" t="inlineStr">
        <is>
          <t>营业中</t>
        </is>
      </c>
      <c r="M1612" s="16" t="inlineStr">
        <is>
          <t>EEWHF23M0135160</t>
        </is>
      </c>
      <c r="N1612" s="16">
        <f>LEFT(M1612,12)</f>
        <v/>
      </c>
      <c r="O1612" s="16" t="inlineStr">
        <is>
          <t>EEWHF23M01, (35)Beige, (160)160</t>
        </is>
      </c>
      <c r="P1612" s="16" t="n">
        <v>699</v>
      </c>
      <c r="Q1612" s="16" t="n">
        <v>699</v>
      </c>
      <c r="R1612" s="16" t="n">
        <v>2</v>
      </c>
      <c r="S1612" s="16" t="n">
        <v>671</v>
      </c>
      <c r="T1612" s="16" t="n">
        <v>1</v>
      </c>
    </row>
    <row r="1613" s="103">
      <c r="A1613" s="16" t="inlineStr">
        <is>
          <t>B331</t>
        </is>
      </c>
      <c r="B1613" s="16" t="inlineStr">
        <is>
          <t>上海区域</t>
        </is>
      </c>
      <c r="C1613" s="16" t="inlineStr">
        <is>
          <t>CN0Q</t>
        </is>
      </c>
      <c r="D1613" s="16" t="inlineStr">
        <is>
          <t>EE 苏州比斯特购物村</t>
        </is>
      </c>
      <c r="E1613" s="16" t="n">
        <v>4</v>
      </c>
      <c r="F1613" s="16" t="inlineStr">
        <is>
          <t>奥特莱斯</t>
        </is>
      </c>
      <c r="G1613" s="16" t="inlineStr">
        <is>
          <t>EEWHF23M01</t>
        </is>
      </c>
      <c r="H1613" s="16" t="n">
        <v>699</v>
      </c>
      <c r="I1613" s="16" t="n">
        <v>699</v>
      </c>
      <c r="J1613" s="17" t="inlineStr">
        <is>
          <t>########</t>
        </is>
      </c>
      <c r="K1613" s="16" t="inlineStr">
        <is>
          <t>(35)Beige</t>
        </is>
      </c>
      <c r="L1613" s="16" t="inlineStr">
        <is>
          <t>营业中</t>
        </is>
      </c>
      <c r="M1613" s="16" t="inlineStr">
        <is>
          <t>EEWHF23M0135165</t>
        </is>
      </c>
      <c r="N1613" s="16">
        <f>LEFT(M1613,12)</f>
        <v/>
      </c>
      <c r="O1613" s="16" t="inlineStr">
        <is>
          <t>EEWHF23M01, (35)Beige, (165)165</t>
        </is>
      </c>
      <c r="P1613" s="16" t="n">
        <v>699</v>
      </c>
      <c r="Q1613" s="16" t="n">
        <v>699</v>
      </c>
      <c r="R1613" s="16" t="n"/>
      <c r="S1613" s="16" t="n"/>
      <c r="T1613" s="16" t="n">
        <v>3</v>
      </c>
    </row>
    <row r="1614" s="103">
      <c r="A1614" s="16" t="inlineStr">
        <is>
          <t>B331</t>
        </is>
      </c>
      <c r="B1614" s="16" t="inlineStr">
        <is>
          <t>上海区域</t>
        </is>
      </c>
      <c r="C1614" s="16" t="inlineStr">
        <is>
          <t>CN0Q</t>
        </is>
      </c>
      <c r="D1614" s="16" t="inlineStr">
        <is>
          <t>EE 苏州比斯特购物村</t>
        </is>
      </c>
      <c r="E1614" s="16" t="n">
        <v>4</v>
      </c>
      <c r="F1614" s="16" t="inlineStr">
        <is>
          <t>奥特莱斯</t>
        </is>
      </c>
      <c r="G1614" s="16" t="inlineStr">
        <is>
          <t>EEWHF23M01</t>
        </is>
      </c>
      <c r="H1614" s="16" t="n">
        <v>699</v>
      </c>
      <c r="I1614" s="16" t="n">
        <v>699</v>
      </c>
      <c r="J1614" s="17" t="inlineStr">
        <is>
          <t>########</t>
        </is>
      </c>
      <c r="K1614" s="16" t="inlineStr">
        <is>
          <t>(35)Beige</t>
        </is>
      </c>
      <c r="L1614" s="16" t="inlineStr">
        <is>
          <t>营业中</t>
        </is>
      </c>
      <c r="M1614" s="16" t="inlineStr">
        <is>
          <t>EEWHF23M0135170</t>
        </is>
      </c>
      <c r="N1614" s="16">
        <f>LEFT(M1614,12)</f>
        <v/>
      </c>
      <c r="O1614" s="16" t="inlineStr">
        <is>
          <t>EEWHF23M01, (35)Beige, (170)170</t>
        </is>
      </c>
      <c r="P1614" s="16" t="n">
        <v>699</v>
      </c>
      <c r="Q1614" s="16" t="n">
        <v>699</v>
      </c>
      <c r="R1614" s="16" t="n"/>
      <c r="S1614" s="16" t="n"/>
      <c r="T1614" s="16" t="n">
        <v>2</v>
      </c>
    </row>
    <row r="1615" s="103">
      <c r="A1615" s="16" t="inlineStr">
        <is>
          <t>B331</t>
        </is>
      </c>
      <c r="B1615" s="16" t="inlineStr">
        <is>
          <t>上海区域</t>
        </is>
      </c>
      <c r="C1615" s="16" t="inlineStr">
        <is>
          <t>CN0Q</t>
        </is>
      </c>
      <c r="D1615" s="16" t="inlineStr">
        <is>
          <t>EE 苏州比斯特购物村</t>
        </is>
      </c>
      <c r="E1615" s="16" t="n">
        <v>4</v>
      </c>
      <c r="F1615" s="16" t="inlineStr">
        <is>
          <t>奥特莱斯</t>
        </is>
      </c>
      <c r="G1615" s="16" t="inlineStr">
        <is>
          <t>EEWHF23M01</t>
        </is>
      </c>
      <c r="H1615" s="16" t="n">
        <v>699</v>
      </c>
      <c r="I1615" s="16" t="n">
        <v>699</v>
      </c>
      <c r="J1615" s="17" t="inlineStr">
        <is>
          <t>########</t>
        </is>
      </c>
      <c r="K1615" s="16" t="inlineStr">
        <is>
          <t>(59)Navy</t>
        </is>
      </c>
      <c r="L1615" s="16" t="inlineStr">
        <is>
          <t>营业中</t>
        </is>
      </c>
      <c r="M1615" s="16" t="inlineStr">
        <is>
          <t>EEWHF23M0159160</t>
        </is>
      </c>
      <c r="N1615" s="16">
        <f>LEFT(M1615,12)</f>
        <v/>
      </c>
      <c r="O1615" s="16" t="inlineStr">
        <is>
          <t>EEWHF23M01, (59)Navy, (160)160</t>
        </is>
      </c>
      <c r="P1615" s="16" t="n">
        <v>699</v>
      </c>
      <c r="Q1615" s="16" t="n">
        <v>699</v>
      </c>
      <c r="R1615" s="16" t="n"/>
      <c r="S1615" s="16" t="n"/>
      <c r="T1615" s="16" t="n">
        <v>4</v>
      </c>
    </row>
    <row r="1616" s="103">
      <c r="A1616" s="16" t="inlineStr">
        <is>
          <t>B331</t>
        </is>
      </c>
      <c r="B1616" s="16" t="inlineStr">
        <is>
          <t>上海区域</t>
        </is>
      </c>
      <c r="C1616" s="16" t="inlineStr">
        <is>
          <t>CN0Q</t>
        </is>
      </c>
      <c r="D1616" s="16" t="inlineStr">
        <is>
          <t>EE 苏州比斯特购物村</t>
        </is>
      </c>
      <c r="E1616" s="16" t="n">
        <v>4</v>
      </c>
      <c r="F1616" s="16" t="inlineStr">
        <is>
          <t>奥特莱斯</t>
        </is>
      </c>
      <c r="G1616" s="16" t="inlineStr">
        <is>
          <t>EEWHF23M01</t>
        </is>
      </c>
      <c r="H1616" s="16" t="n">
        <v>699</v>
      </c>
      <c r="I1616" s="16" t="n">
        <v>699</v>
      </c>
      <c r="J1616" s="17" t="inlineStr">
        <is>
          <t>########</t>
        </is>
      </c>
      <c r="K1616" s="16" t="inlineStr">
        <is>
          <t>(59)Navy</t>
        </is>
      </c>
      <c r="L1616" s="16" t="inlineStr">
        <is>
          <t>营业中</t>
        </is>
      </c>
      <c r="M1616" s="16" t="inlineStr">
        <is>
          <t>EEWHF23M0159165</t>
        </is>
      </c>
      <c r="N1616" s="16">
        <f>LEFT(M1616,12)</f>
        <v/>
      </c>
      <c r="O1616" s="16" t="inlineStr">
        <is>
          <t>EEWHF23M01, (59)Navy, (165)165</t>
        </is>
      </c>
      <c r="P1616" s="16" t="n">
        <v>699</v>
      </c>
      <c r="Q1616" s="16" t="n">
        <v>699</v>
      </c>
      <c r="R1616" s="16" t="n"/>
      <c r="S1616" s="16" t="n"/>
      <c r="T1616" s="16" t="n">
        <v>3</v>
      </c>
    </row>
    <row r="1617" s="103">
      <c r="A1617" s="16" t="inlineStr">
        <is>
          <t>B331</t>
        </is>
      </c>
      <c r="B1617" s="16" t="inlineStr">
        <is>
          <t>上海区域</t>
        </is>
      </c>
      <c r="C1617" s="16" t="inlineStr">
        <is>
          <t>CN0Q</t>
        </is>
      </c>
      <c r="D1617" s="16" t="inlineStr">
        <is>
          <t>EE 苏州比斯特购物村</t>
        </is>
      </c>
      <c r="E1617" s="16" t="n">
        <v>4</v>
      </c>
      <c r="F1617" s="16" t="inlineStr">
        <is>
          <t>奥特莱斯</t>
        </is>
      </c>
      <c r="G1617" s="16" t="inlineStr">
        <is>
          <t>EEWHF23M01</t>
        </is>
      </c>
      <c r="H1617" s="16" t="n">
        <v>699</v>
      </c>
      <c r="I1617" s="16" t="n">
        <v>699</v>
      </c>
      <c r="J1617" s="17" t="inlineStr">
        <is>
          <t>########</t>
        </is>
      </c>
      <c r="K1617" s="16" t="inlineStr">
        <is>
          <t>(59)Navy</t>
        </is>
      </c>
      <c r="L1617" s="16" t="inlineStr">
        <is>
          <t>营业中</t>
        </is>
      </c>
      <c r="M1617" s="16" t="inlineStr">
        <is>
          <t>EEWHF23M0159170</t>
        </is>
      </c>
      <c r="N1617" s="16">
        <f>LEFT(M1617,12)</f>
        <v/>
      </c>
      <c r="O1617" s="16" t="inlineStr">
        <is>
          <t>EEWHF23M01, (59)Navy, (170)170</t>
        </is>
      </c>
      <c r="P1617" s="16" t="n">
        <v>699</v>
      </c>
      <c r="Q1617" s="16" t="n">
        <v>699</v>
      </c>
      <c r="R1617" s="16" t="n"/>
      <c r="S1617" s="16" t="n"/>
      <c r="T1617" s="16" t="n">
        <v>2</v>
      </c>
    </row>
    <row r="1618" s="103">
      <c r="A1618" s="16" t="inlineStr">
        <is>
          <t>B331</t>
        </is>
      </c>
      <c r="B1618" s="16" t="inlineStr">
        <is>
          <t>上海区域</t>
        </is>
      </c>
      <c r="C1618" s="16" t="inlineStr">
        <is>
          <t>CN0Q</t>
        </is>
      </c>
      <c r="D1618" s="16" t="inlineStr">
        <is>
          <t>EE 苏州比斯特购物村</t>
        </is>
      </c>
      <c r="E1618" s="16" t="n">
        <v>4</v>
      </c>
      <c r="F1618" s="16" t="inlineStr">
        <is>
          <t>奥特莱斯</t>
        </is>
      </c>
      <c r="G1618" s="16" t="inlineStr">
        <is>
          <t>EEWHF24B06</t>
        </is>
      </c>
      <c r="H1618" s="16" t="n">
        <v>599</v>
      </c>
      <c r="I1618" s="16" t="n">
        <v>699</v>
      </c>
      <c r="J1618" s="17" t="inlineStr">
        <is>
          <t>########</t>
        </is>
      </c>
      <c r="K1618" s="16" t="inlineStr">
        <is>
          <t>(59)Navy</t>
        </is>
      </c>
      <c r="L1618" s="16" t="inlineStr">
        <is>
          <t>营业中</t>
        </is>
      </c>
      <c r="M1618" s="16" t="inlineStr">
        <is>
          <t>EEWHF24B0659155</t>
        </is>
      </c>
      <c r="N1618" s="16">
        <f>LEFT(M1618,12)</f>
        <v/>
      </c>
      <c r="O1618" s="16" t="inlineStr">
        <is>
          <t>EEWHF24B06, (59)Navy, (155)155</t>
        </is>
      </c>
      <c r="P1618" s="16" t="n">
        <v>599</v>
      </c>
      <c r="Q1618" s="16" t="n">
        <v>699</v>
      </c>
      <c r="R1618" s="16" t="n"/>
      <c r="S1618" s="16" t="n"/>
      <c r="T1618" s="16" t="n">
        <v>2</v>
      </c>
    </row>
    <row r="1619" s="103">
      <c r="A1619" s="16" t="inlineStr">
        <is>
          <t>B331</t>
        </is>
      </c>
      <c r="B1619" s="16" t="inlineStr">
        <is>
          <t>上海区域</t>
        </is>
      </c>
      <c r="C1619" s="16" t="inlineStr">
        <is>
          <t>CN0Q</t>
        </is>
      </c>
      <c r="D1619" s="16" t="inlineStr">
        <is>
          <t>EE 苏州比斯特购物村</t>
        </is>
      </c>
      <c r="E1619" s="16" t="n">
        <v>4</v>
      </c>
      <c r="F1619" s="16" t="inlineStr">
        <is>
          <t>奥特莱斯</t>
        </is>
      </c>
      <c r="G1619" s="16" t="inlineStr">
        <is>
          <t>EEWHF24B06</t>
        </is>
      </c>
      <c r="H1619" s="16" t="n">
        <v>599</v>
      </c>
      <c r="I1619" s="16" t="n">
        <v>699</v>
      </c>
      <c r="J1619" s="17" t="inlineStr">
        <is>
          <t>########</t>
        </is>
      </c>
      <c r="K1619" s="16" t="inlineStr">
        <is>
          <t>(59)Navy</t>
        </is>
      </c>
      <c r="L1619" s="16" t="inlineStr">
        <is>
          <t>营业中</t>
        </is>
      </c>
      <c r="M1619" s="16" t="inlineStr">
        <is>
          <t>EEWHF24B0659160</t>
        </is>
      </c>
      <c r="N1619" s="16">
        <f>LEFT(M1619,12)</f>
        <v/>
      </c>
      <c r="O1619" s="16" t="inlineStr">
        <is>
          <t>EEWHF24B06, (59)Navy, (160)160</t>
        </is>
      </c>
      <c r="P1619" s="16" t="n">
        <v>599</v>
      </c>
      <c r="Q1619" s="16" t="n">
        <v>699</v>
      </c>
      <c r="R1619" s="16" t="n">
        <v>1</v>
      </c>
      <c r="S1619" s="16" t="n">
        <v>320</v>
      </c>
      <c r="T1619" s="16" t="n">
        <v>2</v>
      </c>
    </row>
    <row r="1620" s="103">
      <c r="A1620" s="16" t="inlineStr">
        <is>
          <t>B331</t>
        </is>
      </c>
      <c r="B1620" s="16" t="inlineStr">
        <is>
          <t>上海区域</t>
        </is>
      </c>
      <c r="C1620" s="16" t="inlineStr">
        <is>
          <t>CN0Q</t>
        </is>
      </c>
      <c r="D1620" s="16" t="inlineStr">
        <is>
          <t>EE 苏州比斯特购物村</t>
        </is>
      </c>
      <c r="E1620" s="16" t="n">
        <v>4</v>
      </c>
      <c r="F1620" s="16" t="inlineStr">
        <is>
          <t>奥特莱斯</t>
        </is>
      </c>
      <c r="G1620" s="16" t="inlineStr">
        <is>
          <t>EEWHF24B06</t>
        </is>
      </c>
      <c r="H1620" s="16" t="n">
        <v>599</v>
      </c>
      <c r="I1620" s="16" t="n">
        <v>699</v>
      </c>
      <c r="J1620" s="17" t="inlineStr">
        <is>
          <t>########</t>
        </is>
      </c>
      <c r="K1620" s="16" t="inlineStr">
        <is>
          <t>(59)Navy</t>
        </is>
      </c>
      <c r="L1620" s="16" t="inlineStr">
        <is>
          <t>营业中</t>
        </is>
      </c>
      <c r="M1620" s="16" t="inlineStr">
        <is>
          <t>EEWHF24B0659165</t>
        </is>
      </c>
      <c r="N1620" s="16">
        <f>LEFT(M1620,12)</f>
        <v/>
      </c>
      <c r="O1620" s="16" t="inlineStr">
        <is>
          <t>EEWHF24B06, (59)Navy, (165)165</t>
        </is>
      </c>
      <c r="P1620" s="16" t="n">
        <v>599</v>
      </c>
      <c r="Q1620" s="16" t="n">
        <v>699</v>
      </c>
      <c r="R1620" s="16" t="n">
        <v>1</v>
      </c>
      <c r="S1620" s="16" t="n">
        <v>318</v>
      </c>
      <c r="T1620" s="16" t="n">
        <v>2</v>
      </c>
    </row>
    <row r="1621" s="103">
      <c r="A1621" s="16" t="inlineStr">
        <is>
          <t>B331</t>
        </is>
      </c>
      <c r="B1621" s="16" t="inlineStr">
        <is>
          <t>上海区域</t>
        </is>
      </c>
      <c r="C1621" s="16" t="inlineStr">
        <is>
          <t>CN0Q</t>
        </is>
      </c>
      <c r="D1621" s="16" t="inlineStr">
        <is>
          <t>EE 苏州比斯特购物村</t>
        </is>
      </c>
      <c r="E1621" s="16" t="n">
        <v>4</v>
      </c>
      <c r="F1621" s="16" t="inlineStr">
        <is>
          <t>奥特莱斯</t>
        </is>
      </c>
      <c r="G1621" s="16" t="inlineStr">
        <is>
          <t>EEWHF24B06</t>
        </is>
      </c>
      <c r="H1621" s="16" t="n">
        <v>599</v>
      </c>
      <c r="I1621" s="16" t="n">
        <v>699</v>
      </c>
      <c r="J1621" s="17" t="inlineStr">
        <is>
          <t>########</t>
        </is>
      </c>
      <c r="K1621" s="16" t="inlineStr">
        <is>
          <t>(59)Navy</t>
        </is>
      </c>
      <c r="L1621" s="16" t="inlineStr">
        <is>
          <t>营业中</t>
        </is>
      </c>
      <c r="M1621" s="16" t="inlineStr">
        <is>
          <t>EEWHF24B0659170</t>
        </is>
      </c>
      <c r="N1621" s="16">
        <f>LEFT(M1621,12)</f>
        <v/>
      </c>
      <c r="O1621" s="16" t="inlineStr">
        <is>
          <t>EEWHF24B06, (59)Navy, (170)170</t>
        </is>
      </c>
      <c r="P1621" s="16" t="n">
        <v>599</v>
      </c>
      <c r="Q1621" s="16" t="n">
        <v>699</v>
      </c>
      <c r="R1621" s="16" t="n"/>
      <c r="S1621" s="16" t="n"/>
      <c r="T1621" s="16" t="n">
        <v>1</v>
      </c>
    </row>
    <row r="1622" s="103">
      <c r="A1622" s="16" t="inlineStr">
        <is>
          <t>B331</t>
        </is>
      </c>
      <c r="B1622" s="16" t="inlineStr">
        <is>
          <t>上海区域</t>
        </is>
      </c>
      <c r="C1622" s="16" t="inlineStr">
        <is>
          <t>CN0Q</t>
        </is>
      </c>
      <c r="D1622" s="16" t="inlineStr">
        <is>
          <t>EE 苏州比斯特购物村</t>
        </is>
      </c>
      <c r="E1622" s="16" t="n">
        <v>4</v>
      </c>
      <c r="F1622" s="16" t="inlineStr">
        <is>
          <t>奥特莱斯</t>
        </is>
      </c>
      <c r="G1622" s="16" t="inlineStr">
        <is>
          <t>EEWHF24E01</t>
        </is>
      </c>
      <c r="H1622" s="16" t="n">
        <v>699</v>
      </c>
      <c r="I1622" s="16" t="n">
        <v>699</v>
      </c>
      <c r="J1622" s="17" t="n">
        <v>45719</v>
      </c>
      <c r="K1622" s="16" t="inlineStr">
        <is>
          <t>(17)D/Grey</t>
        </is>
      </c>
      <c r="L1622" s="16" t="inlineStr">
        <is>
          <t>营业中</t>
        </is>
      </c>
      <c r="M1622" s="16" t="inlineStr">
        <is>
          <t>EEWHF24E0117155</t>
        </is>
      </c>
      <c r="N1622" s="16">
        <f>LEFT(M1622,12)</f>
        <v/>
      </c>
      <c r="O1622" s="16" t="inlineStr">
        <is>
          <t>EEWHF24E01, (17)D/Grey, (155)155</t>
        </is>
      </c>
      <c r="P1622" s="16" t="n">
        <v>699</v>
      </c>
      <c r="Q1622" s="16" t="n">
        <v>699</v>
      </c>
      <c r="R1622" s="16" t="n"/>
      <c r="S1622" s="16" t="n"/>
      <c r="T1622" s="16" t="n">
        <v>2</v>
      </c>
    </row>
    <row r="1623" s="103">
      <c r="A1623" s="16" t="inlineStr">
        <is>
          <t>B331</t>
        </is>
      </c>
      <c r="B1623" s="16" t="inlineStr">
        <is>
          <t>上海区域</t>
        </is>
      </c>
      <c r="C1623" s="16" t="inlineStr">
        <is>
          <t>CN0Q</t>
        </is>
      </c>
      <c r="D1623" s="16" t="inlineStr">
        <is>
          <t>EE 苏州比斯特购物村</t>
        </is>
      </c>
      <c r="E1623" s="16" t="n">
        <v>4</v>
      </c>
      <c r="F1623" s="16" t="inlineStr">
        <is>
          <t>奥特莱斯</t>
        </is>
      </c>
      <c r="G1623" s="16" t="inlineStr">
        <is>
          <t>EEWHF24E01</t>
        </is>
      </c>
      <c r="H1623" s="16" t="n">
        <v>699</v>
      </c>
      <c r="I1623" s="16" t="n">
        <v>699</v>
      </c>
      <c r="J1623" s="17" t="n">
        <v>45719</v>
      </c>
      <c r="K1623" s="16" t="inlineStr">
        <is>
          <t>(17)D/Grey</t>
        </is>
      </c>
      <c r="L1623" s="16" t="inlineStr">
        <is>
          <t>营业中</t>
        </is>
      </c>
      <c r="M1623" s="16" t="inlineStr">
        <is>
          <t>EEWHF24E0117160</t>
        </is>
      </c>
      <c r="N1623" s="16">
        <f>LEFT(M1623,12)</f>
        <v/>
      </c>
      <c r="O1623" s="16" t="inlineStr">
        <is>
          <t>EEWHF24E01, (17)D/Grey, (160)160</t>
        </is>
      </c>
      <c r="P1623" s="16" t="n">
        <v>699</v>
      </c>
      <c r="Q1623" s="16" t="n">
        <v>699</v>
      </c>
      <c r="R1623" s="16" t="n"/>
      <c r="S1623" s="16" t="n"/>
      <c r="T1623" s="16" t="n">
        <v>6</v>
      </c>
    </row>
    <row r="1624" s="103">
      <c r="A1624" s="16" t="inlineStr">
        <is>
          <t>B331</t>
        </is>
      </c>
      <c r="B1624" s="16" t="inlineStr">
        <is>
          <t>上海区域</t>
        </is>
      </c>
      <c r="C1624" s="16" t="inlineStr">
        <is>
          <t>CN0Q</t>
        </is>
      </c>
      <c r="D1624" s="16" t="inlineStr">
        <is>
          <t>EE 苏州比斯特购物村</t>
        </is>
      </c>
      <c r="E1624" s="16" t="n">
        <v>4</v>
      </c>
      <c r="F1624" s="16" t="inlineStr">
        <is>
          <t>奥特莱斯</t>
        </is>
      </c>
      <c r="G1624" s="16" t="inlineStr">
        <is>
          <t>EEWHF24E01</t>
        </is>
      </c>
      <c r="H1624" s="16" t="n">
        <v>699</v>
      </c>
      <c r="I1624" s="16" t="n">
        <v>699</v>
      </c>
      <c r="J1624" s="17" t="n">
        <v>45719</v>
      </c>
      <c r="K1624" s="16" t="inlineStr">
        <is>
          <t>(17)D/Grey</t>
        </is>
      </c>
      <c r="L1624" s="16" t="inlineStr">
        <is>
          <t>营业中</t>
        </is>
      </c>
      <c r="M1624" s="16" t="inlineStr">
        <is>
          <t>EEWHF24E0117165</t>
        </is>
      </c>
      <c r="N1624" s="16">
        <f>LEFT(M1624,12)</f>
        <v/>
      </c>
      <c r="O1624" s="16" t="inlineStr">
        <is>
          <t>EEWHF24E01, (17)D/Grey, (165)165</t>
        </is>
      </c>
      <c r="P1624" s="16" t="n">
        <v>699</v>
      </c>
      <c r="Q1624" s="16" t="n">
        <v>699</v>
      </c>
      <c r="R1624" s="16" t="n"/>
      <c r="S1624" s="16" t="n"/>
      <c r="T1624" s="16" t="n">
        <v>4</v>
      </c>
    </row>
    <row r="1625" s="103">
      <c r="A1625" s="16" t="inlineStr">
        <is>
          <t>B331</t>
        </is>
      </c>
      <c r="B1625" s="16" t="inlineStr">
        <is>
          <t>上海区域</t>
        </is>
      </c>
      <c r="C1625" s="16" t="inlineStr">
        <is>
          <t>CN0Q</t>
        </is>
      </c>
      <c r="D1625" s="16" t="inlineStr">
        <is>
          <t>EE 苏州比斯特购物村</t>
        </is>
      </c>
      <c r="E1625" s="16" t="n">
        <v>4</v>
      </c>
      <c r="F1625" s="16" t="inlineStr">
        <is>
          <t>奥特莱斯</t>
        </is>
      </c>
      <c r="G1625" s="16" t="inlineStr">
        <is>
          <t>EEWHF24E01</t>
        </is>
      </c>
      <c r="H1625" s="16" t="n">
        <v>699</v>
      </c>
      <c r="I1625" s="16" t="n">
        <v>699</v>
      </c>
      <c r="J1625" s="17" t="n">
        <v>45719</v>
      </c>
      <c r="K1625" s="16" t="inlineStr">
        <is>
          <t>(17)D/Grey</t>
        </is>
      </c>
      <c r="L1625" s="16" t="inlineStr">
        <is>
          <t>营业中</t>
        </is>
      </c>
      <c r="M1625" s="16" t="inlineStr">
        <is>
          <t>EEWHF24E0117170</t>
        </is>
      </c>
      <c r="N1625" s="16">
        <f>LEFT(M1625,12)</f>
        <v/>
      </c>
      <c r="O1625" s="16" t="inlineStr">
        <is>
          <t>EEWHF24E01, (17)D/Grey, (170)170</t>
        </is>
      </c>
      <c r="P1625" s="16" t="n">
        <v>699</v>
      </c>
      <c r="Q1625" s="16" t="n">
        <v>699</v>
      </c>
      <c r="R1625" s="16" t="n"/>
      <c r="S1625" s="16" t="n"/>
      <c r="T1625" s="16" t="n">
        <v>3</v>
      </c>
    </row>
    <row r="1626" s="103">
      <c r="A1626" s="16" t="inlineStr">
        <is>
          <t>B331</t>
        </is>
      </c>
      <c r="B1626" s="16" t="inlineStr">
        <is>
          <t>上海区域</t>
        </is>
      </c>
      <c r="C1626" s="16" t="inlineStr">
        <is>
          <t>CN0Q</t>
        </is>
      </c>
      <c r="D1626" s="16" t="inlineStr">
        <is>
          <t>EE 苏州比斯特购物村</t>
        </is>
      </c>
      <c r="E1626" s="16" t="n">
        <v>4</v>
      </c>
      <c r="F1626" s="16" t="inlineStr">
        <is>
          <t>奥特莱斯</t>
        </is>
      </c>
      <c r="G1626" s="16" t="inlineStr">
        <is>
          <t>EEWHF24E01</t>
        </is>
      </c>
      <c r="H1626" s="16" t="n">
        <v>699</v>
      </c>
      <c r="I1626" s="16" t="n">
        <v>699</v>
      </c>
      <c r="J1626" s="17" t="n">
        <v>45719</v>
      </c>
      <c r="K1626" s="16" t="inlineStr">
        <is>
          <t>(59)Navy</t>
        </is>
      </c>
      <c r="L1626" s="16" t="inlineStr">
        <is>
          <t>营业中</t>
        </is>
      </c>
      <c r="M1626" s="16" t="inlineStr">
        <is>
          <t>EEWHF24E0159155</t>
        </is>
      </c>
      <c r="N1626" s="16">
        <f>LEFT(M1626,12)</f>
        <v/>
      </c>
      <c r="O1626" s="16" t="inlineStr">
        <is>
          <t>EEWHF24E01, (59)Navy, (155)155</t>
        </is>
      </c>
      <c r="P1626" s="16" t="n">
        <v>699</v>
      </c>
      <c r="Q1626" s="16" t="n">
        <v>699</v>
      </c>
      <c r="R1626" s="16" t="n"/>
      <c r="S1626" s="16" t="n"/>
      <c r="T1626" s="16" t="n">
        <v>2</v>
      </c>
    </row>
    <row r="1627" s="103">
      <c r="A1627" s="16" t="inlineStr">
        <is>
          <t>B331</t>
        </is>
      </c>
      <c r="B1627" s="16" t="inlineStr">
        <is>
          <t>上海区域</t>
        </is>
      </c>
      <c r="C1627" s="16" t="inlineStr">
        <is>
          <t>CN0Q</t>
        </is>
      </c>
      <c r="D1627" s="16" t="inlineStr">
        <is>
          <t>EE 苏州比斯特购物村</t>
        </is>
      </c>
      <c r="E1627" s="16" t="n">
        <v>4</v>
      </c>
      <c r="F1627" s="16" t="inlineStr">
        <is>
          <t>奥特莱斯</t>
        </is>
      </c>
      <c r="G1627" s="16" t="inlineStr">
        <is>
          <t>EEWHF24E01</t>
        </is>
      </c>
      <c r="H1627" s="16" t="n">
        <v>699</v>
      </c>
      <c r="I1627" s="16" t="n">
        <v>699</v>
      </c>
      <c r="J1627" s="17" t="n">
        <v>45719</v>
      </c>
      <c r="K1627" s="16" t="inlineStr">
        <is>
          <t>(59)Navy</t>
        </is>
      </c>
      <c r="L1627" s="16" t="inlineStr">
        <is>
          <t>营业中</t>
        </is>
      </c>
      <c r="M1627" s="16" t="inlineStr">
        <is>
          <t>EEWHF24E0159160</t>
        </is>
      </c>
      <c r="N1627" s="16">
        <f>LEFT(M1627,12)</f>
        <v/>
      </c>
      <c r="O1627" s="16" t="inlineStr">
        <is>
          <t>EEWHF24E01, (59)Navy, (160)160</t>
        </is>
      </c>
      <c r="P1627" s="16" t="n">
        <v>699</v>
      </c>
      <c r="Q1627" s="16" t="n">
        <v>699</v>
      </c>
      <c r="R1627" s="16" t="n"/>
      <c r="S1627" s="16" t="n"/>
      <c r="T1627" s="16" t="n">
        <v>4</v>
      </c>
    </row>
    <row r="1628" s="103">
      <c r="A1628" s="16" t="inlineStr">
        <is>
          <t>B331</t>
        </is>
      </c>
      <c r="B1628" s="16" t="inlineStr">
        <is>
          <t>上海区域</t>
        </is>
      </c>
      <c r="C1628" s="16" t="inlineStr">
        <is>
          <t>CN0Q</t>
        </is>
      </c>
      <c r="D1628" s="16" t="inlineStr">
        <is>
          <t>EE 苏州比斯特购物村</t>
        </is>
      </c>
      <c r="E1628" s="16" t="n">
        <v>4</v>
      </c>
      <c r="F1628" s="16" t="inlineStr">
        <is>
          <t>奥特莱斯</t>
        </is>
      </c>
      <c r="G1628" s="16" t="inlineStr">
        <is>
          <t>EEWHF24E01</t>
        </is>
      </c>
      <c r="H1628" s="16" t="n">
        <v>699</v>
      </c>
      <c r="I1628" s="16" t="n">
        <v>699</v>
      </c>
      <c r="J1628" s="17" t="n">
        <v>45719</v>
      </c>
      <c r="K1628" s="16" t="inlineStr">
        <is>
          <t>(59)Navy</t>
        </is>
      </c>
      <c r="L1628" s="16" t="inlineStr">
        <is>
          <t>营业中</t>
        </is>
      </c>
      <c r="M1628" s="16" t="inlineStr">
        <is>
          <t>EEWHF24E0159165</t>
        </is>
      </c>
      <c r="N1628" s="16">
        <f>LEFT(M1628,12)</f>
        <v/>
      </c>
      <c r="O1628" s="16" t="inlineStr">
        <is>
          <t>EEWHF24E01, (59)Navy, (165)165</t>
        </is>
      </c>
      <c r="P1628" s="16" t="n">
        <v>699</v>
      </c>
      <c r="Q1628" s="16" t="n">
        <v>699</v>
      </c>
      <c r="R1628" s="16" t="n"/>
      <c r="S1628" s="16" t="n"/>
      <c r="T1628" s="16" t="n">
        <v>4</v>
      </c>
    </row>
    <row r="1629" s="103">
      <c r="A1629" s="16" t="inlineStr">
        <is>
          <t>B331</t>
        </is>
      </c>
      <c r="B1629" s="16" t="inlineStr">
        <is>
          <t>上海区域</t>
        </is>
      </c>
      <c r="C1629" s="16" t="inlineStr">
        <is>
          <t>CN0Q</t>
        </is>
      </c>
      <c r="D1629" s="16" t="inlineStr">
        <is>
          <t>EE 苏州比斯特购物村</t>
        </is>
      </c>
      <c r="E1629" s="16" t="n">
        <v>4</v>
      </c>
      <c r="F1629" s="16" t="inlineStr">
        <is>
          <t>奥特莱斯</t>
        </is>
      </c>
      <c r="G1629" s="16" t="inlineStr">
        <is>
          <t>EEWHF24E01</t>
        </is>
      </c>
      <c r="H1629" s="16" t="n">
        <v>699</v>
      </c>
      <c r="I1629" s="16" t="n">
        <v>699</v>
      </c>
      <c r="J1629" s="17" t="n">
        <v>45719</v>
      </c>
      <c r="K1629" s="16" t="inlineStr">
        <is>
          <t>(59)Navy</t>
        </is>
      </c>
      <c r="L1629" s="16" t="inlineStr">
        <is>
          <t>营业中</t>
        </is>
      </c>
      <c r="M1629" s="16" t="inlineStr">
        <is>
          <t>EEWHF24E0159170</t>
        </is>
      </c>
      <c r="N1629" s="16">
        <f>LEFT(M1629,12)</f>
        <v/>
      </c>
      <c r="O1629" s="16" t="inlineStr">
        <is>
          <t>EEWHF24E01, (59)Navy, (170)170</t>
        </is>
      </c>
      <c r="P1629" s="16" t="n">
        <v>699</v>
      </c>
      <c r="Q1629" s="16" t="n">
        <v>699</v>
      </c>
      <c r="R1629" s="16" t="n"/>
      <c r="S1629" s="16" t="n"/>
      <c r="T1629" s="16" t="n">
        <v>3</v>
      </c>
    </row>
    <row r="1630" s="103">
      <c r="A1630" s="16" t="inlineStr">
        <is>
          <t>B331</t>
        </is>
      </c>
      <c r="B1630" s="16" t="inlineStr">
        <is>
          <t>上海区域</t>
        </is>
      </c>
      <c r="C1630" s="16" t="inlineStr">
        <is>
          <t>CN0Q</t>
        </is>
      </c>
      <c r="D1630" s="16" t="inlineStr">
        <is>
          <t>EE 苏州比斯特购物村</t>
        </is>
      </c>
      <c r="E1630" s="16" t="n">
        <v>4</v>
      </c>
      <c r="F1630" s="16" t="inlineStr">
        <is>
          <t>奥特莱斯</t>
        </is>
      </c>
      <c r="G1630" s="16" t="inlineStr">
        <is>
          <t>EEWHF24E02</t>
        </is>
      </c>
      <c r="H1630" s="16" t="n">
        <v>699</v>
      </c>
      <c r="I1630" s="16" t="n">
        <v>799</v>
      </c>
      <c r="J1630" s="17" t="inlineStr">
        <is>
          <t>########</t>
        </is>
      </c>
      <c r="K1630" s="16" t="inlineStr">
        <is>
          <t>(17)D/Grey</t>
        </is>
      </c>
      <c r="L1630" s="16" t="inlineStr">
        <is>
          <t>营业中</t>
        </is>
      </c>
      <c r="M1630" s="16" t="inlineStr">
        <is>
          <t>EEWHF24E0217155</t>
        </is>
      </c>
      <c r="N1630" s="16">
        <f>LEFT(M1630,12)</f>
        <v/>
      </c>
      <c r="O1630" s="16" t="inlineStr">
        <is>
          <t>EEWHF24E02, (17)D/Grey, (155)155</t>
        </is>
      </c>
      <c r="P1630" s="16" t="n">
        <v>699</v>
      </c>
      <c r="Q1630" s="16" t="n">
        <v>799</v>
      </c>
      <c r="R1630" s="16" t="n"/>
      <c r="S1630" s="16" t="n"/>
      <c r="T1630" s="16" t="n">
        <v>3</v>
      </c>
    </row>
    <row r="1631" s="103">
      <c r="A1631" s="16" t="inlineStr">
        <is>
          <t>B331</t>
        </is>
      </c>
      <c r="B1631" s="16" t="inlineStr">
        <is>
          <t>上海区域</t>
        </is>
      </c>
      <c r="C1631" s="16" t="inlineStr">
        <is>
          <t>CN0Q</t>
        </is>
      </c>
      <c r="D1631" s="16" t="inlineStr">
        <is>
          <t>EE 苏州比斯特购物村</t>
        </is>
      </c>
      <c r="E1631" s="16" t="n">
        <v>4</v>
      </c>
      <c r="F1631" s="16" t="inlineStr">
        <is>
          <t>奥特莱斯</t>
        </is>
      </c>
      <c r="G1631" s="16" t="inlineStr">
        <is>
          <t>EEWHF24E02</t>
        </is>
      </c>
      <c r="H1631" s="16" t="n">
        <v>699</v>
      </c>
      <c r="I1631" s="16" t="n">
        <v>799</v>
      </c>
      <c r="J1631" s="17" t="inlineStr">
        <is>
          <t>########</t>
        </is>
      </c>
      <c r="K1631" s="16" t="inlineStr">
        <is>
          <t>(17)D/Grey</t>
        </is>
      </c>
      <c r="L1631" s="16" t="inlineStr">
        <is>
          <t>营业中</t>
        </is>
      </c>
      <c r="M1631" s="16" t="inlineStr">
        <is>
          <t>EEWHF24E0217160</t>
        </is>
      </c>
      <c r="N1631" s="16">
        <f>LEFT(M1631,12)</f>
        <v/>
      </c>
      <c r="O1631" s="16" t="inlineStr">
        <is>
          <t>EEWHF24E02, (17)D/Grey, (160)160</t>
        </is>
      </c>
      <c r="P1631" s="16" t="n">
        <v>699</v>
      </c>
      <c r="Q1631" s="16" t="n">
        <v>799</v>
      </c>
      <c r="R1631" s="16" t="n"/>
      <c r="S1631" s="16" t="n"/>
      <c r="T1631" s="16" t="n">
        <v>4</v>
      </c>
    </row>
    <row r="1632" s="103">
      <c r="A1632" s="16" t="inlineStr">
        <is>
          <t>B331</t>
        </is>
      </c>
      <c r="B1632" s="16" t="inlineStr">
        <is>
          <t>上海区域</t>
        </is>
      </c>
      <c r="C1632" s="16" t="inlineStr">
        <is>
          <t>CN0Q</t>
        </is>
      </c>
      <c r="D1632" s="16" t="inlineStr">
        <is>
          <t>EE 苏州比斯特购物村</t>
        </is>
      </c>
      <c r="E1632" s="16" t="n">
        <v>4</v>
      </c>
      <c r="F1632" s="16" t="inlineStr">
        <is>
          <t>奥特莱斯</t>
        </is>
      </c>
      <c r="G1632" s="16" t="inlineStr">
        <is>
          <t>EEWHF24E02</t>
        </is>
      </c>
      <c r="H1632" s="16" t="n">
        <v>699</v>
      </c>
      <c r="I1632" s="16" t="n">
        <v>799</v>
      </c>
      <c r="J1632" s="17" t="inlineStr">
        <is>
          <t>########</t>
        </is>
      </c>
      <c r="K1632" s="16" t="inlineStr">
        <is>
          <t>(17)D/Grey</t>
        </is>
      </c>
      <c r="L1632" s="16" t="inlineStr">
        <is>
          <t>营业中</t>
        </is>
      </c>
      <c r="M1632" s="16" t="inlineStr">
        <is>
          <t>EEWHF24E0217165</t>
        </is>
      </c>
      <c r="N1632" s="16">
        <f>LEFT(M1632,12)</f>
        <v/>
      </c>
      <c r="O1632" s="16" t="inlineStr">
        <is>
          <t>EEWHF24E02, (17)D/Grey, (165)165</t>
        </is>
      </c>
      <c r="P1632" s="16" t="n">
        <v>699</v>
      </c>
      <c r="Q1632" s="16" t="n">
        <v>799</v>
      </c>
      <c r="R1632" s="16" t="n"/>
      <c r="S1632" s="16" t="n"/>
      <c r="T1632" s="16" t="n">
        <v>4</v>
      </c>
    </row>
    <row r="1633" s="103">
      <c r="A1633" s="16" t="inlineStr">
        <is>
          <t>B331</t>
        </is>
      </c>
      <c r="B1633" s="16" t="inlineStr">
        <is>
          <t>上海区域</t>
        </is>
      </c>
      <c r="C1633" s="16" t="inlineStr">
        <is>
          <t>CN0Q</t>
        </is>
      </c>
      <c r="D1633" s="16" t="inlineStr">
        <is>
          <t>EE 苏州比斯特购物村</t>
        </is>
      </c>
      <c r="E1633" s="16" t="n">
        <v>4</v>
      </c>
      <c r="F1633" s="16" t="inlineStr">
        <is>
          <t>奥特莱斯</t>
        </is>
      </c>
      <c r="G1633" s="16" t="inlineStr">
        <is>
          <t>EEWHF24E02</t>
        </is>
      </c>
      <c r="H1633" s="16" t="n">
        <v>699</v>
      </c>
      <c r="I1633" s="16" t="n">
        <v>799</v>
      </c>
      <c r="J1633" s="17" t="inlineStr">
        <is>
          <t>########</t>
        </is>
      </c>
      <c r="K1633" s="16" t="inlineStr">
        <is>
          <t>(17)D/Grey</t>
        </is>
      </c>
      <c r="L1633" s="16" t="inlineStr">
        <is>
          <t>营业中</t>
        </is>
      </c>
      <c r="M1633" s="16" t="inlineStr">
        <is>
          <t>EEWHF24E0217170</t>
        </is>
      </c>
      <c r="N1633" s="16">
        <f>LEFT(M1633,12)</f>
        <v/>
      </c>
      <c r="O1633" s="16" t="inlineStr">
        <is>
          <t>EEWHF24E02, (17)D/Grey, (170)170</t>
        </is>
      </c>
      <c r="P1633" s="16" t="n">
        <v>699</v>
      </c>
      <c r="Q1633" s="16" t="n">
        <v>799</v>
      </c>
      <c r="R1633" s="16" t="n"/>
      <c r="S1633" s="16" t="n"/>
      <c r="T1633" s="16" t="n">
        <v>2</v>
      </c>
    </row>
    <row r="1634" s="103">
      <c r="A1634" s="16" t="inlineStr">
        <is>
          <t>B331</t>
        </is>
      </c>
      <c r="B1634" s="16" t="inlineStr">
        <is>
          <t>上海区域</t>
        </is>
      </c>
      <c r="C1634" s="16" t="inlineStr">
        <is>
          <t>CN0Q</t>
        </is>
      </c>
      <c r="D1634" s="16" t="inlineStr">
        <is>
          <t>EE 苏州比斯特购物村</t>
        </is>
      </c>
      <c r="E1634" s="16" t="n">
        <v>4</v>
      </c>
      <c r="F1634" s="16" t="inlineStr">
        <is>
          <t>奥特莱斯</t>
        </is>
      </c>
      <c r="G1634" s="16" t="inlineStr">
        <is>
          <t>EEWHF24E02</t>
        </is>
      </c>
      <c r="H1634" s="16" t="n">
        <v>699</v>
      </c>
      <c r="I1634" s="16" t="n">
        <v>799</v>
      </c>
      <c r="J1634" s="17" t="inlineStr">
        <is>
          <t>########</t>
        </is>
      </c>
      <c r="K1634" s="16" t="inlineStr">
        <is>
          <t>(59)Navy</t>
        </is>
      </c>
      <c r="L1634" s="16" t="inlineStr">
        <is>
          <t>营业中</t>
        </is>
      </c>
      <c r="M1634" s="16" t="inlineStr">
        <is>
          <t>EEWHF24E0259155</t>
        </is>
      </c>
      <c r="N1634" s="16">
        <f>LEFT(M1634,12)</f>
        <v/>
      </c>
      <c r="O1634" s="16" t="inlineStr">
        <is>
          <t>EEWHF24E02, (59)Navy, (155)155</t>
        </is>
      </c>
      <c r="P1634" s="16" t="n">
        <v>699</v>
      </c>
      <c r="Q1634" s="16" t="n">
        <v>799</v>
      </c>
      <c r="R1634" s="16" t="n"/>
      <c r="S1634" s="16" t="n"/>
      <c r="T1634" s="16" t="n">
        <v>2</v>
      </c>
    </row>
    <row r="1635" s="103">
      <c r="A1635" s="16" t="inlineStr">
        <is>
          <t>B331</t>
        </is>
      </c>
      <c r="B1635" s="16" t="inlineStr">
        <is>
          <t>上海区域</t>
        </is>
      </c>
      <c r="C1635" s="16" t="inlineStr">
        <is>
          <t>CN0Q</t>
        </is>
      </c>
      <c r="D1635" s="16" t="inlineStr">
        <is>
          <t>EE 苏州比斯特购物村</t>
        </is>
      </c>
      <c r="E1635" s="16" t="n">
        <v>4</v>
      </c>
      <c r="F1635" s="16" t="inlineStr">
        <is>
          <t>奥特莱斯</t>
        </is>
      </c>
      <c r="G1635" s="16" t="inlineStr">
        <is>
          <t>EEWHF24E02</t>
        </is>
      </c>
      <c r="H1635" s="16" t="n">
        <v>699</v>
      </c>
      <c r="I1635" s="16" t="n">
        <v>799</v>
      </c>
      <c r="J1635" s="17" t="inlineStr">
        <is>
          <t>########</t>
        </is>
      </c>
      <c r="K1635" s="16" t="inlineStr">
        <is>
          <t>(59)Navy</t>
        </is>
      </c>
      <c r="L1635" s="16" t="inlineStr">
        <is>
          <t>营业中</t>
        </is>
      </c>
      <c r="M1635" s="16" t="inlineStr">
        <is>
          <t>EEWHF24E0259160</t>
        </is>
      </c>
      <c r="N1635" s="16">
        <f>LEFT(M1635,12)</f>
        <v/>
      </c>
      <c r="O1635" s="16" t="inlineStr">
        <is>
          <t>EEWHF24E02, (59)Navy, (160)160</t>
        </is>
      </c>
      <c r="P1635" s="16" t="n">
        <v>699</v>
      </c>
      <c r="Q1635" s="16" t="n">
        <v>799</v>
      </c>
      <c r="R1635" s="16" t="n"/>
      <c r="S1635" s="16" t="n"/>
      <c r="T1635" s="16" t="n">
        <v>4</v>
      </c>
    </row>
    <row r="1636" s="103">
      <c r="A1636" s="16" t="inlineStr">
        <is>
          <t>B331</t>
        </is>
      </c>
      <c r="B1636" s="16" t="inlineStr">
        <is>
          <t>上海区域</t>
        </is>
      </c>
      <c r="C1636" s="16" t="inlineStr">
        <is>
          <t>CN0Q</t>
        </is>
      </c>
      <c r="D1636" s="16" t="inlineStr">
        <is>
          <t>EE 苏州比斯特购物村</t>
        </is>
      </c>
      <c r="E1636" s="16" t="n">
        <v>4</v>
      </c>
      <c r="F1636" s="16" t="inlineStr">
        <is>
          <t>奥特莱斯</t>
        </is>
      </c>
      <c r="G1636" s="16" t="inlineStr">
        <is>
          <t>EEWHF24E02</t>
        </is>
      </c>
      <c r="H1636" s="16" t="n">
        <v>699</v>
      </c>
      <c r="I1636" s="16" t="n">
        <v>799</v>
      </c>
      <c r="J1636" s="17" t="inlineStr">
        <is>
          <t>########</t>
        </is>
      </c>
      <c r="K1636" s="16" t="inlineStr">
        <is>
          <t>(59)Navy</t>
        </is>
      </c>
      <c r="L1636" s="16" t="inlineStr">
        <is>
          <t>营业中</t>
        </is>
      </c>
      <c r="M1636" s="16" t="inlineStr">
        <is>
          <t>EEWHF24E0259165</t>
        </is>
      </c>
      <c r="N1636" s="16">
        <f>LEFT(M1636,12)</f>
        <v/>
      </c>
      <c r="O1636" s="16" t="inlineStr">
        <is>
          <t>EEWHF24E02, (59)Navy, (165)165</t>
        </is>
      </c>
      <c r="P1636" s="16" t="n">
        <v>699</v>
      </c>
      <c r="Q1636" s="16" t="n">
        <v>799</v>
      </c>
      <c r="R1636" s="16" t="n"/>
      <c r="S1636" s="16" t="n"/>
      <c r="T1636" s="16" t="n">
        <v>3</v>
      </c>
    </row>
    <row r="1637" s="103">
      <c r="A1637" s="16" t="inlineStr">
        <is>
          <t>B331</t>
        </is>
      </c>
      <c r="B1637" s="16" t="inlineStr">
        <is>
          <t>上海区域</t>
        </is>
      </c>
      <c r="C1637" s="16" t="inlineStr">
        <is>
          <t>CN0Q</t>
        </is>
      </c>
      <c r="D1637" s="16" t="inlineStr">
        <is>
          <t>EE 苏州比斯特购物村</t>
        </is>
      </c>
      <c r="E1637" s="16" t="n">
        <v>4</v>
      </c>
      <c r="F1637" s="16" t="inlineStr">
        <is>
          <t>奥特莱斯</t>
        </is>
      </c>
      <c r="G1637" s="16" t="inlineStr">
        <is>
          <t>EEWHF24E02</t>
        </is>
      </c>
      <c r="H1637" s="16" t="n">
        <v>699</v>
      </c>
      <c r="I1637" s="16" t="n">
        <v>799</v>
      </c>
      <c r="J1637" s="17" t="inlineStr">
        <is>
          <t>########</t>
        </is>
      </c>
      <c r="K1637" s="16" t="inlineStr">
        <is>
          <t>(59)Navy</t>
        </is>
      </c>
      <c r="L1637" s="16" t="inlineStr">
        <is>
          <t>营业中</t>
        </is>
      </c>
      <c r="M1637" s="16" t="inlineStr">
        <is>
          <t>EEWHF24E0259170</t>
        </is>
      </c>
      <c r="N1637" s="16">
        <f>LEFT(M1637,12)</f>
        <v/>
      </c>
      <c r="O1637" s="16" t="inlineStr">
        <is>
          <t>EEWHF24E02, (59)Navy, (170)170</t>
        </is>
      </c>
      <c r="P1637" s="16" t="n">
        <v>699</v>
      </c>
      <c r="Q1637" s="16" t="n">
        <v>799</v>
      </c>
      <c r="R1637" s="16" t="n"/>
      <c r="S1637" s="16" t="n"/>
      <c r="T1637" s="16" t="n">
        <v>2</v>
      </c>
    </row>
    <row r="1638" s="103">
      <c r="A1638" s="16" t="inlineStr">
        <is>
          <t>B331</t>
        </is>
      </c>
      <c r="B1638" s="16" t="inlineStr">
        <is>
          <t>上海区域</t>
        </is>
      </c>
      <c r="C1638" s="16" t="inlineStr">
        <is>
          <t>CN0Q</t>
        </is>
      </c>
      <c r="D1638" s="16" t="inlineStr">
        <is>
          <t>EE 苏州比斯特购物村</t>
        </is>
      </c>
      <c r="E1638" s="16" t="n">
        <v>4</v>
      </c>
      <c r="F1638" s="16" t="inlineStr">
        <is>
          <t>奥特莱斯</t>
        </is>
      </c>
      <c r="G1638" s="16" t="inlineStr">
        <is>
          <t>EEWHF24E03</t>
        </is>
      </c>
      <c r="H1638" s="16" t="n">
        <v>899</v>
      </c>
      <c r="I1638" s="16" t="n">
        <v>899</v>
      </c>
      <c r="J1638" s="17" t="n">
        <v>45719</v>
      </c>
      <c r="K1638" s="16" t="inlineStr">
        <is>
          <t>(35)Beige</t>
        </is>
      </c>
      <c r="L1638" s="16" t="inlineStr">
        <is>
          <t>营业中</t>
        </is>
      </c>
      <c r="M1638" s="16" t="inlineStr">
        <is>
          <t>EEWHF24E0335160</t>
        </is>
      </c>
      <c r="N1638" s="16">
        <f>LEFT(M1638,12)</f>
        <v/>
      </c>
      <c r="O1638" s="16" t="inlineStr">
        <is>
          <t>EEWHF24E03, (35)Beige, (160)160</t>
        </is>
      </c>
      <c r="P1638" s="16" t="n">
        <v>899</v>
      </c>
      <c r="Q1638" s="16" t="n">
        <v>899</v>
      </c>
      <c r="R1638" s="16" t="n">
        <v>1</v>
      </c>
      <c r="S1638" s="16" t="n">
        <v>412</v>
      </c>
      <c r="T1638" s="16" t="n">
        <v>2</v>
      </c>
    </row>
    <row r="1639" s="103">
      <c r="A1639" s="16" t="inlineStr">
        <is>
          <t>B331</t>
        </is>
      </c>
      <c r="B1639" s="16" t="inlineStr">
        <is>
          <t>上海区域</t>
        </is>
      </c>
      <c r="C1639" s="16" t="inlineStr">
        <is>
          <t>CN0Q</t>
        </is>
      </c>
      <c r="D1639" s="16" t="inlineStr">
        <is>
          <t>EE 苏州比斯特购物村</t>
        </is>
      </c>
      <c r="E1639" s="16" t="n">
        <v>4</v>
      </c>
      <c r="F1639" s="16" t="inlineStr">
        <is>
          <t>奥特莱斯</t>
        </is>
      </c>
      <c r="G1639" s="16" t="inlineStr">
        <is>
          <t>EEWHF24E03</t>
        </is>
      </c>
      <c r="H1639" s="16" t="n">
        <v>899</v>
      </c>
      <c r="I1639" s="16" t="n">
        <v>899</v>
      </c>
      <c r="J1639" s="17" t="n">
        <v>45719</v>
      </c>
      <c r="K1639" s="16" t="inlineStr">
        <is>
          <t>(35)Beige</t>
        </is>
      </c>
      <c r="L1639" s="16" t="inlineStr">
        <is>
          <t>营业中</t>
        </is>
      </c>
      <c r="M1639" s="16" t="inlineStr">
        <is>
          <t>EEWHF24E0335165</t>
        </is>
      </c>
      <c r="N1639" s="16">
        <f>LEFT(M1639,12)</f>
        <v/>
      </c>
      <c r="O1639" s="16" t="inlineStr">
        <is>
          <t>EEWHF24E03, (35)Beige, (165)165</t>
        </is>
      </c>
      <c r="P1639" s="16" t="n">
        <v>899</v>
      </c>
      <c r="Q1639" s="16" t="n">
        <v>899</v>
      </c>
      <c r="R1639" s="16" t="n"/>
      <c r="S1639" s="16" t="n"/>
      <c r="T1639" s="16" t="n">
        <v>2</v>
      </c>
    </row>
    <row r="1640" s="103">
      <c r="A1640" s="16" t="inlineStr">
        <is>
          <t>B331</t>
        </is>
      </c>
      <c r="B1640" s="16" t="inlineStr">
        <is>
          <t>上海区域</t>
        </is>
      </c>
      <c r="C1640" s="16" t="inlineStr">
        <is>
          <t>CN0Q</t>
        </is>
      </c>
      <c r="D1640" s="16" t="inlineStr">
        <is>
          <t>EE 苏州比斯特购物村</t>
        </is>
      </c>
      <c r="E1640" s="16" t="n">
        <v>4</v>
      </c>
      <c r="F1640" s="16" t="inlineStr">
        <is>
          <t>奥特莱斯</t>
        </is>
      </c>
      <c r="G1640" s="16" t="inlineStr">
        <is>
          <t>EEWHF24E03</t>
        </is>
      </c>
      <c r="H1640" s="16" t="n">
        <v>899</v>
      </c>
      <c r="I1640" s="16" t="n">
        <v>899</v>
      </c>
      <c r="J1640" s="17" t="n">
        <v>45719</v>
      </c>
      <c r="K1640" s="16" t="inlineStr">
        <is>
          <t>(35)Beige</t>
        </is>
      </c>
      <c r="L1640" s="16" t="inlineStr">
        <is>
          <t>营业中</t>
        </is>
      </c>
      <c r="M1640" s="16" t="inlineStr">
        <is>
          <t>EEWHF24E0335170</t>
        </is>
      </c>
      <c r="N1640" s="16">
        <f>LEFT(M1640,12)</f>
        <v/>
      </c>
      <c r="O1640" s="16" t="inlineStr">
        <is>
          <t>EEWHF24E03, (35)Beige, (170)170</t>
        </is>
      </c>
      <c r="P1640" s="16" t="n">
        <v>899</v>
      </c>
      <c r="Q1640" s="16" t="n">
        <v>899</v>
      </c>
      <c r="R1640" s="16" t="n">
        <v>1</v>
      </c>
      <c r="S1640" s="16" t="n">
        <v>405</v>
      </c>
      <c r="T1640" s="16" t="n">
        <v>0</v>
      </c>
    </row>
    <row r="1641" s="103">
      <c r="A1641" s="16" t="inlineStr">
        <is>
          <t>B331</t>
        </is>
      </c>
      <c r="B1641" s="16" t="inlineStr">
        <is>
          <t>上海区域</t>
        </is>
      </c>
      <c r="C1641" s="16" t="inlineStr">
        <is>
          <t>CN0Q</t>
        </is>
      </c>
      <c r="D1641" s="16" t="inlineStr">
        <is>
          <t>EE 苏州比斯特购物村</t>
        </is>
      </c>
      <c r="E1641" s="16" t="n">
        <v>4</v>
      </c>
      <c r="F1641" s="16" t="inlineStr">
        <is>
          <t>奥特莱斯</t>
        </is>
      </c>
      <c r="G1641" s="16" t="inlineStr">
        <is>
          <t>EEWHF24E03</t>
        </is>
      </c>
      <c r="H1641" s="16" t="n">
        <v>899</v>
      </c>
      <c r="I1641" s="16" t="n">
        <v>899</v>
      </c>
      <c r="J1641" s="17" t="n">
        <v>45719</v>
      </c>
      <c r="K1641" s="16" t="inlineStr">
        <is>
          <t>(39)Ivory</t>
        </is>
      </c>
      <c r="L1641" s="16" t="inlineStr">
        <is>
          <t>营业中</t>
        </is>
      </c>
      <c r="M1641" s="16" t="inlineStr">
        <is>
          <t>EEWHF24E0339155</t>
        </is>
      </c>
      <c r="N1641" s="16">
        <f>LEFT(M1641,12)</f>
        <v/>
      </c>
      <c r="O1641" s="16" t="inlineStr">
        <is>
          <t>EEWHF24E03, (39)Ivory, (155)155</t>
        </is>
      </c>
      <c r="P1641" s="16" t="n">
        <v>899</v>
      </c>
      <c r="Q1641" s="16" t="n">
        <v>899</v>
      </c>
      <c r="R1641" s="16" t="n"/>
      <c r="S1641" s="16" t="n"/>
      <c r="T1641" s="16" t="n">
        <v>3</v>
      </c>
    </row>
    <row r="1642" s="103">
      <c r="A1642" s="16" t="inlineStr">
        <is>
          <t>B331</t>
        </is>
      </c>
      <c r="B1642" s="16" t="inlineStr">
        <is>
          <t>上海区域</t>
        </is>
      </c>
      <c r="C1642" s="16" t="inlineStr">
        <is>
          <t>CN0Q</t>
        </is>
      </c>
      <c r="D1642" s="16" t="inlineStr">
        <is>
          <t>EE 苏州比斯特购物村</t>
        </is>
      </c>
      <c r="E1642" s="16" t="n">
        <v>4</v>
      </c>
      <c r="F1642" s="16" t="inlineStr">
        <is>
          <t>奥特莱斯</t>
        </is>
      </c>
      <c r="G1642" s="16" t="inlineStr">
        <is>
          <t>EEWHF24E03</t>
        </is>
      </c>
      <c r="H1642" s="16" t="n">
        <v>899</v>
      </c>
      <c r="I1642" s="16" t="n">
        <v>899</v>
      </c>
      <c r="J1642" s="17" t="n">
        <v>45719</v>
      </c>
      <c r="K1642" s="16" t="inlineStr">
        <is>
          <t>(39)Ivory</t>
        </is>
      </c>
      <c r="L1642" s="16" t="inlineStr">
        <is>
          <t>营业中</t>
        </is>
      </c>
      <c r="M1642" s="16" t="inlineStr">
        <is>
          <t>EEWHF24E0339160</t>
        </is>
      </c>
      <c r="N1642" s="16">
        <f>LEFT(M1642,12)</f>
        <v/>
      </c>
      <c r="O1642" s="16" t="inlineStr">
        <is>
          <t>EEWHF24E03, (39)Ivory, (160)160</t>
        </is>
      </c>
      <c r="P1642" s="16" t="n">
        <v>899</v>
      </c>
      <c r="Q1642" s="16" t="n">
        <v>899</v>
      </c>
      <c r="R1642" s="16" t="n">
        <v>2</v>
      </c>
      <c r="S1642" s="16" t="n">
        <v>855</v>
      </c>
      <c r="T1642" s="16" t="n">
        <v>3</v>
      </c>
    </row>
    <row r="1643" s="103">
      <c r="A1643" s="16" t="inlineStr">
        <is>
          <t>B331</t>
        </is>
      </c>
      <c r="B1643" s="16" t="inlineStr">
        <is>
          <t>上海区域</t>
        </is>
      </c>
      <c r="C1643" s="16" t="inlineStr">
        <is>
          <t>CN0Q</t>
        </is>
      </c>
      <c r="D1643" s="16" t="inlineStr">
        <is>
          <t>EE 苏州比斯特购物村</t>
        </is>
      </c>
      <c r="E1643" s="16" t="n">
        <v>4</v>
      </c>
      <c r="F1643" s="16" t="inlineStr">
        <is>
          <t>奥特莱斯</t>
        </is>
      </c>
      <c r="G1643" s="16" t="inlineStr">
        <is>
          <t>EEWHF24E03</t>
        </is>
      </c>
      <c r="H1643" s="16" t="n">
        <v>899</v>
      </c>
      <c r="I1643" s="16" t="n">
        <v>899</v>
      </c>
      <c r="J1643" s="17" t="n">
        <v>45719</v>
      </c>
      <c r="K1643" s="16" t="inlineStr">
        <is>
          <t>(39)Ivory</t>
        </is>
      </c>
      <c r="L1643" s="16" t="inlineStr">
        <is>
          <t>营业中</t>
        </is>
      </c>
      <c r="M1643" s="16" t="inlineStr">
        <is>
          <t>EEWHF24E0339165</t>
        </is>
      </c>
      <c r="N1643" s="16">
        <f>LEFT(M1643,12)</f>
        <v/>
      </c>
      <c r="O1643" s="16" t="inlineStr">
        <is>
          <t>EEWHF24E03, (39)Ivory, (165)165</t>
        </is>
      </c>
      <c r="P1643" s="16" t="n">
        <v>899</v>
      </c>
      <c r="Q1643" s="16" t="n">
        <v>899</v>
      </c>
      <c r="R1643" s="16" t="n">
        <v>2</v>
      </c>
      <c r="S1643" s="16" t="n">
        <v>794</v>
      </c>
      <c r="T1643" s="16" t="n">
        <v>2</v>
      </c>
    </row>
    <row r="1644" s="103">
      <c r="A1644" s="16" t="inlineStr">
        <is>
          <t>B331</t>
        </is>
      </c>
      <c r="B1644" s="16" t="inlineStr">
        <is>
          <t>上海区域</t>
        </is>
      </c>
      <c r="C1644" s="16" t="inlineStr">
        <is>
          <t>CN0Q</t>
        </is>
      </c>
      <c r="D1644" s="16" t="inlineStr">
        <is>
          <t>EE 苏州比斯特购物村</t>
        </is>
      </c>
      <c r="E1644" s="16" t="n">
        <v>4</v>
      </c>
      <c r="F1644" s="16" t="inlineStr">
        <is>
          <t>奥特莱斯</t>
        </is>
      </c>
      <c r="G1644" s="16" t="inlineStr">
        <is>
          <t>EEWHF24E03</t>
        </is>
      </c>
      <c r="H1644" s="16" t="n">
        <v>899</v>
      </c>
      <c r="I1644" s="16" t="n">
        <v>899</v>
      </c>
      <c r="J1644" s="17" t="n">
        <v>45719</v>
      </c>
      <c r="K1644" s="16" t="inlineStr">
        <is>
          <t>(39)Ivory</t>
        </is>
      </c>
      <c r="L1644" s="16" t="inlineStr">
        <is>
          <t>营业中</t>
        </is>
      </c>
      <c r="M1644" s="16" t="inlineStr">
        <is>
          <t>EEWHF24E0339170</t>
        </is>
      </c>
      <c r="N1644" s="16">
        <f>LEFT(M1644,12)</f>
        <v/>
      </c>
      <c r="O1644" s="16" t="inlineStr">
        <is>
          <t>EEWHF24E03, (39)Ivory, (170)170</t>
        </is>
      </c>
      <c r="P1644" s="16" t="n">
        <v>899</v>
      </c>
      <c r="Q1644" s="16" t="n">
        <v>899</v>
      </c>
      <c r="R1644" s="16" t="n"/>
      <c r="S1644" s="16" t="n"/>
      <c r="T1644" s="16" t="n">
        <v>2</v>
      </c>
    </row>
    <row r="1645" s="103">
      <c r="A1645" s="16" t="inlineStr">
        <is>
          <t>B331</t>
        </is>
      </c>
      <c r="B1645" s="16" t="inlineStr">
        <is>
          <t>上海区域</t>
        </is>
      </c>
      <c r="C1645" s="16" t="inlineStr">
        <is>
          <t>CN0Q</t>
        </is>
      </c>
      <c r="D1645" s="16" t="inlineStr">
        <is>
          <t>EE 苏州比斯特购物村</t>
        </is>
      </c>
      <c r="E1645" s="16" t="n">
        <v>4</v>
      </c>
      <c r="F1645" s="16" t="inlineStr">
        <is>
          <t>奥特莱斯</t>
        </is>
      </c>
      <c r="G1645" s="16" t="inlineStr">
        <is>
          <t>EEWHF24M05</t>
        </is>
      </c>
      <c r="H1645" s="16" t="n">
        <v>599</v>
      </c>
      <c r="I1645" s="16" t="n">
        <v>599</v>
      </c>
      <c r="J1645" s="17" t="inlineStr">
        <is>
          <t>########</t>
        </is>
      </c>
      <c r="K1645" s="16" t="inlineStr">
        <is>
          <t>(35)Beige</t>
        </is>
      </c>
      <c r="L1645" s="16" t="inlineStr">
        <is>
          <t>营业中</t>
        </is>
      </c>
      <c r="M1645" s="16" t="inlineStr">
        <is>
          <t>EEWHF24M0535155</t>
        </is>
      </c>
      <c r="N1645" s="16">
        <f>LEFT(M1645,12)</f>
        <v/>
      </c>
      <c r="O1645" s="16" t="inlineStr">
        <is>
          <t>EEWHF24M05, (35)Beige, (155)155</t>
        </is>
      </c>
      <c r="P1645" s="16" t="n">
        <v>599</v>
      </c>
      <c r="Q1645" s="16" t="n">
        <v>599</v>
      </c>
      <c r="R1645" s="16" t="n"/>
      <c r="S1645" s="16" t="n"/>
      <c r="T1645" s="16" t="n">
        <v>1</v>
      </c>
    </row>
    <row r="1646" s="103">
      <c r="A1646" s="16" t="inlineStr">
        <is>
          <t>B331</t>
        </is>
      </c>
      <c r="B1646" s="16" t="inlineStr">
        <is>
          <t>上海区域</t>
        </is>
      </c>
      <c r="C1646" s="16" t="inlineStr">
        <is>
          <t>CN0Q</t>
        </is>
      </c>
      <c r="D1646" s="16" t="inlineStr">
        <is>
          <t>EE 苏州比斯特购物村</t>
        </is>
      </c>
      <c r="E1646" s="16" t="n">
        <v>4</v>
      </c>
      <c r="F1646" s="16" t="inlineStr">
        <is>
          <t>奥特莱斯</t>
        </is>
      </c>
      <c r="G1646" s="16" t="inlineStr">
        <is>
          <t>EEWHF24M05</t>
        </is>
      </c>
      <c r="H1646" s="16" t="n">
        <v>599</v>
      </c>
      <c r="I1646" s="16" t="n">
        <v>599</v>
      </c>
      <c r="J1646" s="17" t="inlineStr">
        <is>
          <t>########</t>
        </is>
      </c>
      <c r="K1646" s="16" t="inlineStr">
        <is>
          <t>(35)Beige</t>
        </is>
      </c>
      <c r="L1646" s="16" t="inlineStr">
        <is>
          <t>营业中</t>
        </is>
      </c>
      <c r="M1646" s="16" t="inlineStr">
        <is>
          <t>EEWHF24M0535160</t>
        </is>
      </c>
      <c r="N1646" s="16">
        <f>LEFT(M1646,12)</f>
        <v/>
      </c>
      <c r="O1646" s="16" t="inlineStr">
        <is>
          <t>EEWHF24M05, (35)Beige, (160)160</t>
        </is>
      </c>
      <c r="P1646" s="16" t="n">
        <v>599</v>
      </c>
      <c r="Q1646" s="16" t="n">
        <v>599</v>
      </c>
      <c r="R1646" s="16" t="n">
        <v>1</v>
      </c>
      <c r="S1646" s="16" t="n">
        <v>300</v>
      </c>
      <c r="T1646" s="16" t="n">
        <v>2</v>
      </c>
    </row>
    <row r="1647" s="103">
      <c r="A1647" s="16" t="inlineStr">
        <is>
          <t>B331</t>
        </is>
      </c>
      <c r="B1647" s="16" t="inlineStr">
        <is>
          <t>上海区域</t>
        </is>
      </c>
      <c r="C1647" s="16" t="inlineStr">
        <is>
          <t>CN0Q</t>
        </is>
      </c>
      <c r="D1647" s="16" t="inlineStr">
        <is>
          <t>EE 苏州比斯特购物村</t>
        </is>
      </c>
      <c r="E1647" s="16" t="n">
        <v>4</v>
      </c>
      <c r="F1647" s="16" t="inlineStr">
        <is>
          <t>奥特莱斯</t>
        </is>
      </c>
      <c r="G1647" s="16" t="inlineStr">
        <is>
          <t>EEWHF24M05</t>
        </is>
      </c>
      <c r="H1647" s="16" t="n">
        <v>599</v>
      </c>
      <c r="I1647" s="16" t="n">
        <v>599</v>
      </c>
      <c r="J1647" s="17" t="inlineStr">
        <is>
          <t>########</t>
        </is>
      </c>
      <c r="K1647" s="16" t="inlineStr">
        <is>
          <t>(35)Beige</t>
        </is>
      </c>
      <c r="L1647" s="16" t="inlineStr">
        <is>
          <t>营业中</t>
        </is>
      </c>
      <c r="M1647" s="16" t="inlineStr">
        <is>
          <t>EEWHF24M0535165</t>
        </is>
      </c>
      <c r="N1647" s="16">
        <f>LEFT(M1647,12)</f>
        <v/>
      </c>
      <c r="O1647" s="16" t="inlineStr">
        <is>
          <t>EEWHF24M05, (35)Beige, (165)165</t>
        </is>
      </c>
      <c r="P1647" s="16" t="n">
        <v>599</v>
      </c>
      <c r="Q1647" s="16" t="n">
        <v>599</v>
      </c>
      <c r="R1647" s="16" t="n">
        <v>1</v>
      </c>
      <c r="S1647" s="16" t="n">
        <v>300</v>
      </c>
      <c r="T1647" s="16" t="n">
        <v>2</v>
      </c>
    </row>
    <row r="1648" s="103">
      <c r="A1648" s="16" t="inlineStr">
        <is>
          <t>B331</t>
        </is>
      </c>
      <c r="B1648" s="16" t="inlineStr">
        <is>
          <t>上海区域</t>
        </is>
      </c>
      <c r="C1648" s="16" t="inlineStr">
        <is>
          <t>CN0Q</t>
        </is>
      </c>
      <c r="D1648" s="16" t="inlineStr">
        <is>
          <t>EE 苏州比斯特购物村</t>
        </is>
      </c>
      <c r="E1648" s="16" t="n">
        <v>4</v>
      </c>
      <c r="F1648" s="16" t="inlineStr">
        <is>
          <t>奥特莱斯</t>
        </is>
      </c>
      <c r="G1648" s="16" t="inlineStr">
        <is>
          <t>EEWHF24M05</t>
        </is>
      </c>
      <c r="H1648" s="16" t="n">
        <v>599</v>
      </c>
      <c r="I1648" s="16" t="n">
        <v>599</v>
      </c>
      <c r="J1648" s="17" t="inlineStr">
        <is>
          <t>########</t>
        </is>
      </c>
      <c r="K1648" s="16" t="inlineStr">
        <is>
          <t>(35)Beige</t>
        </is>
      </c>
      <c r="L1648" s="16" t="inlineStr">
        <is>
          <t>营业中</t>
        </is>
      </c>
      <c r="M1648" s="16" t="inlineStr">
        <is>
          <t>EEWHF24M0535170</t>
        </is>
      </c>
      <c r="N1648" s="16">
        <f>LEFT(M1648,12)</f>
        <v/>
      </c>
      <c r="O1648" s="16" t="inlineStr">
        <is>
          <t>EEWHF24M05, (35)Beige, (170)170</t>
        </is>
      </c>
      <c r="P1648" s="16" t="n">
        <v>599</v>
      </c>
      <c r="Q1648" s="16" t="n">
        <v>599</v>
      </c>
      <c r="R1648" s="16" t="n"/>
      <c r="S1648" s="16" t="n"/>
      <c r="T1648" s="16" t="n">
        <v>1</v>
      </c>
    </row>
    <row r="1649" s="103">
      <c r="A1649" s="16" t="inlineStr">
        <is>
          <t>B331</t>
        </is>
      </c>
      <c r="B1649" s="16" t="inlineStr">
        <is>
          <t>上海区域</t>
        </is>
      </c>
      <c r="C1649" s="16" t="inlineStr">
        <is>
          <t>CN0Q</t>
        </is>
      </c>
      <c r="D1649" s="16" t="inlineStr">
        <is>
          <t>EE 苏州比斯特购物村</t>
        </is>
      </c>
      <c r="E1649" s="16" t="n">
        <v>4</v>
      </c>
      <c r="F1649" s="16" t="inlineStr">
        <is>
          <t>奥特莱斯</t>
        </is>
      </c>
      <c r="G1649" s="16" t="inlineStr">
        <is>
          <t>EEWHF24M05</t>
        </is>
      </c>
      <c r="H1649" s="16" t="n">
        <v>599</v>
      </c>
      <c r="I1649" s="16" t="n">
        <v>599</v>
      </c>
      <c r="J1649" s="17" t="inlineStr">
        <is>
          <t>########</t>
        </is>
      </c>
      <c r="K1649" s="16" t="inlineStr">
        <is>
          <t>(59)Navy</t>
        </is>
      </c>
      <c r="L1649" s="16" t="inlineStr">
        <is>
          <t>营业中</t>
        </is>
      </c>
      <c r="M1649" s="16" t="inlineStr">
        <is>
          <t>EEWHF24M0559155</t>
        </is>
      </c>
      <c r="N1649" s="16">
        <f>LEFT(M1649,12)</f>
        <v/>
      </c>
      <c r="O1649" s="16" t="inlineStr">
        <is>
          <t>EEWHF24M05, (59)Navy, (155)155</t>
        </is>
      </c>
      <c r="P1649" s="16" t="n">
        <v>599</v>
      </c>
      <c r="Q1649" s="16" t="n">
        <v>599</v>
      </c>
      <c r="R1649" s="16" t="n"/>
      <c r="S1649" s="16" t="n"/>
      <c r="T1649" s="16" t="n">
        <v>1</v>
      </c>
    </row>
    <row r="1650" s="103">
      <c r="A1650" s="16" t="inlineStr">
        <is>
          <t>B331</t>
        </is>
      </c>
      <c r="B1650" s="16" t="inlineStr">
        <is>
          <t>上海区域</t>
        </is>
      </c>
      <c r="C1650" s="16" t="inlineStr">
        <is>
          <t>CN0Q</t>
        </is>
      </c>
      <c r="D1650" s="16" t="inlineStr">
        <is>
          <t>EE 苏州比斯特购物村</t>
        </is>
      </c>
      <c r="E1650" s="16" t="n">
        <v>4</v>
      </c>
      <c r="F1650" s="16" t="inlineStr">
        <is>
          <t>奥特莱斯</t>
        </is>
      </c>
      <c r="G1650" s="16" t="inlineStr">
        <is>
          <t>EEWHF24M05</t>
        </is>
      </c>
      <c r="H1650" s="16" t="n">
        <v>599</v>
      </c>
      <c r="I1650" s="16" t="n">
        <v>599</v>
      </c>
      <c r="J1650" s="17" t="inlineStr">
        <is>
          <t>########</t>
        </is>
      </c>
      <c r="K1650" s="16" t="inlineStr">
        <is>
          <t>(59)Navy</t>
        </is>
      </c>
      <c r="L1650" s="16" t="inlineStr">
        <is>
          <t>营业中</t>
        </is>
      </c>
      <c r="M1650" s="16" t="inlineStr">
        <is>
          <t>EEWHF24M0559160</t>
        </is>
      </c>
      <c r="N1650" s="16">
        <f>LEFT(M1650,12)</f>
        <v/>
      </c>
      <c r="O1650" s="16" t="inlineStr">
        <is>
          <t>EEWHF24M05, (59)Navy, (160)160</t>
        </is>
      </c>
      <c r="P1650" s="16" t="n">
        <v>599</v>
      </c>
      <c r="Q1650" s="16" t="n">
        <v>599</v>
      </c>
      <c r="R1650" s="16" t="n"/>
      <c r="S1650" s="16" t="n"/>
      <c r="T1650" s="16" t="n">
        <v>2</v>
      </c>
    </row>
    <row r="1651" s="103">
      <c r="A1651" s="16" t="inlineStr">
        <is>
          <t>B331</t>
        </is>
      </c>
      <c r="B1651" s="16" t="inlineStr">
        <is>
          <t>上海区域</t>
        </is>
      </c>
      <c r="C1651" s="16" t="inlineStr">
        <is>
          <t>CN0Q</t>
        </is>
      </c>
      <c r="D1651" s="16" t="inlineStr">
        <is>
          <t>EE 苏州比斯特购物村</t>
        </is>
      </c>
      <c r="E1651" s="16" t="n">
        <v>4</v>
      </c>
      <c r="F1651" s="16" t="inlineStr">
        <is>
          <t>奥特莱斯</t>
        </is>
      </c>
      <c r="G1651" s="16" t="inlineStr">
        <is>
          <t>EEWHF24M05</t>
        </is>
      </c>
      <c r="H1651" s="16" t="n">
        <v>599</v>
      </c>
      <c r="I1651" s="16" t="n">
        <v>599</v>
      </c>
      <c r="J1651" s="17" t="inlineStr">
        <is>
          <t>########</t>
        </is>
      </c>
      <c r="K1651" s="16" t="inlineStr">
        <is>
          <t>(59)Navy</t>
        </is>
      </c>
      <c r="L1651" s="16" t="inlineStr">
        <is>
          <t>营业中</t>
        </is>
      </c>
      <c r="M1651" s="16" t="inlineStr">
        <is>
          <t>EEWHF24M0559165</t>
        </is>
      </c>
      <c r="N1651" s="16">
        <f>LEFT(M1651,12)</f>
        <v/>
      </c>
      <c r="O1651" s="16" t="inlineStr">
        <is>
          <t>EEWHF24M05, (59)Navy, (165)165</t>
        </is>
      </c>
      <c r="P1651" s="16" t="n">
        <v>599</v>
      </c>
      <c r="Q1651" s="16" t="n">
        <v>599</v>
      </c>
      <c r="R1651" s="16" t="n"/>
      <c r="S1651" s="16" t="n"/>
      <c r="T1651" s="16" t="n">
        <v>2</v>
      </c>
    </row>
    <row r="1652" s="103">
      <c r="A1652" s="16" t="inlineStr">
        <is>
          <t>B331</t>
        </is>
      </c>
      <c r="B1652" s="16" t="inlineStr">
        <is>
          <t>上海区域</t>
        </is>
      </c>
      <c r="C1652" s="16" t="inlineStr">
        <is>
          <t>CN0Q</t>
        </is>
      </c>
      <c r="D1652" s="16" t="inlineStr">
        <is>
          <t>EE 苏州比斯特购物村</t>
        </is>
      </c>
      <c r="E1652" s="16" t="n">
        <v>4</v>
      </c>
      <c r="F1652" s="16" t="inlineStr">
        <is>
          <t>奥特莱斯</t>
        </is>
      </c>
      <c r="G1652" s="16" t="inlineStr">
        <is>
          <t>EEWHF24M05</t>
        </is>
      </c>
      <c r="H1652" s="16" t="n">
        <v>599</v>
      </c>
      <c r="I1652" s="16" t="n">
        <v>599</v>
      </c>
      <c r="J1652" s="17" t="inlineStr">
        <is>
          <t>########</t>
        </is>
      </c>
      <c r="K1652" s="16" t="inlineStr">
        <is>
          <t>(59)Navy</t>
        </is>
      </c>
      <c r="L1652" s="16" t="inlineStr">
        <is>
          <t>营业中</t>
        </is>
      </c>
      <c r="M1652" s="16" t="inlineStr">
        <is>
          <t>EEWHF24M0559170</t>
        </is>
      </c>
      <c r="N1652" s="16">
        <f>LEFT(M1652,12)</f>
        <v/>
      </c>
      <c r="O1652" s="16" t="inlineStr">
        <is>
          <t>EEWHF24M05, (59)Navy, (170)170</t>
        </is>
      </c>
      <c r="P1652" s="16" t="n">
        <v>599</v>
      </c>
      <c r="Q1652" s="16" t="n">
        <v>599</v>
      </c>
      <c r="R1652" s="16" t="n">
        <v>1</v>
      </c>
      <c r="S1652" s="16" t="n">
        <v>180</v>
      </c>
      <c r="T1652" s="16" t="n">
        <v>0</v>
      </c>
    </row>
    <row r="1653" s="103">
      <c r="A1653" s="16" t="inlineStr">
        <is>
          <t>B331</t>
        </is>
      </c>
      <c r="B1653" s="16" t="inlineStr">
        <is>
          <t>上海区域</t>
        </is>
      </c>
      <c r="C1653" s="16" t="inlineStr">
        <is>
          <t>CN0Q</t>
        </is>
      </c>
      <c r="D1653" s="16" t="inlineStr">
        <is>
          <t>EE 苏州比斯特购物村</t>
        </is>
      </c>
      <c r="E1653" s="16" t="n">
        <v>4</v>
      </c>
      <c r="F1653" s="16" t="inlineStr">
        <is>
          <t>奥特莱斯</t>
        </is>
      </c>
      <c r="G1653" s="16" t="inlineStr">
        <is>
          <t>EEWHF25E01</t>
        </is>
      </c>
      <c r="H1653" s="16" t="n">
        <v>799</v>
      </c>
      <c r="I1653" s="16" t="n">
        <v>799</v>
      </c>
      <c r="J1653" s="17" t="inlineStr">
        <is>
          <t>########</t>
        </is>
      </c>
      <c r="K1653" s="16" t="inlineStr">
        <is>
          <t>(35)Beige</t>
        </is>
      </c>
      <c r="L1653" s="16" t="inlineStr">
        <is>
          <t>营业中</t>
        </is>
      </c>
      <c r="M1653" s="16" t="inlineStr">
        <is>
          <t>EEWHF25E0135160</t>
        </is>
      </c>
      <c r="N1653" s="16">
        <f>LEFT(M1653,12)</f>
        <v/>
      </c>
      <c r="O1653" s="16" t="inlineStr">
        <is>
          <t>EEWHF25E01, (35)Beige, (160)160</t>
        </is>
      </c>
      <c r="P1653" s="16" t="n">
        <v>799</v>
      </c>
      <c r="Q1653" s="16" t="n">
        <v>799</v>
      </c>
      <c r="R1653" s="16" t="n"/>
      <c r="S1653" s="16" t="n"/>
      <c r="T1653" s="16" t="n">
        <v>2</v>
      </c>
    </row>
    <row r="1654" s="103">
      <c r="A1654" s="16" t="inlineStr">
        <is>
          <t>B331</t>
        </is>
      </c>
      <c r="B1654" s="16" t="inlineStr">
        <is>
          <t>上海区域</t>
        </is>
      </c>
      <c r="C1654" s="16" t="inlineStr">
        <is>
          <t>CN0Q</t>
        </is>
      </c>
      <c r="D1654" s="16" t="inlineStr">
        <is>
          <t>EE 苏州比斯特购物村</t>
        </is>
      </c>
      <c r="E1654" s="16" t="n">
        <v>4</v>
      </c>
      <c r="F1654" s="16" t="inlineStr">
        <is>
          <t>奥特莱斯</t>
        </is>
      </c>
      <c r="G1654" s="16" t="inlineStr">
        <is>
          <t>EEWHF25E01</t>
        </is>
      </c>
      <c r="H1654" s="16" t="n">
        <v>799</v>
      </c>
      <c r="I1654" s="16" t="n">
        <v>799</v>
      </c>
      <c r="J1654" s="17" t="inlineStr">
        <is>
          <t>########</t>
        </is>
      </c>
      <c r="K1654" s="16" t="inlineStr">
        <is>
          <t>(35)Beige</t>
        </is>
      </c>
      <c r="L1654" s="16" t="inlineStr">
        <is>
          <t>营业中</t>
        </is>
      </c>
      <c r="M1654" s="16" t="inlineStr">
        <is>
          <t>EEWHF25E0135165</t>
        </is>
      </c>
      <c r="N1654" s="16">
        <f>LEFT(M1654,12)</f>
        <v/>
      </c>
      <c r="O1654" s="16" t="inlineStr">
        <is>
          <t>EEWHF25E01, (35)Beige, (165)165</t>
        </is>
      </c>
      <c r="P1654" s="16" t="n">
        <v>799</v>
      </c>
      <c r="Q1654" s="16" t="n">
        <v>799</v>
      </c>
      <c r="R1654" s="16" t="n"/>
      <c r="S1654" s="16" t="n"/>
      <c r="T1654" s="16" t="n">
        <v>2</v>
      </c>
    </row>
    <row r="1655" s="103">
      <c r="A1655" s="16" t="inlineStr">
        <is>
          <t>B331</t>
        </is>
      </c>
      <c r="B1655" s="16" t="inlineStr">
        <is>
          <t>上海区域</t>
        </is>
      </c>
      <c r="C1655" s="16" t="inlineStr">
        <is>
          <t>CN0Q</t>
        </is>
      </c>
      <c r="D1655" s="16" t="inlineStr">
        <is>
          <t>EE 苏州比斯特购物村</t>
        </is>
      </c>
      <c r="E1655" s="16" t="n">
        <v>4</v>
      </c>
      <c r="F1655" s="16" t="inlineStr">
        <is>
          <t>奥特莱斯</t>
        </is>
      </c>
      <c r="G1655" s="16" t="inlineStr">
        <is>
          <t>EEWHF25E01</t>
        </is>
      </c>
      <c r="H1655" s="16" t="n">
        <v>799</v>
      </c>
      <c r="I1655" s="16" t="n">
        <v>799</v>
      </c>
      <c r="J1655" s="17" t="inlineStr">
        <is>
          <t>########</t>
        </is>
      </c>
      <c r="K1655" s="16" t="inlineStr">
        <is>
          <t>(35)Beige</t>
        </is>
      </c>
      <c r="L1655" s="16" t="inlineStr">
        <is>
          <t>营业中</t>
        </is>
      </c>
      <c r="M1655" s="16" t="inlineStr">
        <is>
          <t>EEWHF25E0135170</t>
        </is>
      </c>
      <c r="N1655" s="16">
        <f>LEFT(M1655,12)</f>
        <v/>
      </c>
      <c r="O1655" s="16" t="inlineStr">
        <is>
          <t>EEWHF25E01, (35)Beige, (170)170</t>
        </is>
      </c>
      <c r="P1655" s="16" t="n">
        <v>799</v>
      </c>
      <c r="Q1655" s="16" t="n">
        <v>799</v>
      </c>
      <c r="R1655" s="16" t="n"/>
      <c r="S1655" s="16" t="n"/>
      <c r="T1655" s="16" t="n">
        <v>1</v>
      </c>
    </row>
    <row r="1656" s="103">
      <c r="A1656" s="16" t="inlineStr">
        <is>
          <t>B331</t>
        </is>
      </c>
      <c r="B1656" s="16" t="inlineStr">
        <is>
          <t>上海区域</t>
        </is>
      </c>
      <c r="C1656" s="16" t="inlineStr">
        <is>
          <t>CN0Q</t>
        </is>
      </c>
      <c r="D1656" s="16" t="inlineStr">
        <is>
          <t>EE 苏州比斯特购物村</t>
        </is>
      </c>
      <c r="E1656" s="16" t="n">
        <v>4</v>
      </c>
      <c r="F1656" s="16" t="inlineStr">
        <is>
          <t>奥特莱斯</t>
        </is>
      </c>
      <c r="G1656" s="16" t="inlineStr">
        <is>
          <t>EEWHF25E01</t>
        </is>
      </c>
      <c r="H1656" s="16" t="n">
        <v>799</v>
      </c>
      <c r="I1656" s="16" t="n">
        <v>799</v>
      </c>
      <c r="J1656" s="17" t="inlineStr">
        <is>
          <t>########</t>
        </is>
      </c>
      <c r="K1656" s="16" t="inlineStr">
        <is>
          <t>(39)Ivory</t>
        </is>
      </c>
      <c r="L1656" s="16" t="inlineStr">
        <is>
          <t>营业中</t>
        </is>
      </c>
      <c r="M1656" s="16" t="inlineStr">
        <is>
          <t>EEWHF25E0139160</t>
        </is>
      </c>
      <c r="N1656" s="16">
        <f>LEFT(M1656,12)</f>
        <v/>
      </c>
      <c r="O1656" s="16" t="inlineStr">
        <is>
          <t>EEWHF25E01, (39)Ivory, (160)160</t>
        </is>
      </c>
      <c r="P1656" s="16" t="n">
        <v>799</v>
      </c>
      <c r="Q1656" s="16" t="n">
        <v>799</v>
      </c>
      <c r="R1656" s="16" t="n"/>
      <c r="S1656" s="16" t="n"/>
      <c r="T1656" s="16" t="n">
        <v>3</v>
      </c>
    </row>
    <row r="1657" s="103">
      <c r="A1657" s="16" t="inlineStr">
        <is>
          <t>B331</t>
        </is>
      </c>
      <c r="B1657" s="16" t="inlineStr">
        <is>
          <t>上海区域</t>
        </is>
      </c>
      <c r="C1657" s="16" t="inlineStr">
        <is>
          <t>CN0Q</t>
        </is>
      </c>
      <c r="D1657" s="16" t="inlineStr">
        <is>
          <t>EE 苏州比斯特购物村</t>
        </is>
      </c>
      <c r="E1657" s="16" t="n">
        <v>4</v>
      </c>
      <c r="F1657" s="16" t="inlineStr">
        <is>
          <t>奥特莱斯</t>
        </is>
      </c>
      <c r="G1657" s="16" t="inlineStr">
        <is>
          <t>EEWHF25E01</t>
        </is>
      </c>
      <c r="H1657" s="16" t="n">
        <v>799</v>
      </c>
      <c r="I1657" s="16" t="n">
        <v>799</v>
      </c>
      <c r="J1657" s="17" t="inlineStr">
        <is>
          <t>########</t>
        </is>
      </c>
      <c r="K1657" s="16" t="inlineStr">
        <is>
          <t>(39)Ivory</t>
        </is>
      </c>
      <c r="L1657" s="16" t="inlineStr">
        <is>
          <t>营业中</t>
        </is>
      </c>
      <c r="M1657" s="16" t="inlineStr">
        <is>
          <t>EEWHF25E0139165</t>
        </is>
      </c>
      <c r="N1657" s="16">
        <f>LEFT(M1657,12)</f>
        <v/>
      </c>
      <c r="O1657" s="16" t="inlineStr">
        <is>
          <t>EEWHF25E01, (39)Ivory, (165)165</t>
        </is>
      </c>
      <c r="P1657" s="16" t="n">
        <v>799</v>
      </c>
      <c r="Q1657" s="16" t="n">
        <v>799</v>
      </c>
      <c r="R1657" s="16" t="n"/>
      <c r="S1657" s="16" t="n"/>
      <c r="T1657" s="16" t="n">
        <v>4</v>
      </c>
    </row>
    <row r="1658" s="103">
      <c r="A1658" s="16" t="inlineStr">
        <is>
          <t>B331</t>
        </is>
      </c>
      <c r="B1658" s="16" t="inlineStr">
        <is>
          <t>上海区域</t>
        </is>
      </c>
      <c r="C1658" s="16" t="inlineStr">
        <is>
          <t>CN0Q</t>
        </is>
      </c>
      <c r="D1658" s="16" t="inlineStr">
        <is>
          <t>EE 苏州比斯特购物村</t>
        </is>
      </c>
      <c r="E1658" s="16" t="n">
        <v>4</v>
      </c>
      <c r="F1658" s="16" t="inlineStr">
        <is>
          <t>奥特莱斯</t>
        </is>
      </c>
      <c r="G1658" s="16" t="inlineStr">
        <is>
          <t>EEWHF25E01</t>
        </is>
      </c>
      <c r="H1658" s="16" t="n">
        <v>799</v>
      </c>
      <c r="I1658" s="16" t="n">
        <v>799</v>
      </c>
      <c r="J1658" s="17" t="inlineStr">
        <is>
          <t>########</t>
        </is>
      </c>
      <c r="K1658" s="16" t="inlineStr">
        <is>
          <t>(39)Ivory</t>
        </is>
      </c>
      <c r="L1658" s="16" t="inlineStr">
        <is>
          <t>营业中</t>
        </is>
      </c>
      <c r="M1658" s="16" t="inlineStr">
        <is>
          <t>EEWHF25E0139170</t>
        </is>
      </c>
      <c r="N1658" s="16">
        <f>LEFT(M1658,12)</f>
        <v/>
      </c>
      <c r="O1658" s="16" t="inlineStr">
        <is>
          <t>EEWHF25E01, (39)Ivory, (170)170</t>
        </is>
      </c>
      <c r="P1658" s="16" t="n">
        <v>799</v>
      </c>
      <c r="Q1658" s="16" t="n">
        <v>799</v>
      </c>
      <c r="R1658" s="16" t="n"/>
      <c r="S1658" s="16" t="n"/>
      <c r="T1658" s="16" t="n">
        <v>2</v>
      </c>
    </row>
    <row r="1659" s="103">
      <c r="A1659" s="16" t="inlineStr">
        <is>
          <t>B331</t>
        </is>
      </c>
      <c r="B1659" s="16" t="inlineStr">
        <is>
          <t>上海区域</t>
        </is>
      </c>
      <c r="C1659" s="16" t="inlineStr">
        <is>
          <t>CN0Q</t>
        </is>
      </c>
      <c r="D1659" s="16" t="inlineStr">
        <is>
          <t>EE 苏州比斯特购物村</t>
        </is>
      </c>
      <c r="E1659" s="16" t="n">
        <v>4</v>
      </c>
      <c r="F1659" s="16" t="inlineStr">
        <is>
          <t>奥特莱斯</t>
        </is>
      </c>
      <c r="G1659" s="16" t="inlineStr">
        <is>
          <t>EEWHF25E01</t>
        </is>
      </c>
      <c r="H1659" s="16" t="n">
        <v>799</v>
      </c>
      <c r="I1659" s="16" t="n">
        <v>799</v>
      </c>
      <c r="J1659" s="17" t="inlineStr">
        <is>
          <t>########</t>
        </is>
      </c>
      <c r="K1659" s="16" t="inlineStr">
        <is>
          <t>(59)Navy</t>
        </is>
      </c>
      <c r="L1659" s="16" t="inlineStr">
        <is>
          <t>营业中</t>
        </is>
      </c>
      <c r="M1659" s="16" t="inlineStr">
        <is>
          <t>EEWHF25E0159155</t>
        </is>
      </c>
      <c r="N1659" s="16">
        <f>LEFT(M1659,12)</f>
        <v/>
      </c>
      <c r="O1659" s="16" t="inlineStr">
        <is>
          <t>EEWHF25E01, (59)Navy, (155)155</t>
        </is>
      </c>
      <c r="P1659" s="16" t="n">
        <v>799</v>
      </c>
      <c r="Q1659" s="16" t="n">
        <v>799</v>
      </c>
      <c r="R1659" s="16" t="n"/>
      <c r="S1659" s="16" t="n"/>
      <c r="T1659" s="16" t="n">
        <v>3</v>
      </c>
    </row>
    <row r="1660" s="103">
      <c r="A1660" s="16" t="inlineStr">
        <is>
          <t>B331</t>
        </is>
      </c>
      <c r="B1660" s="16" t="inlineStr">
        <is>
          <t>上海区域</t>
        </is>
      </c>
      <c r="C1660" s="16" t="inlineStr">
        <is>
          <t>CN0Q</t>
        </is>
      </c>
      <c r="D1660" s="16" t="inlineStr">
        <is>
          <t>EE 苏州比斯特购物村</t>
        </is>
      </c>
      <c r="E1660" s="16" t="n">
        <v>4</v>
      </c>
      <c r="F1660" s="16" t="inlineStr">
        <is>
          <t>奥特莱斯</t>
        </is>
      </c>
      <c r="G1660" s="16" t="inlineStr">
        <is>
          <t>EEWHF25E01</t>
        </is>
      </c>
      <c r="H1660" s="16" t="n">
        <v>799</v>
      </c>
      <c r="I1660" s="16" t="n">
        <v>799</v>
      </c>
      <c r="J1660" s="17" t="inlineStr">
        <is>
          <t>########</t>
        </is>
      </c>
      <c r="K1660" s="16" t="inlineStr">
        <is>
          <t>(59)Navy</t>
        </is>
      </c>
      <c r="L1660" s="16" t="inlineStr">
        <is>
          <t>营业中</t>
        </is>
      </c>
      <c r="M1660" s="16" t="inlineStr">
        <is>
          <t>EEWHF25E0159160</t>
        </is>
      </c>
      <c r="N1660" s="16">
        <f>LEFT(M1660,12)</f>
        <v/>
      </c>
      <c r="O1660" s="16" t="inlineStr">
        <is>
          <t>EEWHF25E01, (59)Navy, (160)160</t>
        </is>
      </c>
      <c r="P1660" s="16" t="n">
        <v>799</v>
      </c>
      <c r="Q1660" s="16" t="n">
        <v>799</v>
      </c>
      <c r="R1660" s="16" t="n"/>
      <c r="S1660" s="16" t="n"/>
      <c r="T1660" s="16" t="n">
        <v>9</v>
      </c>
    </row>
    <row r="1661" s="103">
      <c r="A1661" s="16" t="inlineStr">
        <is>
          <t>B331</t>
        </is>
      </c>
      <c r="B1661" s="16" t="inlineStr">
        <is>
          <t>上海区域</t>
        </is>
      </c>
      <c r="C1661" s="16" t="inlineStr">
        <is>
          <t>CN0Q</t>
        </is>
      </c>
      <c r="D1661" s="16" t="inlineStr">
        <is>
          <t>EE 苏州比斯特购物村</t>
        </is>
      </c>
      <c r="E1661" s="16" t="n">
        <v>4</v>
      </c>
      <c r="F1661" s="16" t="inlineStr">
        <is>
          <t>奥特莱斯</t>
        </is>
      </c>
      <c r="G1661" s="16" t="inlineStr">
        <is>
          <t>EEWHF25E01</t>
        </is>
      </c>
      <c r="H1661" s="16" t="n">
        <v>799</v>
      </c>
      <c r="I1661" s="16" t="n">
        <v>799</v>
      </c>
      <c r="J1661" s="17" t="inlineStr">
        <is>
          <t>########</t>
        </is>
      </c>
      <c r="K1661" s="16" t="inlineStr">
        <is>
          <t>(59)Navy</t>
        </is>
      </c>
      <c r="L1661" s="16" t="inlineStr">
        <is>
          <t>营业中</t>
        </is>
      </c>
      <c r="M1661" s="16" t="inlineStr">
        <is>
          <t>EEWHF25E0159165</t>
        </is>
      </c>
      <c r="N1661" s="16">
        <f>LEFT(M1661,12)</f>
        <v/>
      </c>
      <c r="O1661" s="16" t="inlineStr">
        <is>
          <t>EEWHF25E01, (59)Navy, (165)165</t>
        </is>
      </c>
      <c r="P1661" s="16" t="n">
        <v>799</v>
      </c>
      <c r="Q1661" s="16" t="n">
        <v>799</v>
      </c>
      <c r="R1661" s="16" t="n">
        <v>1</v>
      </c>
      <c r="S1661" s="16" t="n"/>
      <c r="T1661" s="16" t="n">
        <v>8</v>
      </c>
    </row>
    <row r="1662" s="103">
      <c r="A1662" s="16" t="inlineStr">
        <is>
          <t>B331</t>
        </is>
      </c>
      <c r="B1662" s="16" t="inlineStr">
        <is>
          <t>上海区域</t>
        </is>
      </c>
      <c r="C1662" s="16" t="inlineStr">
        <is>
          <t>CN0Q</t>
        </is>
      </c>
      <c r="D1662" s="16" t="inlineStr">
        <is>
          <t>EE 苏州比斯特购物村</t>
        </is>
      </c>
      <c r="E1662" s="16" t="n">
        <v>4</v>
      </c>
      <c r="F1662" s="16" t="inlineStr">
        <is>
          <t>奥特莱斯</t>
        </is>
      </c>
      <c r="G1662" s="16" t="inlineStr">
        <is>
          <t>EEWHF25E01</t>
        </is>
      </c>
      <c r="H1662" s="16" t="n">
        <v>799</v>
      </c>
      <c r="I1662" s="16" t="n">
        <v>799</v>
      </c>
      <c r="J1662" s="17" t="inlineStr">
        <is>
          <t>########</t>
        </is>
      </c>
      <c r="K1662" s="16" t="inlineStr">
        <is>
          <t>(59)Navy</t>
        </is>
      </c>
      <c r="L1662" s="16" t="inlineStr">
        <is>
          <t>营业中</t>
        </is>
      </c>
      <c r="M1662" s="16" t="inlineStr">
        <is>
          <t>EEWHF25E0159170</t>
        </is>
      </c>
      <c r="N1662" s="16">
        <f>LEFT(M1662,12)</f>
        <v/>
      </c>
      <c r="O1662" s="16" t="inlineStr">
        <is>
          <t>EEWHF25E01, (59)Navy, (170)170</t>
        </is>
      </c>
      <c r="P1662" s="16" t="n">
        <v>799</v>
      </c>
      <c r="Q1662" s="16" t="n">
        <v>799</v>
      </c>
      <c r="R1662" s="16" t="n"/>
      <c r="S1662" s="16" t="n"/>
      <c r="T1662" s="16" t="n">
        <v>4</v>
      </c>
    </row>
    <row r="1663" s="103">
      <c r="A1663" s="16" t="inlineStr">
        <is>
          <t>B331</t>
        </is>
      </c>
      <c r="B1663" s="16" t="inlineStr">
        <is>
          <t>上海区域</t>
        </is>
      </c>
      <c r="C1663" s="16" t="inlineStr">
        <is>
          <t>CN0Q</t>
        </is>
      </c>
      <c r="D1663" s="16" t="inlineStr">
        <is>
          <t>EE 苏州比斯特购物村</t>
        </is>
      </c>
      <c r="E1663" s="16" t="n">
        <v>4</v>
      </c>
      <c r="F1663" s="16" t="inlineStr">
        <is>
          <t>奥特莱斯</t>
        </is>
      </c>
      <c r="G1663" s="16" t="inlineStr">
        <is>
          <t>EEWHF25Q91</t>
        </is>
      </c>
      <c r="H1663" s="16" t="n">
        <v>799</v>
      </c>
      <c r="I1663" s="16" t="n">
        <v>799</v>
      </c>
      <c r="J1663" s="17" t="inlineStr">
        <is>
          <t>########</t>
        </is>
      </c>
      <c r="K1663" s="16" t="inlineStr">
        <is>
          <t>(39)Ivory</t>
        </is>
      </c>
      <c r="L1663" s="16" t="inlineStr">
        <is>
          <t>营业中</t>
        </is>
      </c>
      <c r="M1663" s="16" t="inlineStr">
        <is>
          <t>EEWHF25Q9139160</t>
        </is>
      </c>
      <c r="N1663" s="16">
        <f>LEFT(M1663,12)</f>
        <v/>
      </c>
      <c r="O1663" s="16" t="inlineStr">
        <is>
          <t>EEWHF25Q91, (39)Ivory, (160)160</t>
        </is>
      </c>
      <c r="P1663" s="16" t="n">
        <v>799</v>
      </c>
      <c r="Q1663" s="16" t="n">
        <v>799</v>
      </c>
      <c r="R1663" s="16" t="n">
        <v>2</v>
      </c>
      <c r="S1663" s="16" t="n">
        <v>603</v>
      </c>
      <c r="T1663" s="16" t="n">
        <v>1</v>
      </c>
    </row>
    <row r="1664" s="103">
      <c r="A1664" s="16" t="inlineStr">
        <is>
          <t>B331</t>
        </is>
      </c>
      <c r="B1664" s="16" t="inlineStr">
        <is>
          <t>上海区域</t>
        </is>
      </c>
      <c r="C1664" s="16" t="inlineStr">
        <is>
          <t>CN0Q</t>
        </is>
      </c>
      <c r="D1664" s="16" t="inlineStr">
        <is>
          <t>EE 苏州比斯特购物村</t>
        </is>
      </c>
      <c r="E1664" s="16" t="n">
        <v>4</v>
      </c>
      <c r="F1664" s="16" t="inlineStr">
        <is>
          <t>奥特莱斯</t>
        </is>
      </c>
      <c r="G1664" s="16" t="inlineStr">
        <is>
          <t>EEWHF25Q91</t>
        </is>
      </c>
      <c r="H1664" s="16" t="n">
        <v>799</v>
      </c>
      <c r="I1664" s="16" t="n">
        <v>799</v>
      </c>
      <c r="J1664" s="17" t="inlineStr">
        <is>
          <t>########</t>
        </is>
      </c>
      <c r="K1664" s="16" t="inlineStr">
        <is>
          <t>(39)Ivory</t>
        </is>
      </c>
      <c r="L1664" s="16" t="inlineStr">
        <is>
          <t>营业中</t>
        </is>
      </c>
      <c r="M1664" s="16" t="inlineStr">
        <is>
          <t>EEWHF25Q9139165</t>
        </is>
      </c>
      <c r="N1664" s="16">
        <f>LEFT(M1664,12)</f>
        <v/>
      </c>
      <c r="O1664" s="16" t="inlineStr">
        <is>
          <t>EEWHF25Q91, (39)Ivory, (165)165</t>
        </is>
      </c>
      <c r="P1664" s="16" t="n">
        <v>799</v>
      </c>
      <c r="Q1664" s="16" t="n">
        <v>799</v>
      </c>
      <c r="R1664" s="16" t="n">
        <v>1</v>
      </c>
      <c r="S1664" s="16" t="n">
        <v>367</v>
      </c>
      <c r="T1664" s="16" t="n">
        <v>2</v>
      </c>
    </row>
    <row r="1665" s="103">
      <c r="A1665" s="16" t="inlineStr">
        <is>
          <t>B331</t>
        </is>
      </c>
      <c r="B1665" s="16" t="inlineStr">
        <is>
          <t>上海区域</t>
        </is>
      </c>
      <c r="C1665" s="16" t="inlineStr">
        <is>
          <t>CN0Q</t>
        </is>
      </c>
      <c r="D1665" s="16" t="inlineStr">
        <is>
          <t>EE 苏州比斯特购物村</t>
        </is>
      </c>
      <c r="E1665" s="16" t="n">
        <v>4</v>
      </c>
      <c r="F1665" s="16" t="inlineStr">
        <is>
          <t>奥特莱斯</t>
        </is>
      </c>
      <c r="G1665" s="16" t="inlineStr">
        <is>
          <t>EEWHF25Q91</t>
        </is>
      </c>
      <c r="H1665" s="16" t="n">
        <v>799</v>
      </c>
      <c r="I1665" s="16" t="n">
        <v>799</v>
      </c>
      <c r="J1665" s="17" t="inlineStr">
        <is>
          <t>########</t>
        </is>
      </c>
      <c r="K1665" s="16" t="inlineStr">
        <is>
          <t>(39)Ivory</t>
        </is>
      </c>
      <c r="L1665" s="16" t="inlineStr">
        <is>
          <t>营业中</t>
        </is>
      </c>
      <c r="M1665" s="16" t="inlineStr">
        <is>
          <t>EEWHF25Q9139170</t>
        </is>
      </c>
      <c r="N1665" s="16">
        <f>LEFT(M1665,12)</f>
        <v/>
      </c>
      <c r="O1665" s="16" t="inlineStr">
        <is>
          <t>EEWHF25Q91, (39)Ivory, (170)170</t>
        </is>
      </c>
      <c r="P1665" s="16" t="n">
        <v>799</v>
      </c>
      <c r="Q1665" s="16" t="n">
        <v>799</v>
      </c>
      <c r="R1665" s="16" t="n"/>
      <c r="S1665" s="16" t="n"/>
      <c r="T1665" s="16" t="n">
        <v>1</v>
      </c>
    </row>
    <row r="1666" s="103">
      <c r="A1666" s="16" t="inlineStr">
        <is>
          <t>B331</t>
        </is>
      </c>
      <c r="B1666" s="16" t="inlineStr">
        <is>
          <t>上海区域</t>
        </is>
      </c>
      <c r="C1666" s="16" t="inlineStr">
        <is>
          <t>CN0Q</t>
        </is>
      </c>
      <c r="D1666" s="16" t="inlineStr">
        <is>
          <t>EE 苏州比斯特购物村</t>
        </is>
      </c>
      <c r="E1666" s="16" t="n">
        <v>4</v>
      </c>
      <c r="F1666" s="16" t="inlineStr">
        <is>
          <t>奥特莱斯</t>
        </is>
      </c>
      <c r="G1666" s="16" t="inlineStr">
        <is>
          <t>EEWHF25Q97</t>
        </is>
      </c>
      <c r="H1666" s="16" t="n">
        <v>699</v>
      </c>
      <c r="I1666" s="16" t="n">
        <v>699</v>
      </c>
      <c r="J1666" s="17" t="inlineStr">
        <is>
          <t>########</t>
        </is>
      </c>
      <c r="K1666" s="16" t="inlineStr">
        <is>
          <t>(39)Ivory</t>
        </is>
      </c>
      <c r="L1666" s="16" t="inlineStr">
        <is>
          <t>营业中</t>
        </is>
      </c>
      <c r="M1666" s="16" t="inlineStr">
        <is>
          <t>EEWHF25Q9739160</t>
        </is>
      </c>
      <c r="N1666" s="16">
        <f>LEFT(M1666,12)</f>
        <v/>
      </c>
      <c r="O1666" s="16" t="inlineStr">
        <is>
          <t>EEWHF25Q97, (39)Ivory, (160)160</t>
        </is>
      </c>
      <c r="P1666" s="16" t="n">
        <v>699</v>
      </c>
      <c r="Q1666" s="16" t="n">
        <v>699</v>
      </c>
      <c r="R1666" s="16" t="n">
        <v>2</v>
      </c>
      <c r="S1666" s="16" t="n">
        <v>473</v>
      </c>
      <c r="T1666" s="16" t="n">
        <v>0</v>
      </c>
    </row>
    <row r="1667" s="103">
      <c r="A1667" s="16" t="inlineStr">
        <is>
          <t>B331</t>
        </is>
      </c>
      <c r="B1667" s="16" t="inlineStr">
        <is>
          <t>上海区域</t>
        </is>
      </c>
      <c r="C1667" s="16" t="inlineStr">
        <is>
          <t>CN0Q</t>
        </is>
      </c>
      <c r="D1667" s="16" t="inlineStr">
        <is>
          <t>EE 苏州比斯特购物村</t>
        </is>
      </c>
      <c r="E1667" s="16" t="n">
        <v>4</v>
      </c>
      <c r="F1667" s="16" t="inlineStr">
        <is>
          <t>奥特莱斯</t>
        </is>
      </c>
      <c r="G1667" s="16" t="inlineStr">
        <is>
          <t>EEWHF25Q97</t>
        </is>
      </c>
      <c r="H1667" s="16" t="n">
        <v>699</v>
      </c>
      <c r="I1667" s="16" t="n">
        <v>699</v>
      </c>
      <c r="J1667" s="17" t="inlineStr">
        <is>
          <t>########</t>
        </is>
      </c>
      <c r="K1667" s="16" t="inlineStr">
        <is>
          <t>(39)Ivory</t>
        </is>
      </c>
      <c r="L1667" s="16" t="inlineStr">
        <is>
          <t>营业中</t>
        </is>
      </c>
      <c r="M1667" s="16" t="inlineStr">
        <is>
          <t>EEWHF25Q9739165</t>
        </is>
      </c>
      <c r="N1667" s="16">
        <f>LEFT(M1667,12)</f>
        <v/>
      </c>
      <c r="O1667" s="16" t="inlineStr">
        <is>
          <t>EEWHF25Q97, (39)Ivory, (165)165</t>
        </is>
      </c>
      <c r="P1667" s="16" t="n">
        <v>699</v>
      </c>
      <c r="Q1667" s="16" t="n">
        <v>699</v>
      </c>
      <c r="R1667" s="16" t="n"/>
      <c r="S1667" s="16" t="n"/>
      <c r="T1667" s="16" t="n">
        <v>4</v>
      </c>
    </row>
    <row r="1668" s="103">
      <c r="A1668" s="16" t="inlineStr">
        <is>
          <t>B331</t>
        </is>
      </c>
      <c r="B1668" s="16" t="inlineStr">
        <is>
          <t>上海区域</t>
        </is>
      </c>
      <c r="C1668" s="16" t="inlineStr">
        <is>
          <t>CN0Q</t>
        </is>
      </c>
      <c r="D1668" s="16" t="inlineStr">
        <is>
          <t>EE 苏州比斯特购物村</t>
        </is>
      </c>
      <c r="E1668" s="16" t="n">
        <v>4</v>
      </c>
      <c r="F1668" s="16" t="inlineStr">
        <is>
          <t>奥特莱斯</t>
        </is>
      </c>
      <c r="G1668" s="16" t="inlineStr">
        <is>
          <t>EEWHF25Q97</t>
        </is>
      </c>
      <c r="H1668" s="16" t="n">
        <v>699</v>
      </c>
      <c r="I1668" s="16" t="n">
        <v>699</v>
      </c>
      <c r="J1668" s="17" t="inlineStr">
        <is>
          <t>########</t>
        </is>
      </c>
      <c r="K1668" s="16" t="inlineStr">
        <is>
          <t>(39)Ivory</t>
        </is>
      </c>
      <c r="L1668" s="16" t="inlineStr">
        <is>
          <t>营业中</t>
        </is>
      </c>
      <c r="M1668" s="16" t="inlineStr">
        <is>
          <t>EEWHF25Q9739170</t>
        </is>
      </c>
      <c r="N1668" s="16">
        <f>LEFT(M1668,12)</f>
        <v/>
      </c>
      <c r="O1668" s="16" t="inlineStr">
        <is>
          <t>EEWHF25Q97, (39)Ivory, (170)170</t>
        </is>
      </c>
      <c r="P1668" s="16" t="n">
        <v>699</v>
      </c>
      <c r="Q1668" s="16" t="n">
        <v>699</v>
      </c>
      <c r="R1668" s="16" t="n"/>
      <c r="S1668" s="16" t="n"/>
      <c r="T1668" s="16" t="n">
        <v>2</v>
      </c>
    </row>
    <row r="1669" s="103">
      <c r="A1669" s="16" t="inlineStr">
        <is>
          <t>B331</t>
        </is>
      </c>
      <c r="B1669" s="16" t="inlineStr">
        <is>
          <t>上海区域</t>
        </is>
      </c>
      <c r="C1669" s="16" t="inlineStr">
        <is>
          <t>CN0Q</t>
        </is>
      </c>
      <c r="D1669" s="16" t="inlineStr">
        <is>
          <t>EE 苏州比斯特购物村</t>
        </is>
      </c>
      <c r="E1669" s="16" t="n">
        <v>4</v>
      </c>
      <c r="F1669" s="16" t="inlineStr">
        <is>
          <t>奥特莱斯</t>
        </is>
      </c>
      <c r="G1669" s="16" t="inlineStr">
        <is>
          <t>EEWHF26N51</t>
        </is>
      </c>
      <c r="H1669" s="16" t="n">
        <v>799</v>
      </c>
      <c r="I1669" s="16" t="n">
        <v>799</v>
      </c>
      <c r="J1669" s="17" t="inlineStr">
        <is>
          <t>########</t>
        </is>
      </c>
      <c r="K1669" s="16" t="inlineStr">
        <is>
          <t>(39)Ivory</t>
        </is>
      </c>
      <c r="L1669" s="16" t="inlineStr">
        <is>
          <t>营业中</t>
        </is>
      </c>
      <c r="M1669" s="16" t="inlineStr">
        <is>
          <t>EEWHF26N5139155</t>
        </is>
      </c>
      <c r="N1669" s="16">
        <f>LEFT(M1669,12)</f>
        <v/>
      </c>
      <c r="O1669" s="16" t="inlineStr">
        <is>
          <t>EEWHF26N51, (39)Ivory, (155)155</t>
        </is>
      </c>
      <c r="P1669" s="16" t="n">
        <v>799</v>
      </c>
      <c r="Q1669" s="16" t="n">
        <v>799</v>
      </c>
      <c r="R1669" s="16" t="n"/>
      <c r="S1669" s="16" t="n"/>
      <c r="T1669" s="16" t="n">
        <v>1</v>
      </c>
    </row>
    <row r="1670" s="103">
      <c r="A1670" s="16" t="inlineStr">
        <is>
          <t>B331</t>
        </is>
      </c>
      <c r="B1670" s="16" t="inlineStr">
        <is>
          <t>上海区域</t>
        </is>
      </c>
      <c r="C1670" s="16" t="inlineStr">
        <is>
          <t>CN0Q</t>
        </is>
      </c>
      <c r="D1670" s="16" t="inlineStr">
        <is>
          <t>EE 苏州比斯特购物村</t>
        </is>
      </c>
      <c r="E1670" s="16" t="n">
        <v>4</v>
      </c>
      <c r="F1670" s="16" t="inlineStr">
        <is>
          <t>奥特莱斯</t>
        </is>
      </c>
      <c r="G1670" s="16" t="inlineStr">
        <is>
          <t>EEWHF26N51</t>
        </is>
      </c>
      <c r="H1670" s="16" t="n">
        <v>799</v>
      </c>
      <c r="I1670" s="16" t="n">
        <v>799</v>
      </c>
      <c r="J1670" s="17" t="inlineStr">
        <is>
          <t>########</t>
        </is>
      </c>
      <c r="K1670" s="16" t="inlineStr">
        <is>
          <t>(39)Ivory</t>
        </is>
      </c>
      <c r="L1670" s="16" t="inlineStr">
        <is>
          <t>营业中</t>
        </is>
      </c>
      <c r="M1670" s="16" t="inlineStr">
        <is>
          <t>EEWHF26N5139160</t>
        </is>
      </c>
      <c r="N1670" s="16">
        <f>LEFT(M1670,12)</f>
        <v/>
      </c>
      <c r="O1670" s="16" t="inlineStr">
        <is>
          <t>EEWHF26N51, (39)Ivory, (160)160</t>
        </is>
      </c>
      <c r="P1670" s="16" t="n">
        <v>799</v>
      </c>
      <c r="Q1670" s="16" t="n">
        <v>799</v>
      </c>
      <c r="R1670" s="16" t="n"/>
      <c r="S1670" s="16" t="n"/>
      <c r="T1670" s="16" t="n">
        <v>3</v>
      </c>
    </row>
    <row r="1671" s="103">
      <c r="A1671" s="16" t="inlineStr">
        <is>
          <t>B331</t>
        </is>
      </c>
      <c r="B1671" s="16" t="inlineStr">
        <is>
          <t>上海区域</t>
        </is>
      </c>
      <c r="C1671" s="16" t="inlineStr">
        <is>
          <t>CN0Q</t>
        </is>
      </c>
      <c r="D1671" s="16" t="inlineStr">
        <is>
          <t>EE 苏州比斯特购物村</t>
        </is>
      </c>
      <c r="E1671" s="16" t="n">
        <v>4</v>
      </c>
      <c r="F1671" s="16" t="inlineStr">
        <is>
          <t>奥特莱斯</t>
        </is>
      </c>
      <c r="G1671" s="16" t="inlineStr">
        <is>
          <t>EEWHF26N51</t>
        </is>
      </c>
      <c r="H1671" s="16" t="n">
        <v>799</v>
      </c>
      <c r="I1671" s="16" t="n">
        <v>799</v>
      </c>
      <c r="J1671" s="17" t="inlineStr">
        <is>
          <t>########</t>
        </is>
      </c>
      <c r="K1671" s="16" t="inlineStr">
        <is>
          <t>(39)Ivory</t>
        </is>
      </c>
      <c r="L1671" s="16" t="inlineStr">
        <is>
          <t>营业中</t>
        </is>
      </c>
      <c r="M1671" s="16" t="inlineStr">
        <is>
          <t>EEWHF26N5139165</t>
        </is>
      </c>
      <c r="N1671" s="16">
        <f>LEFT(M1671,12)</f>
        <v/>
      </c>
      <c r="O1671" s="16" t="inlineStr">
        <is>
          <t>EEWHF26N51, (39)Ivory, (165)165</t>
        </is>
      </c>
      <c r="P1671" s="16" t="n">
        <v>799</v>
      </c>
      <c r="Q1671" s="16" t="n">
        <v>799</v>
      </c>
      <c r="R1671" s="16" t="n"/>
      <c r="S1671" s="16" t="n"/>
      <c r="T1671" s="16" t="n">
        <v>2</v>
      </c>
    </row>
    <row r="1672" s="103">
      <c r="A1672" s="16" t="inlineStr">
        <is>
          <t>B331</t>
        </is>
      </c>
      <c r="B1672" s="16" t="inlineStr">
        <is>
          <t>上海区域</t>
        </is>
      </c>
      <c r="C1672" s="16" t="inlineStr">
        <is>
          <t>CN0Q</t>
        </is>
      </c>
      <c r="D1672" s="16" t="inlineStr">
        <is>
          <t>EE 苏州比斯特购物村</t>
        </is>
      </c>
      <c r="E1672" s="16" t="n">
        <v>4</v>
      </c>
      <c r="F1672" s="16" t="inlineStr">
        <is>
          <t>奥特莱斯</t>
        </is>
      </c>
      <c r="G1672" s="16" t="inlineStr">
        <is>
          <t>EEWHF26N51</t>
        </is>
      </c>
      <c r="H1672" s="16" t="n">
        <v>799</v>
      </c>
      <c r="I1672" s="16" t="n">
        <v>799</v>
      </c>
      <c r="J1672" s="17" t="inlineStr">
        <is>
          <t>########</t>
        </is>
      </c>
      <c r="K1672" s="16" t="inlineStr">
        <is>
          <t>(39)Ivory</t>
        </is>
      </c>
      <c r="L1672" s="16" t="inlineStr">
        <is>
          <t>营业中</t>
        </is>
      </c>
      <c r="M1672" s="16" t="inlineStr">
        <is>
          <t>EEWHF26N5139170</t>
        </is>
      </c>
      <c r="N1672" s="16">
        <f>LEFT(M1672,12)</f>
        <v/>
      </c>
      <c r="O1672" s="16" t="inlineStr">
        <is>
          <t>EEWHF26N51, (39)Ivory, (170)170</t>
        </is>
      </c>
      <c r="P1672" s="16" t="n">
        <v>799</v>
      </c>
      <c r="Q1672" s="16" t="n">
        <v>799</v>
      </c>
      <c r="R1672" s="16" t="n"/>
      <c r="S1672" s="16" t="n"/>
      <c r="T1672" s="16" t="n">
        <v>1</v>
      </c>
    </row>
    <row r="1673" s="103">
      <c r="A1673" s="16" t="inlineStr">
        <is>
          <t>B331</t>
        </is>
      </c>
      <c r="B1673" s="16" t="inlineStr">
        <is>
          <t>上海区域</t>
        </is>
      </c>
      <c r="C1673" s="16" t="inlineStr">
        <is>
          <t>CN0Q</t>
        </is>
      </c>
      <c r="D1673" s="16" t="inlineStr">
        <is>
          <t>EE 苏州比斯特购物村</t>
        </is>
      </c>
      <c r="E1673" s="16" t="n">
        <v>4</v>
      </c>
      <c r="F1673" s="16" t="inlineStr">
        <is>
          <t>奥特莱斯</t>
        </is>
      </c>
      <c r="G1673" s="16" t="inlineStr">
        <is>
          <t>EEWHF38M01</t>
        </is>
      </c>
      <c r="H1673" s="16" t="n">
        <v>899</v>
      </c>
      <c r="I1673" s="16" t="n">
        <v>799</v>
      </c>
      <c r="J1673" s="17" t="inlineStr">
        <is>
          <t>########</t>
        </is>
      </c>
      <c r="K1673" s="16" t="inlineStr">
        <is>
          <t>(17)D/Grey</t>
        </is>
      </c>
      <c r="L1673" s="16" t="inlineStr">
        <is>
          <t>营业中</t>
        </is>
      </c>
      <c r="M1673" s="16" t="inlineStr">
        <is>
          <t>EEWHF38M0117155</t>
        </is>
      </c>
      <c r="N1673" s="16">
        <f>LEFT(M1673,12)</f>
        <v/>
      </c>
      <c r="O1673" s="16" t="inlineStr">
        <is>
          <t>EEWHF38M01, (17)D/Grey, (155)155</t>
        </is>
      </c>
      <c r="P1673" s="16" t="n">
        <v>899</v>
      </c>
      <c r="Q1673" s="16" t="n">
        <v>799</v>
      </c>
      <c r="R1673" s="16" t="n"/>
      <c r="S1673" s="16" t="n"/>
      <c r="T1673" s="16" t="n">
        <v>1</v>
      </c>
    </row>
    <row r="1674" s="103">
      <c r="A1674" s="16" t="inlineStr">
        <is>
          <t>B331</t>
        </is>
      </c>
      <c r="B1674" s="16" t="inlineStr">
        <is>
          <t>上海区域</t>
        </is>
      </c>
      <c r="C1674" s="16" t="inlineStr">
        <is>
          <t>CN0Q</t>
        </is>
      </c>
      <c r="D1674" s="16" t="inlineStr">
        <is>
          <t>EE 苏州比斯特购物村</t>
        </is>
      </c>
      <c r="E1674" s="16" t="n">
        <v>4</v>
      </c>
      <c r="F1674" s="16" t="inlineStr">
        <is>
          <t>奥特莱斯</t>
        </is>
      </c>
      <c r="G1674" s="16" t="inlineStr">
        <is>
          <t>EEWHF38M01</t>
        </is>
      </c>
      <c r="H1674" s="16" t="n">
        <v>899</v>
      </c>
      <c r="I1674" s="16" t="n">
        <v>799</v>
      </c>
      <c r="J1674" s="17" t="inlineStr">
        <is>
          <t>########</t>
        </is>
      </c>
      <c r="K1674" s="16" t="inlineStr">
        <is>
          <t>(17)D/Grey</t>
        </is>
      </c>
      <c r="L1674" s="16" t="inlineStr">
        <is>
          <t>营业中</t>
        </is>
      </c>
      <c r="M1674" s="16" t="inlineStr">
        <is>
          <t>EEWHF38M0117160</t>
        </is>
      </c>
      <c r="N1674" s="16">
        <f>LEFT(M1674,12)</f>
        <v/>
      </c>
      <c r="O1674" s="16" t="inlineStr">
        <is>
          <t>EEWHF38M01, (17)D/Grey, (160)160</t>
        </is>
      </c>
      <c r="P1674" s="16" t="n">
        <v>899</v>
      </c>
      <c r="Q1674" s="16" t="n">
        <v>799</v>
      </c>
      <c r="R1674" s="16" t="n"/>
      <c r="S1674" s="16" t="n"/>
      <c r="T1674" s="16" t="n">
        <v>2</v>
      </c>
    </row>
    <row r="1675" s="103">
      <c r="A1675" s="16" t="inlineStr">
        <is>
          <t>B331</t>
        </is>
      </c>
      <c r="B1675" s="16" t="inlineStr">
        <is>
          <t>上海区域</t>
        </is>
      </c>
      <c r="C1675" s="16" t="inlineStr">
        <is>
          <t>CN0Q</t>
        </is>
      </c>
      <c r="D1675" s="16" t="inlineStr">
        <is>
          <t>EE 苏州比斯特购物村</t>
        </is>
      </c>
      <c r="E1675" s="16" t="n">
        <v>4</v>
      </c>
      <c r="F1675" s="16" t="inlineStr">
        <is>
          <t>奥特莱斯</t>
        </is>
      </c>
      <c r="G1675" s="16" t="inlineStr">
        <is>
          <t>EEWHF38M01</t>
        </is>
      </c>
      <c r="H1675" s="16" t="n">
        <v>899</v>
      </c>
      <c r="I1675" s="16" t="n">
        <v>799</v>
      </c>
      <c r="J1675" s="17" t="inlineStr">
        <is>
          <t>########</t>
        </is>
      </c>
      <c r="K1675" s="16" t="inlineStr">
        <is>
          <t>(17)D/Grey</t>
        </is>
      </c>
      <c r="L1675" s="16" t="inlineStr">
        <is>
          <t>营业中</t>
        </is>
      </c>
      <c r="M1675" s="16" t="inlineStr">
        <is>
          <t>EEWHF38M0117165</t>
        </is>
      </c>
      <c r="N1675" s="16">
        <f>LEFT(M1675,12)</f>
        <v/>
      </c>
      <c r="O1675" s="16" t="inlineStr">
        <is>
          <t>EEWHF38M01, (17)D/Grey, (165)165</t>
        </is>
      </c>
      <c r="P1675" s="16" t="n">
        <v>899</v>
      </c>
      <c r="Q1675" s="16" t="n">
        <v>799</v>
      </c>
      <c r="R1675" s="16" t="n"/>
      <c r="S1675" s="16" t="n"/>
      <c r="T1675" s="16" t="n">
        <v>2</v>
      </c>
    </row>
    <row r="1676" s="103">
      <c r="A1676" s="16" t="inlineStr">
        <is>
          <t>B331</t>
        </is>
      </c>
      <c r="B1676" s="16" t="inlineStr">
        <is>
          <t>上海区域</t>
        </is>
      </c>
      <c r="C1676" s="16" t="inlineStr">
        <is>
          <t>CN0Q</t>
        </is>
      </c>
      <c r="D1676" s="16" t="inlineStr">
        <is>
          <t>EE 苏州比斯特购物村</t>
        </is>
      </c>
      <c r="E1676" s="16" t="n">
        <v>4</v>
      </c>
      <c r="F1676" s="16" t="inlineStr">
        <is>
          <t>奥特莱斯</t>
        </is>
      </c>
      <c r="G1676" s="16" t="inlineStr">
        <is>
          <t>EEWHF38M01</t>
        </is>
      </c>
      <c r="H1676" s="16" t="n">
        <v>899</v>
      </c>
      <c r="I1676" s="16" t="n">
        <v>799</v>
      </c>
      <c r="J1676" s="17" t="inlineStr">
        <is>
          <t>########</t>
        </is>
      </c>
      <c r="K1676" s="16" t="inlineStr">
        <is>
          <t>(17)D/Grey</t>
        </is>
      </c>
      <c r="L1676" s="16" t="inlineStr">
        <is>
          <t>营业中</t>
        </is>
      </c>
      <c r="M1676" s="16" t="inlineStr">
        <is>
          <t>EEWHF38M0117170</t>
        </is>
      </c>
      <c r="N1676" s="16">
        <f>LEFT(M1676,12)</f>
        <v/>
      </c>
      <c r="O1676" s="16" t="inlineStr">
        <is>
          <t>EEWHF38M01, (17)D/Grey, (170)170</t>
        </is>
      </c>
      <c r="P1676" s="16" t="n">
        <v>899</v>
      </c>
      <c r="Q1676" s="16" t="n">
        <v>799</v>
      </c>
      <c r="R1676" s="16" t="n"/>
      <c r="S1676" s="16" t="n"/>
      <c r="T1676" s="16" t="n">
        <v>1</v>
      </c>
    </row>
    <row r="1677" s="103">
      <c r="A1677" s="16" t="inlineStr">
        <is>
          <t>B331</t>
        </is>
      </c>
      <c r="B1677" s="16" t="inlineStr">
        <is>
          <t>上海区域</t>
        </is>
      </c>
      <c r="C1677" s="16" t="inlineStr">
        <is>
          <t>CN0Q</t>
        </is>
      </c>
      <c r="D1677" s="16" t="inlineStr">
        <is>
          <t>EE 苏州比斯特购物村</t>
        </is>
      </c>
      <c r="E1677" s="16" t="n">
        <v>4</v>
      </c>
      <c r="F1677" s="16" t="inlineStr">
        <is>
          <t>奥特莱斯</t>
        </is>
      </c>
      <c r="G1677" s="16" t="inlineStr">
        <is>
          <t>EEWHG23B02</t>
        </is>
      </c>
      <c r="H1677" s="16" t="n">
        <v>899</v>
      </c>
      <c r="I1677" s="16" t="n">
        <v>999</v>
      </c>
      <c r="J1677" s="17" t="inlineStr">
        <is>
          <t>########</t>
        </is>
      </c>
      <c r="K1677" s="16" t="inlineStr">
        <is>
          <t>(50)Blue</t>
        </is>
      </c>
      <c r="L1677" s="16" t="inlineStr">
        <is>
          <t>营业中</t>
        </is>
      </c>
      <c r="M1677" s="16" t="inlineStr">
        <is>
          <t>EEWHG23B0250155</t>
        </is>
      </c>
      <c r="N1677" s="16">
        <f>LEFT(M1677,12)</f>
        <v/>
      </c>
      <c r="O1677" s="16" t="inlineStr">
        <is>
          <t>EEWHG23B02, (50)Blue, (155)155</t>
        </is>
      </c>
      <c r="P1677" s="16" t="n">
        <v>899</v>
      </c>
      <c r="Q1677" s="16" t="n">
        <v>999</v>
      </c>
      <c r="R1677" s="16" t="n"/>
      <c r="S1677" s="16" t="n"/>
      <c r="T1677" s="16" t="n">
        <v>2</v>
      </c>
    </row>
    <row r="1678" s="103">
      <c r="A1678" s="16" t="inlineStr">
        <is>
          <t>B331</t>
        </is>
      </c>
      <c r="B1678" s="16" t="inlineStr">
        <is>
          <t>上海区域</t>
        </is>
      </c>
      <c r="C1678" s="16" t="inlineStr">
        <is>
          <t>CN0Q</t>
        </is>
      </c>
      <c r="D1678" s="16" t="inlineStr">
        <is>
          <t>EE 苏州比斯特购物村</t>
        </is>
      </c>
      <c r="E1678" s="16" t="n">
        <v>4</v>
      </c>
      <c r="F1678" s="16" t="inlineStr">
        <is>
          <t>奥特莱斯</t>
        </is>
      </c>
      <c r="G1678" s="16" t="inlineStr">
        <is>
          <t>EEWHG23B02</t>
        </is>
      </c>
      <c r="H1678" s="16" t="n">
        <v>899</v>
      </c>
      <c r="I1678" s="16" t="n">
        <v>999</v>
      </c>
      <c r="J1678" s="17" t="inlineStr">
        <is>
          <t>########</t>
        </is>
      </c>
      <c r="K1678" s="16" t="inlineStr">
        <is>
          <t>(50)Blue</t>
        </is>
      </c>
      <c r="L1678" s="16" t="inlineStr">
        <is>
          <t>营业中</t>
        </is>
      </c>
      <c r="M1678" s="16" t="inlineStr">
        <is>
          <t>EEWHG23B0250160</t>
        </is>
      </c>
      <c r="N1678" s="16">
        <f>LEFT(M1678,12)</f>
        <v/>
      </c>
      <c r="O1678" s="16" t="inlineStr">
        <is>
          <t>EEWHG23B02, (50)Blue, (160)160</t>
        </is>
      </c>
      <c r="P1678" s="16" t="n">
        <v>899</v>
      </c>
      <c r="Q1678" s="16" t="n">
        <v>999</v>
      </c>
      <c r="R1678" s="16" t="n"/>
      <c r="S1678" s="16" t="n"/>
      <c r="T1678" s="16" t="n">
        <v>2</v>
      </c>
    </row>
    <row r="1679" s="103">
      <c r="A1679" s="16" t="inlineStr">
        <is>
          <t>B331</t>
        </is>
      </c>
      <c r="B1679" s="16" t="inlineStr">
        <is>
          <t>上海区域</t>
        </is>
      </c>
      <c r="C1679" s="16" t="inlineStr">
        <is>
          <t>CN0Q</t>
        </is>
      </c>
      <c r="D1679" s="16" t="inlineStr">
        <is>
          <t>EE 苏州比斯特购物村</t>
        </is>
      </c>
      <c r="E1679" s="16" t="n">
        <v>4</v>
      </c>
      <c r="F1679" s="16" t="inlineStr">
        <is>
          <t>奥特莱斯</t>
        </is>
      </c>
      <c r="G1679" s="16" t="inlineStr">
        <is>
          <t>EEWHG23B02</t>
        </is>
      </c>
      <c r="H1679" s="16" t="n">
        <v>899</v>
      </c>
      <c r="I1679" s="16" t="n">
        <v>999</v>
      </c>
      <c r="J1679" s="17" t="inlineStr">
        <is>
          <t>########</t>
        </is>
      </c>
      <c r="K1679" s="16" t="inlineStr">
        <is>
          <t>(50)Blue</t>
        </is>
      </c>
      <c r="L1679" s="16" t="inlineStr">
        <is>
          <t>营业中</t>
        </is>
      </c>
      <c r="M1679" s="16" t="inlineStr">
        <is>
          <t>EEWHG23B0250165</t>
        </is>
      </c>
      <c r="N1679" s="16">
        <f>LEFT(M1679,12)</f>
        <v/>
      </c>
      <c r="O1679" s="16" t="inlineStr">
        <is>
          <t>EEWHG23B02, (50)Blue, (165)165</t>
        </is>
      </c>
      <c r="P1679" s="16" t="n">
        <v>899</v>
      </c>
      <c r="Q1679" s="16" t="n">
        <v>999</v>
      </c>
      <c r="R1679" s="16" t="n"/>
      <c r="S1679" s="16" t="n"/>
      <c r="T1679" s="16" t="n">
        <v>2</v>
      </c>
    </row>
    <row r="1680" s="103">
      <c r="A1680" s="16" t="inlineStr">
        <is>
          <t>B331</t>
        </is>
      </c>
      <c r="B1680" s="16" t="inlineStr">
        <is>
          <t>上海区域</t>
        </is>
      </c>
      <c r="C1680" s="16" t="inlineStr">
        <is>
          <t>CN0Q</t>
        </is>
      </c>
      <c r="D1680" s="16" t="inlineStr">
        <is>
          <t>EE 苏州比斯特购物村</t>
        </is>
      </c>
      <c r="E1680" s="16" t="n">
        <v>4</v>
      </c>
      <c r="F1680" s="16" t="inlineStr">
        <is>
          <t>奥特莱斯</t>
        </is>
      </c>
      <c r="G1680" s="16" t="inlineStr">
        <is>
          <t>EEWHG23B02</t>
        </is>
      </c>
      <c r="H1680" s="16" t="n">
        <v>899</v>
      </c>
      <c r="I1680" s="16" t="n">
        <v>999</v>
      </c>
      <c r="J1680" s="17" t="inlineStr">
        <is>
          <t>########</t>
        </is>
      </c>
      <c r="K1680" s="16" t="inlineStr">
        <is>
          <t>(50)Blue</t>
        </is>
      </c>
      <c r="L1680" s="16" t="inlineStr">
        <is>
          <t>营业中</t>
        </is>
      </c>
      <c r="M1680" s="16" t="inlineStr">
        <is>
          <t>EEWHG23B0250170</t>
        </is>
      </c>
      <c r="N1680" s="16">
        <f>LEFT(M1680,12)</f>
        <v/>
      </c>
      <c r="O1680" s="16" t="inlineStr">
        <is>
          <t>EEWHG23B02, (50)Blue, (170)170</t>
        </is>
      </c>
      <c r="P1680" s="16" t="n">
        <v>899</v>
      </c>
      <c r="Q1680" s="16" t="n">
        <v>999</v>
      </c>
      <c r="R1680" s="16" t="n"/>
      <c r="S1680" s="16" t="n"/>
      <c r="T1680" s="16" t="n">
        <v>2</v>
      </c>
    </row>
    <row r="1681" s="103">
      <c r="A1681" s="16" t="inlineStr">
        <is>
          <t>B331</t>
        </is>
      </c>
      <c r="B1681" s="16" t="inlineStr">
        <is>
          <t>上海区域</t>
        </is>
      </c>
      <c r="C1681" s="16" t="inlineStr">
        <is>
          <t>CN0Q</t>
        </is>
      </c>
      <c r="D1681" s="16" t="inlineStr">
        <is>
          <t>EE 苏州比斯特购物村</t>
        </is>
      </c>
      <c r="E1681" s="16" t="n">
        <v>4</v>
      </c>
      <c r="F1681" s="16" t="inlineStr">
        <is>
          <t>奥特莱斯</t>
        </is>
      </c>
      <c r="G1681" s="16" t="inlineStr">
        <is>
          <t>EEWHG23E01</t>
        </is>
      </c>
      <c r="H1681" s="16" t="n">
        <v>799</v>
      </c>
      <c r="I1681" s="16" t="n">
        <v>799</v>
      </c>
      <c r="J1681" s="17" t="inlineStr">
        <is>
          <t>########</t>
        </is>
      </c>
      <c r="K1681" s="16" t="inlineStr">
        <is>
          <t>(39)Ivory</t>
        </is>
      </c>
      <c r="L1681" s="16" t="inlineStr">
        <is>
          <t>营业中</t>
        </is>
      </c>
      <c r="M1681" s="16" t="inlineStr">
        <is>
          <t>EEWHG23E0139155</t>
        </is>
      </c>
      <c r="N1681" s="16">
        <f>LEFT(M1681,12)</f>
        <v/>
      </c>
      <c r="O1681" s="16" t="inlineStr">
        <is>
          <t>EEWHG23E01, (39)Ivory, (155)155</t>
        </is>
      </c>
      <c r="P1681" s="16" t="n">
        <v>799</v>
      </c>
      <c r="Q1681" s="16" t="n">
        <v>799</v>
      </c>
      <c r="R1681" s="16" t="n"/>
      <c r="S1681" s="16" t="n"/>
      <c r="T1681" s="16" t="n">
        <v>2</v>
      </c>
    </row>
    <row r="1682" s="103">
      <c r="A1682" s="16" t="inlineStr">
        <is>
          <t>B331</t>
        </is>
      </c>
      <c r="B1682" s="16" t="inlineStr">
        <is>
          <t>上海区域</t>
        </is>
      </c>
      <c r="C1682" s="16" t="inlineStr">
        <is>
          <t>CN0Q</t>
        </is>
      </c>
      <c r="D1682" s="16" t="inlineStr">
        <is>
          <t>EE 苏州比斯特购物村</t>
        </is>
      </c>
      <c r="E1682" s="16" t="n">
        <v>4</v>
      </c>
      <c r="F1682" s="16" t="inlineStr">
        <is>
          <t>奥特莱斯</t>
        </is>
      </c>
      <c r="G1682" s="16" t="inlineStr">
        <is>
          <t>EEWHG23E01</t>
        </is>
      </c>
      <c r="H1682" s="16" t="n">
        <v>799</v>
      </c>
      <c r="I1682" s="16" t="n">
        <v>799</v>
      </c>
      <c r="J1682" s="17" t="inlineStr">
        <is>
          <t>########</t>
        </is>
      </c>
      <c r="K1682" s="16" t="inlineStr">
        <is>
          <t>(39)Ivory</t>
        </is>
      </c>
      <c r="L1682" s="16" t="inlineStr">
        <is>
          <t>营业中</t>
        </is>
      </c>
      <c r="M1682" s="16" t="inlineStr">
        <is>
          <t>EEWHG23E0139160</t>
        </is>
      </c>
      <c r="N1682" s="16">
        <f>LEFT(M1682,12)</f>
        <v/>
      </c>
      <c r="O1682" s="16" t="inlineStr">
        <is>
          <t>EEWHG23E01, (39)Ivory, (160)160</t>
        </is>
      </c>
      <c r="P1682" s="16" t="n">
        <v>799</v>
      </c>
      <c r="Q1682" s="16" t="n">
        <v>799</v>
      </c>
      <c r="R1682" s="16" t="n">
        <v>1</v>
      </c>
      <c r="S1682" s="16" t="n"/>
      <c r="T1682" s="16" t="n">
        <v>2</v>
      </c>
    </row>
    <row r="1683" s="103">
      <c r="A1683" s="16" t="inlineStr">
        <is>
          <t>B331</t>
        </is>
      </c>
      <c r="B1683" s="16" t="inlineStr">
        <is>
          <t>上海区域</t>
        </is>
      </c>
      <c r="C1683" s="16" t="inlineStr">
        <is>
          <t>CN0Q</t>
        </is>
      </c>
      <c r="D1683" s="16" t="inlineStr">
        <is>
          <t>EE 苏州比斯特购物村</t>
        </is>
      </c>
      <c r="E1683" s="16" t="n">
        <v>4</v>
      </c>
      <c r="F1683" s="16" t="inlineStr">
        <is>
          <t>奥特莱斯</t>
        </is>
      </c>
      <c r="G1683" s="16" t="inlineStr">
        <is>
          <t>EEWHG23E01</t>
        </is>
      </c>
      <c r="H1683" s="16" t="n">
        <v>799</v>
      </c>
      <c r="I1683" s="16" t="n">
        <v>799</v>
      </c>
      <c r="J1683" s="17" t="inlineStr">
        <is>
          <t>########</t>
        </is>
      </c>
      <c r="K1683" s="16" t="inlineStr">
        <is>
          <t>(39)Ivory</t>
        </is>
      </c>
      <c r="L1683" s="16" t="inlineStr">
        <is>
          <t>营业中</t>
        </is>
      </c>
      <c r="M1683" s="16" t="inlineStr">
        <is>
          <t>EEWHG23E0139165</t>
        </is>
      </c>
      <c r="N1683" s="16">
        <f>LEFT(M1683,12)</f>
        <v/>
      </c>
      <c r="O1683" s="16" t="inlineStr">
        <is>
          <t>EEWHG23E01, (39)Ivory, (165)165</t>
        </is>
      </c>
      <c r="P1683" s="16" t="n">
        <v>799</v>
      </c>
      <c r="Q1683" s="16" t="n">
        <v>799</v>
      </c>
      <c r="R1683" s="16" t="n">
        <v>1</v>
      </c>
      <c r="S1683" s="16" t="n">
        <v>523</v>
      </c>
      <c r="T1683" s="16" t="n">
        <v>1</v>
      </c>
    </row>
    <row r="1684" s="103">
      <c r="A1684" s="16" t="inlineStr">
        <is>
          <t>B331</t>
        </is>
      </c>
      <c r="B1684" s="16" t="inlineStr">
        <is>
          <t>上海区域</t>
        </is>
      </c>
      <c r="C1684" s="16" t="inlineStr">
        <is>
          <t>CN0Q</t>
        </is>
      </c>
      <c r="D1684" s="16" t="inlineStr">
        <is>
          <t>EE 苏州比斯特购物村</t>
        </is>
      </c>
      <c r="E1684" s="16" t="n">
        <v>4</v>
      </c>
      <c r="F1684" s="16" t="inlineStr">
        <is>
          <t>奥特莱斯</t>
        </is>
      </c>
      <c r="G1684" s="16" t="inlineStr">
        <is>
          <t>EEWHG23E01</t>
        </is>
      </c>
      <c r="H1684" s="16" t="n">
        <v>799</v>
      </c>
      <c r="I1684" s="16" t="n">
        <v>799</v>
      </c>
      <c r="J1684" s="17" t="inlineStr">
        <is>
          <t>########</t>
        </is>
      </c>
      <c r="K1684" s="16" t="inlineStr">
        <is>
          <t>(39)Ivory</t>
        </is>
      </c>
      <c r="L1684" s="16" t="inlineStr">
        <is>
          <t>营业中</t>
        </is>
      </c>
      <c r="M1684" s="16" t="inlineStr">
        <is>
          <t>EEWHG23E0139170</t>
        </is>
      </c>
      <c r="N1684" s="16">
        <f>LEFT(M1684,12)</f>
        <v/>
      </c>
      <c r="O1684" s="16" t="inlineStr">
        <is>
          <t>EEWHG23E01, (39)Ivory, (170)170</t>
        </is>
      </c>
      <c r="P1684" s="16" t="n">
        <v>799</v>
      </c>
      <c r="Q1684" s="16" t="n">
        <v>799</v>
      </c>
      <c r="R1684" s="16" t="n">
        <v>1</v>
      </c>
      <c r="S1684" s="16" t="n">
        <v>507</v>
      </c>
      <c r="T1684" s="16" t="n">
        <v>1</v>
      </c>
    </row>
    <row r="1685" s="103">
      <c r="A1685" s="16" t="inlineStr">
        <is>
          <t>B331</t>
        </is>
      </c>
      <c r="B1685" s="16" t="inlineStr">
        <is>
          <t>上海区域</t>
        </is>
      </c>
      <c r="C1685" s="16" t="inlineStr">
        <is>
          <t>CN0Q</t>
        </is>
      </c>
      <c r="D1685" s="16" t="inlineStr">
        <is>
          <t>EE 苏州比斯特购物村</t>
        </is>
      </c>
      <c r="E1685" s="16" t="n">
        <v>4</v>
      </c>
      <c r="F1685" s="16" t="inlineStr">
        <is>
          <t>奥特莱斯</t>
        </is>
      </c>
      <c r="G1685" s="16" t="inlineStr">
        <is>
          <t>EEWHG23E01</t>
        </is>
      </c>
      <c r="H1685" s="16" t="n">
        <v>799</v>
      </c>
      <c r="I1685" s="16" t="n">
        <v>799</v>
      </c>
      <c r="J1685" s="17" t="inlineStr">
        <is>
          <t>########</t>
        </is>
      </c>
      <c r="K1685" s="16" t="inlineStr">
        <is>
          <t>(59)Navy</t>
        </is>
      </c>
      <c r="L1685" s="16" t="inlineStr">
        <is>
          <t>营业中</t>
        </is>
      </c>
      <c r="M1685" s="16" t="inlineStr">
        <is>
          <t>EEWHG23E0159155</t>
        </is>
      </c>
      <c r="N1685" s="16">
        <f>LEFT(M1685,12)</f>
        <v/>
      </c>
      <c r="O1685" s="16" t="inlineStr">
        <is>
          <t>EEWHG23E01, (59)Navy, (155)155</t>
        </is>
      </c>
      <c r="P1685" s="16" t="n">
        <v>799</v>
      </c>
      <c r="Q1685" s="16" t="n">
        <v>799</v>
      </c>
      <c r="R1685" s="16" t="n"/>
      <c r="S1685" s="16" t="n"/>
      <c r="T1685" s="16" t="n">
        <v>2</v>
      </c>
    </row>
    <row r="1686" s="103">
      <c r="A1686" s="16" t="inlineStr">
        <is>
          <t>B331</t>
        </is>
      </c>
      <c r="B1686" s="16" t="inlineStr">
        <is>
          <t>上海区域</t>
        </is>
      </c>
      <c r="C1686" s="16" t="inlineStr">
        <is>
          <t>CN0Q</t>
        </is>
      </c>
      <c r="D1686" s="16" t="inlineStr">
        <is>
          <t>EE 苏州比斯特购物村</t>
        </is>
      </c>
      <c r="E1686" s="16" t="n">
        <v>4</v>
      </c>
      <c r="F1686" s="16" t="inlineStr">
        <is>
          <t>奥特莱斯</t>
        </is>
      </c>
      <c r="G1686" s="16" t="inlineStr">
        <is>
          <t>EEWHG23E01</t>
        </is>
      </c>
      <c r="H1686" s="16" t="n">
        <v>799</v>
      </c>
      <c r="I1686" s="16" t="n">
        <v>799</v>
      </c>
      <c r="J1686" s="17" t="inlineStr">
        <is>
          <t>########</t>
        </is>
      </c>
      <c r="K1686" s="16" t="inlineStr">
        <is>
          <t>(59)Navy</t>
        </is>
      </c>
      <c r="L1686" s="16" t="inlineStr">
        <is>
          <t>营业中</t>
        </is>
      </c>
      <c r="M1686" s="16" t="inlineStr">
        <is>
          <t>EEWHG23E0159160</t>
        </is>
      </c>
      <c r="N1686" s="16">
        <f>LEFT(M1686,12)</f>
        <v/>
      </c>
      <c r="O1686" s="16" t="inlineStr">
        <is>
          <t>EEWHG23E01, (59)Navy, (160)160</t>
        </is>
      </c>
      <c r="P1686" s="16" t="n">
        <v>799</v>
      </c>
      <c r="Q1686" s="16" t="n">
        <v>799</v>
      </c>
      <c r="R1686" s="16" t="n">
        <v>1</v>
      </c>
      <c r="S1686" s="16" t="n">
        <v>521</v>
      </c>
      <c r="T1686" s="16" t="n">
        <v>1</v>
      </c>
    </row>
    <row r="1687" s="103">
      <c r="A1687" s="16" t="inlineStr">
        <is>
          <t>B331</t>
        </is>
      </c>
      <c r="B1687" s="16" t="inlineStr">
        <is>
          <t>上海区域</t>
        </is>
      </c>
      <c r="C1687" s="16" t="inlineStr">
        <is>
          <t>CN0Q</t>
        </is>
      </c>
      <c r="D1687" s="16" t="inlineStr">
        <is>
          <t>EE 苏州比斯特购物村</t>
        </is>
      </c>
      <c r="E1687" s="16" t="n">
        <v>4</v>
      </c>
      <c r="F1687" s="16" t="inlineStr">
        <is>
          <t>奥特莱斯</t>
        </is>
      </c>
      <c r="G1687" s="16" t="inlineStr">
        <is>
          <t>EEWHG23E01</t>
        </is>
      </c>
      <c r="H1687" s="16" t="n">
        <v>799</v>
      </c>
      <c r="I1687" s="16" t="n">
        <v>799</v>
      </c>
      <c r="J1687" s="17" t="inlineStr">
        <is>
          <t>########</t>
        </is>
      </c>
      <c r="K1687" s="16" t="inlineStr">
        <is>
          <t>(59)Navy</t>
        </is>
      </c>
      <c r="L1687" s="16" t="inlineStr">
        <is>
          <t>营业中</t>
        </is>
      </c>
      <c r="M1687" s="16" t="inlineStr">
        <is>
          <t>EEWHG23E0159165</t>
        </is>
      </c>
      <c r="N1687" s="16">
        <f>LEFT(M1687,12)</f>
        <v/>
      </c>
      <c r="O1687" s="16" t="inlineStr">
        <is>
          <t>EEWHG23E01, (59)Navy, (165)165</t>
        </is>
      </c>
      <c r="P1687" s="16" t="n">
        <v>799</v>
      </c>
      <c r="Q1687" s="16" t="n">
        <v>799</v>
      </c>
      <c r="R1687" s="16" t="n">
        <v>1</v>
      </c>
      <c r="S1687" s="16" t="n">
        <v>508</v>
      </c>
      <c r="T1687" s="16" t="n">
        <v>1</v>
      </c>
    </row>
    <row r="1688" s="103">
      <c r="A1688" s="16" t="inlineStr">
        <is>
          <t>B331</t>
        </is>
      </c>
      <c r="B1688" s="16" t="inlineStr">
        <is>
          <t>上海区域</t>
        </is>
      </c>
      <c r="C1688" s="16" t="inlineStr">
        <is>
          <t>CN0Q</t>
        </is>
      </c>
      <c r="D1688" s="16" t="inlineStr">
        <is>
          <t>EE 苏州比斯特购物村</t>
        </is>
      </c>
      <c r="E1688" s="16" t="n">
        <v>4</v>
      </c>
      <c r="F1688" s="16" t="inlineStr">
        <is>
          <t>奥特莱斯</t>
        </is>
      </c>
      <c r="G1688" s="16" t="inlineStr">
        <is>
          <t>EEWHG23E01</t>
        </is>
      </c>
      <c r="H1688" s="16" t="n">
        <v>799</v>
      </c>
      <c r="I1688" s="16" t="n">
        <v>799</v>
      </c>
      <c r="J1688" s="17" t="inlineStr">
        <is>
          <t>########</t>
        </is>
      </c>
      <c r="K1688" s="16" t="inlineStr">
        <is>
          <t>(59)Navy</t>
        </is>
      </c>
      <c r="L1688" s="16" t="inlineStr">
        <is>
          <t>营业中</t>
        </is>
      </c>
      <c r="M1688" s="16" t="inlineStr">
        <is>
          <t>EEWHG23E0159170</t>
        </is>
      </c>
      <c r="N1688" s="16">
        <f>LEFT(M1688,12)</f>
        <v/>
      </c>
      <c r="O1688" s="16" t="inlineStr">
        <is>
          <t>EEWHG23E01, (59)Navy, (170)170</t>
        </is>
      </c>
      <c r="P1688" s="16" t="n">
        <v>799</v>
      </c>
      <c r="Q1688" s="16" t="n">
        <v>799</v>
      </c>
      <c r="R1688" s="16" t="n"/>
      <c r="S1688" s="16" t="n"/>
      <c r="T1688" s="16" t="n">
        <v>2</v>
      </c>
    </row>
    <row r="1689" s="103">
      <c r="A1689" s="16" t="inlineStr">
        <is>
          <t>B331</t>
        </is>
      </c>
      <c r="B1689" s="16" t="inlineStr">
        <is>
          <t>上海区域</t>
        </is>
      </c>
      <c r="C1689" s="16" t="inlineStr">
        <is>
          <t>CN0Q</t>
        </is>
      </c>
      <c r="D1689" s="16" t="inlineStr">
        <is>
          <t>EE 苏州比斯特购物村</t>
        </is>
      </c>
      <c r="E1689" s="16" t="n">
        <v>4</v>
      </c>
      <c r="F1689" s="16" t="inlineStr">
        <is>
          <t>奥特莱斯</t>
        </is>
      </c>
      <c r="G1689" s="16" t="inlineStr">
        <is>
          <t>EEWHG23E03</t>
        </is>
      </c>
      <c r="H1689" s="16" t="n">
        <v>699</v>
      </c>
      <c r="I1689" s="16" t="n">
        <v>699</v>
      </c>
      <c r="J1689" s="17" t="inlineStr">
        <is>
          <t>########</t>
        </is>
      </c>
      <c r="K1689" s="16" t="inlineStr">
        <is>
          <t>(35)Beige</t>
        </is>
      </c>
      <c r="L1689" s="16" t="inlineStr">
        <is>
          <t>营业中</t>
        </is>
      </c>
      <c r="M1689" s="16" t="inlineStr">
        <is>
          <t>EEWHG23E0335155</t>
        </is>
      </c>
      <c r="N1689" s="16">
        <f>LEFT(M1689,12)</f>
        <v/>
      </c>
      <c r="O1689" s="16" t="inlineStr">
        <is>
          <t>EEWHG23E03, (35)Beige, (155)155</t>
        </is>
      </c>
      <c r="P1689" s="16" t="n">
        <v>699</v>
      </c>
      <c r="Q1689" s="16" t="n">
        <v>699</v>
      </c>
      <c r="R1689" s="16" t="n">
        <v>1</v>
      </c>
      <c r="S1689" s="16" t="n"/>
      <c r="T1689" s="16" t="n">
        <v>1</v>
      </c>
    </row>
    <row r="1690" s="103">
      <c r="A1690" s="16" t="inlineStr">
        <is>
          <t>B331</t>
        </is>
      </c>
      <c r="B1690" s="16" t="inlineStr">
        <is>
          <t>上海区域</t>
        </is>
      </c>
      <c r="C1690" s="16" t="inlineStr">
        <is>
          <t>CN0Q</t>
        </is>
      </c>
      <c r="D1690" s="16" t="inlineStr">
        <is>
          <t>EE 苏州比斯特购物村</t>
        </is>
      </c>
      <c r="E1690" s="16" t="n">
        <v>4</v>
      </c>
      <c r="F1690" s="16" t="inlineStr">
        <is>
          <t>奥特莱斯</t>
        </is>
      </c>
      <c r="G1690" s="16" t="inlineStr">
        <is>
          <t>EEWHG23E03</t>
        </is>
      </c>
      <c r="H1690" s="16" t="n">
        <v>699</v>
      </c>
      <c r="I1690" s="16" t="n">
        <v>699</v>
      </c>
      <c r="J1690" s="17" t="inlineStr">
        <is>
          <t>########</t>
        </is>
      </c>
      <c r="K1690" s="16" t="inlineStr">
        <is>
          <t>(35)Beige</t>
        </is>
      </c>
      <c r="L1690" s="16" t="inlineStr">
        <is>
          <t>营业中</t>
        </is>
      </c>
      <c r="M1690" s="16" t="inlineStr">
        <is>
          <t>EEWHG23E0335160</t>
        </is>
      </c>
      <c r="N1690" s="16">
        <f>LEFT(M1690,12)</f>
        <v/>
      </c>
      <c r="O1690" s="16" t="inlineStr">
        <is>
          <t>EEWHG23E03, (35)Beige, (160)160</t>
        </is>
      </c>
      <c r="P1690" s="16" t="n">
        <v>699</v>
      </c>
      <c r="Q1690" s="16" t="n">
        <v>699</v>
      </c>
      <c r="R1690" s="16" t="n">
        <v>1</v>
      </c>
      <c r="S1690" s="16" t="n">
        <v>376</v>
      </c>
      <c r="T1690" s="16" t="n">
        <v>1</v>
      </c>
    </row>
    <row r="1691" s="103">
      <c r="A1691" s="16" t="inlineStr">
        <is>
          <t>B331</t>
        </is>
      </c>
      <c r="B1691" s="16" t="inlineStr">
        <is>
          <t>上海区域</t>
        </is>
      </c>
      <c r="C1691" s="16" t="inlineStr">
        <is>
          <t>CN0Q</t>
        </is>
      </c>
      <c r="D1691" s="16" t="inlineStr">
        <is>
          <t>EE 苏州比斯特购物村</t>
        </is>
      </c>
      <c r="E1691" s="16" t="n">
        <v>4</v>
      </c>
      <c r="F1691" s="16" t="inlineStr">
        <is>
          <t>奥特莱斯</t>
        </is>
      </c>
      <c r="G1691" s="16" t="inlineStr">
        <is>
          <t>EEWHG23E03</t>
        </is>
      </c>
      <c r="H1691" s="16" t="n">
        <v>699</v>
      </c>
      <c r="I1691" s="16" t="n">
        <v>699</v>
      </c>
      <c r="J1691" s="17" t="inlineStr">
        <is>
          <t>########</t>
        </is>
      </c>
      <c r="K1691" s="16" t="inlineStr">
        <is>
          <t>(35)Beige</t>
        </is>
      </c>
      <c r="L1691" s="16" t="inlineStr">
        <is>
          <t>营业中</t>
        </is>
      </c>
      <c r="M1691" s="16" t="inlineStr">
        <is>
          <t>EEWHG23E0335165</t>
        </is>
      </c>
      <c r="N1691" s="16">
        <f>LEFT(M1691,12)</f>
        <v/>
      </c>
      <c r="O1691" s="16" t="inlineStr">
        <is>
          <t>EEWHG23E03, (35)Beige, (165)165</t>
        </is>
      </c>
      <c r="P1691" s="16" t="n">
        <v>699</v>
      </c>
      <c r="Q1691" s="16" t="n">
        <v>699</v>
      </c>
      <c r="R1691" s="16" t="n">
        <v>2</v>
      </c>
      <c r="S1691" s="16" t="n">
        <v>903</v>
      </c>
      <c r="T1691" s="16" t="n">
        <v>2</v>
      </c>
    </row>
    <row r="1692" s="103">
      <c r="A1692" s="16" t="inlineStr">
        <is>
          <t>B331</t>
        </is>
      </c>
      <c r="B1692" s="16" t="inlineStr">
        <is>
          <t>上海区域</t>
        </is>
      </c>
      <c r="C1692" s="16" t="inlineStr">
        <is>
          <t>CN0Q</t>
        </is>
      </c>
      <c r="D1692" s="16" t="inlineStr">
        <is>
          <t>EE 苏州比斯特购物村</t>
        </is>
      </c>
      <c r="E1692" s="16" t="n">
        <v>4</v>
      </c>
      <c r="F1692" s="16" t="inlineStr">
        <is>
          <t>奥特莱斯</t>
        </is>
      </c>
      <c r="G1692" s="16" t="inlineStr">
        <is>
          <t>EEWHG23E03</t>
        </is>
      </c>
      <c r="H1692" s="16" t="n">
        <v>699</v>
      </c>
      <c r="I1692" s="16" t="n">
        <v>699</v>
      </c>
      <c r="J1692" s="17" t="inlineStr">
        <is>
          <t>########</t>
        </is>
      </c>
      <c r="K1692" s="16" t="inlineStr">
        <is>
          <t>(35)Beige</t>
        </is>
      </c>
      <c r="L1692" s="16" t="inlineStr">
        <is>
          <t>营业中</t>
        </is>
      </c>
      <c r="M1692" s="16" t="inlineStr">
        <is>
          <t>EEWHG23E0335170</t>
        </is>
      </c>
      <c r="N1692" s="16">
        <f>LEFT(M1692,12)</f>
        <v/>
      </c>
      <c r="O1692" s="16" t="inlineStr">
        <is>
          <t>EEWHG23E03, (35)Beige, (170)170</t>
        </is>
      </c>
      <c r="P1692" s="16" t="n">
        <v>699</v>
      </c>
      <c r="Q1692" s="16" t="n">
        <v>699</v>
      </c>
      <c r="R1692" s="16" t="n"/>
      <c r="S1692" s="16" t="n"/>
      <c r="T1692" s="16" t="n">
        <v>1</v>
      </c>
    </row>
    <row r="1693" s="103">
      <c r="A1693" s="16" t="inlineStr">
        <is>
          <t>B331</t>
        </is>
      </c>
      <c r="B1693" s="16" t="inlineStr">
        <is>
          <t>上海区域</t>
        </is>
      </c>
      <c r="C1693" s="16" t="inlineStr">
        <is>
          <t>CN0Q</t>
        </is>
      </c>
      <c r="D1693" s="16" t="inlineStr">
        <is>
          <t>EE 苏州比斯特购物村</t>
        </is>
      </c>
      <c r="E1693" s="16" t="n">
        <v>4</v>
      </c>
      <c r="F1693" s="16" t="inlineStr">
        <is>
          <t>奥特莱斯</t>
        </is>
      </c>
      <c r="G1693" s="16" t="inlineStr">
        <is>
          <t>EEWHG23E03</t>
        </is>
      </c>
      <c r="H1693" s="16" t="n">
        <v>699</v>
      </c>
      <c r="I1693" s="16" t="n">
        <v>699</v>
      </c>
      <c r="J1693" s="17" t="inlineStr">
        <is>
          <t>########</t>
        </is>
      </c>
      <c r="K1693" s="16" t="inlineStr">
        <is>
          <t>(59)Navy</t>
        </is>
      </c>
      <c r="L1693" s="16" t="inlineStr">
        <is>
          <t>营业中</t>
        </is>
      </c>
      <c r="M1693" s="16" t="inlineStr">
        <is>
          <t>EEWHG23E0359155</t>
        </is>
      </c>
      <c r="N1693" s="16">
        <f>LEFT(M1693,12)</f>
        <v/>
      </c>
      <c r="O1693" s="16" t="inlineStr">
        <is>
          <t>EEWHG23E03, (59)Navy, (155)155</t>
        </is>
      </c>
      <c r="P1693" s="16" t="n">
        <v>699</v>
      </c>
      <c r="Q1693" s="16" t="n">
        <v>699</v>
      </c>
      <c r="R1693" s="16" t="n"/>
      <c r="S1693" s="16" t="n"/>
      <c r="T1693" s="16" t="n">
        <v>2</v>
      </c>
    </row>
    <row r="1694" s="103">
      <c r="A1694" s="16" t="inlineStr">
        <is>
          <t>B331</t>
        </is>
      </c>
      <c r="B1694" s="16" t="inlineStr">
        <is>
          <t>上海区域</t>
        </is>
      </c>
      <c r="C1694" s="16" t="inlineStr">
        <is>
          <t>CN0Q</t>
        </is>
      </c>
      <c r="D1694" s="16" t="inlineStr">
        <is>
          <t>EE 苏州比斯特购物村</t>
        </is>
      </c>
      <c r="E1694" s="16" t="n">
        <v>4</v>
      </c>
      <c r="F1694" s="16" t="inlineStr">
        <is>
          <t>奥特莱斯</t>
        </is>
      </c>
      <c r="G1694" s="16" t="inlineStr">
        <is>
          <t>EEWHG23E03</t>
        </is>
      </c>
      <c r="H1694" s="16" t="n">
        <v>699</v>
      </c>
      <c r="I1694" s="16" t="n">
        <v>699</v>
      </c>
      <c r="J1694" s="17" t="inlineStr">
        <is>
          <t>########</t>
        </is>
      </c>
      <c r="K1694" s="16" t="inlineStr">
        <is>
          <t>(59)Navy</t>
        </is>
      </c>
      <c r="L1694" s="16" t="inlineStr">
        <is>
          <t>营业中</t>
        </is>
      </c>
      <c r="M1694" s="16" t="inlineStr">
        <is>
          <t>EEWHG23E0359160</t>
        </is>
      </c>
      <c r="N1694" s="16">
        <f>LEFT(M1694,12)</f>
        <v/>
      </c>
      <c r="O1694" s="16" t="inlineStr">
        <is>
          <t>EEWHG23E03, (59)Navy, (160)160</t>
        </is>
      </c>
      <c r="P1694" s="16" t="n">
        <v>699</v>
      </c>
      <c r="Q1694" s="16" t="n">
        <v>699</v>
      </c>
      <c r="R1694" s="16" t="n">
        <v>5</v>
      </c>
      <c r="S1694" s="18" t="n">
        <v>1155</v>
      </c>
      <c r="T1694" s="16" t="n">
        <v>5</v>
      </c>
    </row>
    <row r="1695" s="103">
      <c r="A1695" s="16" t="inlineStr">
        <is>
          <t>B331</t>
        </is>
      </c>
      <c r="B1695" s="16" t="inlineStr">
        <is>
          <t>上海区域</t>
        </is>
      </c>
      <c r="C1695" s="16" t="inlineStr">
        <is>
          <t>CN0Q</t>
        </is>
      </c>
      <c r="D1695" s="16" t="inlineStr">
        <is>
          <t>EE 苏州比斯特购物村</t>
        </is>
      </c>
      <c r="E1695" s="16" t="n">
        <v>4</v>
      </c>
      <c r="F1695" s="16" t="inlineStr">
        <is>
          <t>奥特莱斯</t>
        </is>
      </c>
      <c r="G1695" s="16" t="inlineStr">
        <is>
          <t>EEWHG23E03</t>
        </is>
      </c>
      <c r="H1695" s="16" t="n">
        <v>699</v>
      </c>
      <c r="I1695" s="16" t="n">
        <v>699</v>
      </c>
      <c r="J1695" s="17" t="inlineStr">
        <is>
          <t>########</t>
        </is>
      </c>
      <c r="K1695" s="16" t="inlineStr">
        <is>
          <t>(59)Navy</t>
        </is>
      </c>
      <c r="L1695" s="16" t="inlineStr">
        <is>
          <t>营业中</t>
        </is>
      </c>
      <c r="M1695" s="16" t="inlineStr">
        <is>
          <t>EEWHG23E0359165</t>
        </is>
      </c>
      <c r="N1695" s="16">
        <f>LEFT(M1695,12)</f>
        <v/>
      </c>
      <c r="O1695" s="16" t="inlineStr">
        <is>
          <t>EEWHG23E03, (59)Navy, (165)165</t>
        </is>
      </c>
      <c r="P1695" s="16" t="n">
        <v>699</v>
      </c>
      <c r="Q1695" s="16" t="n">
        <v>699</v>
      </c>
      <c r="R1695" s="16" t="n">
        <v>2</v>
      </c>
      <c r="S1695" s="16" t="n">
        <v>885</v>
      </c>
      <c r="T1695" s="16" t="n">
        <v>3</v>
      </c>
    </row>
    <row r="1696" s="103">
      <c r="A1696" s="16" t="inlineStr">
        <is>
          <t>B331</t>
        </is>
      </c>
      <c r="B1696" s="16" t="inlineStr">
        <is>
          <t>上海区域</t>
        </is>
      </c>
      <c r="C1696" s="16" t="inlineStr">
        <is>
          <t>CN0Q</t>
        </is>
      </c>
      <c r="D1696" s="16" t="inlineStr">
        <is>
          <t>EE 苏州比斯特购物村</t>
        </is>
      </c>
      <c r="E1696" s="16" t="n">
        <v>4</v>
      </c>
      <c r="F1696" s="16" t="inlineStr">
        <is>
          <t>奥特莱斯</t>
        </is>
      </c>
      <c r="G1696" s="16" t="inlineStr">
        <is>
          <t>EEWHG23E03</t>
        </is>
      </c>
      <c r="H1696" s="16" t="n">
        <v>699</v>
      </c>
      <c r="I1696" s="16" t="n">
        <v>699</v>
      </c>
      <c r="J1696" s="17" t="inlineStr">
        <is>
          <t>########</t>
        </is>
      </c>
      <c r="K1696" s="16" t="inlineStr">
        <is>
          <t>(59)Navy</t>
        </is>
      </c>
      <c r="L1696" s="16" t="inlineStr">
        <is>
          <t>营业中</t>
        </is>
      </c>
      <c r="M1696" s="16" t="inlineStr">
        <is>
          <t>EEWHG23E0359170</t>
        </is>
      </c>
      <c r="N1696" s="16">
        <f>LEFT(M1696,12)</f>
        <v/>
      </c>
      <c r="O1696" s="16" t="inlineStr">
        <is>
          <t>EEWHG23E03, (59)Navy, (170)170</t>
        </is>
      </c>
      <c r="P1696" s="16" t="n">
        <v>699</v>
      </c>
      <c r="Q1696" s="16" t="n">
        <v>699</v>
      </c>
      <c r="R1696" s="16" t="n">
        <v>1</v>
      </c>
      <c r="S1696" s="16" t="n">
        <v>441</v>
      </c>
      <c r="T1696" s="16" t="n">
        <v>1</v>
      </c>
    </row>
    <row r="1697" s="103">
      <c r="A1697" s="16" t="inlineStr">
        <is>
          <t>B331</t>
        </is>
      </c>
      <c r="B1697" s="16" t="inlineStr">
        <is>
          <t>上海区域</t>
        </is>
      </c>
      <c r="C1697" s="16" t="inlineStr">
        <is>
          <t>CN0Q</t>
        </is>
      </c>
      <c r="D1697" s="16" t="inlineStr">
        <is>
          <t>EE 苏州比斯特购物村</t>
        </is>
      </c>
      <c r="E1697" s="16" t="n">
        <v>4</v>
      </c>
      <c r="F1697" s="16" t="inlineStr">
        <is>
          <t>奥特莱斯</t>
        </is>
      </c>
      <c r="G1697" s="16" t="inlineStr">
        <is>
          <t>EEWHG23E52</t>
        </is>
      </c>
      <c r="H1697" s="16" t="n">
        <v>699</v>
      </c>
      <c r="I1697" s="16" t="n">
        <v>699</v>
      </c>
      <c r="J1697" s="17" t="n">
        <v>46086</v>
      </c>
      <c r="K1697" s="16" t="inlineStr">
        <is>
          <t>(03)D/NAVY</t>
        </is>
      </c>
      <c r="L1697" s="16" t="inlineStr">
        <is>
          <t>营业中</t>
        </is>
      </c>
      <c r="M1697" s="16" t="inlineStr">
        <is>
          <t>EEWHG23E5203155</t>
        </is>
      </c>
      <c r="N1697" s="16">
        <f>LEFT(M1697,12)</f>
        <v/>
      </c>
      <c r="O1697" s="16" t="inlineStr">
        <is>
          <t>EEWHG23E52, (03)D/NAVY, (155)155</t>
        </is>
      </c>
      <c r="P1697" s="16" t="n">
        <v>699</v>
      </c>
      <c r="Q1697" s="16" t="n">
        <v>699</v>
      </c>
      <c r="R1697" s="16" t="n"/>
      <c r="S1697" s="16" t="n"/>
      <c r="T1697" s="16" t="n">
        <v>2</v>
      </c>
    </row>
    <row r="1698" s="103">
      <c r="A1698" s="16" t="inlineStr">
        <is>
          <t>B331</t>
        </is>
      </c>
      <c r="B1698" s="16" t="inlineStr">
        <is>
          <t>上海区域</t>
        </is>
      </c>
      <c r="C1698" s="16" t="inlineStr">
        <is>
          <t>CN0Q</t>
        </is>
      </c>
      <c r="D1698" s="16" t="inlineStr">
        <is>
          <t>EE 苏州比斯特购物村</t>
        </is>
      </c>
      <c r="E1698" s="16" t="n">
        <v>4</v>
      </c>
      <c r="F1698" s="16" t="inlineStr">
        <is>
          <t>奥特莱斯</t>
        </is>
      </c>
      <c r="G1698" s="16" t="inlineStr">
        <is>
          <t>EEWHG23E52</t>
        </is>
      </c>
      <c r="H1698" s="16" t="n">
        <v>699</v>
      </c>
      <c r="I1698" s="16" t="n">
        <v>699</v>
      </c>
      <c r="J1698" s="17" t="n">
        <v>46086</v>
      </c>
      <c r="K1698" s="16" t="inlineStr">
        <is>
          <t>(03)D/NAVY</t>
        </is>
      </c>
      <c r="L1698" s="16" t="inlineStr">
        <is>
          <t>营业中</t>
        </is>
      </c>
      <c r="M1698" s="16" t="inlineStr">
        <is>
          <t>EEWHG23E5203160</t>
        </is>
      </c>
      <c r="N1698" s="16">
        <f>LEFT(M1698,12)</f>
        <v/>
      </c>
      <c r="O1698" s="16" t="inlineStr">
        <is>
          <t>EEWHG23E52, (03)D/NAVY, (160)160</t>
        </is>
      </c>
      <c r="P1698" s="16" t="n">
        <v>699</v>
      </c>
      <c r="Q1698" s="16" t="n">
        <v>699</v>
      </c>
      <c r="R1698" s="16" t="n"/>
      <c r="S1698" s="16" t="n"/>
      <c r="T1698" s="16" t="n">
        <v>2</v>
      </c>
    </row>
    <row r="1699" s="103">
      <c r="A1699" s="16" t="inlineStr">
        <is>
          <t>B331</t>
        </is>
      </c>
      <c r="B1699" s="16" t="inlineStr">
        <is>
          <t>上海区域</t>
        </is>
      </c>
      <c r="C1699" s="16" t="inlineStr">
        <is>
          <t>CN0Q</t>
        </is>
      </c>
      <c r="D1699" s="16" t="inlineStr">
        <is>
          <t>EE 苏州比斯特购物村</t>
        </is>
      </c>
      <c r="E1699" s="16" t="n">
        <v>4</v>
      </c>
      <c r="F1699" s="16" t="inlineStr">
        <is>
          <t>奥特莱斯</t>
        </is>
      </c>
      <c r="G1699" s="16" t="inlineStr">
        <is>
          <t>EEWHG23E52</t>
        </is>
      </c>
      <c r="H1699" s="16" t="n">
        <v>699</v>
      </c>
      <c r="I1699" s="16" t="n">
        <v>699</v>
      </c>
      <c r="J1699" s="17" t="n">
        <v>46086</v>
      </c>
      <c r="K1699" s="16" t="inlineStr">
        <is>
          <t>(03)D/NAVY</t>
        </is>
      </c>
      <c r="L1699" s="16" t="inlineStr">
        <is>
          <t>营业中</t>
        </is>
      </c>
      <c r="M1699" s="16" t="inlineStr">
        <is>
          <t>EEWHG23E5203165</t>
        </is>
      </c>
      <c r="N1699" s="16">
        <f>LEFT(M1699,12)</f>
        <v/>
      </c>
      <c r="O1699" s="16" t="inlineStr">
        <is>
          <t>EEWHG23E52, (03)D/NAVY, (165)165</t>
        </is>
      </c>
      <c r="P1699" s="16" t="n">
        <v>699</v>
      </c>
      <c r="Q1699" s="16" t="n">
        <v>699</v>
      </c>
      <c r="R1699" s="16" t="n"/>
      <c r="S1699" s="16" t="n"/>
      <c r="T1699" s="16" t="n">
        <v>2</v>
      </c>
    </row>
    <row r="1700" s="103">
      <c r="A1700" s="16" t="inlineStr">
        <is>
          <t>B331</t>
        </is>
      </c>
      <c r="B1700" s="16" t="inlineStr">
        <is>
          <t>上海区域</t>
        </is>
      </c>
      <c r="C1700" s="16" t="inlineStr">
        <is>
          <t>CN0Q</t>
        </is>
      </c>
      <c r="D1700" s="16" t="inlineStr">
        <is>
          <t>EE 苏州比斯特购物村</t>
        </is>
      </c>
      <c r="E1700" s="16" t="n">
        <v>4</v>
      </c>
      <c r="F1700" s="16" t="inlineStr">
        <is>
          <t>奥特莱斯</t>
        </is>
      </c>
      <c r="G1700" s="16" t="inlineStr">
        <is>
          <t>EEWHG23E52</t>
        </is>
      </c>
      <c r="H1700" s="16" t="n">
        <v>699</v>
      </c>
      <c r="I1700" s="16" t="n">
        <v>699</v>
      </c>
      <c r="J1700" s="17" t="n">
        <v>46086</v>
      </c>
      <c r="K1700" s="16" t="inlineStr">
        <is>
          <t>(03)D/NAVY</t>
        </is>
      </c>
      <c r="L1700" s="16" t="inlineStr">
        <is>
          <t>营业中</t>
        </is>
      </c>
      <c r="M1700" s="16" t="inlineStr">
        <is>
          <t>EEWHG23E5203170</t>
        </is>
      </c>
      <c r="N1700" s="16">
        <f>LEFT(M1700,12)</f>
        <v/>
      </c>
      <c r="O1700" s="16" t="inlineStr">
        <is>
          <t>EEWHG23E52, (03)D/NAVY, (170)170</t>
        </is>
      </c>
      <c r="P1700" s="16" t="n">
        <v>699</v>
      </c>
      <c r="Q1700" s="16" t="n">
        <v>699</v>
      </c>
      <c r="R1700" s="16" t="n"/>
      <c r="S1700" s="16" t="n"/>
      <c r="T1700" s="16" t="n">
        <v>2</v>
      </c>
    </row>
    <row r="1701" s="103">
      <c r="A1701" s="16" t="inlineStr">
        <is>
          <t>B331</t>
        </is>
      </c>
      <c r="B1701" s="16" t="inlineStr">
        <is>
          <t>上海区域</t>
        </is>
      </c>
      <c r="C1701" s="16" t="inlineStr">
        <is>
          <t>CN0Q</t>
        </is>
      </c>
      <c r="D1701" s="16" t="inlineStr">
        <is>
          <t>EE 苏州比斯特购物村</t>
        </is>
      </c>
      <c r="E1701" s="16" t="n">
        <v>4</v>
      </c>
      <c r="F1701" s="16" t="inlineStr">
        <is>
          <t>奥特莱斯</t>
        </is>
      </c>
      <c r="G1701" s="16" t="inlineStr">
        <is>
          <t>EEWHG23R31</t>
        </is>
      </c>
      <c r="H1701" s="16" t="n">
        <v>799</v>
      </c>
      <c r="I1701" s="16" t="n">
        <v>799</v>
      </c>
      <c r="J1701" s="17" t="n">
        <v>46059</v>
      </c>
      <c r="K1701" s="16" t="inlineStr">
        <is>
          <t>(15)Grey</t>
        </is>
      </c>
      <c r="L1701" s="16" t="inlineStr">
        <is>
          <t>营业中</t>
        </is>
      </c>
      <c r="M1701" s="16" t="inlineStr">
        <is>
          <t>EEWHG23R3115160</t>
        </is>
      </c>
      <c r="N1701" s="16">
        <f>LEFT(M1701,12)</f>
        <v/>
      </c>
      <c r="O1701" s="16" t="inlineStr">
        <is>
          <t>EEWHG23R31, (15)Grey, (160)160</t>
        </is>
      </c>
      <c r="P1701" s="16" t="n">
        <v>799</v>
      </c>
      <c r="Q1701" s="16" t="n">
        <v>799</v>
      </c>
      <c r="R1701" s="16" t="n"/>
      <c r="S1701" s="16" t="n"/>
      <c r="T1701" s="16" t="n">
        <v>4</v>
      </c>
    </row>
    <row r="1702" s="103">
      <c r="A1702" s="16" t="inlineStr">
        <is>
          <t>B331</t>
        </is>
      </c>
      <c r="B1702" s="16" t="inlineStr">
        <is>
          <t>上海区域</t>
        </is>
      </c>
      <c r="C1702" s="16" t="inlineStr">
        <is>
          <t>CN0Q</t>
        </is>
      </c>
      <c r="D1702" s="16" t="inlineStr">
        <is>
          <t>EE 苏州比斯特购物村</t>
        </is>
      </c>
      <c r="E1702" s="16" t="n">
        <v>4</v>
      </c>
      <c r="F1702" s="16" t="inlineStr">
        <is>
          <t>奥特莱斯</t>
        </is>
      </c>
      <c r="G1702" s="16" t="inlineStr">
        <is>
          <t>EEWHG23R31</t>
        </is>
      </c>
      <c r="H1702" s="16" t="n">
        <v>799</v>
      </c>
      <c r="I1702" s="16" t="n">
        <v>799</v>
      </c>
      <c r="J1702" s="17" t="n">
        <v>46059</v>
      </c>
      <c r="K1702" s="16" t="inlineStr">
        <is>
          <t>(15)Grey</t>
        </is>
      </c>
      <c r="L1702" s="16" t="inlineStr">
        <is>
          <t>营业中</t>
        </is>
      </c>
      <c r="M1702" s="16" t="inlineStr">
        <is>
          <t>EEWHG23R3115165</t>
        </is>
      </c>
      <c r="N1702" s="16">
        <f>LEFT(M1702,12)</f>
        <v/>
      </c>
      <c r="O1702" s="16" t="inlineStr">
        <is>
          <t>EEWHG23R31, (15)Grey, (165)165</t>
        </is>
      </c>
      <c r="P1702" s="16" t="n">
        <v>799</v>
      </c>
      <c r="Q1702" s="16" t="n">
        <v>799</v>
      </c>
      <c r="R1702" s="16" t="n">
        <v>1</v>
      </c>
      <c r="S1702" s="16" t="n">
        <v>521</v>
      </c>
      <c r="T1702" s="16" t="n">
        <v>3</v>
      </c>
    </row>
    <row r="1703" s="103">
      <c r="A1703" s="16" t="inlineStr">
        <is>
          <t>B331</t>
        </is>
      </c>
      <c r="B1703" s="16" t="inlineStr">
        <is>
          <t>上海区域</t>
        </is>
      </c>
      <c r="C1703" s="16" t="inlineStr">
        <is>
          <t>CN0Q</t>
        </is>
      </c>
      <c r="D1703" s="16" t="inlineStr">
        <is>
          <t>EE 苏州比斯特购物村</t>
        </is>
      </c>
      <c r="E1703" s="16" t="n">
        <v>4</v>
      </c>
      <c r="F1703" s="16" t="inlineStr">
        <is>
          <t>奥特莱斯</t>
        </is>
      </c>
      <c r="G1703" s="16" t="inlineStr">
        <is>
          <t>EEWHG23R31</t>
        </is>
      </c>
      <c r="H1703" s="16" t="n">
        <v>799</v>
      </c>
      <c r="I1703" s="16" t="n">
        <v>799</v>
      </c>
      <c r="J1703" s="17" t="n">
        <v>46059</v>
      </c>
      <c r="K1703" s="16" t="inlineStr">
        <is>
          <t>(15)Grey</t>
        </is>
      </c>
      <c r="L1703" s="16" t="inlineStr">
        <is>
          <t>营业中</t>
        </is>
      </c>
      <c r="M1703" s="16" t="inlineStr">
        <is>
          <t>EEWHG23R3115170</t>
        </is>
      </c>
      <c r="N1703" s="16">
        <f>LEFT(M1703,12)</f>
        <v/>
      </c>
      <c r="O1703" s="16" t="inlineStr">
        <is>
          <t>EEWHG23R31, (15)Grey, (170)170</t>
        </is>
      </c>
      <c r="P1703" s="16" t="n">
        <v>799</v>
      </c>
      <c r="Q1703" s="16" t="n">
        <v>799</v>
      </c>
      <c r="R1703" s="16" t="n"/>
      <c r="S1703" s="16" t="n"/>
      <c r="T1703" s="16" t="n">
        <v>2</v>
      </c>
    </row>
    <row r="1704" s="103">
      <c r="A1704" s="16" t="inlineStr">
        <is>
          <t>B331</t>
        </is>
      </c>
      <c r="B1704" s="16" t="inlineStr">
        <is>
          <t>上海区域</t>
        </is>
      </c>
      <c r="C1704" s="16" t="inlineStr">
        <is>
          <t>CN0Q</t>
        </is>
      </c>
      <c r="D1704" s="16" t="inlineStr">
        <is>
          <t>EE 苏州比斯特购物村</t>
        </is>
      </c>
      <c r="E1704" s="16" t="n">
        <v>4</v>
      </c>
      <c r="F1704" s="16" t="inlineStr">
        <is>
          <t>奥特莱斯</t>
        </is>
      </c>
      <c r="G1704" s="16" t="inlineStr">
        <is>
          <t>EEWHG24E01</t>
        </is>
      </c>
      <c r="H1704" s="16" t="n">
        <v>799</v>
      </c>
      <c r="I1704" s="16" t="n">
        <v>799</v>
      </c>
      <c r="J1704" s="17" t="inlineStr">
        <is>
          <t>########</t>
        </is>
      </c>
      <c r="K1704" s="16" t="inlineStr">
        <is>
          <t>(35)Beige</t>
        </is>
      </c>
      <c r="L1704" s="16" t="inlineStr">
        <is>
          <t>营业中</t>
        </is>
      </c>
      <c r="M1704" s="16" t="inlineStr">
        <is>
          <t>EEWHG24E0135155</t>
        </is>
      </c>
      <c r="N1704" s="16">
        <f>LEFT(M1704,12)</f>
        <v/>
      </c>
      <c r="O1704" s="16" t="inlineStr">
        <is>
          <t>EEWHG24E01, (35)Beige, (155)155</t>
        </is>
      </c>
      <c r="P1704" s="16" t="n">
        <v>799</v>
      </c>
      <c r="Q1704" s="16" t="n">
        <v>799</v>
      </c>
      <c r="R1704" s="16" t="n"/>
      <c r="S1704" s="16" t="n"/>
      <c r="T1704" s="16" t="n">
        <v>3</v>
      </c>
    </row>
    <row r="1705" s="103">
      <c r="A1705" s="16" t="inlineStr">
        <is>
          <t>B331</t>
        </is>
      </c>
      <c r="B1705" s="16" t="inlineStr">
        <is>
          <t>上海区域</t>
        </is>
      </c>
      <c r="C1705" s="16" t="inlineStr">
        <is>
          <t>CN0Q</t>
        </is>
      </c>
      <c r="D1705" s="16" t="inlineStr">
        <is>
          <t>EE 苏州比斯特购物村</t>
        </is>
      </c>
      <c r="E1705" s="16" t="n">
        <v>4</v>
      </c>
      <c r="F1705" s="16" t="inlineStr">
        <is>
          <t>奥特莱斯</t>
        </is>
      </c>
      <c r="G1705" s="16" t="inlineStr">
        <is>
          <t>EEWHG24E01</t>
        </is>
      </c>
      <c r="H1705" s="16" t="n">
        <v>799</v>
      </c>
      <c r="I1705" s="16" t="n">
        <v>799</v>
      </c>
      <c r="J1705" s="17" t="inlineStr">
        <is>
          <t>########</t>
        </is>
      </c>
      <c r="K1705" s="16" t="inlineStr">
        <is>
          <t>(35)Beige</t>
        </is>
      </c>
      <c r="L1705" s="16" t="inlineStr">
        <is>
          <t>营业中</t>
        </is>
      </c>
      <c r="M1705" s="16" t="inlineStr">
        <is>
          <t>EEWHG24E0135160</t>
        </is>
      </c>
      <c r="N1705" s="16">
        <f>LEFT(M1705,12)</f>
        <v/>
      </c>
      <c r="O1705" s="16" t="inlineStr">
        <is>
          <t>EEWHG24E01, (35)Beige, (160)160</t>
        </is>
      </c>
      <c r="P1705" s="16" t="n">
        <v>799</v>
      </c>
      <c r="Q1705" s="16" t="n">
        <v>799</v>
      </c>
      <c r="R1705" s="16" t="n">
        <v>2</v>
      </c>
      <c r="S1705" s="18" t="n">
        <v>1020</v>
      </c>
      <c r="T1705" s="16" t="n">
        <v>0</v>
      </c>
    </row>
    <row r="1706" s="103">
      <c r="A1706" s="16" t="inlineStr">
        <is>
          <t>B331</t>
        </is>
      </c>
      <c r="B1706" s="16" t="inlineStr">
        <is>
          <t>上海区域</t>
        </is>
      </c>
      <c r="C1706" s="16" t="inlineStr">
        <is>
          <t>CN0Q</t>
        </is>
      </c>
      <c r="D1706" s="16" t="inlineStr">
        <is>
          <t>EE 苏州比斯特购物村</t>
        </is>
      </c>
      <c r="E1706" s="16" t="n">
        <v>4</v>
      </c>
      <c r="F1706" s="16" t="inlineStr">
        <is>
          <t>奥特莱斯</t>
        </is>
      </c>
      <c r="G1706" s="16" t="inlineStr">
        <is>
          <t>EEWHG24E01</t>
        </is>
      </c>
      <c r="H1706" s="16" t="n">
        <v>799</v>
      </c>
      <c r="I1706" s="16" t="n">
        <v>799</v>
      </c>
      <c r="J1706" s="17" t="inlineStr">
        <is>
          <t>########</t>
        </is>
      </c>
      <c r="K1706" s="16" t="inlineStr">
        <is>
          <t>(35)Beige</t>
        </is>
      </c>
      <c r="L1706" s="16" t="inlineStr">
        <is>
          <t>营业中</t>
        </is>
      </c>
      <c r="M1706" s="16" t="inlineStr">
        <is>
          <t>EEWHG24E0135165</t>
        </is>
      </c>
      <c r="N1706" s="16">
        <f>LEFT(M1706,12)</f>
        <v/>
      </c>
      <c r="O1706" s="16" t="inlineStr">
        <is>
          <t>EEWHG24E01, (35)Beige, (165)165</t>
        </is>
      </c>
      <c r="P1706" s="16" t="n">
        <v>799</v>
      </c>
      <c r="Q1706" s="16" t="n">
        <v>799</v>
      </c>
      <c r="R1706" s="16" t="n">
        <v>1</v>
      </c>
      <c r="S1706" s="16" t="n">
        <v>559</v>
      </c>
      <c r="T1706" s="16" t="n">
        <v>0</v>
      </c>
    </row>
    <row r="1707" s="103">
      <c r="A1707" s="16" t="inlineStr">
        <is>
          <t>B331</t>
        </is>
      </c>
      <c r="B1707" s="16" t="inlineStr">
        <is>
          <t>上海区域</t>
        </is>
      </c>
      <c r="C1707" s="16" t="inlineStr">
        <is>
          <t>CN0Q</t>
        </is>
      </c>
      <c r="D1707" s="16" t="inlineStr">
        <is>
          <t>EE 苏州比斯特购物村</t>
        </is>
      </c>
      <c r="E1707" s="16" t="n">
        <v>4</v>
      </c>
      <c r="F1707" s="16" t="inlineStr">
        <is>
          <t>奥特莱斯</t>
        </is>
      </c>
      <c r="G1707" s="16" t="inlineStr">
        <is>
          <t>EEWHG24E01</t>
        </is>
      </c>
      <c r="H1707" s="16" t="n">
        <v>799</v>
      </c>
      <c r="I1707" s="16" t="n">
        <v>799</v>
      </c>
      <c r="J1707" s="17" t="inlineStr">
        <is>
          <t>########</t>
        </is>
      </c>
      <c r="K1707" s="16" t="inlineStr">
        <is>
          <t>(35)Beige</t>
        </is>
      </c>
      <c r="L1707" s="16" t="inlineStr">
        <is>
          <t>营业中</t>
        </is>
      </c>
      <c r="M1707" s="16" t="inlineStr">
        <is>
          <t>EEWHG24E0135170</t>
        </is>
      </c>
      <c r="N1707" s="16">
        <f>LEFT(M1707,12)</f>
        <v/>
      </c>
      <c r="O1707" s="16" t="inlineStr">
        <is>
          <t>EEWHG24E01, (35)Beige, (170)170</t>
        </is>
      </c>
      <c r="P1707" s="16" t="n">
        <v>799</v>
      </c>
      <c r="Q1707" s="16" t="n">
        <v>799</v>
      </c>
      <c r="R1707" s="16" t="n"/>
      <c r="S1707" s="16" t="n"/>
      <c r="T1707" s="16" t="n">
        <v>2</v>
      </c>
    </row>
    <row r="1708" s="103">
      <c r="A1708" s="16" t="inlineStr">
        <is>
          <t>B331</t>
        </is>
      </c>
      <c r="B1708" s="16" t="inlineStr">
        <is>
          <t>上海区域</t>
        </is>
      </c>
      <c r="C1708" s="16" t="inlineStr">
        <is>
          <t>CN0Q</t>
        </is>
      </c>
      <c r="D1708" s="16" t="inlineStr">
        <is>
          <t>EE 苏州比斯特购物村</t>
        </is>
      </c>
      <c r="E1708" s="16" t="n">
        <v>4</v>
      </c>
      <c r="F1708" s="16" t="inlineStr">
        <is>
          <t>奥特莱斯</t>
        </is>
      </c>
      <c r="G1708" s="16" t="inlineStr">
        <is>
          <t>EEWHG24E01</t>
        </is>
      </c>
      <c r="H1708" s="16" t="n">
        <v>799</v>
      </c>
      <c r="I1708" s="16" t="n">
        <v>799</v>
      </c>
      <c r="J1708" s="17" t="inlineStr">
        <is>
          <t>########</t>
        </is>
      </c>
      <c r="K1708" s="16" t="inlineStr">
        <is>
          <t>(39)Ivory</t>
        </is>
      </c>
      <c r="L1708" s="16" t="inlineStr">
        <is>
          <t>营业中</t>
        </is>
      </c>
      <c r="M1708" s="16" t="inlineStr">
        <is>
          <t>EEWHG24E0139155</t>
        </is>
      </c>
      <c r="N1708" s="16">
        <f>LEFT(M1708,12)</f>
        <v/>
      </c>
      <c r="O1708" s="16" t="inlineStr">
        <is>
          <t>EEWHG24E01, (39)Ivory, (155)155</t>
        </is>
      </c>
      <c r="P1708" s="16" t="n">
        <v>799</v>
      </c>
      <c r="Q1708" s="16" t="n">
        <v>799</v>
      </c>
      <c r="R1708" s="16" t="n">
        <v>2</v>
      </c>
      <c r="S1708" s="18" t="n">
        <v>1311</v>
      </c>
      <c r="T1708" s="16" t="n">
        <v>2</v>
      </c>
    </row>
    <row r="1709" s="103">
      <c r="A1709" s="16" t="inlineStr">
        <is>
          <t>B331</t>
        </is>
      </c>
      <c r="B1709" s="16" t="inlineStr">
        <is>
          <t>上海区域</t>
        </is>
      </c>
      <c r="C1709" s="16" t="inlineStr">
        <is>
          <t>CN0Q</t>
        </is>
      </c>
      <c r="D1709" s="16" t="inlineStr">
        <is>
          <t>EE 苏州比斯特购物村</t>
        </is>
      </c>
      <c r="E1709" s="16" t="n">
        <v>4</v>
      </c>
      <c r="F1709" s="16" t="inlineStr">
        <is>
          <t>奥特莱斯</t>
        </is>
      </c>
      <c r="G1709" s="16" t="inlineStr">
        <is>
          <t>EEWHG24E01</t>
        </is>
      </c>
      <c r="H1709" s="16" t="n">
        <v>799</v>
      </c>
      <c r="I1709" s="16" t="n">
        <v>799</v>
      </c>
      <c r="J1709" s="17" t="inlineStr">
        <is>
          <t>########</t>
        </is>
      </c>
      <c r="K1709" s="16" t="inlineStr">
        <is>
          <t>(39)Ivory</t>
        </is>
      </c>
      <c r="L1709" s="16" t="inlineStr">
        <is>
          <t>营业中</t>
        </is>
      </c>
      <c r="M1709" s="16" t="inlineStr">
        <is>
          <t>EEWHG24E0139160</t>
        </is>
      </c>
      <c r="N1709" s="16">
        <f>LEFT(M1709,12)</f>
        <v/>
      </c>
      <c r="O1709" s="16" t="inlineStr">
        <is>
          <t>EEWHG24E01, (39)Ivory, (160)160</t>
        </is>
      </c>
      <c r="P1709" s="16" t="n">
        <v>799</v>
      </c>
      <c r="Q1709" s="16" t="n">
        <v>799</v>
      </c>
      <c r="R1709" s="16" t="n">
        <v>5</v>
      </c>
      <c r="S1709" s="18" t="n">
        <v>2601</v>
      </c>
      <c r="T1709" s="16" t="n">
        <v>2</v>
      </c>
    </row>
    <row r="1710" s="103">
      <c r="A1710" s="16" t="inlineStr">
        <is>
          <t>B331</t>
        </is>
      </c>
      <c r="B1710" s="16" t="inlineStr">
        <is>
          <t>上海区域</t>
        </is>
      </c>
      <c r="C1710" s="16" t="inlineStr">
        <is>
          <t>CN0Q</t>
        </is>
      </c>
      <c r="D1710" s="16" t="inlineStr">
        <is>
          <t>EE 苏州比斯特购物村</t>
        </is>
      </c>
      <c r="E1710" s="16" t="n">
        <v>4</v>
      </c>
      <c r="F1710" s="16" t="inlineStr">
        <is>
          <t>奥特莱斯</t>
        </is>
      </c>
      <c r="G1710" s="16" t="inlineStr">
        <is>
          <t>EEWHG24E01</t>
        </is>
      </c>
      <c r="H1710" s="16" t="n">
        <v>799</v>
      </c>
      <c r="I1710" s="16" t="n">
        <v>799</v>
      </c>
      <c r="J1710" s="17" t="inlineStr">
        <is>
          <t>########</t>
        </is>
      </c>
      <c r="K1710" s="16" t="inlineStr">
        <is>
          <t>(39)Ivory</t>
        </is>
      </c>
      <c r="L1710" s="16" t="inlineStr">
        <is>
          <t>营业中</t>
        </is>
      </c>
      <c r="M1710" s="16" t="inlineStr">
        <is>
          <t>EEWHG24E0139165</t>
        </is>
      </c>
      <c r="N1710" s="16">
        <f>LEFT(M1710,12)</f>
        <v/>
      </c>
      <c r="O1710" s="16" t="inlineStr">
        <is>
          <t>EEWHG24E01, (39)Ivory, (165)165</t>
        </is>
      </c>
      <c r="P1710" s="16" t="n">
        <v>799</v>
      </c>
      <c r="Q1710" s="16" t="n">
        <v>799</v>
      </c>
      <c r="R1710" s="16" t="n">
        <v>3</v>
      </c>
      <c r="S1710" s="16" t="n">
        <v>520</v>
      </c>
      <c r="T1710" s="16" t="n">
        <v>1</v>
      </c>
    </row>
    <row r="1711" s="103">
      <c r="A1711" s="16" t="inlineStr">
        <is>
          <t>B331</t>
        </is>
      </c>
      <c r="B1711" s="16" t="inlineStr">
        <is>
          <t>上海区域</t>
        </is>
      </c>
      <c r="C1711" s="16" t="inlineStr">
        <is>
          <t>CN0Q</t>
        </is>
      </c>
      <c r="D1711" s="16" t="inlineStr">
        <is>
          <t>EE 苏州比斯特购物村</t>
        </is>
      </c>
      <c r="E1711" s="16" t="n">
        <v>4</v>
      </c>
      <c r="F1711" s="16" t="inlineStr">
        <is>
          <t>奥特莱斯</t>
        </is>
      </c>
      <c r="G1711" s="16" t="inlineStr">
        <is>
          <t>EEWHG24E01</t>
        </is>
      </c>
      <c r="H1711" s="16" t="n">
        <v>799</v>
      </c>
      <c r="I1711" s="16" t="n">
        <v>799</v>
      </c>
      <c r="J1711" s="17" t="inlineStr">
        <is>
          <t>########</t>
        </is>
      </c>
      <c r="K1711" s="16" t="inlineStr">
        <is>
          <t>(39)Ivory</t>
        </is>
      </c>
      <c r="L1711" s="16" t="inlineStr">
        <is>
          <t>营业中</t>
        </is>
      </c>
      <c r="M1711" s="16" t="inlineStr">
        <is>
          <t>EEWHG24E0139170</t>
        </is>
      </c>
      <c r="N1711" s="16">
        <f>LEFT(M1711,12)</f>
        <v/>
      </c>
      <c r="O1711" s="16" t="inlineStr">
        <is>
          <t>EEWHG24E01, (39)Ivory, (170)170</t>
        </is>
      </c>
      <c r="P1711" s="16" t="n">
        <v>799</v>
      </c>
      <c r="Q1711" s="16" t="n">
        <v>799</v>
      </c>
      <c r="R1711" s="16" t="n">
        <v>1</v>
      </c>
      <c r="S1711" s="16" t="n">
        <v>510</v>
      </c>
      <c r="T1711" s="16" t="n">
        <v>1</v>
      </c>
    </row>
    <row r="1712" s="103">
      <c r="A1712" s="16" t="inlineStr">
        <is>
          <t>B331</t>
        </is>
      </c>
      <c r="B1712" s="16" t="inlineStr">
        <is>
          <t>上海区域</t>
        </is>
      </c>
      <c r="C1712" s="16" t="inlineStr">
        <is>
          <t>CN0Q</t>
        </is>
      </c>
      <c r="D1712" s="16" t="inlineStr">
        <is>
          <t>EE 苏州比斯特购物村</t>
        </is>
      </c>
      <c r="E1712" s="16" t="n">
        <v>4</v>
      </c>
      <c r="F1712" s="16" t="inlineStr">
        <is>
          <t>奥特莱斯</t>
        </is>
      </c>
      <c r="G1712" s="16" t="inlineStr">
        <is>
          <t>EEWHG24E01</t>
        </is>
      </c>
      <c r="H1712" s="16" t="n">
        <v>799</v>
      </c>
      <c r="I1712" s="16" t="n">
        <v>799</v>
      </c>
      <c r="J1712" s="17" t="inlineStr">
        <is>
          <t>########</t>
        </is>
      </c>
      <c r="K1712" s="16" t="inlineStr">
        <is>
          <t>(59)Navy</t>
        </is>
      </c>
      <c r="L1712" s="16" t="inlineStr">
        <is>
          <t>营业中</t>
        </is>
      </c>
      <c r="M1712" s="16" t="inlineStr">
        <is>
          <t>EEWHG24E0159155</t>
        </is>
      </c>
      <c r="N1712" s="16">
        <f>LEFT(M1712,12)</f>
        <v/>
      </c>
      <c r="O1712" s="16" t="inlineStr">
        <is>
          <t>EEWHG24E01, (59)Navy, (155)155</t>
        </is>
      </c>
      <c r="P1712" s="16" t="n">
        <v>799</v>
      </c>
      <c r="Q1712" s="16" t="n">
        <v>799</v>
      </c>
      <c r="R1712" s="16" t="n">
        <v>3</v>
      </c>
      <c r="S1712" s="18" t="n">
        <v>1531</v>
      </c>
      <c r="T1712" s="16" t="n">
        <v>1</v>
      </c>
    </row>
    <row r="1713" s="103">
      <c r="A1713" s="16" t="inlineStr">
        <is>
          <t>B331</t>
        </is>
      </c>
      <c r="B1713" s="16" t="inlineStr">
        <is>
          <t>上海区域</t>
        </is>
      </c>
      <c r="C1713" s="16" t="inlineStr">
        <is>
          <t>CN0Q</t>
        </is>
      </c>
      <c r="D1713" s="16" t="inlineStr">
        <is>
          <t>EE 苏州比斯特购物村</t>
        </is>
      </c>
      <c r="E1713" s="16" t="n">
        <v>4</v>
      </c>
      <c r="F1713" s="16" t="inlineStr">
        <is>
          <t>奥特莱斯</t>
        </is>
      </c>
      <c r="G1713" s="16" t="inlineStr">
        <is>
          <t>EEWHG24E01</t>
        </is>
      </c>
      <c r="H1713" s="16" t="n">
        <v>799</v>
      </c>
      <c r="I1713" s="16" t="n">
        <v>799</v>
      </c>
      <c r="J1713" s="17" t="inlineStr">
        <is>
          <t>########</t>
        </is>
      </c>
      <c r="K1713" s="16" t="inlineStr">
        <is>
          <t>(59)Navy</t>
        </is>
      </c>
      <c r="L1713" s="16" t="inlineStr">
        <is>
          <t>营业中</t>
        </is>
      </c>
      <c r="M1713" s="16" t="inlineStr">
        <is>
          <t>EEWHG24E0159160</t>
        </is>
      </c>
      <c r="N1713" s="16">
        <f>LEFT(M1713,12)</f>
        <v/>
      </c>
      <c r="O1713" s="16" t="inlineStr">
        <is>
          <t>EEWHG24E01, (59)Navy, (160)160</t>
        </is>
      </c>
      <c r="P1713" s="16" t="n">
        <v>799</v>
      </c>
      <c r="Q1713" s="16" t="n">
        <v>799</v>
      </c>
      <c r="R1713" s="16" t="n">
        <v>6</v>
      </c>
      <c r="S1713" s="18" t="n">
        <v>2848</v>
      </c>
      <c r="T1713" s="16" t="n">
        <v>4</v>
      </c>
    </row>
    <row r="1714" s="103">
      <c r="A1714" s="16" t="inlineStr">
        <is>
          <t>B331</t>
        </is>
      </c>
      <c r="B1714" s="16" t="inlineStr">
        <is>
          <t>上海区域</t>
        </is>
      </c>
      <c r="C1714" s="16" t="inlineStr">
        <is>
          <t>CN0Q</t>
        </is>
      </c>
      <c r="D1714" s="16" t="inlineStr">
        <is>
          <t>EE 苏州比斯特购物村</t>
        </is>
      </c>
      <c r="E1714" s="16" t="n">
        <v>4</v>
      </c>
      <c r="F1714" s="16" t="inlineStr">
        <is>
          <t>奥特莱斯</t>
        </is>
      </c>
      <c r="G1714" s="16" t="inlineStr">
        <is>
          <t>EEWHG24E01</t>
        </is>
      </c>
      <c r="H1714" s="16" t="n">
        <v>799</v>
      </c>
      <c r="I1714" s="16" t="n">
        <v>799</v>
      </c>
      <c r="J1714" s="17" t="inlineStr">
        <is>
          <t>########</t>
        </is>
      </c>
      <c r="K1714" s="16" t="inlineStr">
        <is>
          <t>(59)Navy</t>
        </is>
      </c>
      <c r="L1714" s="16" t="inlineStr">
        <is>
          <t>营业中</t>
        </is>
      </c>
      <c r="M1714" s="16" t="inlineStr">
        <is>
          <t>EEWHG24E0159165</t>
        </is>
      </c>
      <c r="N1714" s="16">
        <f>LEFT(M1714,12)</f>
        <v/>
      </c>
      <c r="O1714" s="16" t="inlineStr">
        <is>
          <t>EEWHG24E01, (59)Navy, (165)165</t>
        </is>
      </c>
      <c r="P1714" s="16" t="n">
        <v>799</v>
      </c>
      <c r="Q1714" s="16" t="n">
        <v>799</v>
      </c>
      <c r="R1714" s="16" t="n">
        <v>6</v>
      </c>
      <c r="S1714" s="18" t="n">
        <v>2339</v>
      </c>
      <c r="T1714" s="16" t="n">
        <v>0</v>
      </c>
    </row>
    <row r="1715" s="103">
      <c r="A1715" s="16" t="inlineStr">
        <is>
          <t>B331</t>
        </is>
      </c>
      <c r="B1715" s="16" t="inlineStr">
        <is>
          <t>上海区域</t>
        </is>
      </c>
      <c r="C1715" s="16" t="inlineStr">
        <is>
          <t>CN0Q</t>
        </is>
      </c>
      <c r="D1715" s="16" t="inlineStr">
        <is>
          <t>EE 苏州比斯特购物村</t>
        </is>
      </c>
      <c r="E1715" s="16" t="n">
        <v>4</v>
      </c>
      <c r="F1715" s="16" t="inlineStr">
        <is>
          <t>奥特莱斯</t>
        </is>
      </c>
      <c r="G1715" s="16" t="inlineStr">
        <is>
          <t>EEWHG24E01</t>
        </is>
      </c>
      <c r="H1715" s="16" t="n">
        <v>799</v>
      </c>
      <c r="I1715" s="16" t="n">
        <v>799</v>
      </c>
      <c r="J1715" s="17" t="inlineStr">
        <is>
          <t>########</t>
        </is>
      </c>
      <c r="K1715" s="16" t="inlineStr">
        <is>
          <t>(59)Navy</t>
        </is>
      </c>
      <c r="L1715" s="16" t="inlineStr">
        <is>
          <t>营业中</t>
        </is>
      </c>
      <c r="M1715" s="16" t="inlineStr">
        <is>
          <t>EEWHG24E0159170</t>
        </is>
      </c>
      <c r="N1715" s="16">
        <f>LEFT(M1715,12)</f>
        <v/>
      </c>
      <c r="O1715" s="16" t="inlineStr">
        <is>
          <t>EEWHG24E01, (59)Navy, (170)170</t>
        </is>
      </c>
      <c r="P1715" s="16" t="n">
        <v>799</v>
      </c>
      <c r="Q1715" s="16" t="n">
        <v>799</v>
      </c>
      <c r="R1715" s="16" t="n">
        <v>4</v>
      </c>
      <c r="S1715" s="18" t="n">
        <v>1837</v>
      </c>
      <c r="T1715" s="16" t="n">
        <v>4</v>
      </c>
    </row>
    <row r="1716" s="103">
      <c r="A1716" s="16" t="inlineStr">
        <is>
          <t>B331</t>
        </is>
      </c>
      <c r="B1716" s="16" t="inlineStr">
        <is>
          <t>上海区域</t>
        </is>
      </c>
      <c r="C1716" s="16" t="inlineStr">
        <is>
          <t>CN0Q</t>
        </is>
      </c>
      <c r="D1716" s="16" t="inlineStr">
        <is>
          <t>EE 苏州比斯特购物村</t>
        </is>
      </c>
      <c r="E1716" s="16" t="n">
        <v>4</v>
      </c>
      <c r="F1716" s="16" t="inlineStr">
        <is>
          <t>奥特莱斯</t>
        </is>
      </c>
      <c r="G1716" s="16" t="inlineStr">
        <is>
          <t>EEWHG24E02</t>
        </is>
      </c>
      <c r="H1716" s="16" t="n">
        <v>899</v>
      </c>
      <c r="I1716" s="16" t="n">
        <v>899</v>
      </c>
      <c r="J1716" s="17" t="inlineStr">
        <is>
          <t>########</t>
        </is>
      </c>
      <c r="K1716" s="16" t="inlineStr">
        <is>
          <t>(39)Ivory</t>
        </is>
      </c>
      <c r="L1716" s="16" t="inlineStr">
        <is>
          <t>营业中</t>
        </is>
      </c>
      <c r="M1716" s="16" t="inlineStr">
        <is>
          <t>EEWHG24E0239155</t>
        </is>
      </c>
      <c r="N1716" s="16">
        <f>LEFT(M1716,12)</f>
        <v/>
      </c>
      <c r="O1716" s="16" t="inlineStr">
        <is>
          <t>EEWHG24E02, (39)Ivory, (155)155</t>
        </is>
      </c>
      <c r="P1716" s="16" t="n">
        <v>899</v>
      </c>
      <c r="Q1716" s="16" t="n">
        <v>899</v>
      </c>
      <c r="R1716" s="16" t="n">
        <v>3</v>
      </c>
      <c r="S1716" s="16" t="n">
        <v>589</v>
      </c>
      <c r="T1716" s="16" t="n">
        <v>5</v>
      </c>
    </row>
    <row r="1717" s="103">
      <c r="A1717" s="16" t="inlineStr">
        <is>
          <t>B331</t>
        </is>
      </c>
      <c r="B1717" s="16" t="inlineStr">
        <is>
          <t>上海区域</t>
        </is>
      </c>
      <c r="C1717" s="16" t="inlineStr">
        <is>
          <t>CN0Q</t>
        </is>
      </c>
      <c r="D1717" s="16" t="inlineStr">
        <is>
          <t>EE 苏州比斯特购物村</t>
        </is>
      </c>
      <c r="E1717" s="16" t="n">
        <v>4</v>
      </c>
      <c r="F1717" s="16" t="inlineStr">
        <is>
          <t>奥特莱斯</t>
        </is>
      </c>
      <c r="G1717" s="16" t="inlineStr">
        <is>
          <t>EEWHG24E02</t>
        </is>
      </c>
      <c r="H1717" s="16" t="n">
        <v>899</v>
      </c>
      <c r="I1717" s="16" t="n">
        <v>899</v>
      </c>
      <c r="J1717" s="17" t="inlineStr">
        <is>
          <t>########</t>
        </is>
      </c>
      <c r="K1717" s="16" t="inlineStr">
        <is>
          <t>(39)Ivory</t>
        </is>
      </c>
      <c r="L1717" s="16" t="inlineStr">
        <is>
          <t>营业中</t>
        </is>
      </c>
      <c r="M1717" s="16" t="inlineStr">
        <is>
          <t>EEWHG24E0239160</t>
        </is>
      </c>
      <c r="N1717" s="16">
        <f>LEFT(M1717,12)</f>
        <v/>
      </c>
      <c r="O1717" s="16" t="inlineStr">
        <is>
          <t>EEWHG24E02, (39)Ivory, (160)160</t>
        </is>
      </c>
      <c r="P1717" s="16" t="n">
        <v>899</v>
      </c>
      <c r="Q1717" s="16" t="n">
        <v>899</v>
      </c>
      <c r="R1717" s="16" t="n">
        <v>5</v>
      </c>
      <c r="S1717" s="16" t="n">
        <v>879</v>
      </c>
      <c r="T1717" s="16" t="n">
        <v>6</v>
      </c>
    </row>
    <row r="1718" s="103">
      <c r="A1718" s="16" t="inlineStr">
        <is>
          <t>B331</t>
        </is>
      </c>
      <c r="B1718" s="16" t="inlineStr">
        <is>
          <t>上海区域</t>
        </is>
      </c>
      <c r="C1718" s="16" t="inlineStr">
        <is>
          <t>CN0Q</t>
        </is>
      </c>
      <c r="D1718" s="16" t="inlineStr">
        <is>
          <t>EE 苏州比斯特购物村</t>
        </is>
      </c>
      <c r="E1718" s="16" t="n">
        <v>4</v>
      </c>
      <c r="F1718" s="16" t="inlineStr">
        <is>
          <t>奥特莱斯</t>
        </is>
      </c>
      <c r="G1718" s="16" t="inlineStr">
        <is>
          <t>EEWHG24E02</t>
        </is>
      </c>
      <c r="H1718" s="16" t="n">
        <v>899</v>
      </c>
      <c r="I1718" s="16" t="n">
        <v>899</v>
      </c>
      <c r="J1718" s="17" t="inlineStr">
        <is>
          <t>########</t>
        </is>
      </c>
      <c r="K1718" s="16" t="inlineStr">
        <is>
          <t>(39)Ivory</t>
        </is>
      </c>
      <c r="L1718" s="16" t="inlineStr">
        <is>
          <t>营业中</t>
        </is>
      </c>
      <c r="M1718" s="16" t="inlineStr">
        <is>
          <t>EEWHG24E0239165</t>
        </is>
      </c>
      <c r="N1718" s="16">
        <f>LEFT(M1718,12)</f>
        <v/>
      </c>
      <c r="O1718" s="16" t="inlineStr">
        <is>
          <t>EEWHG24E02, (39)Ivory, (165)165</t>
        </is>
      </c>
      <c r="P1718" s="16" t="n">
        <v>899</v>
      </c>
      <c r="Q1718" s="16" t="n">
        <v>899</v>
      </c>
      <c r="R1718" s="16" t="n">
        <v>3</v>
      </c>
      <c r="S1718" s="18" t="n">
        <v>1152</v>
      </c>
      <c r="T1718" s="16" t="n">
        <v>2</v>
      </c>
    </row>
    <row r="1719" s="103">
      <c r="A1719" s="16" t="inlineStr">
        <is>
          <t>B331</t>
        </is>
      </c>
      <c r="B1719" s="16" t="inlineStr">
        <is>
          <t>上海区域</t>
        </is>
      </c>
      <c r="C1719" s="16" t="inlineStr">
        <is>
          <t>CN0Q</t>
        </is>
      </c>
      <c r="D1719" s="16" t="inlineStr">
        <is>
          <t>EE 苏州比斯特购物村</t>
        </is>
      </c>
      <c r="E1719" s="16" t="n">
        <v>4</v>
      </c>
      <c r="F1719" s="16" t="inlineStr">
        <is>
          <t>奥特莱斯</t>
        </is>
      </c>
      <c r="G1719" s="16" t="inlineStr">
        <is>
          <t>EEWHG24E02</t>
        </is>
      </c>
      <c r="H1719" s="16" t="n">
        <v>899</v>
      </c>
      <c r="I1719" s="16" t="n">
        <v>899</v>
      </c>
      <c r="J1719" s="17" t="inlineStr">
        <is>
          <t>########</t>
        </is>
      </c>
      <c r="K1719" s="16" t="inlineStr">
        <is>
          <t>(39)Ivory</t>
        </is>
      </c>
      <c r="L1719" s="16" t="inlineStr">
        <is>
          <t>营业中</t>
        </is>
      </c>
      <c r="M1719" s="16" t="inlineStr">
        <is>
          <t>EEWHG24E0239170</t>
        </is>
      </c>
      <c r="N1719" s="16">
        <f>LEFT(M1719,12)</f>
        <v/>
      </c>
      <c r="O1719" s="16" t="inlineStr">
        <is>
          <t>EEWHG24E02, (39)Ivory, (170)170</t>
        </is>
      </c>
      <c r="P1719" s="16" t="n">
        <v>899</v>
      </c>
      <c r="Q1719" s="16" t="n">
        <v>899</v>
      </c>
      <c r="R1719" s="16" t="n">
        <v>1</v>
      </c>
      <c r="S1719" s="16" t="n">
        <v>270</v>
      </c>
      <c r="T1719" s="16" t="n">
        <v>3</v>
      </c>
    </row>
    <row r="1720" s="103">
      <c r="A1720" s="16" t="inlineStr">
        <is>
          <t>B331</t>
        </is>
      </c>
      <c r="B1720" s="16" t="inlineStr">
        <is>
          <t>上海区域</t>
        </is>
      </c>
      <c r="C1720" s="16" t="inlineStr">
        <is>
          <t>CN0Q</t>
        </is>
      </c>
      <c r="D1720" s="16" t="inlineStr">
        <is>
          <t>EE 苏州比斯特购物村</t>
        </is>
      </c>
      <c r="E1720" s="16" t="n">
        <v>4</v>
      </c>
      <c r="F1720" s="16" t="inlineStr">
        <is>
          <t>奥特莱斯</t>
        </is>
      </c>
      <c r="G1720" s="16" t="inlineStr">
        <is>
          <t>EEWHG24E02</t>
        </is>
      </c>
      <c r="H1720" s="16" t="n">
        <v>899</v>
      </c>
      <c r="I1720" s="16" t="n">
        <v>899</v>
      </c>
      <c r="J1720" s="17" t="inlineStr">
        <is>
          <t>########</t>
        </is>
      </c>
      <c r="K1720" s="16" t="inlineStr">
        <is>
          <t>(59)Navy</t>
        </is>
      </c>
      <c r="L1720" s="16" t="inlineStr">
        <is>
          <t>营业中</t>
        </is>
      </c>
      <c r="M1720" s="16" t="inlineStr">
        <is>
          <t>EEWHG24E0259155</t>
        </is>
      </c>
      <c r="N1720" s="16">
        <f>LEFT(M1720,12)</f>
        <v/>
      </c>
      <c r="O1720" s="16" t="inlineStr">
        <is>
          <t>EEWHG24E02, (59)Navy, (155)155</t>
        </is>
      </c>
      <c r="P1720" s="16" t="n">
        <v>899</v>
      </c>
      <c r="Q1720" s="16" t="n">
        <v>899</v>
      </c>
      <c r="R1720" s="16" t="n">
        <v>2</v>
      </c>
      <c r="S1720" s="16" t="n">
        <v>569</v>
      </c>
      <c r="T1720" s="16" t="n">
        <v>3</v>
      </c>
    </row>
    <row r="1721" s="103">
      <c r="A1721" s="16" t="inlineStr">
        <is>
          <t>B331</t>
        </is>
      </c>
      <c r="B1721" s="16" t="inlineStr">
        <is>
          <t>上海区域</t>
        </is>
      </c>
      <c r="C1721" s="16" t="inlineStr">
        <is>
          <t>CN0Q</t>
        </is>
      </c>
      <c r="D1721" s="16" t="inlineStr">
        <is>
          <t>EE 苏州比斯特购物村</t>
        </is>
      </c>
      <c r="E1721" s="16" t="n">
        <v>4</v>
      </c>
      <c r="F1721" s="16" t="inlineStr">
        <is>
          <t>奥特莱斯</t>
        </is>
      </c>
      <c r="G1721" s="16" t="inlineStr">
        <is>
          <t>EEWHG24E02</t>
        </is>
      </c>
      <c r="H1721" s="16" t="n">
        <v>899</v>
      </c>
      <c r="I1721" s="16" t="n">
        <v>899</v>
      </c>
      <c r="J1721" s="17" t="inlineStr">
        <is>
          <t>########</t>
        </is>
      </c>
      <c r="K1721" s="16" t="inlineStr">
        <is>
          <t>(59)Navy</t>
        </is>
      </c>
      <c r="L1721" s="16" t="inlineStr">
        <is>
          <t>营业中</t>
        </is>
      </c>
      <c r="M1721" s="16" t="inlineStr">
        <is>
          <t>EEWHG24E0259160</t>
        </is>
      </c>
      <c r="N1721" s="16">
        <f>LEFT(M1721,12)</f>
        <v/>
      </c>
      <c r="O1721" s="16" t="inlineStr">
        <is>
          <t>EEWHG24E02, (59)Navy, (160)160</t>
        </is>
      </c>
      <c r="P1721" s="16" t="n">
        <v>899</v>
      </c>
      <c r="Q1721" s="16" t="n">
        <v>899</v>
      </c>
      <c r="R1721" s="16" t="n">
        <v>3</v>
      </c>
      <c r="S1721" s="16" t="n">
        <v>483</v>
      </c>
      <c r="T1721" s="16" t="n">
        <v>5</v>
      </c>
    </row>
    <row r="1722" s="103">
      <c r="A1722" s="16" t="inlineStr">
        <is>
          <t>B331</t>
        </is>
      </c>
      <c r="B1722" s="16" t="inlineStr">
        <is>
          <t>上海区域</t>
        </is>
      </c>
      <c r="C1722" s="16" t="inlineStr">
        <is>
          <t>CN0Q</t>
        </is>
      </c>
      <c r="D1722" s="16" t="inlineStr">
        <is>
          <t>EE 苏州比斯特购物村</t>
        </is>
      </c>
      <c r="E1722" s="16" t="n">
        <v>4</v>
      </c>
      <c r="F1722" s="16" t="inlineStr">
        <is>
          <t>奥特莱斯</t>
        </is>
      </c>
      <c r="G1722" s="16" t="inlineStr">
        <is>
          <t>EEWHG24E02</t>
        </is>
      </c>
      <c r="H1722" s="16" t="n">
        <v>899</v>
      </c>
      <c r="I1722" s="16" t="n">
        <v>899</v>
      </c>
      <c r="J1722" s="17" t="inlineStr">
        <is>
          <t>########</t>
        </is>
      </c>
      <c r="K1722" s="16" t="inlineStr">
        <is>
          <t>(59)Navy</t>
        </is>
      </c>
      <c r="L1722" s="16" t="inlineStr">
        <is>
          <t>营业中</t>
        </is>
      </c>
      <c r="M1722" s="16" t="inlineStr">
        <is>
          <t>EEWHG24E0259165</t>
        </is>
      </c>
      <c r="N1722" s="16">
        <f>LEFT(M1722,12)</f>
        <v/>
      </c>
      <c r="O1722" s="16" t="inlineStr">
        <is>
          <t>EEWHG24E02, (59)Navy, (165)165</t>
        </is>
      </c>
      <c r="P1722" s="16" t="n">
        <v>899</v>
      </c>
      <c r="Q1722" s="16" t="n">
        <v>899</v>
      </c>
      <c r="R1722" s="16" t="n">
        <v>2</v>
      </c>
      <c r="S1722" s="16" t="n">
        <v>574</v>
      </c>
      <c r="T1722" s="16" t="n">
        <v>3</v>
      </c>
    </row>
    <row r="1723" s="103">
      <c r="A1723" s="16" t="inlineStr">
        <is>
          <t>B331</t>
        </is>
      </c>
      <c r="B1723" s="16" t="inlineStr">
        <is>
          <t>上海区域</t>
        </is>
      </c>
      <c r="C1723" s="16" t="inlineStr">
        <is>
          <t>CN0Q</t>
        </is>
      </c>
      <c r="D1723" s="16" t="inlineStr">
        <is>
          <t>EE 苏州比斯特购物村</t>
        </is>
      </c>
      <c r="E1723" s="16" t="n">
        <v>4</v>
      </c>
      <c r="F1723" s="16" t="inlineStr">
        <is>
          <t>奥特莱斯</t>
        </is>
      </c>
      <c r="G1723" s="16" t="inlineStr">
        <is>
          <t>EEWHG24E02</t>
        </is>
      </c>
      <c r="H1723" s="16" t="n">
        <v>899</v>
      </c>
      <c r="I1723" s="16" t="n">
        <v>899</v>
      </c>
      <c r="J1723" s="17" t="inlineStr">
        <is>
          <t>########</t>
        </is>
      </c>
      <c r="K1723" s="16" t="inlineStr">
        <is>
          <t>(59)Navy</t>
        </is>
      </c>
      <c r="L1723" s="16" t="inlineStr">
        <is>
          <t>营业中</t>
        </is>
      </c>
      <c r="M1723" s="16" t="inlineStr">
        <is>
          <t>EEWHG24E0259170</t>
        </is>
      </c>
      <c r="N1723" s="16">
        <f>LEFT(M1723,12)</f>
        <v/>
      </c>
      <c r="O1723" s="16" t="inlineStr">
        <is>
          <t>EEWHG24E02, (59)Navy, (170)170</t>
        </is>
      </c>
      <c r="P1723" s="16" t="n">
        <v>899</v>
      </c>
      <c r="Q1723" s="16" t="n">
        <v>899</v>
      </c>
      <c r="R1723" s="16" t="n">
        <v>2</v>
      </c>
      <c r="S1723" s="16" t="n">
        <v>569</v>
      </c>
      <c r="T1723" s="16" t="n">
        <v>3</v>
      </c>
    </row>
    <row r="1724" s="103">
      <c r="A1724" s="16" t="inlineStr">
        <is>
          <t>B331</t>
        </is>
      </c>
      <c r="B1724" s="16" t="inlineStr">
        <is>
          <t>上海区域</t>
        </is>
      </c>
      <c r="C1724" s="16" t="inlineStr">
        <is>
          <t>CN0Q</t>
        </is>
      </c>
      <c r="D1724" s="16" t="inlineStr">
        <is>
          <t>EE 苏州比斯特购物村</t>
        </is>
      </c>
      <c r="E1724" s="16" t="n">
        <v>4</v>
      </c>
      <c r="F1724" s="16" t="inlineStr">
        <is>
          <t>奥特莱斯</t>
        </is>
      </c>
      <c r="G1724" s="16" t="inlineStr">
        <is>
          <t>EEWHG24E03</t>
        </is>
      </c>
      <c r="H1724" s="16" t="n">
        <v>799</v>
      </c>
      <c r="I1724" s="16" t="n">
        <v>699</v>
      </c>
      <c r="J1724" s="17" t="inlineStr">
        <is>
          <t>########</t>
        </is>
      </c>
      <c r="K1724" s="16" t="inlineStr">
        <is>
          <t>(35)Beige</t>
        </is>
      </c>
      <c r="L1724" s="16" t="inlineStr">
        <is>
          <t>营业中</t>
        </is>
      </c>
      <c r="M1724" s="16" t="inlineStr">
        <is>
          <t>EEWHG24E0335155</t>
        </is>
      </c>
      <c r="N1724" s="16">
        <f>LEFT(M1724,12)</f>
        <v/>
      </c>
      <c r="O1724" s="16" t="inlineStr">
        <is>
          <t>EEWHG24E03, (35)Beige, (155)155</t>
        </is>
      </c>
      <c r="P1724" s="16" t="n">
        <v>799</v>
      </c>
      <c r="Q1724" s="16" t="n">
        <v>699</v>
      </c>
      <c r="R1724" s="16" t="n"/>
      <c r="S1724" s="16" t="n"/>
      <c r="T1724" s="16" t="n">
        <v>2</v>
      </c>
    </row>
    <row r="1725" s="103">
      <c r="A1725" s="16" t="inlineStr">
        <is>
          <t>B331</t>
        </is>
      </c>
      <c r="B1725" s="16" t="inlineStr">
        <is>
          <t>上海区域</t>
        </is>
      </c>
      <c r="C1725" s="16" t="inlineStr">
        <is>
          <t>CN0Q</t>
        </is>
      </c>
      <c r="D1725" s="16" t="inlineStr">
        <is>
          <t>EE 苏州比斯特购物村</t>
        </is>
      </c>
      <c r="E1725" s="16" t="n">
        <v>4</v>
      </c>
      <c r="F1725" s="16" t="inlineStr">
        <is>
          <t>奥特莱斯</t>
        </is>
      </c>
      <c r="G1725" s="16" t="inlineStr">
        <is>
          <t>EEWHG24E03</t>
        </is>
      </c>
      <c r="H1725" s="16" t="n">
        <v>799</v>
      </c>
      <c r="I1725" s="16" t="n">
        <v>699</v>
      </c>
      <c r="J1725" s="17" t="inlineStr">
        <is>
          <t>########</t>
        </is>
      </c>
      <c r="K1725" s="16" t="inlineStr">
        <is>
          <t>(35)Beige</t>
        </is>
      </c>
      <c r="L1725" s="16" t="inlineStr">
        <is>
          <t>营业中</t>
        </is>
      </c>
      <c r="M1725" s="16" t="inlineStr">
        <is>
          <t>EEWHG24E0335160</t>
        </is>
      </c>
      <c r="N1725" s="16">
        <f>LEFT(M1725,12)</f>
        <v/>
      </c>
      <c r="O1725" s="16" t="inlineStr">
        <is>
          <t>EEWHG24E03, (35)Beige, (160)160</t>
        </is>
      </c>
      <c r="P1725" s="16" t="n">
        <v>799</v>
      </c>
      <c r="Q1725" s="16" t="n">
        <v>699</v>
      </c>
      <c r="R1725" s="16" t="n">
        <v>1</v>
      </c>
      <c r="S1725" s="16" t="n"/>
      <c r="T1725" s="16" t="n">
        <v>2</v>
      </c>
    </row>
    <row r="1726" s="103">
      <c r="A1726" s="16" t="inlineStr">
        <is>
          <t>B331</t>
        </is>
      </c>
      <c r="B1726" s="16" t="inlineStr">
        <is>
          <t>上海区域</t>
        </is>
      </c>
      <c r="C1726" s="16" t="inlineStr">
        <is>
          <t>CN0Q</t>
        </is>
      </c>
      <c r="D1726" s="16" t="inlineStr">
        <is>
          <t>EE 苏州比斯特购物村</t>
        </is>
      </c>
      <c r="E1726" s="16" t="n">
        <v>4</v>
      </c>
      <c r="F1726" s="16" t="inlineStr">
        <is>
          <t>奥特莱斯</t>
        </is>
      </c>
      <c r="G1726" s="16" t="inlineStr">
        <is>
          <t>EEWHG24E03</t>
        </is>
      </c>
      <c r="H1726" s="16" t="n">
        <v>799</v>
      </c>
      <c r="I1726" s="16" t="n">
        <v>699</v>
      </c>
      <c r="J1726" s="17" t="inlineStr">
        <is>
          <t>########</t>
        </is>
      </c>
      <c r="K1726" s="16" t="inlineStr">
        <is>
          <t>(35)Beige</t>
        </is>
      </c>
      <c r="L1726" s="16" t="inlineStr">
        <is>
          <t>营业中</t>
        </is>
      </c>
      <c r="M1726" s="16" t="inlineStr">
        <is>
          <t>EEWHG24E0335165</t>
        </is>
      </c>
      <c r="N1726" s="16">
        <f>LEFT(M1726,12)</f>
        <v/>
      </c>
      <c r="O1726" s="16" t="inlineStr">
        <is>
          <t>EEWHG24E03, (35)Beige, (165)165</t>
        </is>
      </c>
      <c r="P1726" s="16" t="n">
        <v>799</v>
      </c>
      <c r="Q1726" s="16" t="n">
        <v>699</v>
      </c>
      <c r="R1726" s="16" t="n">
        <v>1</v>
      </c>
      <c r="S1726" s="16" t="n">
        <v>449</v>
      </c>
      <c r="T1726" s="16" t="n">
        <v>1</v>
      </c>
    </row>
    <row r="1727" s="103">
      <c r="A1727" s="16" t="inlineStr">
        <is>
          <t>B331</t>
        </is>
      </c>
      <c r="B1727" s="16" t="inlineStr">
        <is>
          <t>上海区域</t>
        </is>
      </c>
      <c r="C1727" s="16" t="inlineStr">
        <is>
          <t>CN0Q</t>
        </is>
      </c>
      <c r="D1727" s="16" t="inlineStr">
        <is>
          <t>EE 苏州比斯特购物村</t>
        </is>
      </c>
      <c r="E1727" s="16" t="n">
        <v>4</v>
      </c>
      <c r="F1727" s="16" t="inlineStr">
        <is>
          <t>奥特莱斯</t>
        </is>
      </c>
      <c r="G1727" s="16" t="inlineStr">
        <is>
          <t>EEWHG24E03</t>
        </is>
      </c>
      <c r="H1727" s="16" t="n">
        <v>799</v>
      </c>
      <c r="I1727" s="16" t="n">
        <v>699</v>
      </c>
      <c r="J1727" s="17" t="inlineStr">
        <is>
          <t>########</t>
        </is>
      </c>
      <c r="K1727" s="16" t="inlineStr">
        <is>
          <t>(35)Beige</t>
        </is>
      </c>
      <c r="L1727" s="16" t="inlineStr">
        <is>
          <t>营业中</t>
        </is>
      </c>
      <c r="M1727" s="16" t="inlineStr">
        <is>
          <t>EEWHG24E0335170</t>
        </is>
      </c>
      <c r="N1727" s="16">
        <f>LEFT(M1727,12)</f>
        <v/>
      </c>
      <c r="O1727" s="16" t="inlineStr">
        <is>
          <t>EEWHG24E03, (35)Beige, (170)170</t>
        </is>
      </c>
      <c r="P1727" s="16" t="n">
        <v>799</v>
      </c>
      <c r="Q1727" s="16" t="n">
        <v>699</v>
      </c>
      <c r="R1727" s="16" t="n">
        <v>1</v>
      </c>
      <c r="S1727" s="16" t="n">
        <v>489</v>
      </c>
      <c r="T1727" s="16" t="n">
        <v>1</v>
      </c>
    </row>
    <row r="1728" s="103">
      <c r="A1728" s="16" t="inlineStr">
        <is>
          <t>B331</t>
        </is>
      </c>
      <c r="B1728" s="16" t="inlineStr">
        <is>
          <t>上海区域</t>
        </is>
      </c>
      <c r="C1728" s="16" t="inlineStr">
        <is>
          <t>CN0Q</t>
        </is>
      </c>
      <c r="D1728" s="16" t="inlineStr">
        <is>
          <t>EE 苏州比斯特购物村</t>
        </is>
      </c>
      <c r="E1728" s="16" t="n">
        <v>4</v>
      </c>
      <c r="F1728" s="16" t="inlineStr">
        <is>
          <t>奥特莱斯</t>
        </is>
      </c>
      <c r="G1728" s="16" t="inlineStr">
        <is>
          <t>EEWHG24E03</t>
        </is>
      </c>
      <c r="H1728" s="16" t="n">
        <v>799</v>
      </c>
      <c r="I1728" s="16" t="n">
        <v>699</v>
      </c>
      <c r="J1728" s="17" t="inlineStr">
        <is>
          <t>########</t>
        </is>
      </c>
      <c r="K1728" s="16" t="inlineStr">
        <is>
          <t>(59)Navy</t>
        </is>
      </c>
      <c r="L1728" s="16" t="inlineStr">
        <is>
          <t>营业中</t>
        </is>
      </c>
      <c r="M1728" s="16" t="inlineStr">
        <is>
          <t>EEWHG24E0359155</t>
        </is>
      </c>
      <c r="N1728" s="16">
        <f>LEFT(M1728,12)</f>
        <v/>
      </c>
      <c r="O1728" s="16" t="inlineStr">
        <is>
          <t>EEWHG24E03, (59)Navy, (155)155</t>
        </is>
      </c>
      <c r="P1728" s="16" t="n">
        <v>799</v>
      </c>
      <c r="Q1728" s="16" t="n">
        <v>699</v>
      </c>
      <c r="R1728" s="16" t="n"/>
      <c r="S1728" s="16" t="n"/>
      <c r="T1728" s="16" t="n">
        <v>2</v>
      </c>
    </row>
    <row r="1729" s="103">
      <c r="A1729" s="16" t="inlineStr">
        <is>
          <t>B331</t>
        </is>
      </c>
      <c r="B1729" s="16" t="inlineStr">
        <is>
          <t>上海区域</t>
        </is>
      </c>
      <c r="C1729" s="16" t="inlineStr">
        <is>
          <t>CN0Q</t>
        </is>
      </c>
      <c r="D1729" s="16" t="inlineStr">
        <is>
          <t>EE 苏州比斯特购物村</t>
        </is>
      </c>
      <c r="E1729" s="16" t="n">
        <v>4</v>
      </c>
      <c r="F1729" s="16" t="inlineStr">
        <is>
          <t>奥特莱斯</t>
        </is>
      </c>
      <c r="G1729" s="16" t="inlineStr">
        <is>
          <t>EEWHG24E03</t>
        </is>
      </c>
      <c r="H1729" s="16" t="n">
        <v>799</v>
      </c>
      <c r="I1729" s="16" t="n">
        <v>699</v>
      </c>
      <c r="J1729" s="17" t="inlineStr">
        <is>
          <t>########</t>
        </is>
      </c>
      <c r="K1729" s="16" t="inlineStr">
        <is>
          <t>(59)Navy</t>
        </is>
      </c>
      <c r="L1729" s="16" t="inlineStr">
        <is>
          <t>营业中</t>
        </is>
      </c>
      <c r="M1729" s="16" t="inlineStr">
        <is>
          <t>EEWHG24E0359160</t>
        </is>
      </c>
      <c r="N1729" s="16">
        <f>LEFT(M1729,12)</f>
        <v/>
      </c>
      <c r="O1729" s="16" t="inlineStr">
        <is>
          <t>EEWHG24E03, (59)Navy, (160)160</t>
        </is>
      </c>
      <c r="P1729" s="16" t="n">
        <v>799</v>
      </c>
      <c r="Q1729" s="16" t="n">
        <v>699</v>
      </c>
      <c r="R1729" s="16" t="n">
        <v>1</v>
      </c>
      <c r="S1729" s="16" t="n"/>
      <c r="T1729" s="16" t="n">
        <v>2</v>
      </c>
    </row>
    <row r="1730" s="103">
      <c r="A1730" s="16" t="inlineStr">
        <is>
          <t>B331</t>
        </is>
      </c>
      <c r="B1730" s="16" t="inlineStr">
        <is>
          <t>上海区域</t>
        </is>
      </c>
      <c r="C1730" s="16" t="inlineStr">
        <is>
          <t>CN0Q</t>
        </is>
      </c>
      <c r="D1730" s="16" t="inlineStr">
        <is>
          <t>EE 苏州比斯特购物村</t>
        </is>
      </c>
      <c r="E1730" s="16" t="n">
        <v>4</v>
      </c>
      <c r="F1730" s="16" t="inlineStr">
        <is>
          <t>奥特莱斯</t>
        </is>
      </c>
      <c r="G1730" s="16" t="inlineStr">
        <is>
          <t>EEWHG24E03</t>
        </is>
      </c>
      <c r="H1730" s="16" t="n">
        <v>799</v>
      </c>
      <c r="I1730" s="16" t="n">
        <v>699</v>
      </c>
      <c r="J1730" s="17" t="inlineStr">
        <is>
          <t>########</t>
        </is>
      </c>
      <c r="K1730" s="16" t="inlineStr">
        <is>
          <t>(59)Navy</t>
        </is>
      </c>
      <c r="L1730" s="16" t="inlineStr">
        <is>
          <t>营业中</t>
        </is>
      </c>
      <c r="M1730" s="16" t="inlineStr">
        <is>
          <t>EEWHG24E0359165</t>
        </is>
      </c>
      <c r="N1730" s="16">
        <f>LEFT(M1730,12)</f>
        <v/>
      </c>
      <c r="O1730" s="16" t="inlineStr">
        <is>
          <t>EEWHG24E03, (59)Navy, (165)165</t>
        </is>
      </c>
      <c r="P1730" s="16" t="n">
        <v>799</v>
      </c>
      <c r="Q1730" s="16" t="n">
        <v>699</v>
      </c>
      <c r="R1730" s="16" t="n"/>
      <c r="S1730" s="16" t="n"/>
      <c r="T1730" s="16" t="n">
        <v>2</v>
      </c>
    </row>
    <row r="1731" s="103">
      <c r="A1731" s="16" t="inlineStr">
        <is>
          <t>B331</t>
        </is>
      </c>
      <c r="B1731" s="16" t="inlineStr">
        <is>
          <t>上海区域</t>
        </is>
      </c>
      <c r="C1731" s="16" t="inlineStr">
        <is>
          <t>CN0Q</t>
        </is>
      </c>
      <c r="D1731" s="16" t="inlineStr">
        <is>
          <t>EE 苏州比斯特购物村</t>
        </is>
      </c>
      <c r="E1731" s="16" t="n">
        <v>4</v>
      </c>
      <c r="F1731" s="16" t="inlineStr">
        <is>
          <t>奥特莱斯</t>
        </is>
      </c>
      <c r="G1731" s="16" t="inlineStr">
        <is>
          <t>EEWHG24E03</t>
        </is>
      </c>
      <c r="H1731" s="16" t="n">
        <v>799</v>
      </c>
      <c r="I1731" s="16" t="n">
        <v>699</v>
      </c>
      <c r="J1731" s="17" t="inlineStr">
        <is>
          <t>########</t>
        </is>
      </c>
      <c r="K1731" s="16" t="inlineStr">
        <is>
          <t>(59)Navy</t>
        </is>
      </c>
      <c r="L1731" s="16" t="inlineStr">
        <is>
          <t>营业中</t>
        </is>
      </c>
      <c r="M1731" s="16" t="inlineStr">
        <is>
          <t>EEWHG24E0359170</t>
        </is>
      </c>
      <c r="N1731" s="16">
        <f>LEFT(M1731,12)</f>
        <v/>
      </c>
      <c r="O1731" s="16" t="inlineStr">
        <is>
          <t>EEWHG24E03, (59)Navy, (170)170</t>
        </is>
      </c>
      <c r="P1731" s="16" t="n">
        <v>799</v>
      </c>
      <c r="Q1731" s="16" t="n">
        <v>699</v>
      </c>
      <c r="R1731" s="16" t="n"/>
      <c r="S1731" s="16" t="n"/>
      <c r="T1731" s="16" t="n">
        <v>2</v>
      </c>
    </row>
    <row r="1732" s="103">
      <c r="A1732" s="16" t="inlineStr">
        <is>
          <t>B331</t>
        </is>
      </c>
      <c r="B1732" s="16" t="inlineStr">
        <is>
          <t>上海区域</t>
        </is>
      </c>
      <c r="C1732" s="16" t="inlineStr">
        <is>
          <t>CN0Q</t>
        </is>
      </c>
      <c r="D1732" s="16" t="inlineStr">
        <is>
          <t>EE 苏州比斯特购物村</t>
        </is>
      </c>
      <c r="E1732" s="16" t="n">
        <v>4</v>
      </c>
      <c r="F1732" s="16" t="inlineStr">
        <is>
          <t>奥特莱斯</t>
        </is>
      </c>
      <c r="G1732" s="16" t="inlineStr">
        <is>
          <t>EEWHG24E04</t>
        </is>
      </c>
      <c r="H1732" s="16" t="n">
        <v>799</v>
      </c>
      <c r="I1732" s="16" t="n">
        <v>799</v>
      </c>
      <c r="J1732" s="17" t="inlineStr">
        <is>
          <t>########</t>
        </is>
      </c>
      <c r="K1732" s="16" t="inlineStr">
        <is>
          <t>(15)Grey</t>
        </is>
      </c>
      <c r="L1732" s="16" t="inlineStr">
        <is>
          <t>营业中</t>
        </is>
      </c>
      <c r="M1732" s="16" t="inlineStr">
        <is>
          <t>EEWHG24E0415155</t>
        </is>
      </c>
      <c r="N1732" s="16">
        <f>LEFT(M1732,12)</f>
        <v/>
      </c>
      <c r="O1732" s="16" t="inlineStr">
        <is>
          <t>EEWHG24E04, (15)Grey, (155)155</t>
        </is>
      </c>
      <c r="P1732" s="16" t="n">
        <v>799</v>
      </c>
      <c r="Q1732" s="16" t="n">
        <v>799</v>
      </c>
      <c r="R1732" s="16" t="n">
        <v>1</v>
      </c>
      <c r="S1732" s="16" t="n">
        <v>507</v>
      </c>
      <c r="T1732" s="16" t="n">
        <v>1</v>
      </c>
    </row>
    <row r="1733" s="103">
      <c r="A1733" s="16" t="inlineStr">
        <is>
          <t>B331</t>
        </is>
      </c>
      <c r="B1733" s="16" t="inlineStr">
        <is>
          <t>上海区域</t>
        </is>
      </c>
      <c r="C1733" s="16" t="inlineStr">
        <is>
          <t>CN0Q</t>
        </is>
      </c>
      <c r="D1733" s="16" t="inlineStr">
        <is>
          <t>EE 苏州比斯特购物村</t>
        </is>
      </c>
      <c r="E1733" s="16" t="n">
        <v>4</v>
      </c>
      <c r="F1733" s="16" t="inlineStr">
        <is>
          <t>奥特莱斯</t>
        </is>
      </c>
      <c r="G1733" s="16" t="inlineStr">
        <is>
          <t>EEWHG24E04</t>
        </is>
      </c>
      <c r="H1733" s="16" t="n">
        <v>799</v>
      </c>
      <c r="I1733" s="16" t="n">
        <v>799</v>
      </c>
      <c r="J1733" s="17" t="inlineStr">
        <is>
          <t>########</t>
        </is>
      </c>
      <c r="K1733" s="16" t="inlineStr">
        <is>
          <t>(15)Grey</t>
        </is>
      </c>
      <c r="L1733" s="16" t="inlineStr">
        <is>
          <t>营业中</t>
        </is>
      </c>
      <c r="M1733" s="16" t="inlineStr">
        <is>
          <t>EEWHG24E0415160</t>
        </is>
      </c>
      <c r="N1733" s="16">
        <f>LEFT(M1733,12)</f>
        <v/>
      </c>
      <c r="O1733" s="16" t="inlineStr">
        <is>
          <t>EEWHG24E04, (15)Grey, (160)160</t>
        </is>
      </c>
      <c r="P1733" s="16" t="n">
        <v>799</v>
      </c>
      <c r="Q1733" s="16" t="n">
        <v>799</v>
      </c>
      <c r="R1733" s="16" t="n">
        <v>2</v>
      </c>
      <c r="S1733" s="18" t="n">
        <v>1015</v>
      </c>
      <c r="T1733" s="16" t="n">
        <v>2</v>
      </c>
    </row>
    <row r="1734" s="103">
      <c r="A1734" s="16" t="inlineStr">
        <is>
          <t>B331</t>
        </is>
      </c>
      <c r="B1734" s="16" t="inlineStr">
        <is>
          <t>上海区域</t>
        </is>
      </c>
      <c r="C1734" s="16" t="inlineStr">
        <is>
          <t>CN0Q</t>
        </is>
      </c>
      <c r="D1734" s="16" t="inlineStr">
        <is>
          <t>EE 苏州比斯特购物村</t>
        </is>
      </c>
      <c r="E1734" s="16" t="n">
        <v>4</v>
      </c>
      <c r="F1734" s="16" t="inlineStr">
        <is>
          <t>奥特莱斯</t>
        </is>
      </c>
      <c r="G1734" s="16" t="inlineStr">
        <is>
          <t>EEWHG24E04</t>
        </is>
      </c>
      <c r="H1734" s="16" t="n">
        <v>799</v>
      </c>
      <c r="I1734" s="16" t="n">
        <v>799</v>
      </c>
      <c r="J1734" s="17" t="inlineStr">
        <is>
          <t>########</t>
        </is>
      </c>
      <c r="K1734" s="16" t="inlineStr">
        <is>
          <t>(15)Grey</t>
        </is>
      </c>
      <c r="L1734" s="16" t="inlineStr">
        <is>
          <t>营业中</t>
        </is>
      </c>
      <c r="M1734" s="16" t="inlineStr">
        <is>
          <t>EEWHG24E0415165</t>
        </is>
      </c>
      <c r="N1734" s="16">
        <f>LEFT(M1734,12)</f>
        <v/>
      </c>
      <c r="O1734" s="16" t="inlineStr">
        <is>
          <t>EEWHG24E04, (15)Grey, (165)165</t>
        </is>
      </c>
      <c r="P1734" s="16" t="n">
        <v>799</v>
      </c>
      <c r="Q1734" s="16" t="n">
        <v>799</v>
      </c>
      <c r="R1734" s="16" t="n"/>
      <c r="S1734" s="16" t="n"/>
      <c r="T1734" s="16" t="n">
        <v>3</v>
      </c>
    </row>
    <row r="1735" s="103">
      <c r="A1735" s="16" t="inlineStr">
        <is>
          <t>B331</t>
        </is>
      </c>
      <c r="B1735" s="16" t="inlineStr">
        <is>
          <t>上海区域</t>
        </is>
      </c>
      <c r="C1735" s="16" t="inlineStr">
        <is>
          <t>CN0Q</t>
        </is>
      </c>
      <c r="D1735" s="16" t="inlineStr">
        <is>
          <t>EE 苏州比斯特购物村</t>
        </is>
      </c>
      <c r="E1735" s="16" t="n">
        <v>4</v>
      </c>
      <c r="F1735" s="16" t="inlineStr">
        <is>
          <t>奥特莱斯</t>
        </is>
      </c>
      <c r="G1735" s="16" t="inlineStr">
        <is>
          <t>EEWHG24E04</t>
        </is>
      </c>
      <c r="H1735" s="16" t="n">
        <v>799</v>
      </c>
      <c r="I1735" s="16" t="n">
        <v>799</v>
      </c>
      <c r="J1735" s="17" t="inlineStr">
        <is>
          <t>########</t>
        </is>
      </c>
      <c r="K1735" s="16" t="inlineStr">
        <is>
          <t>(15)Grey</t>
        </is>
      </c>
      <c r="L1735" s="16" t="inlineStr">
        <is>
          <t>营业中</t>
        </is>
      </c>
      <c r="M1735" s="16" t="inlineStr">
        <is>
          <t>EEWHG24E0415170</t>
        </is>
      </c>
      <c r="N1735" s="16">
        <f>LEFT(M1735,12)</f>
        <v/>
      </c>
      <c r="O1735" s="16" t="inlineStr">
        <is>
          <t>EEWHG24E04, (15)Grey, (170)170</t>
        </is>
      </c>
      <c r="P1735" s="16" t="n">
        <v>799</v>
      </c>
      <c r="Q1735" s="16" t="n">
        <v>799</v>
      </c>
      <c r="R1735" s="16" t="n"/>
      <c r="S1735" s="16" t="n"/>
      <c r="T1735" s="16" t="n">
        <v>3</v>
      </c>
    </row>
    <row r="1736" s="103">
      <c r="A1736" s="16" t="inlineStr">
        <is>
          <t>B331</t>
        </is>
      </c>
      <c r="B1736" s="16" t="inlineStr">
        <is>
          <t>上海区域</t>
        </is>
      </c>
      <c r="C1736" s="16" t="inlineStr">
        <is>
          <t>CN0Q</t>
        </is>
      </c>
      <c r="D1736" s="16" t="inlineStr">
        <is>
          <t>EE 苏州比斯特购物村</t>
        </is>
      </c>
      <c r="E1736" s="16" t="n">
        <v>4</v>
      </c>
      <c r="F1736" s="16" t="inlineStr">
        <is>
          <t>奥特莱斯</t>
        </is>
      </c>
      <c r="G1736" s="16" t="inlineStr">
        <is>
          <t>EEWHG24E04</t>
        </is>
      </c>
      <c r="H1736" s="16" t="n">
        <v>799</v>
      </c>
      <c r="I1736" s="16" t="n">
        <v>799</v>
      </c>
      <c r="J1736" s="17" t="inlineStr">
        <is>
          <t>########</t>
        </is>
      </c>
      <c r="K1736" s="16" t="inlineStr">
        <is>
          <t>(59)Navy</t>
        </is>
      </c>
      <c r="L1736" s="16" t="inlineStr">
        <is>
          <t>营业中</t>
        </is>
      </c>
      <c r="M1736" s="16" t="inlineStr">
        <is>
          <t>EEWHG24E0459155</t>
        </is>
      </c>
      <c r="N1736" s="16">
        <f>LEFT(M1736,12)</f>
        <v/>
      </c>
      <c r="O1736" s="16" t="inlineStr">
        <is>
          <t>EEWHG24E04, (59)Navy, (155)155</t>
        </is>
      </c>
      <c r="P1736" s="16" t="n">
        <v>799</v>
      </c>
      <c r="Q1736" s="16" t="n">
        <v>799</v>
      </c>
      <c r="R1736" s="16" t="n"/>
      <c r="S1736" s="16" t="n"/>
      <c r="T1736" s="16" t="n">
        <v>2</v>
      </c>
    </row>
    <row r="1737" s="103">
      <c r="A1737" s="16" t="inlineStr">
        <is>
          <t>B331</t>
        </is>
      </c>
      <c r="B1737" s="16" t="inlineStr">
        <is>
          <t>上海区域</t>
        </is>
      </c>
      <c r="C1737" s="16" t="inlineStr">
        <is>
          <t>CN0Q</t>
        </is>
      </c>
      <c r="D1737" s="16" t="inlineStr">
        <is>
          <t>EE 苏州比斯特购物村</t>
        </is>
      </c>
      <c r="E1737" s="16" t="n">
        <v>4</v>
      </c>
      <c r="F1737" s="16" t="inlineStr">
        <is>
          <t>奥特莱斯</t>
        </is>
      </c>
      <c r="G1737" s="16" t="inlineStr">
        <is>
          <t>EEWHG24E04</t>
        </is>
      </c>
      <c r="H1737" s="16" t="n">
        <v>799</v>
      </c>
      <c r="I1737" s="16" t="n">
        <v>799</v>
      </c>
      <c r="J1737" s="17" t="inlineStr">
        <is>
          <t>########</t>
        </is>
      </c>
      <c r="K1737" s="16" t="inlineStr">
        <is>
          <t>(59)Navy</t>
        </is>
      </c>
      <c r="L1737" s="16" t="inlineStr">
        <is>
          <t>营业中</t>
        </is>
      </c>
      <c r="M1737" s="16" t="inlineStr">
        <is>
          <t>EEWHG24E0459160</t>
        </is>
      </c>
      <c r="N1737" s="16">
        <f>LEFT(M1737,12)</f>
        <v/>
      </c>
      <c r="O1737" s="16" t="inlineStr">
        <is>
          <t>EEWHG24E04, (59)Navy, (160)160</t>
        </is>
      </c>
      <c r="P1737" s="16" t="n">
        <v>799</v>
      </c>
      <c r="Q1737" s="16" t="n">
        <v>799</v>
      </c>
      <c r="R1737" s="16" t="n">
        <v>1</v>
      </c>
      <c r="S1737" s="16" t="n"/>
      <c r="T1737" s="16" t="n">
        <v>2</v>
      </c>
    </row>
    <row r="1738" s="103">
      <c r="A1738" s="16" t="inlineStr">
        <is>
          <t>B331</t>
        </is>
      </c>
      <c r="B1738" s="16" t="inlineStr">
        <is>
          <t>上海区域</t>
        </is>
      </c>
      <c r="C1738" s="16" t="inlineStr">
        <is>
          <t>CN0Q</t>
        </is>
      </c>
      <c r="D1738" s="16" t="inlineStr">
        <is>
          <t>EE 苏州比斯特购物村</t>
        </is>
      </c>
      <c r="E1738" s="16" t="n">
        <v>4</v>
      </c>
      <c r="F1738" s="16" t="inlineStr">
        <is>
          <t>奥特莱斯</t>
        </is>
      </c>
      <c r="G1738" s="16" t="inlineStr">
        <is>
          <t>EEWHG24E04</t>
        </is>
      </c>
      <c r="H1738" s="16" t="n">
        <v>799</v>
      </c>
      <c r="I1738" s="16" t="n">
        <v>799</v>
      </c>
      <c r="J1738" s="17" t="inlineStr">
        <is>
          <t>########</t>
        </is>
      </c>
      <c r="K1738" s="16" t="inlineStr">
        <is>
          <t>(59)Navy</t>
        </is>
      </c>
      <c r="L1738" s="16" t="inlineStr">
        <is>
          <t>营业中</t>
        </is>
      </c>
      <c r="M1738" s="16" t="inlineStr">
        <is>
          <t>EEWHG24E0459165</t>
        </is>
      </c>
      <c r="N1738" s="16">
        <f>LEFT(M1738,12)</f>
        <v/>
      </c>
      <c r="O1738" s="16" t="inlineStr">
        <is>
          <t>EEWHG24E04, (59)Navy, (165)165</t>
        </is>
      </c>
      <c r="P1738" s="16" t="n">
        <v>799</v>
      </c>
      <c r="Q1738" s="16" t="n">
        <v>799</v>
      </c>
      <c r="R1738" s="16" t="n"/>
      <c r="S1738" s="16" t="n"/>
      <c r="T1738" s="16" t="n">
        <v>2</v>
      </c>
    </row>
    <row r="1739" s="103">
      <c r="A1739" s="16" t="inlineStr">
        <is>
          <t>B331</t>
        </is>
      </c>
      <c r="B1739" s="16" t="inlineStr">
        <is>
          <t>上海区域</t>
        </is>
      </c>
      <c r="C1739" s="16" t="inlineStr">
        <is>
          <t>CN0Q</t>
        </is>
      </c>
      <c r="D1739" s="16" t="inlineStr">
        <is>
          <t>EE 苏州比斯特购物村</t>
        </is>
      </c>
      <c r="E1739" s="16" t="n">
        <v>4</v>
      </c>
      <c r="F1739" s="16" t="inlineStr">
        <is>
          <t>奥特莱斯</t>
        </is>
      </c>
      <c r="G1739" s="16" t="inlineStr">
        <is>
          <t>EEWHG24E04</t>
        </is>
      </c>
      <c r="H1739" s="16" t="n">
        <v>799</v>
      </c>
      <c r="I1739" s="16" t="n">
        <v>799</v>
      </c>
      <c r="J1739" s="17" t="inlineStr">
        <is>
          <t>########</t>
        </is>
      </c>
      <c r="K1739" s="16" t="inlineStr">
        <is>
          <t>(59)Navy</t>
        </is>
      </c>
      <c r="L1739" s="16" t="inlineStr">
        <is>
          <t>营业中</t>
        </is>
      </c>
      <c r="M1739" s="16" t="inlineStr">
        <is>
          <t>EEWHG24E0459170</t>
        </is>
      </c>
      <c r="N1739" s="16">
        <f>LEFT(M1739,12)</f>
        <v/>
      </c>
      <c r="O1739" s="16" t="inlineStr">
        <is>
          <t>EEWHG24E04, (59)Navy, (170)170</t>
        </is>
      </c>
      <c r="P1739" s="16" t="n">
        <v>799</v>
      </c>
      <c r="Q1739" s="16" t="n">
        <v>799</v>
      </c>
      <c r="R1739" s="16" t="n"/>
      <c r="S1739" s="16" t="n"/>
      <c r="T1739" s="16" t="n">
        <v>2</v>
      </c>
    </row>
    <row r="1740" s="103">
      <c r="A1740" s="16" t="inlineStr">
        <is>
          <t>B331</t>
        </is>
      </c>
      <c r="B1740" s="16" t="inlineStr">
        <is>
          <t>上海区域</t>
        </is>
      </c>
      <c r="C1740" s="16" t="inlineStr">
        <is>
          <t>CN0Q</t>
        </is>
      </c>
      <c r="D1740" s="16" t="inlineStr">
        <is>
          <t>EE 苏州比斯特购物村</t>
        </is>
      </c>
      <c r="E1740" s="16" t="n">
        <v>4</v>
      </c>
      <c r="F1740" s="16" t="inlineStr">
        <is>
          <t>奥特莱斯</t>
        </is>
      </c>
      <c r="G1740" s="16" t="inlineStr">
        <is>
          <t>EEWHG24E05</t>
        </is>
      </c>
      <c r="H1740" s="16" t="n">
        <v>699</v>
      </c>
      <c r="I1740" s="16" t="n">
        <v>699</v>
      </c>
      <c r="J1740" s="17" t="inlineStr">
        <is>
          <t>########</t>
        </is>
      </c>
      <c r="K1740" s="16" t="inlineStr">
        <is>
          <t>(15)Grey</t>
        </is>
      </c>
      <c r="L1740" s="16" t="inlineStr">
        <is>
          <t>营业中</t>
        </is>
      </c>
      <c r="M1740" s="16" t="inlineStr">
        <is>
          <t>EEWHG24E0515155</t>
        </is>
      </c>
      <c r="N1740" s="16">
        <f>LEFT(M1740,12)</f>
        <v/>
      </c>
      <c r="O1740" s="16" t="inlineStr">
        <is>
          <t>EEWHG24E05, (15)Grey, (155)155</t>
        </is>
      </c>
      <c r="P1740" s="16" t="n">
        <v>699</v>
      </c>
      <c r="Q1740" s="16" t="n">
        <v>699</v>
      </c>
      <c r="R1740" s="16" t="n">
        <v>1</v>
      </c>
      <c r="S1740" s="16" t="n"/>
      <c r="T1740" s="16" t="n">
        <v>2</v>
      </c>
    </row>
    <row r="1741" s="103">
      <c r="A1741" s="16" t="inlineStr">
        <is>
          <t>B331</t>
        </is>
      </c>
      <c r="B1741" s="16" t="inlineStr">
        <is>
          <t>上海区域</t>
        </is>
      </c>
      <c r="C1741" s="16" t="inlineStr">
        <is>
          <t>CN0Q</t>
        </is>
      </c>
      <c r="D1741" s="16" t="inlineStr">
        <is>
          <t>EE 苏州比斯特购物村</t>
        </is>
      </c>
      <c r="E1741" s="16" t="n">
        <v>4</v>
      </c>
      <c r="F1741" s="16" t="inlineStr">
        <is>
          <t>奥特莱斯</t>
        </is>
      </c>
      <c r="G1741" s="16" t="inlineStr">
        <is>
          <t>EEWHG24E05</t>
        </is>
      </c>
      <c r="H1741" s="16" t="n">
        <v>699</v>
      </c>
      <c r="I1741" s="16" t="n">
        <v>699</v>
      </c>
      <c r="J1741" s="17" t="inlineStr">
        <is>
          <t>########</t>
        </is>
      </c>
      <c r="K1741" s="16" t="inlineStr">
        <is>
          <t>(15)Grey</t>
        </is>
      </c>
      <c r="L1741" s="16" t="inlineStr">
        <is>
          <t>营业中</t>
        </is>
      </c>
      <c r="M1741" s="16" t="inlineStr">
        <is>
          <t>EEWHG24E0515160</t>
        </is>
      </c>
      <c r="N1741" s="16">
        <f>LEFT(M1741,12)</f>
        <v/>
      </c>
      <c r="O1741" s="16" t="inlineStr">
        <is>
          <t>EEWHG24E05, (15)Grey, (160)160</t>
        </is>
      </c>
      <c r="P1741" s="16" t="n">
        <v>699</v>
      </c>
      <c r="Q1741" s="16" t="n">
        <v>699</v>
      </c>
      <c r="R1741" s="16" t="n">
        <v>1</v>
      </c>
      <c r="S1741" s="16" t="n">
        <v>456</v>
      </c>
      <c r="T1741" s="16" t="n">
        <v>1</v>
      </c>
    </row>
    <row r="1742" s="103">
      <c r="A1742" s="16" t="inlineStr">
        <is>
          <t>B331</t>
        </is>
      </c>
      <c r="B1742" s="16" t="inlineStr">
        <is>
          <t>上海区域</t>
        </is>
      </c>
      <c r="C1742" s="16" t="inlineStr">
        <is>
          <t>CN0Q</t>
        </is>
      </c>
      <c r="D1742" s="16" t="inlineStr">
        <is>
          <t>EE 苏州比斯特购物村</t>
        </is>
      </c>
      <c r="E1742" s="16" t="n">
        <v>4</v>
      </c>
      <c r="F1742" s="16" t="inlineStr">
        <is>
          <t>奥特莱斯</t>
        </is>
      </c>
      <c r="G1742" s="16" t="inlineStr">
        <is>
          <t>EEWHG24E05</t>
        </is>
      </c>
      <c r="H1742" s="16" t="n">
        <v>699</v>
      </c>
      <c r="I1742" s="16" t="n">
        <v>699</v>
      </c>
      <c r="J1742" s="17" t="inlineStr">
        <is>
          <t>########</t>
        </is>
      </c>
      <c r="K1742" s="16" t="inlineStr">
        <is>
          <t>(15)Grey</t>
        </is>
      </c>
      <c r="L1742" s="16" t="inlineStr">
        <is>
          <t>营业中</t>
        </is>
      </c>
      <c r="M1742" s="16" t="inlineStr">
        <is>
          <t>EEWHG24E0515165</t>
        </is>
      </c>
      <c r="N1742" s="16">
        <f>LEFT(M1742,12)</f>
        <v/>
      </c>
      <c r="O1742" s="16" t="inlineStr">
        <is>
          <t>EEWHG24E05, (15)Grey, (165)165</t>
        </is>
      </c>
      <c r="P1742" s="16" t="n">
        <v>699</v>
      </c>
      <c r="Q1742" s="16" t="n">
        <v>699</v>
      </c>
      <c r="R1742" s="16" t="n">
        <v>2</v>
      </c>
      <c r="S1742" s="16" t="n">
        <v>660</v>
      </c>
      <c r="T1742" s="16" t="n">
        <v>2</v>
      </c>
    </row>
    <row r="1743" s="103">
      <c r="A1743" s="16" t="inlineStr">
        <is>
          <t>B331</t>
        </is>
      </c>
      <c r="B1743" s="16" t="inlineStr">
        <is>
          <t>上海区域</t>
        </is>
      </c>
      <c r="C1743" s="16" t="inlineStr">
        <is>
          <t>CN0Q</t>
        </is>
      </c>
      <c r="D1743" s="16" t="inlineStr">
        <is>
          <t>EE 苏州比斯特购物村</t>
        </is>
      </c>
      <c r="E1743" s="16" t="n">
        <v>4</v>
      </c>
      <c r="F1743" s="16" t="inlineStr">
        <is>
          <t>奥特莱斯</t>
        </is>
      </c>
      <c r="G1743" s="16" t="inlineStr">
        <is>
          <t>EEWHG24E05</t>
        </is>
      </c>
      <c r="H1743" s="16" t="n">
        <v>699</v>
      </c>
      <c r="I1743" s="16" t="n">
        <v>699</v>
      </c>
      <c r="J1743" s="17" t="inlineStr">
        <is>
          <t>########</t>
        </is>
      </c>
      <c r="K1743" s="16" t="inlineStr">
        <is>
          <t>(15)Grey</t>
        </is>
      </c>
      <c r="L1743" s="16" t="inlineStr">
        <is>
          <t>营业中</t>
        </is>
      </c>
      <c r="M1743" s="16" t="inlineStr">
        <is>
          <t>EEWHG24E0515170</t>
        </is>
      </c>
      <c r="N1743" s="16">
        <f>LEFT(M1743,12)</f>
        <v/>
      </c>
      <c r="O1743" s="16" t="inlineStr">
        <is>
          <t>EEWHG24E05, (15)Grey, (170)170</t>
        </is>
      </c>
      <c r="P1743" s="16" t="n">
        <v>699</v>
      </c>
      <c r="Q1743" s="16" t="n">
        <v>699</v>
      </c>
      <c r="R1743" s="16" t="n"/>
      <c r="S1743" s="16" t="n"/>
      <c r="T1743" s="16" t="n">
        <v>2</v>
      </c>
    </row>
    <row r="1744" s="103">
      <c r="A1744" s="16" t="inlineStr">
        <is>
          <t>B331</t>
        </is>
      </c>
      <c r="B1744" s="16" t="inlineStr">
        <is>
          <t>上海区域</t>
        </is>
      </c>
      <c r="C1744" s="16" t="inlineStr">
        <is>
          <t>CN0Q</t>
        </is>
      </c>
      <c r="D1744" s="16" t="inlineStr">
        <is>
          <t>EE 苏州比斯特购物村</t>
        </is>
      </c>
      <c r="E1744" s="16" t="n">
        <v>4</v>
      </c>
      <c r="F1744" s="16" t="inlineStr">
        <is>
          <t>奥特莱斯</t>
        </is>
      </c>
      <c r="G1744" s="16" t="inlineStr">
        <is>
          <t>EEWHG24E05</t>
        </is>
      </c>
      <c r="H1744" s="16" t="n">
        <v>699</v>
      </c>
      <c r="I1744" s="16" t="n">
        <v>699</v>
      </c>
      <c r="J1744" s="17" t="inlineStr">
        <is>
          <t>########</t>
        </is>
      </c>
      <c r="K1744" s="16" t="inlineStr">
        <is>
          <t>(59)Navy</t>
        </is>
      </c>
      <c r="L1744" s="16" t="inlineStr">
        <is>
          <t>营业中</t>
        </is>
      </c>
      <c r="M1744" s="16" t="inlineStr">
        <is>
          <t>EEWHG24E0559155</t>
        </is>
      </c>
      <c r="N1744" s="16">
        <f>LEFT(M1744,12)</f>
        <v/>
      </c>
      <c r="O1744" s="16" t="inlineStr">
        <is>
          <t>EEWHG24E05, (59)Navy, (155)155</t>
        </is>
      </c>
      <c r="P1744" s="16" t="n">
        <v>699</v>
      </c>
      <c r="Q1744" s="16" t="n">
        <v>699</v>
      </c>
      <c r="R1744" s="16" t="n"/>
      <c r="S1744" s="16" t="n"/>
      <c r="T1744" s="16" t="n">
        <v>2</v>
      </c>
    </row>
    <row r="1745" s="103">
      <c r="A1745" s="16" t="inlineStr">
        <is>
          <t>B331</t>
        </is>
      </c>
      <c r="B1745" s="16" t="inlineStr">
        <is>
          <t>上海区域</t>
        </is>
      </c>
      <c r="C1745" s="16" t="inlineStr">
        <is>
          <t>CN0Q</t>
        </is>
      </c>
      <c r="D1745" s="16" t="inlineStr">
        <is>
          <t>EE 苏州比斯特购物村</t>
        </is>
      </c>
      <c r="E1745" s="16" t="n">
        <v>4</v>
      </c>
      <c r="F1745" s="16" t="inlineStr">
        <is>
          <t>奥特莱斯</t>
        </is>
      </c>
      <c r="G1745" s="16" t="inlineStr">
        <is>
          <t>EEWHG24E05</t>
        </is>
      </c>
      <c r="H1745" s="16" t="n">
        <v>699</v>
      </c>
      <c r="I1745" s="16" t="n">
        <v>699</v>
      </c>
      <c r="J1745" s="17" t="inlineStr">
        <is>
          <t>########</t>
        </is>
      </c>
      <c r="K1745" s="16" t="inlineStr">
        <is>
          <t>(59)Navy</t>
        </is>
      </c>
      <c r="L1745" s="16" t="inlineStr">
        <is>
          <t>营业中</t>
        </is>
      </c>
      <c r="M1745" s="16" t="inlineStr">
        <is>
          <t>EEWHG24E0559160</t>
        </is>
      </c>
      <c r="N1745" s="16">
        <f>LEFT(M1745,12)</f>
        <v/>
      </c>
      <c r="O1745" s="16" t="inlineStr">
        <is>
          <t>EEWHG24E05, (59)Navy, (160)160</t>
        </is>
      </c>
      <c r="P1745" s="16" t="n">
        <v>699</v>
      </c>
      <c r="Q1745" s="16" t="n">
        <v>699</v>
      </c>
      <c r="R1745" s="16" t="n"/>
      <c r="S1745" s="16" t="n"/>
      <c r="T1745" s="16" t="n">
        <v>2</v>
      </c>
    </row>
    <row r="1746" s="103">
      <c r="A1746" s="16" t="inlineStr">
        <is>
          <t>B331</t>
        </is>
      </c>
      <c r="B1746" s="16" t="inlineStr">
        <is>
          <t>上海区域</t>
        </is>
      </c>
      <c r="C1746" s="16" t="inlineStr">
        <is>
          <t>CN0Q</t>
        </is>
      </c>
      <c r="D1746" s="16" t="inlineStr">
        <is>
          <t>EE 苏州比斯特购物村</t>
        </is>
      </c>
      <c r="E1746" s="16" t="n">
        <v>4</v>
      </c>
      <c r="F1746" s="16" t="inlineStr">
        <is>
          <t>奥特莱斯</t>
        </is>
      </c>
      <c r="G1746" s="16" t="inlineStr">
        <is>
          <t>EEWHG24E05</t>
        </is>
      </c>
      <c r="H1746" s="16" t="n">
        <v>699</v>
      </c>
      <c r="I1746" s="16" t="n">
        <v>699</v>
      </c>
      <c r="J1746" s="17" t="inlineStr">
        <is>
          <t>########</t>
        </is>
      </c>
      <c r="K1746" s="16" t="inlineStr">
        <is>
          <t>(59)Navy</t>
        </is>
      </c>
      <c r="L1746" s="16" t="inlineStr">
        <is>
          <t>营业中</t>
        </is>
      </c>
      <c r="M1746" s="16" t="inlineStr">
        <is>
          <t>EEWHG24E0559165</t>
        </is>
      </c>
      <c r="N1746" s="16">
        <f>LEFT(M1746,12)</f>
        <v/>
      </c>
      <c r="O1746" s="16" t="inlineStr">
        <is>
          <t>EEWHG24E05, (59)Navy, (165)165</t>
        </is>
      </c>
      <c r="P1746" s="16" t="n">
        <v>699</v>
      </c>
      <c r="Q1746" s="16" t="n">
        <v>699</v>
      </c>
      <c r="R1746" s="16" t="n"/>
      <c r="S1746" s="16" t="n"/>
      <c r="T1746" s="16" t="n">
        <v>2</v>
      </c>
    </row>
    <row r="1747" s="103">
      <c r="A1747" s="16" t="inlineStr">
        <is>
          <t>B331</t>
        </is>
      </c>
      <c r="B1747" s="16" t="inlineStr">
        <is>
          <t>上海区域</t>
        </is>
      </c>
      <c r="C1747" s="16" t="inlineStr">
        <is>
          <t>CN0Q</t>
        </is>
      </c>
      <c r="D1747" s="16" t="inlineStr">
        <is>
          <t>EE 苏州比斯特购物村</t>
        </is>
      </c>
      <c r="E1747" s="16" t="n">
        <v>4</v>
      </c>
      <c r="F1747" s="16" t="inlineStr">
        <is>
          <t>奥特莱斯</t>
        </is>
      </c>
      <c r="G1747" s="16" t="inlineStr">
        <is>
          <t>EEWHG24E05</t>
        </is>
      </c>
      <c r="H1747" s="16" t="n">
        <v>699</v>
      </c>
      <c r="I1747" s="16" t="n">
        <v>699</v>
      </c>
      <c r="J1747" s="17" t="inlineStr">
        <is>
          <t>########</t>
        </is>
      </c>
      <c r="K1747" s="16" t="inlineStr">
        <is>
          <t>(59)Navy</t>
        </is>
      </c>
      <c r="L1747" s="16" t="inlineStr">
        <is>
          <t>营业中</t>
        </is>
      </c>
      <c r="M1747" s="16" t="inlineStr">
        <is>
          <t>EEWHG24E0559170</t>
        </is>
      </c>
      <c r="N1747" s="16">
        <f>LEFT(M1747,12)</f>
        <v/>
      </c>
      <c r="O1747" s="16" t="inlineStr">
        <is>
          <t>EEWHG24E05, (59)Navy, (170)170</t>
        </is>
      </c>
      <c r="P1747" s="16" t="n">
        <v>699</v>
      </c>
      <c r="Q1747" s="16" t="n">
        <v>699</v>
      </c>
      <c r="R1747" s="16" t="n"/>
      <c r="S1747" s="16" t="n"/>
      <c r="T1747" s="16" t="n">
        <v>2</v>
      </c>
    </row>
    <row r="1748" s="103">
      <c r="A1748" s="16" t="inlineStr">
        <is>
          <t>B331</t>
        </is>
      </c>
      <c r="B1748" s="16" t="inlineStr">
        <is>
          <t>上海区域</t>
        </is>
      </c>
      <c r="C1748" s="16" t="inlineStr">
        <is>
          <t>CN0Q</t>
        </is>
      </c>
      <c r="D1748" s="16" t="inlineStr">
        <is>
          <t>EE 苏州比斯特购物村</t>
        </is>
      </c>
      <c r="E1748" s="16" t="n">
        <v>4</v>
      </c>
      <c r="F1748" s="16" t="inlineStr">
        <is>
          <t>奥特莱斯</t>
        </is>
      </c>
      <c r="G1748" s="16" t="inlineStr">
        <is>
          <t>EEWHG24E56</t>
        </is>
      </c>
      <c r="H1748" s="16" t="n">
        <v>799</v>
      </c>
      <c r="I1748" s="16" t="n">
        <v>799</v>
      </c>
      <c r="J1748" s="17" t="inlineStr">
        <is>
          <t>########</t>
        </is>
      </c>
      <c r="K1748" s="16" t="inlineStr">
        <is>
          <t>(39)Ivory</t>
        </is>
      </c>
      <c r="L1748" s="16" t="inlineStr">
        <is>
          <t>营业中</t>
        </is>
      </c>
      <c r="M1748" s="16" t="inlineStr">
        <is>
          <t>EEWHG24E5639155</t>
        </is>
      </c>
      <c r="N1748" s="16">
        <f>LEFT(M1748,12)</f>
        <v/>
      </c>
      <c r="O1748" s="16" t="inlineStr">
        <is>
          <t>EEWHG24E56, (39)Ivory, (155)155</t>
        </is>
      </c>
      <c r="P1748" s="16" t="n">
        <v>799</v>
      </c>
      <c r="Q1748" s="16" t="n">
        <v>799</v>
      </c>
      <c r="R1748" s="16" t="n">
        <v>1</v>
      </c>
      <c r="S1748" s="16" t="n">
        <v>506</v>
      </c>
      <c r="T1748" s="16" t="n">
        <v>2</v>
      </c>
    </row>
    <row r="1749" s="103">
      <c r="A1749" s="16" t="inlineStr">
        <is>
          <t>B331</t>
        </is>
      </c>
      <c r="B1749" s="16" t="inlineStr">
        <is>
          <t>上海区域</t>
        </is>
      </c>
      <c r="C1749" s="16" t="inlineStr">
        <is>
          <t>CN0Q</t>
        </is>
      </c>
      <c r="D1749" s="16" t="inlineStr">
        <is>
          <t>EE 苏州比斯特购物村</t>
        </is>
      </c>
      <c r="E1749" s="16" t="n">
        <v>4</v>
      </c>
      <c r="F1749" s="16" t="inlineStr">
        <is>
          <t>奥特莱斯</t>
        </is>
      </c>
      <c r="G1749" s="16" t="inlineStr">
        <is>
          <t>EEWHG24E56</t>
        </is>
      </c>
      <c r="H1749" s="16" t="n">
        <v>799</v>
      </c>
      <c r="I1749" s="16" t="n">
        <v>799</v>
      </c>
      <c r="J1749" s="17" t="inlineStr">
        <is>
          <t>########</t>
        </is>
      </c>
      <c r="K1749" s="16" t="inlineStr">
        <is>
          <t>(39)Ivory</t>
        </is>
      </c>
      <c r="L1749" s="16" t="inlineStr">
        <is>
          <t>营业中</t>
        </is>
      </c>
      <c r="M1749" s="16" t="inlineStr">
        <is>
          <t>EEWHG24E5639160</t>
        </is>
      </c>
      <c r="N1749" s="16">
        <f>LEFT(M1749,12)</f>
        <v/>
      </c>
      <c r="O1749" s="16" t="inlineStr">
        <is>
          <t>EEWHG24E56, (39)Ivory, (160)160</t>
        </is>
      </c>
      <c r="P1749" s="16" t="n">
        <v>799</v>
      </c>
      <c r="Q1749" s="16" t="n">
        <v>799</v>
      </c>
      <c r="R1749" s="16" t="n">
        <v>1</v>
      </c>
      <c r="S1749" s="16" t="n"/>
      <c r="T1749" s="16" t="n">
        <v>2</v>
      </c>
    </row>
    <row r="1750" s="103">
      <c r="A1750" s="16" t="inlineStr">
        <is>
          <t>B331</t>
        </is>
      </c>
      <c r="B1750" s="16" t="inlineStr">
        <is>
          <t>上海区域</t>
        </is>
      </c>
      <c r="C1750" s="16" t="inlineStr">
        <is>
          <t>CN0Q</t>
        </is>
      </c>
      <c r="D1750" s="16" t="inlineStr">
        <is>
          <t>EE 苏州比斯特购物村</t>
        </is>
      </c>
      <c r="E1750" s="16" t="n">
        <v>4</v>
      </c>
      <c r="F1750" s="16" t="inlineStr">
        <is>
          <t>奥特莱斯</t>
        </is>
      </c>
      <c r="G1750" s="16" t="inlineStr">
        <is>
          <t>EEWHG24E56</t>
        </is>
      </c>
      <c r="H1750" s="16" t="n">
        <v>799</v>
      </c>
      <c r="I1750" s="16" t="n">
        <v>799</v>
      </c>
      <c r="J1750" s="17" t="inlineStr">
        <is>
          <t>########</t>
        </is>
      </c>
      <c r="K1750" s="16" t="inlineStr">
        <is>
          <t>(39)Ivory</t>
        </is>
      </c>
      <c r="L1750" s="16" t="inlineStr">
        <is>
          <t>营业中</t>
        </is>
      </c>
      <c r="M1750" s="16" t="inlineStr">
        <is>
          <t>EEWHG24E5639165</t>
        </is>
      </c>
      <c r="N1750" s="16">
        <f>LEFT(M1750,12)</f>
        <v/>
      </c>
      <c r="O1750" s="16" t="inlineStr">
        <is>
          <t>EEWHG24E56, (39)Ivory, (165)165</t>
        </is>
      </c>
      <c r="P1750" s="16" t="n">
        <v>799</v>
      </c>
      <c r="Q1750" s="16" t="n">
        <v>799</v>
      </c>
      <c r="R1750" s="16" t="n">
        <v>2</v>
      </c>
      <c r="S1750" s="16" t="n">
        <v>512</v>
      </c>
      <c r="T1750" s="16" t="n">
        <v>1</v>
      </c>
    </row>
    <row r="1751" s="103">
      <c r="A1751" s="16" t="inlineStr">
        <is>
          <t>B331</t>
        </is>
      </c>
      <c r="B1751" s="16" t="inlineStr">
        <is>
          <t>上海区域</t>
        </is>
      </c>
      <c r="C1751" s="16" t="inlineStr">
        <is>
          <t>CN0Q</t>
        </is>
      </c>
      <c r="D1751" s="16" t="inlineStr">
        <is>
          <t>EE 苏州比斯特购物村</t>
        </is>
      </c>
      <c r="E1751" s="16" t="n">
        <v>4</v>
      </c>
      <c r="F1751" s="16" t="inlineStr">
        <is>
          <t>奥特莱斯</t>
        </is>
      </c>
      <c r="G1751" s="16" t="inlineStr">
        <is>
          <t>EEWHG24E56</t>
        </is>
      </c>
      <c r="H1751" s="16" t="n">
        <v>799</v>
      </c>
      <c r="I1751" s="16" t="n">
        <v>799</v>
      </c>
      <c r="J1751" s="17" t="inlineStr">
        <is>
          <t>########</t>
        </is>
      </c>
      <c r="K1751" s="16" t="inlineStr">
        <is>
          <t>(39)Ivory</t>
        </is>
      </c>
      <c r="L1751" s="16" t="inlineStr">
        <is>
          <t>营业中</t>
        </is>
      </c>
      <c r="M1751" s="16" t="inlineStr">
        <is>
          <t>EEWHG24E5639170</t>
        </is>
      </c>
      <c r="N1751" s="16">
        <f>LEFT(M1751,12)</f>
        <v/>
      </c>
      <c r="O1751" s="16" t="inlineStr">
        <is>
          <t>EEWHG24E56, (39)Ivory, (170)170</t>
        </is>
      </c>
      <c r="P1751" s="16" t="n">
        <v>799</v>
      </c>
      <c r="Q1751" s="16" t="n">
        <v>799</v>
      </c>
      <c r="R1751" s="16" t="n">
        <v>2</v>
      </c>
      <c r="S1751" s="16" t="n">
        <v>509</v>
      </c>
      <c r="T1751" s="16" t="n">
        <v>0</v>
      </c>
    </row>
    <row r="1752" s="103">
      <c r="A1752" s="16" t="inlineStr">
        <is>
          <t>B331</t>
        </is>
      </c>
      <c r="B1752" s="16" t="inlineStr">
        <is>
          <t>上海区域</t>
        </is>
      </c>
      <c r="C1752" s="16" t="inlineStr">
        <is>
          <t>CN0Q</t>
        </is>
      </c>
      <c r="D1752" s="16" t="inlineStr">
        <is>
          <t>EE 苏州比斯特购物村</t>
        </is>
      </c>
      <c r="E1752" s="16" t="n">
        <v>4</v>
      </c>
      <c r="F1752" s="16" t="inlineStr">
        <is>
          <t>奥特莱斯</t>
        </is>
      </c>
      <c r="G1752" s="16" t="inlineStr">
        <is>
          <t>EEWHG24E56</t>
        </is>
      </c>
      <c r="H1752" s="16" t="n">
        <v>799</v>
      </c>
      <c r="I1752" s="16" t="n">
        <v>799</v>
      </c>
      <c r="J1752" s="17" t="inlineStr">
        <is>
          <t>########</t>
        </is>
      </c>
      <c r="K1752" s="16" t="inlineStr">
        <is>
          <t>(59)Navy</t>
        </is>
      </c>
      <c r="L1752" s="16" t="inlineStr">
        <is>
          <t>营业中</t>
        </is>
      </c>
      <c r="M1752" s="16" t="inlineStr">
        <is>
          <t>EEWHG24E5659155</t>
        </is>
      </c>
      <c r="N1752" s="16">
        <f>LEFT(M1752,12)</f>
        <v/>
      </c>
      <c r="O1752" s="16" t="inlineStr">
        <is>
          <t>EEWHG24E56, (59)Navy, (155)155</t>
        </is>
      </c>
      <c r="P1752" s="16" t="n">
        <v>799</v>
      </c>
      <c r="Q1752" s="16" t="n">
        <v>799</v>
      </c>
      <c r="R1752" s="16" t="n"/>
      <c r="S1752" s="16" t="n"/>
      <c r="T1752" s="16" t="n">
        <v>2</v>
      </c>
    </row>
    <row r="1753" s="103">
      <c r="A1753" s="16" t="inlineStr">
        <is>
          <t>B331</t>
        </is>
      </c>
      <c r="B1753" s="16" t="inlineStr">
        <is>
          <t>上海区域</t>
        </is>
      </c>
      <c r="C1753" s="16" t="inlineStr">
        <is>
          <t>CN0Q</t>
        </is>
      </c>
      <c r="D1753" s="16" t="inlineStr">
        <is>
          <t>EE 苏州比斯特购物村</t>
        </is>
      </c>
      <c r="E1753" s="16" t="n">
        <v>4</v>
      </c>
      <c r="F1753" s="16" t="inlineStr">
        <is>
          <t>奥特莱斯</t>
        </is>
      </c>
      <c r="G1753" s="16" t="inlineStr">
        <is>
          <t>EEWHG24E56</t>
        </is>
      </c>
      <c r="H1753" s="16" t="n">
        <v>799</v>
      </c>
      <c r="I1753" s="16" t="n">
        <v>799</v>
      </c>
      <c r="J1753" s="17" t="inlineStr">
        <is>
          <t>########</t>
        </is>
      </c>
      <c r="K1753" s="16" t="inlineStr">
        <is>
          <t>(59)Navy</t>
        </is>
      </c>
      <c r="L1753" s="16" t="inlineStr">
        <is>
          <t>营业中</t>
        </is>
      </c>
      <c r="M1753" s="16" t="inlineStr">
        <is>
          <t>EEWHG24E5659160</t>
        </is>
      </c>
      <c r="N1753" s="16">
        <f>LEFT(M1753,12)</f>
        <v/>
      </c>
      <c r="O1753" s="16" t="inlineStr">
        <is>
          <t>EEWHG24E56, (59)Navy, (160)160</t>
        </is>
      </c>
      <c r="P1753" s="16" t="n">
        <v>799</v>
      </c>
      <c r="Q1753" s="16" t="n">
        <v>799</v>
      </c>
      <c r="R1753" s="16" t="n">
        <v>4</v>
      </c>
      <c r="S1753" s="18" t="n">
        <v>2073</v>
      </c>
      <c r="T1753" s="16" t="n">
        <v>4</v>
      </c>
    </row>
    <row r="1754" s="103">
      <c r="A1754" s="16" t="inlineStr">
        <is>
          <t>B331</t>
        </is>
      </c>
      <c r="B1754" s="16" t="inlineStr">
        <is>
          <t>上海区域</t>
        </is>
      </c>
      <c r="C1754" s="16" t="inlineStr">
        <is>
          <t>CN0Q</t>
        </is>
      </c>
      <c r="D1754" s="16" t="inlineStr">
        <is>
          <t>EE 苏州比斯特购物村</t>
        </is>
      </c>
      <c r="E1754" s="16" t="n">
        <v>4</v>
      </c>
      <c r="F1754" s="16" t="inlineStr">
        <is>
          <t>奥特莱斯</t>
        </is>
      </c>
      <c r="G1754" s="16" t="inlineStr">
        <is>
          <t>EEWHG24E56</t>
        </is>
      </c>
      <c r="H1754" s="16" t="n">
        <v>799</v>
      </c>
      <c r="I1754" s="16" t="n">
        <v>799</v>
      </c>
      <c r="J1754" s="17" t="inlineStr">
        <is>
          <t>########</t>
        </is>
      </c>
      <c r="K1754" s="16" t="inlineStr">
        <is>
          <t>(59)Navy</t>
        </is>
      </c>
      <c r="L1754" s="16" t="inlineStr">
        <is>
          <t>营业中</t>
        </is>
      </c>
      <c r="M1754" s="16" t="inlineStr">
        <is>
          <t>EEWHG24E5659165</t>
        </is>
      </c>
      <c r="N1754" s="16">
        <f>LEFT(M1754,12)</f>
        <v/>
      </c>
      <c r="O1754" s="16" t="inlineStr">
        <is>
          <t>EEWHG24E56, (59)Navy, (165)165</t>
        </is>
      </c>
      <c r="P1754" s="16" t="n">
        <v>799</v>
      </c>
      <c r="Q1754" s="16" t="n">
        <v>799</v>
      </c>
      <c r="R1754" s="16" t="n">
        <v>2</v>
      </c>
      <c r="S1754" s="18" t="n">
        <v>1016</v>
      </c>
      <c r="T1754" s="16" t="n">
        <v>2</v>
      </c>
    </row>
    <row r="1755" s="103">
      <c r="A1755" s="16" t="inlineStr">
        <is>
          <t>B331</t>
        </is>
      </c>
      <c r="B1755" s="16" t="inlineStr">
        <is>
          <t>上海区域</t>
        </is>
      </c>
      <c r="C1755" s="16" t="inlineStr">
        <is>
          <t>CN0Q</t>
        </is>
      </c>
      <c r="D1755" s="16" t="inlineStr">
        <is>
          <t>EE 苏州比斯特购物村</t>
        </is>
      </c>
      <c r="E1755" s="16" t="n">
        <v>4</v>
      </c>
      <c r="F1755" s="16" t="inlineStr">
        <is>
          <t>奥特莱斯</t>
        </is>
      </c>
      <c r="G1755" s="16" t="inlineStr">
        <is>
          <t>EEWHG24E56</t>
        </is>
      </c>
      <c r="H1755" s="16" t="n">
        <v>799</v>
      </c>
      <c r="I1755" s="16" t="n">
        <v>799</v>
      </c>
      <c r="J1755" s="17" t="inlineStr">
        <is>
          <t>########</t>
        </is>
      </c>
      <c r="K1755" s="16" t="inlineStr">
        <is>
          <t>(59)Navy</t>
        </is>
      </c>
      <c r="L1755" s="16" t="inlineStr">
        <is>
          <t>营业中</t>
        </is>
      </c>
      <c r="M1755" s="16" t="inlineStr">
        <is>
          <t>EEWHG24E5659170</t>
        </is>
      </c>
      <c r="N1755" s="16">
        <f>LEFT(M1755,12)</f>
        <v/>
      </c>
      <c r="O1755" s="16" t="inlineStr">
        <is>
          <t>EEWHG24E56, (59)Navy, (170)170</t>
        </is>
      </c>
      <c r="P1755" s="16" t="n">
        <v>799</v>
      </c>
      <c r="Q1755" s="16" t="n">
        <v>799</v>
      </c>
      <c r="R1755" s="16" t="n">
        <v>1</v>
      </c>
      <c r="S1755" s="16" t="n">
        <v>515</v>
      </c>
      <c r="T1755" s="16" t="n">
        <v>1</v>
      </c>
    </row>
    <row r="1756" s="103">
      <c r="A1756" s="16" t="inlineStr">
        <is>
          <t>B331</t>
        </is>
      </c>
      <c r="B1756" s="16" t="inlineStr">
        <is>
          <t>上海区域</t>
        </is>
      </c>
      <c r="C1756" s="16" t="inlineStr">
        <is>
          <t>CN0Q</t>
        </is>
      </c>
      <c r="D1756" s="16" t="inlineStr">
        <is>
          <t>EE 苏州比斯特购物村</t>
        </is>
      </c>
      <c r="E1756" s="16" t="n">
        <v>4</v>
      </c>
      <c r="F1756" s="16" t="inlineStr">
        <is>
          <t>奥特莱斯</t>
        </is>
      </c>
      <c r="G1756" s="16" t="inlineStr">
        <is>
          <t>EEWHG25B06</t>
        </is>
      </c>
      <c r="H1756" s="16" t="n">
        <v>999</v>
      </c>
      <c r="I1756" s="16" t="n">
        <v>899</v>
      </c>
      <c r="J1756" s="17" t="inlineStr">
        <is>
          <t>########</t>
        </is>
      </c>
      <c r="K1756" s="16" t="inlineStr">
        <is>
          <t>(99)MIX</t>
        </is>
      </c>
      <c r="L1756" s="16" t="inlineStr">
        <is>
          <t>营业中</t>
        </is>
      </c>
      <c r="M1756" s="16" t="inlineStr">
        <is>
          <t>EEWHG25B0699155</t>
        </is>
      </c>
      <c r="N1756" s="16">
        <f>LEFT(M1756,12)</f>
        <v/>
      </c>
      <c r="O1756" s="16" t="inlineStr">
        <is>
          <t>EEWHG25B06, (99)MIX, (155)155</t>
        </is>
      </c>
      <c r="P1756" s="16" t="n">
        <v>999</v>
      </c>
      <c r="Q1756" s="16" t="n">
        <v>899</v>
      </c>
      <c r="R1756" s="16" t="n">
        <v>1</v>
      </c>
      <c r="S1756" s="16" t="n">
        <v>569</v>
      </c>
      <c r="T1756" s="16" t="n">
        <v>0</v>
      </c>
    </row>
    <row r="1757" s="103">
      <c r="A1757" s="16" t="inlineStr">
        <is>
          <t>B331</t>
        </is>
      </c>
      <c r="B1757" s="16" t="inlineStr">
        <is>
          <t>上海区域</t>
        </is>
      </c>
      <c r="C1757" s="16" t="inlineStr">
        <is>
          <t>CN0Q</t>
        </is>
      </c>
      <c r="D1757" s="16" t="inlineStr">
        <is>
          <t>EE 苏州比斯特购物村</t>
        </is>
      </c>
      <c r="E1757" s="16" t="n">
        <v>4</v>
      </c>
      <c r="F1757" s="16" t="inlineStr">
        <is>
          <t>奥特莱斯</t>
        </is>
      </c>
      <c r="G1757" s="16" t="inlineStr">
        <is>
          <t>EEWHG25B06</t>
        </is>
      </c>
      <c r="H1757" s="16" t="n">
        <v>999</v>
      </c>
      <c r="I1757" s="16" t="n">
        <v>899</v>
      </c>
      <c r="J1757" s="17" t="inlineStr">
        <is>
          <t>########</t>
        </is>
      </c>
      <c r="K1757" s="16" t="inlineStr">
        <is>
          <t>(99)MIX</t>
        </is>
      </c>
      <c r="L1757" s="16" t="inlineStr">
        <is>
          <t>营业中</t>
        </is>
      </c>
      <c r="M1757" s="16" t="inlineStr">
        <is>
          <t>EEWHG25B0699160</t>
        </is>
      </c>
      <c r="N1757" s="16">
        <f>LEFT(M1757,12)</f>
        <v/>
      </c>
      <c r="O1757" s="16" t="inlineStr">
        <is>
          <t>EEWHG25B06, (99)MIX, (160)160</t>
        </is>
      </c>
      <c r="P1757" s="16" t="n">
        <v>999</v>
      </c>
      <c r="Q1757" s="16" t="n">
        <v>899</v>
      </c>
      <c r="R1757" s="16" t="n">
        <v>1</v>
      </c>
      <c r="S1757" s="16" t="n"/>
      <c r="T1757" s="16" t="n">
        <v>2</v>
      </c>
    </row>
    <row r="1758" s="103">
      <c r="A1758" s="16" t="inlineStr">
        <is>
          <t>B331</t>
        </is>
      </c>
      <c r="B1758" s="16" t="inlineStr">
        <is>
          <t>上海区域</t>
        </is>
      </c>
      <c r="C1758" s="16" t="inlineStr">
        <is>
          <t>CN0Q</t>
        </is>
      </c>
      <c r="D1758" s="16" t="inlineStr">
        <is>
          <t>EE 苏州比斯特购物村</t>
        </is>
      </c>
      <c r="E1758" s="16" t="n">
        <v>4</v>
      </c>
      <c r="F1758" s="16" t="inlineStr">
        <is>
          <t>奥特莱斯</t>
        </is>
      </c>
      <c r="G1758" s="16" t="inlineStr">
        <is>
          <t>EEWHG25B06</t>
        </is>
      </c>
      <c r="H1758" s="16" t="n">
        <v>999</v>
      </c>
      <c r="I1758" s="16" t="n">
        <v>899</v>
      </c>
      <c r="J1758" s="17" t="inlineStr">
        <is>
          <t>########</t>
        </is>
      </c>
      <c r="K1758" s="16" t="inlineStr">
        <is>
          <t>(99)MIX</t>
        </is>
      </c>
      <c r="L1758" s="16" t="inlineStr">
        <is>
          <t>营业中</t>
        </is>
      </c>
      <c r="M1758" s="16" t="inlineStr">
        <is>
          <t>EEWHG25B0699165</t>
        </is>
      </c>
      <c r="N1758" s="16">
        <f>LEFT(M1758,12)</f>
        <v/>
      </c>
      <c r="O1758" s="16" t="inlineStr">
        <is>
          <t>EEWHG25B06, (99)MIX, (165)165</t>
        </is>
      </c>
      <c r="P1758" s="16" t="n">
        <v>999</v>
      </c>
      <c r="Q1758" s="16" t="n">
        <v>899</v>
      </c>
      <c r="R1758" s="16" t="n">
        <v>2</v>
      </c>
      <c r="S1758" s="18" t="n">
        <v>1165</v>
      </c>
      <c r="T1758" s="16" t="n">
        <v>2</v>
      </c>
    </row>
    <row r="1759" s="103">
      <c r="A1759" s="16" t="inlineStr">
        <is>
          <t>B331</t>
        </is>
      </c>
      <c r="B1759" s="16" t="inlineStr">
        <is>
          <t>上海区域</t>
        </is>
      </c>
      <c r="C1759" s="16" t="inlineStr">
        <is>
          <t>CN0Q</t>
        </is>
      </c>
      <c r="D1759" s="16" t="inlineStr">
        <is>
          <t>EE 苏州比斯特购物村</t>
        </is>
      </c>
      <c r="E1759" s="16" t="n">
        <v>4</v>
      </c>
      <c r="F1759" s="16" t="inlineStr">
        <is>
          <t>奥特莱斯</t>
        </is>
      </c>
      <c r="G1759" s="16" t="inlineStr">
        <is>
          <t>EEWHG25B06</t>
        </is>
      </c>
      <c r="H1759" s="16" t="n">
        <v>999</v>
      </c>
      <c r="I1759" s="16" t="n">
        <v>899</v>
      </c>
      <c r="J1759" s="17" t="inlineStr">
        <is>
          <t>########</t>
        </is>
      </c>
      <c r="K1759" s="16" t="inlineStr">
        <is>
          <t>(99)MIX</t>
        </is>
      </c>
      <c r="L1759" s="16" t="inlineStr">
        <is>
          <t>营业中</t>
        </is>
      </c>
      <c r="M1759" s="16" t="inlineStr">
        <is>
          <t>EEWHG25B0699170</t>
        </is>
      </c>
      <c r="N1759" s="16">
        <f>LEFT(M1759,12)</f>
        <v/>
      </c>
      <c r="O1759" s="16" t="inlineStr">
        <is>
          <t>EEWHG25B06, (99)MIX, (170)170</t>
        </is>
      </c>
      <c r="P1759" s="16" t="n">
        <v>999</v>
      </c>
      <c r="Q1759" s="16" t="n">
        <v>899</v>
      </c>
      <c r="R1759" s="16" t="n">
        <v>1</v>
      </c>
      <c r="S1759" s="16" t="n">
        <v>629</v>
      </c>
      <c r="T1759" s="16" t="n">
        <v>1</v>
      </c>
    </row>
    <row r="1760" s="103">
      <c r="A1760" s="16" t="inlineStr">
        <is>
          <t>B331</t>
        </is>
      </c>
      <c r="B1760" s="16" t="inlineStr">
        <is>
          <t>上海区域</t>
        </is>
      </c>
      <c r="C1760" s="16" t="inlineStr">
        <is>
          <t>CN0Q</t>
        </is>
      </c>
      <c r="D1760" s="16" t="inlineStr">
        <is>
          <t>EE 苏州比斯特购物村</t>
        </is>
      </c>
      <c r="E1760" s="16" t="n">
        <v>4</v>
      </c>
      <c r="F1760" s="16" t="inlineStr">
        <is>
          <t>奥特莱斯</t>
        </is>
      </c>
      <c r="G1760" s="16" t="inlineStr">
        <is>
          <t>EEWHG25B08</t>
        </is>
      </c>
      <c r="H1760" s="16" t="n">
        <v>999</v>
      </c>
      <c r="I1760" s="16" t="n">
        <v>999</v>
      </c>
      <c r="J1760" s="17" t="inlineStr">
        <is>
          <t>########</t>
        </is>
      </c>
      <c r="K1760" s="16" t="inlineStr">
        <is>
          <t>(39)Ivory</t>
        </is>
      </c>
      <c r="L1760" s="16" t="inlineStr">
        <is>
          <t>营业中</t>
        </is>
      </c>
      <c r="M1760" s="16" t="inlineStr">
        <is>
          <t>EEWHG25B0839155</t>
        </is>
      </c>
      <c r="N1760" s="16">
        <f>LEFT(M1760,12)</f>
        <v/>
      </c>
      <c r="O1760" s="16" t="inlineStr">
        <is>
          <t>EEWHG25B08, (39)Ivory, (155)155</t>
        </is>
      </c>
      <c r="P1760" s="16" t="n">
        <v>999</v>
      </c>
      <c r="Q1760" s="16" t="n">
        <v>999</v>
      </c>
      <c r="R1760" s="16" t="n">
        <v>2</v>
      </c>
      <c r="S1760" s="18" t="n">
        <v>1285</v>
      </c>
      <c r="T1760" s="16" t="n">
        <v>0</v>
      </c>
    </row>
    <row r="1761" s="103">
      <c r="A1761" s="16" t="inlineStr">
        <is>
          <t>B331</t>
        </is>
      </c>
      <c r="B1761" s="16" t="inlineStr">
        <is>
          <t>上海区域</t>
        </is>
      </c>
      <c r="C1761" s="16" t="inlineStr">
        <is>
          <t>CN0Q</t>
        </is>
      </c>
      <c r="D1761" s="16" t="inlineStr">
        <is>
          <t>EE 苏州比斯特购物村</t>
        </is>
      </c>
      <c r="E1761" s="16" t="n">
        <v>4</v>
      </c>
      <c r="F1761" s="16" t="inlineStr">
        <is>
          <t>奥特莱斯</t>
        </is>
      </c>
      <c r="G1761" s="16" t="inlineStr">
        <is>
          <t>EEWHG25B08</t>
        </is>
      </c>
      <c r="H1761" s="16" t="n">
        <v>999</v>
      </c>
      <c r="I1761" s="16" t="n">
        <v>999</v>
      </c>
      <c r="J1761" s="17" t="inlineStr">
        <is>
          <t>########</t>
        </is>
      </c>
      <c r="K1761" s="16" t="inlineStr">
        <is>
          <t>(39)Ivory</t>
        </is>
      </c>
      <c r="L1761" s="16" t="inlineStr">
        <is>
          <t>营业中</t>
        </is>
      </c>
      <c r="M1761" s="16" t="inlineStr">
        <is>
          <t>EEWHG25B0839160</t>
        </is>
      </c>
      <c r="N1761" s="16">
        <f>LEFT(M1761,12)</f>
        <v/>
      </c>
      <c r="O1761" s="16" t="inlineStr">
        <is>
          <t>EEWHG25B08, (39)Ivory, (160)160</t>
        </is>
      </c>
      <c r="P1761" s="16" t="n">
        <v>999</v>
      </c>
      <c r="Q1761" s="16" t="n">
        <v>999</v>
      </c>
      <c r="R1761" s="16" t="n">
        <v>2</v>
      </c>
      <c r="S1761" s="18" t="n">
        <v>1284</v>
      </c>
      <c r="T1761" s="16" t="n">
        <v>2</v>
      </c>
    </row>
    <row r="1762" s="103">
      <c r="A1762" s="16" t="inlineStr">
        <is>
          <t>B331</t>
        </is>
      </c>
      <c r="B1762" s="16" t="inlineStr">
        <is>
          <t>上海区域</t>
        </is>
      </c>
      <c r="C1762" s="16" t="inlineStr">
        <is>
          <t>CN0Q</t>
        </is>
      </c>
      <c r="D1762" s="16" t="inlineStr">
        <is>
          <t>EE 苏州比斯特购物村</t>
        </is>
      </c>
      <c r="E1762" s="16" t="n">
        <v>4</v>
      </c>
      <c r="F1762" s="16" t="inlineStr">
        <is>
          <t>奥特莱斯</t>
        </is>
      </c>
      <c r="G1762" s="16" t="inlineStr">
        <is>
          <t>EEWHG25B08</t>
        </is>
      </c>
      <c r="H1762" s="16" t="n">
        <v>999</v>
      </c>
      <c r="I1762" s="16" t="n">
        <v>999</v>
      </c>
      <c r="J1762" s="17" t="inlineStr">
        <is>
          <t>########</t>
        </is>
      </c>
      <c r="K1762" s="16" t="inlineStr">
        <is>
          <t>(39)Ivory</t>
        </is>
      </c>
      <c r="L1762" s="16" t="inlineStr">
        <is>
          <t>营业中</t>
        </is>
      </c>
      <c r="M1762" s="16" t="inlineStr">
        <is>
          <t>EEWHG25B0839165</t>
        </is>
      </c>
      <c r="N1762" s="16">
        <f>LEFT(M1762,12)</f>
        <v/>
      </c>
      <c r="O1762" s="16" t="inlineStr">
        <is>
          <t>EEWHG25B08, (39)Ivory, (165)165</t>
        </is>
      </c>
      <c r="P1762" s="16" t="n">
        <v>999</v>
      </c>
      <c r="Q1762" s="16" t="n">
        <v>999</v>
      </c>
      <c r="R1762" s="16" t="n">
        <v>2</v>
      </c>
      <c r="S1762" s="16" t="n">
        <v>637</v>
      </c>
      <c r="T1762" s="16" t="n">
        <v>2</v>
      </c>
    </row>
    <row r="1763" s="103">
      <c r="A1763" s="16" t="inlineStr">
        <is>
          <t>B331</t>
        </is>
      </c>
      <c r="B1763" s="16" t="inlineStr">
        <is>
          <t>上海区域</t>
        </is>
      </c>
      <c r="C1763" s="16" t="inlineStr">
        <is>
          <t>CN0Q</t>
        </is>
      </c>
      <c r="D1763" s="16" t="inlineStr">
        <is>
          <t>EE 苏州比斯特购物村</t>
        </is>
      </c>
      <c r="E1763" s="16" t="n">
        <v>4</v>
      </c>
      <c r="F1763" s="16" t="inlineStr">
        <is>
          <t>奥特莱斯</t>
        </is>
      </c>
      <c r="G1763" s="16" t="inlineStr">
        <is>
          <t>EEWHG25B08</t>
        </is>
      </c>
      <c r="H1763" s="16" t="n">
        <v>999</v>
      </c>
      <c r="I1763" s="16" t="n">
        <v>999</v>
      </c>
      <c r="J1763" s="17" t="inlineStr">
        <is>
          <t>########</t>
        </is>
      </c>
      <c r="K1763" s="16" t="inlineStr">
        <is>
          <t>(39)Ivory</t>
        </is>
      </c>
      <c r="L1763" s="16" t="inlineStr">
        <is>
          <t>营业中</t>
        </is>
      </c>
      <c r="M1763" s="16" t="inlineStr">
        <is>
          <t>EEWHG25B0839170</t>
        </is>
      </c>
      <c r="N1763" s="16">
        <f>LEFT(M1763,12)</f>
        <v/>
      </c>
      <c r="O1763" s="16" t="inlineStr">
        <is>
          <t>EEWHG25B08, (39)Ivory, (170)170</t>
        </is>
      </c>
      <c r="P1763" s="16" t="n">
        <v>999</v>
      </c>
      <c r="Q1763" s="16" t="n">
        <v>999</v>
      </c>
      <c r="R1763" s="16" t="n">
        <v>2</v>
      </c>
      <c r="S1763" s="18" t="n">
        <v>1305</v>
      </c>
      <c r="T1763" s="16" t="n">
        <v>2</v>
      </c>
    </row>
    <row r="1764" s="103">
      <c r="A1764" s="16" t="inlineStr">
        <is>
          <t>B331</t>
        </is>
      </c>
      <c r="B1764" s="16" t="inlineStr">
        <is>
          <t>上海区域</t>
        </is>
      </c>
      <c r="C1764" s="16" t="inlineStr">
        <is>
          <t>CN0Q</t>
        </is>
      </c>
      <c r="D1764" s="16" t="inlineStr">
        <is>
          <t>EE 苏州比斯特购物村</t>
        </is>
      </c>
      <c r="E1764" s="16" t="n">
        <v>4</v>
      </c>
      <c r="F1764" s="16" t="inlineStr">
        <is>
          <t>奥特莱斯</t>
        </is>
      </c>
      <c r="G1764" s="16" t="inlineStr">
        <is>
          <t>EEWHG25E01</t>
        </is>
      </c>
      <c r="H1764" s="16" t="n">
        <v>999</v>
      </c>
      <c r="I1764" s="16" t="n">
        <v>899</v>
      </c>
      <c r="J1764" s="17" t="inlineStr">
        <is>
          <t>########</t>
        </is>
      </c>
      <c r="K1764" s="16" t="inlineStr">
        <is>
          <t>(19)BLACK</t>
        </is>
      </c>
      <c r="L1764" s="16" t="inlineStr">
        <is>
          <t>营业中</t>
        </is>
      </c>
      <c r="M1764" s="16" t="inlineStr">
        <is>
          <t>EEWHG25E0119155</t>
        </is>
      </c>
      <c r="N1764" s="16">
        <f>LEFT(M1764,12)</f>
        <v/>
      </c>
      <c r="O1764" s="16" t="inlineStr">
        <is>
          <t>EEWHG25E01, (19)BLACK, (155)155</t>
        </is>
      </c>
      <c r="P1764" s="16" t="n">
        <v>999</v>
      </c>
      <c r="Q1764" s="16" t="n">
        <v>899</v>
      </c>
      <c r="R1764" s="16" t="n"/>
      <c r="S1764" s="16" t="n"/>
      <c r="T1764" s="16" t="n">
        <v>2</v>
      </c>
    </row>
    <row r="1765" s="103">
      <c r="A1765" s="16" t="inlineStr">
        <is>
          <t>B331</t>
        </is>
      </c>
      <c r="B1765" s="16" t="inlineStr">
        <is>
          <t>上海区域</t>
        </is>
      </c>
      <c r="C1765" s="16" t="inlineStr">
        <is>
          <t>CN0Q</t>
        </is>
      </c>
      <c r="D1765" s="16" t="inlineStr">
        <is>
          <t>EE 苏州比斯特购物村</t>
        </is>
      </c>
      <c r="E1765" s="16" t="n">
        <v>4</v>
      </c>
      <c r="F1765" s="16" t="inlineStr">
        <is>
          <t>奥特莱斯</t>
        </is>
      </c>
      <c r="G1765" s="16" t="inlineStr">
        <is>
          <t>EEWHG25E01</t>
        </is>
      </c>
      <c r="H1765" s="16" t="n">
        <v>999</v>
      </c>
      <c r="I1765" s="16" t="n">
        <v>899</v>
      </c>
      <c r="J1765" s="17" t="inlineStr">
        <is>
          <t>########</t>
        </is>
      </c>
      <c r="K1765" s="16" t="inlineStr">
        <is>
          <t>(19)BLACK</t>
        </is>
      </c>
      <c r="L1765" s="16" t="inlineStr">
        <is>
          <t>营业中</t>
        </is>
      </c>
      <c r="M1765" s="16" t="inlineStr">
        <is>
          <t>EEWHG25E0119160</t>
        </is>
      </c>
      <c r="N1765" s="16">
        <f>LEFT(M1765,12)</f>
        <v/>
      </c>
      <c r="O1765" s="16" t="inlineStr">
        <is>
          <t>EEWHG25E01, (19)BLACK, (160)160</t>
        </is>
      </c>
      <c r="P1765" s="16" t="n">
        <v>999</v>
      </c>
      <c r="Q1765" s="16" t="n">
        <v>899</v>
      </c>
      <c r="R1765" s="16" t="n">
        <v>1</v>
      </c>
      <c r="S1765" s="16" t="n">
        <v>596</v>
      </c>
      <c r="T1765" s="16" t="n">
        <v>1</v>
      </c>
    </row>
    <row r="1766" s="103">
      <c r="A1766" s="16" t="inlineStr">
        <is>
          <t>B331</t>
        </is>
      </c>
      <c r="B1766" s="16" t="inlineStr">
        <is>
          <t>上海区域</t>
        </is>
      </c>
      <c r="C1766" s="16" t="inlineStr">
        <is>
          <t>CN0Q</t>
        </is>
      </c>
      <c r="D1766" s="16" t="inlineStr">
        <is>
          <t>EE 苏州比斯特购物村</t>
        </is>
      </c>
      <c r="E1766" s="16" t="n">
        <v>4</v>
      </c>
      <c r="F1766" s="16" t="inlineStr">
        <is>
          <t>奥特莱斯</t>
        </is>
      </c>
      <c r="G1766" s="16" t="inlineStr">
        <is>
          <t>EEWHG25E01</t>
        </is>
      </c>
      <c r="H1766" s="16" t="n">
        <v>999</v>
      </c>
      <c r="I1766" s="16" t="n">
        <v>899</v>
      </c>
      <c r="J1766" s="17" t="inlineStr">
        <is>
          <t>########</t>
        </is>
      </c>
      <c r="K1766" s="16" t="inlineStr">
        <is>
          <t>(19)BLACK</t>
        </is>
      </c>
      <c r="L1766" s="16" t="inlineStr">
        <is>
          <t>营业中</t>
        </is>
      </c>
      <c r="M1766" s="16" t="inlineStr">
        <is>
          <t>EEWHG25E0119165</t>
        </is>
      </c>
      <c r="N1766" s="16">
        <f>LEFT(M1766,12)</f>
        <v/>
      </c>
      <c r="O1766" s="16" t="inlineStr">
        <is>
          <t>EEWHG25E01, (19)BLACK, (165)165</t>
        </is>
      </c>
      <c r="P1766" s="16" t="n">
        <v>999</v>
      </c>
      <c r="Q1766" s="16" t="n">
        <v>899</v>
      </c>
      <c r="R1766" s="16" t="n"/>
      <c r="S1766" s="16" t="n"/>
      <c r="T1766" s="16" t="n">
        <v>3</v>
      </c>
    </row>
    <row r="1767" s="103">
      <c r="A1767" s="16" t="inlineStr">
        <is>
          <t>B331</t>
        </is>
      </c>
      <c r="B1767" s="16" t="inlineStr">
        <is>
          <t>上海区域</t>
        </is>
      </c>
      <c r="C1767" s="16" t="inlineStr">
        <is>
          <t>CN0Q</t>
        </is>
      </c>
      <c r="D1767" s="16" t="inlineStr">
        <is>
          <t>EE 苏州比斯特购物村</t>
        </is>
      </c>
      <c r="E1767" s="16" t="n">
        <v>4</v>
      </c>
      <c r="F1767" s="16" t="inlineStr">
        <is>
          <t>奥特莱斯</t>
        </is>
      </c>
      <c r="G1767" s="16" t="inlineStr">
        <is>
          <t>EEWHG25E01</t>
        </is>
      </c>
      <c r="H1767" s="16" t="n">
        <v>999</v>
      </c>
      <c r="I1767" s="16" t="n">
        <v>899</v>
      </c>
      <c r="J1767" s="17" t="inlineStr">
        <is>
          <t>########</t>
        </is>
      </c>
      <c r="K1767" s="16" t="inlineStr">
        <is>
          <t>(19)BLACK</t>
        </is>
      </c>
      <c r="L1767" s="16" t="inlineStr">
        <is>
          <t>营业中</t>
        </is>
      </c>
      <c r="M1767" s="16" t="inlineStr">
        <is>
          <t>EEWHG25E0119170</t>
        </is>
      </c>
      <c r="N1767" s="16">
        <f>LEFT(M1767,12)</f>
        <v/>
      </c>
      <c r="O1767" s="16" t="inlineStr">
        <is>
          <t>EEWHG25E01, (19)BLACK, (170)170</t>
        </is>
      </c>
      <c r="P1767" s="16" t="n">
        <v>999</v>
      </c>
      <c r="Q1767" s="16" t="n">
        <v>899</v>
      </c>
      <c r="R1767" s="16" t="n"/>
      <c r="S1767" s="16" t="n"/>
      <c r="T1767" s="16" t="n">
        <v>2</v>
      </c>
    </row>
    <row r="1768" s="103">
      <c r="A1768" s="16" t="inlineStr">
        <is>
          <t>B331</t>
        </is>
      </c>
      <c r="B1768" s="16" t="inlineStr">
        <is>
          <t>上海区域</t>
        </is>
      </c>
      <c r="C1768" s="16" t="inlineStr">
        <is>
          <t>CN0Q</t>
        </is>
      </c>
      <c r="D1768" s="16" t="inlineStr">
        <is>
          <t>EE 苏州比斯特购物村</t>
        </is>
      </c>
      <c r="E1768" s="16" t="n">
        <v>4</v>
      </c>
      <c r="F1768" s="16" t="inlineStr">
        <is>
          <t>奥特莱斯</t>
        </is>
      </c>
      <c r="G1768" s="16" t="inlineStr">
        <is>
          <t>EEWHG25E01</t>
        </is>
      </c>
      <c r="H1768" s="16" t="n">
        <v>999</v>
      </c>
      <c r="I1768" s="16" t="n">
        <v>899</v>
      </c>
      <c r="J1768" s="17" t="inlineStr">
        <is>
          <t>########</t>
        </is>
      </c>
      <c r="K1768" s="16" t="inlineStr">
        <is>
          <t>(37)D/Beige</t>
        </is>
      </c>
      <c r="L1768" s="16" t="inlineStr">
        <is>
          <t>营业中</t>
        </is>
      </c>
      <c r="M1768" s="16" t="inlineStr">
        <is>
          <t>EEWHG25E0137155</t>
        </is>
      </c>
      <c r="N1768" s="16">
        <f>LEFT(M1768,12)</f>
        <v/>
      </c>
      <c r="O1768" s="16" t="inlineStr">
        <is>
          <t>EEWHG25E01, (37)D/Beige, (155)155</t>
        </is>
      </c>
      <c r="P1768" s="16" t="n">
        <v>999</v>
      </c>
      <c r="Q1768" s="16" t="n">
        <v>899</v>
      </c>
      <c r="R1768" s="16" t="n">
        <v>1</v>
      </c>
      <c r="S1768" s="16" t="n">
        <v>588</v>
      </c>
      <c r="T1768" s="16" t="n">
        <v>0</v>
      </c>
    </row>
    <row r="1769" s="103">
      <c r="A1769" s="16" t="inlineStr">
        <is>
          <t>B331</t>
        </is>
      </c>
      <c r="B1769" s="16" t="inlineStr">
        <is>
          <t>上海区域</t>
        </is>
      </c>
      <c r="C1769" s="16" t="inlineStr">
        <is>
          <t>CN0Q</t>
        </is>
      </c>
      <c r="D1769" s="16" t="inlineStr">
        <is>
          <t>EE 苏州比斯特购物村</t>
        </is>
      </c>
      <c r="E1769" s="16" t="n">
        <v>4</v>
      </c>
      <c r="F1769" s="16" t="inlineStr">
        <is>
          <t>奥特莱斯</t>
        </is>
      </c>
      <c r="G1769" s="16" t="inlineStr">
        <is>
          <t>EEWHG25E01</t>
        </is>
      </c>
      <c r="H1769" s="16" t="n">
        <v>999</v>
      </c>
      <c r="I1769" s="16" t="n">
        <v>899</v>
      </c>
      <c r="J1769" s="17" t="inlineStr">
        <is>
          <t>########</t>
        </is>
      </c>
      <c r="K1769" s="16" t="inlineStr">
        <is>
          <t>(37)D/Beige</t>
        </is>
      </c>
      <c r="L1769" s="16" t="inlineStr">
        <is>
          <t>营业中</t>
        </is>
      </c>
      <c r="M1769" s="16" t="inlineStr">
        <is>
          <t>EEWHG25E0137160</t>
        </is>
      </c>
      <c r="N1769" s="16">
        <f>LEFT(M1769,12)</f>
        <v/>
      </c>
      <c r="O1769" s="16" t="inlineStr">
        <is>
          <t>EEWHG25E01, (37)D/Beige, (160)160</t>
        </is>
      </c>
      <c r="P1769" s="16" t="n">
        <v>999</v>
      </c>
      <c r="Q1769" s="16" t="n">
        <v>899</v>
      </c>
      <c r="R1769" s="16" t="n">
        <v>2</v>
      </c>
      <c r="S1769" s="18" t="n">
        <v>1136</v>
      </c>
      <c r="T1769" s="16" t="n">
        <v>0</v>
      </c>
    </row>
    <row r="1770" s="103">
      <c r="A1770" s="16" t="inlineStr">
        <is>
          <t>B331</t>
        </is>
      </c>
      <c r="B1770" s="16" t="inlineStr">
        <is>
          <t>上海区域</t>
        </is>
      </c>
      <c r="C1770" s="16" t="inlineStr">
        <is>
          <t>CN0Q</t>
        </is>
      </c>
      <c r="D1770" s="16" t="inlineStr">
        <is>
          <t>EE 苏州比斯特购物村</t>
        </is>
      </c>
      <c r="E1770" s="16" t="n">
        <v>4</v>
      </c>
      <c r="F1770" s="16" t="inlineStr">
        <is>
          <t>奥特莱斯</t>
        </is>
      </c>
      <c r="G1770" s="16" t="inlineStr">
        <is>
          <t>EEWHG25E01</t>
        </is>
      </c>
      <c r="H1770" s="16" t="n">
        <v>999</v>
      </c>
      <c r="I1770" s="16" t="n">
        <v>899</v>
      </c>
      <c r="J1770" s="17" t="inlineStr">
        <is>
          <t>########</t>
        </is>
      </c>
      <c r="K1770" s="16" t="inlineStr">
        <is>
          <t>(37)D/Beige</t>
        </is>
      </c>
      <c r="L1770" s="16" t="inlineStr">
        <is>
          <t>营业中</t>
        </is>
      </c>
      <c r="M1770" s="16" t="inlineStr">
        <is>
          <t>EEWHG25E0137165</t>
        </is>
      </c>
      <c r="N1770" s="16">
        <f>LEFT(M1770,12)</f>
        <v/>
      </c>
      <c r="O1770" s="16" t="inlineStr">
        <is>
          <t>EEWHG25E01, (37)D/Beige, (165)165</t>
        </is>
      </c>
      <c r="P1770" s="16" t="n">
        <v>999</v>
      </c>
      <c r="Q1770" s="16" t="n">
        <v>899</v>
      </c>
      <c r="R1770" s="16" t="n"/>
      <c r="S1770" s="16" t="n"/>
      <c r="T1770" s="16" t="n">
        <v>2</v>
      </c>
    </row>
    <row r="1771" s="103">
      <c r="A1771" s="16" t="inlineStr">
        <is>
          <t>B331</t>
        </is>
      </c>
      <c r="B1771" s="16" t="inlineStr">
        <is>
          <t>上海区域</t>
        </is>
      </c>
      <c r="C1771" s="16" t="inlineStr">
        <is>
          <t>CN0Q</t>
        </is>
      </c>
      <c r="D1771" s="16" t="inlineStr">
        <is>
          <t>EE 苏州比斯特购物村</t>
        </is>
      </c>
      <c r="E1771" s="16" t="n">
        <v>4</v>
      </c>
      <c r="F1771" s="16" t="inlineStr">
        <is>
          <t>奥特莱斯</t>
        </is>
      </c>
      <c r="G1771" s="16" t="inlineStr">
        <is>
          <t>EEWHG25E01</t>
        </is>
      </c>
      <c r="H1771" s="16" t="n">
        <v>999</v>
      </c>
      <c r="I1771" s="16" t="n">
        <v>899</v>
      </c>
      <c r="J1771" s="17" t="inlineStr">
        <is>
          <t>########</t>
        </is>
      </c>
      <c r="K1771" s="16" t="inlineStr">
        <is>
          <t>(37)D/Beige</t>
        </is>
      </c>
      <c r="L1771" s="16" t="inlineStr">
        <is>
          <t>营业中</t>
        </is>
      </c>
      <c r="M1771" s="16" t="inlineStr">
        <is>
          <t>EEWHG25E0137170</t>
        </is>
      </c>
      <c r="N1771" s="16">
        <f>LEFT(M1771,12)</f>
        <v/>
      </c>
      <c r="O1771" s="16" t="inlineStr">
        <is>
          <t>EEWHG25E01, (37)D/Beige, (170)170</t>
        </is>
      </c>
      <c r="P1771" s="16" t="n">
        <v>999</v>
      </c>
      <c r="Q1771" s="16" t="n">
        <v>899</v>
      </c>
      <c r="R1771" s="16" t="n"/>
      <c r="S1771" s="16" t="n"/>
      <c r="T1771" s="16" t="n">
        <v>1</v>
      </c>
    </row>
    <row r="1772" s="103">
      <c r="A1772" s="16" t="inlineStr">
        <is>
          <t>B331</t>
        </is>
      </c>
      <c r="B1772" s="16" t="inlineStr">
        <is>
          <t>上海区域</t>
        </is>
      </c>
      <c r="C1772" s="16" t="inlineStr">
        <is>
          <t>CN0Q</t>
        </is>
      </c>
      <c r="D1772" s="16" t="inlineStr">
        <is>
          <t>EE 苏州比斯特购物村</t>
        </is>
      </c>
      <c r="E1772" s="16" t="n">
        <v>4</v>
      </c>
      <c r="F1772" s="16" t="inlineStr">
        <is>
          <t>奥特莱斯</t>
        </is>
      </c>
      <c r="G1772" s="16" t="inlineStr">
        <is>
          <t>EEWHG25E01</t>
        </is>
      </c>
      <c r="H1772" s="16" t="n">
        <v>999</v>
      </c>
      <c r="I1772" s="16" t="n">
        <v>899</v>
      </c>
      <c r="J1772" s="17" t="inlineStr">
        <is>
          <t>########</t>
        </is>
      </c>
      <c r="K1772" s="16" t="inlineStr">
        <is>
          <t>(39)Ivory</t>
        </is>
      </c>
      <c r="L1772" s="16" t="inlineStr">
        <is>
          <t>营业中</t>
        </is>
      </c>
      <c r="M1772" s="16" t="inlineStr">
        <is>
          <t>EEWHG25E0139155</t>
        </is>
      </c>
      <c r="N1772" s="16">
        <f>LEFT(M1772,12)</f>
        <v/>
      </c>
      <c r="O1772" s="16" t="inlineStr">
        <is>
          <t>EEWHG25E01, (39)Ivory, (155)155</t>
        </is>
      </c>
      <c r="P1772" s="16" t="n">
        <v>999</v>
      </c>
      <c r="Q1772" s="16" t="n">
        <v>899</v>
      </c>
      <c r="R1772" s="16" t="n">
        <v>2</v>
      </c>
      <c r="S1772" s="16" t="n"/>
      <c r="T1772" s="16" t="n">
        <v>4</v>
      </c>
    </row>
    <row r="1773" s="103">
      <c r="A1773" s="16" t="inlineStr">
        <is>
          <t>B331</t>
        </is>
      </c>
      <c r="B1773" s="16" t="inlineStr">
        <is>
          <t>上海区域</t>
        </is>
      </c>
      <c r="C1773" s="16" t="inlineStr">
        <is>
          <t>CN0Q</t>
        </is>
      </c>
      <c r="D1773" s="16" t="inlineStr">
        <is>
          <t>EE 苏州比斯特购物村</t>
        </is>
      </c>
      <c r="E1773" s="16" t="n">
        <v>4</v>
      </c>
      <c r="F1773" s="16" t="inlineStr">
        <is>
          <t>奥特莱斯</t>
        </is>
      </c>
      <c r="G1773" s="16" t="inlineStr">
        <is>
          <t>EEWHG25E01</t>
        </is>
      </c>
      <c r="H1773" s="16" t="n">
        <v>999</v>
      </c>
      <c r="I1773" s="16" t="n">
        <v>899</v>
      </c>
      <c r="J1773" s="17" t="inlineStr">
        <is>
          <t>########</t>
        </is>
      </c>
      <c r="K1773" s="16" t="inlineStr">
        <is>
          <t>(39)Ivory</t>
        </is>
      </c>
      <c r="L1773" s="16" t="inlineStr">
        <is>
          <t>营业中</t>
        </is>
      </c>
      <c r="M1773" s="16" t="inlineStr">
        <is>
          <t>EEWHG25E0139160</t>
        </is>
      </c>
      <c r="N1773" s="16">
        <f>LEFT(M1773,12)</f>
        <v/>
      </c>
      <c r="O1773" s="16" t="inlineStr">
        <is>
          <t>EEWHG25E01, (39)Ivory, (160)160</t>
        </is>
      </c>
      <c r="P1773" s="16" t="n">
        <v>999</v>
      </c>
      <c r="Q1773" s="16" t="n">
        <v>899</v>
      </c>
      <c r="R1773" s="16" t="n">
        <v>1</v>
      </c>
      <c r="S1773" s="16" t="n">
        <v>585</v>
      </c>
      <c r="T1773" s="16" t="n">
        <v>3</v>
      </c>
    </row>
    <row r="1774" s="103">
      <c r="A1774" s="16" t="inlineStr">
        <is>
          <t>B331</t>
        </is>
      </c>
      <c r="B1774" s="16" t="inlineStr">
        <is>
          <t>上海区域</t>
        </is>
      </c>
      <c r="C1774" s="16" t="inlineStr">
        <is>
          <t>CN0Q</t>
        </is>
      </c>
      <c r="D1774" s="16" t="inlineStr">
        <is>
          <t>EE 苏州比斯特购物村</t>
        </is>
      </c>
      <c r="E1774" s="16" t="n">
        <v>4</v>
      </c>
      <c r="F1774" s="16" t="inlineStr">
        <is>
          <t>奥特莱斯</t>
        </is>
      </c>
      <c r="G1774" s="16" t="inlineStr">
        <is>
          <t>EEWHG25E01</t>
        </is>
      </c>
      <c r="H1774" s="16" t="n">
        <v>999</v>
      </c>
      <c r="I1774" s="16" t="n">
        <v>899</v>
      </c>
      <c r="J1774" s="17" t="inlineStr">
        <is>
          <t>########</t>
        </is>
      </c>
      <c r="K1774" s="16" t="inlineStr">
        <is>
          <t>(39)Ivory</t>
        </is>
      </c>
      <c r="L1774" s="16" t="inlineStr">
        <is>
          <t>营业中</t>
        </is>
      </c>
      <c r="M1774" s="16" t="inlineStr">
        <is>
          <t>EEWHG25E0139165</t>
        </is>
      </c>
      <c r="N1774" s="16">
        <f>LEFT(M1774,12)</f>
        <v/>
      </c>
      <c r="O1774" s="16" t="inlineStr">
        <is>
          <t>EEWHG25E01, (39)Ivory, (165)165</t>
        </is>
      </c>
      <c r="P1774" s="16" t="n">
        <v>999</v>
      </c>
      <c r="Q1774" s="16" t="n">
        <v>899</v>
      </c>
      <c r="R1774" s="16" t="n">
        <v>3</v>
      </c>
      <c r="S1774" s="16" t="n">
        <v>842</v>
      </c>
      <c r="T1774" s="16" t="n">
        <v>5</v>
      </c>
    </row>
    <row r="1775" s="103">
      <c r="A1775" s="16" t="inlineStr">
        <is>
          <t>B331</t>
        </is>
      </c>
      <c r="B1775" s="16" t="inlineStr">
        <is>
          <t>上海区域</t>
        </is>
      </c>
      <c r="C1775" s="16" t="inlineStr">
        <is>
          <t>CN0Q</t>
        </is>
      </c>
      <c r="D1775" s="16" t="inlineStr">
        <is>
          <t>EE 苏州比斯特购物村</t>
        </is>
      </c>
      <c r="E1775" s="16" t="n">
        <v>4</v>
      </c>
      <c r="F1775" s="16" t="inlineStr">
        <is>
          <t>奥特莱斯</t>
        </is>
      </c>
      <c r="G1775" s="16" t="inlineStr">
        <is>
          <t>EEWHG25E01</t>
        </is>
      </c>
      <c r="H1775" s="16" t="n">
        <v>999</v>
      </c>
      <c r="I1775" s="16" t="n">
        <v>899</v>
      </c>
      <c r="J1775" s="17" t="inlineStr">
        <is>
          <t>########</t>
        </is>
      </c>
      <c r="K1775" s="16" t="inlineStr">
        <is>
          <t>(39)Ivory</t>
        </is>
      </c>
      <c r="L1775" s="16" t="inlineStr">
        <is>
          <t>营业中</t>
        </is>
      </c>
      <c r="M1775" s="16" t="inlineStr">
        <is>
          <t>EEWHG25E0139170</t>
        </is>
      </c>
      <c r="N1775" s="16">
        <f>LEFT(M1775,12)</f>
        <v/>
      </c>
      <c r="O1775" s="16" t="inlineStr">
        <is>
          <t>EEWHG25E01, (39)Ivory, (170)170</t>
        </is>
      </c>
      <c r="P1775" s="16" t="n">
        <v>999</v>
      </c>
      <c r="Q1775" s="16" t="n">
        <v>899</v>
      </c>
      <c r="R1775" s="16" t="n"/>
      <c r="S1775" s="16" t="n"/>
      <c r="T1775" s="16" t="n">
        <v>2</v>
      </c>
    </row>
    <row r="1776" s="103">
      <c r="A1776" s="16" t="inlineStr">
        <is>
          <t>B331</t>
        </is>
      </c>
      <c r="B1776" s="16" t="inlineStr">
        <is>
          <t>上海区域</t>
        </is>
      </c>
      <c r="C1776" s="16" t="inlineStr">
        <is>
          <t>CN0Q</t>
        </is>
      </c>
      <c r="D1776" s="16" t="inlineStr">
        <is>
          <t>EE 苏州比斯特购物村</t>
        </is>
      </c>
      <c r="E1776" s="16" t="n">
        <v>4</v>
      </c>
      <c r="F1776" s="16" t="inlineStr">
        <is>
          <t>奥特莱斯</t>
        </is>
      </c>
      <c r="G1776" s="16" t="inlineStr">
        <is>
          <t>EEWHG25E03</t>
        </is>
      </c>
      <c r="H1776" s="16" t="n">
        <v>699</v>
      </c>
      <c r="I1776" s="16" t="n">
        <v>699</v>
      </c>
      <c r="J1776" s="17" t="inlineStr">
        <is>
          <t>########</t>
        </is>
      </c>
      <c r="K1776" s="16" t="inlineStr">
        <is>
          <t>(39)Ivory</t>
        </is>
      </c>
      <c r="L1776" s="16" t="inlineStr">
        <is>
          <t>营业中</t>
        </is>
      </c>
      <c r="M1776" s="16" t="inlineStr">
        <is>
          <t>EEWHG25E0339155</t>
        </is>
      </c>
      <c r="N1776" s="16">
        <f>LEFT(M1776,12)</f>
        <v/>
      </c>
      <c r="O1776" s="16" t="inlineStr">
        <is>
          <t>EEWHG25E03, (39)Ivory, (155)155</t>
        </is>
      </c>
      <c r="P1776" s="16" t="n">
        <v>699</v>
      </c>
      <c r="Q1776" s="16" t="n">
        <v>699</v>
      </c>
      <c r="R1776" s="16" t="n">
        <v>1</v>
      </c>
      <c r="S1776" s="16" t="n">
        <v>210</v>
      </c>
      <c r="T1776" s="16" t="n">
        <v>1</v>
      </c>
    </row>
    <row r="1777" s="103">
      <c r="A1777" s="16" t="inlineStr">
        <is>
          <t>B331</t>
        </is>
      </c>
      <c r="B1777" s="16" t="inlineStr">
        <is>
          <t>上海区域</t>
        </is>
      </c>
      <c r="C1777" s="16" t="inlineStr">
        <is>
          <t>CN0Q</t>
        </is>
      </c>
      <c r="D1777" s="16" t="inlineStr">
        <is>
          <t>EE 苏州比斯特购物村</t>
        </is>
      </c>
      <c r="E1777" s="16" t="n">
        <v>4</v>
      </c>
      <c r="F1777" s="16" t="inlineStr">
        <is>
          <t>奥特莱斯</t>
        </is>
      </c>
      <c r="G1777" s="16" t="inlineStr">
        <is>
          <t>EEWHG25E03</t>
        </is>
      </c>
      <c r="H1777" s="16" t="n">
        <v>699</v>
      </c>
      <c r="I1777" s="16" t="n">
        <v>699</v>
      </c>
      <c r="J1777" s="17" t="inlineStr">
        <is>
          <t>########</t>
        </is>
      </c>
      <c r="K1777" s="16" t="inlineStr">
        <is>
          <t>(39)Ivory</t>
        </is>
      </c>
      <c r="L1777" s="16" t="inlineStr">
        <is>
          <t>营业中</t>
        </is>
      </c>
      <c r="M1777" s="16" t="inlineStr">
        <is>
          <t>EEWHG25E0339160</t>
        </is>
      </c>
      <c r="N1777" s="16">
        <f>LEFT(M1777,12)</f>
        <v/>
      </c>
      <c r="O1777" s="16" t="inlineStr">
        <is>
          <t>EEWHG25E03, (39)Ivory, (160)160</t>
        </is>
      </c>
      <c r="P1777" s="16" t="n">
        <v>699</v>
      </c>
      <c r="Q1777" s="16" t="n">
        <v>699</v>
      </c>
      <c r="R1777" s="16" t="n">
        <v>1</v>
      </c>
      <c r="S1777" s="16" t="n">
        <v>452</v>
      </c>
      <c r="T1777" s="16" t="n">
        <v>2</v>
      </c>
    </row>
    <row r="1778" s="103">
      <c r="A1778" s="16" t="inlineStr">
        <is>
          <t>B331</t>
        </is>
      </c>
      <c r="B1778" s="16" t="inlineStr">
        <is>
          <t>上海区域</t>
        </is>
      </c>
      <c r="C1778" s="16" t="inlineStr">
        <is>
          <t>CN0Q</t>
        </is>
      </c>
      <c r="D1778" s="16" t="inlineStr">
        <is>
          <t>EE 苏州比斯特购物村</t>
        </is>
      </c>
      <c r="E1778" s="16" t="n">
        <v>4</v>
      </c>
      <c r="F1778" s="16" t="inlineStr">
        <is>
          <t>奥特莱斯</t>
        </is>
      </c>
      <c r="G1778" s="16" t="inlineStr">
        <is>
          <t>EEWHG25E03</t>
        </is>
      </c>
      <c r="H1778" s="16" t="n">
        <v>699</v>
      </c>
      <c r="I1778" s="16" t="n">
        <v>699</v>
      </c>
      <c r="J1778" s="17" t="inlineStr">
        <is>
          <t>########</t>
        </is>
      </c>
      <c r="K1778" s="16" t="inlineStr">
        <is>
          <t>(39)Ivory</t>
        </is>
      </c>
      <c r="L1778" s="16" t="inlineStr">
        <is>
          <t>营业中</t>
        </is>
      </c>
      <c r="M1778" s="16" t="inlineStr">
        <is>
          <t>EEWHG25E0339165</t>
        </is>
      </c>
      <c r="N1778" s="16">
        <f>LEFT(M1778,12)</f>
        <v/>
      </c>
      <c r="O1778" s="16" t="inlineStr">
        <is>
          <t>EEWHG25E03, (39)Ivory, (165)165</t>
        </is>
      </c>
      <c r="P1778" s="16" t="n">
        <v>699</v>
      </c>
      <c r="Q1778" s="16" t="n">
        <v>699</v>
      </c>
      <c r="R1778" s="16" t="n">
        <v>2</v>
      </c>
      <c r="S1778" s="16" t="n">
        <v>489</v>
      </c>
      <c r="T1778" s="16" t="n">
        <v>2</v>
      </c>
    </row>
    <row r="1779" s="103">
      <c r="A1779" s="16" t="inlineStr">
        <is>
          <t>B331</t>
        </is>
      </c>
      <c r="B1779" s="16" t="inlineStr">
        <is>
          <t>上海区域</t>
        </is>
      </c>
      <c r="C1779" s="16" t="inlineStr">
        <is>
          <t>CN0Q</t>
        </is>
      </c>
      <c r="D1779" s="16" t="inlineStr">
        <is>
          <t>EE 苏州比斯特购物村</t>
        </is>
      </c>
      <c r="E1779" s="16" t="n">
        <v>4</v>
      </c>
      <c r="F1779" s="16" t="inlineStr">
        <is>
          <t>奥特莱斯</t>
        </is>
      </c>
      <c r="G1779" s="16" t="inlineStr">
        <is>
          <t>EEWHG25E03</t>
        </is>
      </c>
      <c r="H1779" s="16" t="n">
        <v>699</v>
      </c>
      <c r="I1779" s="16" t="n">
        <v>699</v>
      </c>
      <c r="J1779" s="17" t="inlineStr">
        <is>
          <t>########</t>
        </is>
      </c>
      <c r="K1779" s="16" t="inlineStr">
        <is>
          <t>(39)Ivory</t>
        </is>
      </c>
      <c r="L1779" s="16" t="inlineStr">
        <is>
          <t>营业中</t>
        </is>
      </c>
      <c r="M1779" s="16" t="inlineStr">
        <is>
          <t>EEWHG25E0339170</t>
        </is>
      </c>
      <c r="N1779" s="16">
        <f>LEFT(M1779,12)</f>
        <v/>
      </c>
      <c r="O1779" s="16" t="inlineStr">
        <is>
          <t>EEWHG25E03, (39)Ivory, (170)170</t>
        </is>
      </c>
      <c r="P1779" s="16" t="n">
        <v>699</v>
      </c>
      <c r="Q1779" s="16" t="n">
        <v>699</v>
      </c>
      <c r="R1779" s="16" t="n">
        <v>1</v>
      </c>
      <c r="S1779" s="16" t="n">
        <v>489</v>
      </c>
      <c r="T1779" s="16" t="n">
        <v>1</v>
      </c>
    </row>
    <row r="1780" s="103">
      <c r="A1780" s="16" t="inlineStr">
        <is>
          <t>B331</t>
        </is>
      </c>
      <c r="B1780" s="16" t="inlineStr">
        <is>
          <t>上海区域</t>
        </is>
      </c>
      <c r="C1780" s="16" t="inlineStr">
        <is>
          <t>CN0Q</t>
        </is>
      </c>
      <c r="D1780" s="16" t="inlineStr">
        <is>
          <t>EE 苏州比斯特购物村</t>
        </is>
      </c>
      <c r="E1780" s="16" t="n">
        <v>4</v>
      </c>
      <c r="F1780" s="16" t="inlineStr">
        <is>
          <t>奥特莱斯</t>
        </is>
      </c>
      <c r="G1780" s="16" t="inlineStr">
        <is>
          <t>EEWHG25E03</t>
        </is>
      </c>
      <c r="H1780" s="16" t="n">
        <v>699</v>
      </c>
      <c r="I1780" s="16" t="n">
        <v>699</v>
      </c>
      <c r="J1780" s="17" t="inlineStr">
        <is>
          <t>########</t>
        </is>
      </c>
      <c r="K1780" s="16" t="inlineStr">
        <is>
          <t>(51)L/Blue</t>
        </is>
      </c>
      <c r="L1780" s="16" t="inlineStr">
        <is>
          <t>营业中</t>
        </is>
      </c>
      <c r="M1780" s="16" t="inlineStr">
        <is>
          <t>EEWHG25E0351155</t>
        </is>
      </c>
      <c r="N1780" s="16">
        <f>LEFT(M1780,12)</f>
        <v/>
      </c>
      <c r="O1780" s="16" t="inlineStr">
        <is>
          <t>EEWHG25E03, (51)L/Blue, (155)155</t>
        </is>
      </c>
      <c r="P1780" s="16" t="n">
        <v>699</v>
      </c>
      <c r="Q1780" s="16" t="n">
        <v>699</v>
      </c>
      <c r="R1780" s="16" t="n"/>
      <c r="S1780" s="16" t="n"/>
      <c r="T1780" s="16" t="n">
        <v>1</v>
      </c>
    </row>
    <row r="1781" s="103">
      <c r="A1781" s="16" t="inlineStr">
        <is>
          <t>B331</t>
        </is>
      </c>
      <c r="B1781" s="16" t="inlineStr">
        <is>
          <t>上海区域</t>
        </is>
      </c>
      <c r="C1781" s="16" t="inlineStr">
        <is>
          <t>CN0Q</t>
        </is>
      </c>
      <c r="D1781" s="16" t="inlineStr">
        <is>
          <t>EE 苏州比斯特购物村</t>
        </is>
      </c>
      <c r="E1781" s="16" t="n">
        <v>4</v>
      </c>
      <c r="F1781" s="16" t="inlineStr">
        <is>
          <t>奥特莱斯</t>
        </is>
      </c>
      <c r="G1781" s="16" t="inlineStr">
        <is>
          <t>EEWHG25E03</t>
        </is>
      </c>
      <c r="H1781" s="16" t="n">
        <v>699</v>
      </c>
      <c r="I1781" s="16" t="n">
        <v>699</v>
      </c>
      <c r="J1781" s="17" t="inlineStr">
        <is>
          <t>########</t>
        </is>
      </c>
      <c r="K1781" s="16" t="inlineStr">
        <is>
          <t>(51)L/Blue</t>
        </is>
      </c>
      <c r="L1781" s="16" t="inlineStr">
        <is>
          <t>营业中</t>
        </is>
      </c>
      <c r="M1781" s="16" t="inlineStr">
        <is>
          <t>EEWHG25E0351160</t>
        </is>
      </c>
      <c r="N1781" s="16">
        <f>LEFT(M1781,12)</f>
        <v/>
      </c>
      <c r="O1781" s="16" t="inlineStr">
        <is>
          <t>EEWHG25E03, (51)L/Blue, (160)160</t>
        </is>
      </c>
      <c r="P1781" s="16" t="n">
        <v>699</v>
      </c>
      <c r="Q1781" s="16" t="n">
        <v>699</v>
      </c>
      <c r="R1781" s="16" t="n"/>
      <c r="S1781" s="16" t="n"/>
      <c r="T1781" s="16" t="n">
        <v>2</v>
      </c>
    </row>
    <row r="1782" s="103">
      <c r="A1782" s="16" t="inlineStr">
        <is>
          <t>B331</t>
        </is>
      </c>
      <c r="B1782" s="16" t="inlineStr">
        <is>
          <t>上海区域</t>
        </is>
      </c>
      <c r="C1782" s="16" t="inlineStr">
        <is>
          <t>CN0Q</t>
        </is>
      </c>
      <c r="D1782" s="16" t="inlineStr">
        <is>
          <t>EE 苏州比斯特购物村</t>
        </is>
      </c>
      <c r="E1782" s="16" t="n">
        <v>4</v>
      </c>
      <c r="F1782" s="16" t="inlineStr">
        <is>
          <t>奥特莱斯</t>
        </is>
      </c>
      <c r="G1782" s="16" t="inlineStr">
        <is>
          <t>EEWHG25E03</t>
        </is>
      </c>
      <c r="H1782" s="16" t="n">
        <v>699</v>
      </c>
      <c r="I1782" s="16" t="n">
        <v>699</v>
      </c>
      <c r="J1782" s="17" t="inlineStr">
        <is>
          <t>########</t>
        </is>
      </c>
      <c r="K1782" s="16" t="inlineStr">
        <is>
          <t>(51)L/Blue</t>
        </is>
      </c>
      <c r="L1782" s="16" t="inlineStr">
        <is>
          <t>营业中</t>
        </is>
      </c>
      <c r="M1782" s="16" t="inlineStr">
        <is>
          <t>EEWHG25E0351165</t>
        </is>
      </c>
      <c r="N1782" s="16">
        <f>LEFT(M1782,12)</f>
        <v/>
      </c>
      <c r="O1782" s="16" t="inlineStr">
        <is>
          <t>EEWHG25E03, (51)L/Blue, (165)165</t>
        </is>
      </c>
      <c r="P1782" s="16" t="n">
        <v>699</v>
      </c>
      <c r="Q1782" s="16" t="n">
        <v>699</v>
      </c>
      <c r="R1782" s="16" t="n">
        <v>1</v>
      </c>
      <c r="S1782" s="16" t="n">
        <v>441</v>
      </c>
      <c r="T1782" s="16" t="n">
        <v>1</v>
      </c>
    </row>
    <row r="1783" s="103">
      <c r="A1783" s="16" t="inlineStr">
        <is>
          <t>B331</t>
        </is>
      </c>
      <c r="B1783" s="16" t="inlineStr">
        <is>
          <t>上海区域</t>
        </is>
      </c>
      <c r="C1783" s="16" t="inlineStr">
        <is>
          <t>CN0Q</t>
        </is>
      </c>
      <c r="D1783" s="16" t="inlineStr">
        <is>
          <t>EE 苏州比斯特购物村</t>
        </is>
      </c>
      <c r="E1783" s="16" t="n">
        <v>4</v>
      </c>
      <c r="F1783" s="16" t="inlineStr">
        <is>
          <t>奥特莱斯</t>
        </is>
      </c>
      <c r="G1783" s="16" t="inlineStr">
        <is>
          <t>EEWHG25E03</t>
        </is>
      </c>
      <c r="H1783" s="16" t="n">
        <v>699</v>
      </c>
      <c r="I1783" s="16" t="n">
        <v>699</v>
      </c>
      <c r="J1783" s="17" t="inlineStr">
        <is>
          <t>########</t>
        </is>
      </c>
      <c r="K1783" s="16" t="inlineStr">
        <is>
          <t>(51)L/Blue</t>
        </is>
      </c>
      <c r="L1783" s="16" t="inlineStr">
        <is>
          <t>营业中</t>
        </is>
      </c>
      <c r="M1783" s="16" t="inlineStr">
        <is>
          <t>EEWHG25E0351170</t>
        </is>
      </c>
      <c r="N1783" s="16">
        <f>LEFT(M1783,12)</f>
        <v/>
      </c>
      <c r="O1783" s="16" t="inlineStr">
        <is>
          <t>EEWHG25E03, (51)L/Blue, (170)170</t>
        </is>
      </c>
      <c r="P1783" s="16" t="n">
        <v>699</v>
      </c>
      <c r="Q1783" s="16" t="n">
        <v>699</v>
      </c>
      <c r="R1783" s="16" t="n"/>
      <c r="S1783" s="16" t="n"/>
      <c r="T1783" s="16" t="n">
        <v>1</v>
      </c>
    </row>
    <row r="1784" s="103">
      <c r="A1784" s="16" t="inlineStr">
        <is>
          <t>B331</t>
        </is>
      </c>
      <c r="B1784" s="16" t="inlineStr">
        <is>
          <t>上海区域</t>
        </is>
      </c>
      <c r="C1784" s="16" t="inlineStr">
        <is>
          <t>CN0Q</t>
        </is>
      </c>
      <c r="D1784" s="16" t="inlineStr">
        <is>
          <t>EE 苏州比斯特购物村</t>
        </is>
      </c>
      <c r="E1784" s="16" t="n">
        <v>4</v>
      </c>
      <c r="F1784" s="16" t="inlineStr">
        <is>
          <t>奥特莱斯</t>
        </is>
      </c>
      <c r="G1784" s="16" t="inlineStr">
        <is>
          <t>EEWHG25E52</t>
        </is>
      </c>
      <c r="H1784" s="16" t="n">
        <v>799</v>
      </c>
      <c r="I1784" s="16" t="n">
        <v>799</v>
      </c>
      <c r="J1784" s="17" t="inlineStr">
        <is>
          <t>########</t>
        </is>
      </c>
      <c r="K1784" s="16" t="inlineStr">
        <is>
          <t>(59)Navy</t>
        </is>
      </c>
      <c r="L1784" s="16" t="inlineStr">
        <is>
          <t>营业中</t>
        </is>
      </c>
      <c r="M1784" s="16" t="inlineStr">
        <is>
          <t>EEWHG25E5259160</t>
        </is>
      </c>
      <c r="N1784" s="16">
        <f>LEFT(M1784,12)</f>
        <v/>
      </c>
      <c r="O1784" s="16" t="inlineStr">
        <is>
          <t>EEWHG25E52, (59)Navy, (160)160</t>
        </is>
      </c>
      <c r="P1784" s="16" t="n">
        <v>799</v>
      </c>
      <c r="Q1784" s="16" t="n">
        <v>799</v>
      </c>
      <c r="R1784" s="16" t="n"/>
      <c r="S1784" s="16" t="n"/>
      <c r="T1784" s="16" t="n">
        <v>2</v>
      </c>
    </row>
    <row r="1785" s="103">
      <c r="A1785" s="16" t="inlineStr">
        <is>
          <t>B331</t>
        </is>
      </c>
      <c r="B1785" s="16" t="inlineStr">
        <is>
          <t>上海区域</t>
        </is>
      </c>
      <c r="C1785" s="16" t="inlineStr">
        <is>
          <t>CN0Q</t>
        </is>
      </c>
      <c r="D1785" s="16" t="inlineStr">
        <is>
          <t>EE 苏州比斯特购物村</t>
        </is>
      </c>
      <c r="E1785" s="16" t="n">
        <v>4</v>
      </c>
      <c r="F1785" s="16" t="inlineStr">
        <is>
          <t>奥特莱斯</t>
        </is>
      </c>
      <c r="G1785" s="16" t="inlineStr">
        <is>
          <t>EEWHG25E52</t>
        </is>
      </c>
      <c r="H1785" s="16" t="n">
        <v>799</v>
      </c>
      <c r="I1785" s="16" t="n">
        <v>799</v>
      </c>
      <c r="J1785" s="17" t="inlineStr">
        <is>
          <t>########</t>
        </is>
      </c>
      <c r="K1785" s="16" t="inlineStr">
        <is>
          <t>(59)Navy</t>
        </is>
      </c>
      <c r="L1785" s="16" t="inlineStr">
        <is>
          <t>营业中</t>
        </is>
      </c>
      <c r="M1785" s="16" t="inlineStr">
        <is>
          <t>EEWHG25E5259165</t>
        </is>
      </c>
      <c r="N1785" s="16">
        <f>LEFT(M1785,12)</f>
        <v/>
      </c>
      <c r="O1785" s="16" t="inlineStr">
        <is>
          <t>EEWHG25E52, (59)Navy, (165)165</t>
        </is>
      </c>
      <c r="P1785" s="16" t="n">
        <v>799</v>
      </c>
      <c r="Q1785" s="16" t="n">
        <v>799</v>
      </c>
      <c r="R1785" s="16" t="n"/>
      <c r="S1785" s="16" t="n"/>
      <c r="T1785" s="16" t="n">
        <v>2</v>
      </c>
    </row>
    <row r="1786" s="103">
      <c r="A1786" s="16" t="inlineStr">
        <is>
          <t>B331</t>
        </is>
      </c>
      <c r="B1786" s="16" t="inlineStr">
        <is>
          <t>上海区域</t>
        </is>
      </c>
      <c r="C1786" s="16" t="inlineStr">
        <is>
          <t>CN0Q</t>
        </is>
      </c>
      <c r="D1786" s="16" t="inlineStr">
        <is>
          <t>EE 苏州比斯特购物村</t>
        </is>
      </c>
      <c r="E1786" s="16" t="n">
        <v>4</v>
      </c>
      <c r="F1786" s="16" t="inlineStr">
        <is>
          <t>奥特莱斯</t>
        </is>
      </c>
      <c r="G1786" s="16" t="inlineStr">
        <is>
          <t>EEWHG64S02</t>
        </is>
      </c>
      <c r="H1786" s="16" t="n">
        <v>999</v>
      </c>
      <c r="I1786" s="16" t="n">
        <v>999</v>
      </c>
      <c r="J1786" s="17" t="n">
        <v>46086</v>
      </c>
      <c r="K1786" s="16" t="inlineStr">
        <is>
          <t>(39)Ivory</t>
        </is>
      </c>
      <c r="L1786" s="16" t="inlineStr">
        <is>
          <t>营业中</t>
        </is>
      </c>
      <c r="M1786" s="16" t="inlineStr">
        <is>
          <t>EEWHG64S0239160</t>
        </is>
      </c>
      <c r="N1786" s="16">
        <f>LEFT(M1786,12)</f>
        <v/>
      </c>
      <c r="O1786" s="16" t="inlineStr">
        <is>
          <t>EEWHG64S02, (39)Ivory, (160)160</t>
        </is>
      </c>
      <c r="P1786" s="16" t="n">
        <v>999</v>
      </c>
      <c r="Q1786" s="16" t="n">
        <v>999</v>
      </c>
      <c r="R1786" s="16" t="n">
        <v>3</v>
      </c>
      <c r="S1786" s="18" t="n">
        <v>1431</v>
      </c>
      <c r="T1786" s="16" t="n">
        <v>0</v>
      </c>
    </row>
    <row r="1787" s="103">
      <c r="A1787" s="16" t="inlineStr">
        <is>
          <t>B331</t>
        </is>
      </c>
      <c r="B1787" s="16" t="inlineStr">
        <is>
          <t>上海区域</t>
        </is>
      </c>
      <c r="C1787" s="16" t="inlineStr">
        <is>
          <t>CN0Q</t>
        </is>
      </c>
      <c r="D1787" s="16" t="inlineStr">
        <is>
          <t>EE 苏州比斯特购物村</t>
        </is>
      </c>
      <c r="E1787" s="16" t="n">
        <v>4</v>
      </c>
      <c r="F1787" s="16" t="inlineStr">
        <is>
          <t>奥特莱斯</t>
        </is>
      </c>
      <c r="G1787" s="16" t="inlineStr">
        <is>
          <t>EEWHG64S02</t>
        </is>
      </c>
      <c r="H1787" s="16" t="n">
        <v>999</v>
      </c>
      <c r="I1787" s="16" t="n">
        <v>999</v>
      </c>
      <c r="J1787" s="17" t="n">
        <v>46086</v>
      </c>
      <c r="K1787" s="16" t="inlineStr">
        <is>
          <t>(39)Ivory</t>
        </is>
      </c>
      <c r="L1787" s="16" t="inlineStr">
        <is>
          <t>营业中</t>
        </is>
      </c>
      <c r="M1787" s="16" t="inlineStr">
        <is>
          <t>EEWHG64S0239165</t>
        </is>
      </c>
      <c r="N1787" s="16">
        <f>LEFT(M1787,12)</f>
        <v/>
      </c>
      <c r="O1787" s="16" t="inlineStr">
        <is>
          <t>EEWHG64S02, (39)Ivory, (165)165</t>
        </is>
      </c>
      <c r="P1787" s="16" t="n">
        <v>999</v>
      </c>
      <c r="Q1787" s="16" t="n">
        <v>999</v>
      </c>
      <c r="R1787" s="16" t="n">
        <v>1</v>
      </c>
      <c r="S1787" s="16" t="n">
        <v>455</v>
      </c>
      <c r="T1787" s="16" t="n">
        <v>2</v>
      </c>
    </row>
    <row r="1788" s="103">
      <c r="A1788" s="16" t="inlineStr">
        <is>
          <t>B331</t>
        </is>
      </c>
      <c r="B1788" s="16" t="inlineStr">
        <is>
          <t>上海区域</t>
        </is>
      </c>
      <c r="C1788" s="16" t="inlineStr">
        <is>
          <t>CN0Q</t>
        </is>
      </c>
      <c r="D1788" s="16" t="inlineStr">
        <is>
          <t>EE 苏州比斯特购物村</t>
        </is>
      </c>
      <c r="E1788" s="16" t="n">
        <v>4</v>
      </c>
      <c r="F1788" s="16" t="inlineStr">
        <is>
          <t>奥特莱斯</t>
        </is>
      </c>
      <c r="G1788" s="16" t="inlineStr">
        <is>
          <t>EEWHG64S02</t>
        </is>
      </c>
      <c r="H1788" s="16" t="n">
        <v>999</v>
      </c>
      <c r="I1788" s="16" t="n">
        <v>999</v>
      </c>
      <c r="J1788" s="17" t="n">
        <v>46086</v>
      </c>
      <c r="K1788" s="16" t="inlineStr">
        <is>
          <t>(39)Ivory</t>
        </is>
      </c>
      <c r="L1788" s="16" t="inlineStr">
        <is>
          <t>营业中</t>
        </is>
      </c>
      <c r="M1788" s="16" t="inlineStr">
        <is>
          <t>EEWHG64S0239170</t>
        </is>
      </c>
      <c r="N1788" s="16">
        <f>LEFT(M1788,12)</f>
        <v/>
      </c>
      <c r="O1788" s="16" t="inlineStr">
        <is>
          <t>EEWHG64S02, (39)Ivory, (170)170</t>
        </is>
      </c>
      <c r="P1788" s="16" t="n">
        <v>999</v>
      </c>
      <c r="Q1788" s="16" t="n">
        <v>999</v>
      </c>
      <c r="R1788" s="16" t="n"/>
      <c r="S1788" s="16" t="n"/>
      <c r="T1788" s="16" t="n">
        <v>2</v>
      </c>
    </row>
    <row r="1789" s="103">
      <c r="A1789" s="16" t="inlineStr">
        <is>
          <t>B331</t>
        </is>
      </c>
      <c r="B1789" s="16" t="inlineStr">
        <is>
          <t>上海区域</t>
        </is>
      </c>
      <c r="C1789" s="16" t="inlineStr">
        <is>
          <t>CN0Q</t>
        </is>
      </c>
      <c r="D1789" s="16" t="inlineStr">
        <is>
          <t>EE 苏州比斯特购物村</t>
        </is>
      </c>
      <c r="E1789" s="16" t="n">
        <v>4</v>
      </c>
      <c r="F1789" s="16" t="inlineStr">
        <is>
          <t>奥特莱斯</t>
        </is>
      </c>
      <c r="G1789" s="16" t="inlineStr">
        <is>
          <t>EEWHG64S03</t>
        </is>
      </c>
      <c r="H1789" s="16" t="n">
        <v>799</v>
      </c>
      <c r="I1789" s="16" t="n">
        <v>799</v>
      </c>
      <c r="J1789" s="17" t="inlineStr">
        <is>
          <t>########</t>
        </is>
      </c>
      <c r="K1789" s="16" t="inlineStr">
        <is>
          <t>(39)Ivory</t>
        </is>
      </c>
      <c r="L1789" s="16" t="inlineStr">
        <is>
          <t>营业中</t>
        </is>
      </c>
      <c r="M1789" s="16" t="inlineStr">
        <is>
          <t>EEWHG64S0339160</t>
        </is>
      </c>
      <c r="N1789" s="16">
        <f>LEFT(M1789,12)</f>
        <v/>
      </c>
      <c r="O1789" s="16" t="inlineStr">
        <is>
          <t>EEWHG64S03, (39)Ivory, (160)160</t>
        </is>
      </c>
      <c r="P1789" s="16" t="n">
        <v>799</v>
      </c>
      <c r="Q1789" s="16" t="n">
        <v>799</v>
      </c>
      <c r="R1789" s="16" t="n">
        <v>3</v>
      </c>
      <c r="S1789" s="16" t="n">
        <v>771</v>
      </c>
      <c r="T1789" s="16" t="n">
        <v>3</v>
      </c>
    </row>
    <row r="1790" s="103">
      <c r="A1790" s="16" t="inlineStr">
        <is>
          <t>B331</t>
        </is>
      </c>
      <c r="B1790" s="16" t="inlineStr">
        <is>
          <t>上海区域</t>
        </is>
      </c>
      <c r="C1790" s="16" t="inlineStr">
        <is>
          <t>CN0Q</t>
        </is>
      </c>
      <c r="D1790" s="16" t="inlineStr">
        <is>
          <t>EE 苏州比斯特购物村</t>
        </is>
      </c>
      <c r="E1790" s="16" t="n">
        <v>4</v>
      </c>
      <c r="F1790" s="16" t="inlineStr">
        <is>
          <t>奥特莱斯</t>
        </is>
      </c>
      <c r="G1790" s="16" t="inlineStr">
        <is>
          <t>EEWHG64S03</t>
        </is>
      </c>
      <c r="H1790" s="16" t="n">
        <v>799</v>
      </c>
      <c r="I1790" s="16" t="n">
        <v>799</v>
      </c>
      <c r="J1790" s="17" t="inlineStr">
        <is>
          <t>########</t>
        </is>
      </c>
      <c r="K1790" s="16" t="inlineStr">
        <is>
          <t>(39)Ivory</t>
        </is>
      </c>
      <c r="L1790" s="16" t="inlineStr">
        <is>
          <t>营业中</t>
        </is>
      </c>
      <c r="M1790" s="16" t="inlineStr">
        <is>
          <t>EEWHG64S0339165</t>
        </is>
      </c>
      <c r="N1790" s="16">
        <f>LEFT(M1790,12)</f>
        <v/>
      </c>
      <c r="O1790" s="16" t="inlineStr">
        <is>
          <t>EEWHG64S03, (39)Ivory, (165)165</t>
        </is>
      </c>
      <c r="P1790" s="16" t="n">
        <v>799</v>
      </c>
      <c r="Q1790" s="16" t="n">
        <v>799</v>
      </c>
      <c r="R1790" s="16" t="n">
        <v>2</v>
      </c>
      <c r="S1790" s="16" t="n">
        <v>400</v>
      </c>
      <c r="T1790" s="16" t="n">
        <v>4</v>
      </c>
    </row>
    <row r="1791" s="103">
      <c r="A1791" s="16" t="inlineStr">
        <is>
          <t>B331</t>
        </is>
      </c>
      <c r="B1791" s="16" t="inlineStr">
        <is>
          <t>上海区域</t>
        </is>
      </c>
      <c r="C1791" s="16" t="inlineStr">
        <is>
          <t>CN0Q</t>
        </is>
      </c>
      <c r="D1791" s="16" t="inlineStr">
        <is>
          <t>EE 苏州比斯特购物村</t>
        </is>
      </c>
      <c r="E1791" s="16" t="n">
        <v>4</v>
      </c>
      <c r="F1791" s="16" t="inlineStr">
        <is>
          <t>奥特莱斯</t>
        </is>
      </c>
      <c r="G1791" s="16" t="inlineStr">
        <is>
          <t>EEWHG64S03</t>
        </is>
      </c>
      <c r="H1791" s="16" t="n">
        <v>799</v>
      </c>
      <c r="I1791" s="16" t="n">
        <v>799</v>
      </c>
      <c r="J1791" s="17" t="inlineStr">
        <is>
          <t>########</t>
        </is>
      </c>
      <c r="K1791" s="16" t="inlineStr">
        <is>
          <t>(39)Ivory</t>
        </is>
      </c>
      <c r="L1791" s="16" t="inlineStr">
        <is>
          <t>营业中</t>
        </is>
      </c>
      <c r="M1791" s="16" t="inlineStr">
        <is>
          <t>EEWHG64S0339170</t>
        </is>
      </c>
      <c r="N1791" s="16">
        <f>LEFT(M1791,12)</f>
        <v/>
      </c>
      <c r="O1791" s="16" t="inlineStr">
        <is>
          <t>EEWHG64S03, (39)Ivory, (170)170</t>
        </is>
      </c>
      <c r="P1791" s="16" t="n">
        <v>799</v>
      </c>
      <c r="Q1791" s="16" t="n">
        <v>799</v>
      </c>
      <c r="R1791" s="16" t="n"/>
      <c r="S1791" s="16" t="n"/>
      <c r="T1791" s="16" t="n">
        <v>4</v>
      </c>
    </row>
    <row r="1792" s="103">
      <c r="A1792" s="16" t="inlineStr">
        <is>
          <t>B331</t>
        </is>
      </c>
      <c r="B1792" s="16" t="inlineStr">
        <is>
          <t>上海区域</t>
        </is>
      </c>
      <c r="C1792" s="16" t="inlineStr">
        <is>
          <t>CN0Q</t>
        </is>
      </c>
      <c r="D1792" s="16" t="inlineStr">
        <is>
          <t>EE 苏州比斯特购物村</t>
        </is>
      </c>
      <c r="E1792" s="16" t="n">
        <v>4</v>
      </c>
      <c r="F1792" s="16" t="inlineStr">
        <is>
          <t>奥特莱斯</t>
        </is>
      </c>
      <c r="G1792" s="16" t="inlineStr">
        <is>
          <t>EEWJF23E01</t>
        </is>
      </c>
      <c r="H1792" s="16" t="n">
        <v>799</v>
      </c>
      <c r="I1792" s="16" t="n">
        <v>699</v>
      </c>
      <c r="J1792" s="17" t="inlineStr">
        <is>
          <t>########</t>
        </is>
      </c>
      <c r="K1792" s="16" t="inlineStr">
        <is>
          <t>(55)Indigo</t>
        </is>
      </c>
      <c r="L1792" s="16" t="inlineStr">
        <is>
          <t>营业中</t>
        </is>
      </c>
      <c r="M1792" s="16" t="inlineStr">
        <is>
          <t>EEWJF23E0155155</t>
        </is>
      </c>
      <c r="N1792" s="16">
        <f>LEFT(M1792,12)</f>
        <v/>
      </c>
      <c r="O1792" s="16" t="inlineStr">
        <is>
          <t>EEWJF23E01, (55)Indigo, (155)155</t>
        </is>
      </c>
      <c r="P1792" s="16" t="n">
        <v>799</v>
      </c>
      <c r="Q1792" s="16" t="n">
        <v>699</v>
      </c>
      <c r="R1792" s="16" t="n"/>
      <c r="S1792" s="16" t="n"/>
      <c r="T1792" s="16" t="n">
        <v>1</v>
      </c>
    </row>
    <row r="1793" s="103">
      <c r="A1793" s="16" t="inlineStr">
        <is>
          <t>B331</t>
        </is>
      </c>
      <c r="B1793" s="16" t="inlineStr">
        <is>
          <t>上海区域</t>
        </is>
      </c>
      <c r="C1793" s="16" t="inlineStr">
        <is>
          <t>CN0Q</t>
        </is>
      </c>
      <c r="D1793" s="16" t="inlineStr">
        <is>
          <t>EE 苏州比斯特购物村</t>
        </is>
      </c>
      <c r="E1793" s="16" t="n">
        <v>4</v>
      </c>
      <c r="F1793" s="16" t="inlineStr">
        <is>
          <t>奥特莱斯</t>
        </is>
      </c>
      <c r="G1793" s="16" t="inlineStr">
        <is>
          <t>EEWJF23E01</t>
        </is>
      </c>
      <c r="H1793" s="16" t="n">
        <v>799</v>
      </c>
      <c r="I1793" s="16" t="n">
        <v>699</v>
      </c>
      <c r="J1793" s="17" t="inlineStr">
        <is>
          <t>########</t>
        </is>
      </c>
      <c r="K1793" s="16" t="inlineStr">
        <is>
          <t>(55)Indigo</t>
        </is>
      </c>
      <c r="L1793" s="16" t="inlineStr">
        <is>
          <t>营业中</t>
        </is>
      </c>
      <c r="M1793" s="16" t="inlineStr">
        <is>
          <t>EEWJF23E0155160</t>
        </is>
      </c>
      <c r="N1793" s="16">
        <f>LEFT(M1793,12)</f>
        <v/>
      </c>
      <c r="O1793" s="16" t="inlineStr">
        <is>
          <t>EEWJF23E01, (55)Indigo, (160)160</t>
        </is>
      </c>
      <c r="P1793" s="16" t="n">
        <v>799</v>
      </c>
      <c r="Q1793" s="16" t="n">
        <v>699</v>
      </c>
      <c r="R1793" s="16" t="n"/>
      <c r="S1793" s="16" t="n"/>
      <c r="T1793" s="16" t="n">
        <v>4</v>
      </c>
    </row>
    <row r="1794" s="103">
      <c r="A1794" s="16" t="inlineStr">
        <is>
          <t>B331</t>
        </is>
      </c>
      <c r="B1794" s="16" t="inlineStr">
        <is>
          <t>上海区域</t>
        </is>
      </c>
      <c r="C1794" s="16" t="inlineStr">
        <is>
          <t>CN0Q</t>
        </is>
      </c>
      <c r="D1794" s="16" t="inlineStr">
        <is>
          <t>EE 苏州比斯特购物村</t>
        </is>
      </c>
      <c r="E1794" s="16" t="n">
        <v>4</v>
      </c>
      <c r="F1794" s="16" t="inlineStr">
        <is>
          <t>奥特莱斯</t>
        </is>
      </c>
      <c r="G1794" s="16" t="inlineStr">
        <is>
          <t>EEWJF23E01</t>
        </is>
      </c>
      <c r="H1794" s="16" t="n">
        <v>799</v>
      </c>
      <c r="I1794" s="16" t="n">
        <v>699</v>
      </c>
      <c r="J1794" s="17" t="inlineStr">
        <is>
          <t>########</t>
        </is>
      </c>
      <c r="K1794" s="16" t="inlineStr">
        <is>
          <t>(55)Indigo</t>
        </is>
      </c>
      <c r="L1794" s="16" t="inlineStr">
        <is>
          <t>营业中</t>
        </is>
      </c>
      <c r="M1794" s="16" t="inlineStr">
        <is>
          <t>EEWJF23E0155165</t>
        </is>
      </c>
      <c r="N1794" s="16">
        <f>LEFT(M1794,12)</f>
        <v/>
      </c>
      <c r="O1794" s="16" t="inlineStr">
        <is>
          <t>EEWJF23E01, (55)Indigo, (165)165</t>
        </is>
      </c>
      <c r="P1794" s="16" t="n">
        <v>799</v>
      </c>
      <c r="Q1794" s="16" t="n">
        <v>699</v>
      </c>
      <c r="R1794" s="16" t="n"/>
      <c r="S1794" s="16" t="n"/>
      <c r="T1794" s="16" t="n">
        <v>2</v>
      </c>
    </row>
    <row r="1795" s="103">
      <c r="A1795" s="16" t="inlineStr">
        <is>
          <t>B331</t>
        </is>
      </c>
      <c r="B1795" s="16" t="inlineStr">
        <is>
          <t>上海区域</t>
        </is>
      </c>
      <c r="C1795" s="16" t="inlineStr">
        <is>
          <t>CN0Q</t>
        </is>
      </c>
      <c r="D1795" s="16" t="inlineStr">
        <is>
          <t>EE 苏州比斯特购物村</t>
        </is>
      </c>
      <c r="E1795" s="16" t="n">
        <v>4</v>
      </c>
      <c r="F1795" s="16" t="inlineStr">
        <is>
          <t>奥特莱斯</t>
        </is>
      </c>
      <c r="G1795" s="16" t="inlineStr">
        <is>
          <t>EEWJF23E01</t>
        </is>
      </c>
      <c r="H1795" s="16" t="n">
        <v>799</v>
      </c>
      <c r="I1795" s="16" t="n">
        <v>699</v>
      </c>
      <c r="J1795" s="17" t="inlineStr">
        <is>
          <t>########</t>
        </is>
      </c>
      <c r="K1795" s="16" t="inlineStr">
        <is>
          <t>(55)Indigo</t>
        </is>
      </c>
      <c r="L1795" s="16" t="inlineStr">
        <is>
          <t>营业中</t>
        </is>
      </c>
      <c r="M1795" s="16" t="inlineStr">
        <is>
          <t>EEWJF23E0155170</t>
        </is>
      </c>
      <c r="N1795" s="16">
        <f>LEFT(M1795,12)</f>
        <v/>
      </c>
      <c r="O1795" s="16" t="inlineStr">
        <is>
          <t>EEWJF23E01, (55)Indigo, (170)170</t>
        </is>
      </c>
      <c r="P1795" s="16" t="n">
        <v>799</v>
      </c>
      <c r="Q1795" s="16" t="n">
        <v>699</v>
      </c>
      <c r="R1795" s="16" t="n"/>
      <c r="S1795" s="16" t="n"/>
      <c r="T1795" s="16" t="n">
        <v>1</v>
      </c>
    </row>
    <row r="1796" s="103">
      <c r="A1796" s="16" t="inlineStr">
        <is>
          <t>B331</t>
        </is>
      </c>
      <c r="B1796" s="16" t="inlineStr">
        <is>
          <t>上海区域</t>
        </is>
      </c>
      <c r="C1796" s="16" t="inlineStr">
        <is>
          <t>CN0Q</t>
        </is>
      </c>
      <c r="D1796" s="16" t="inlineStr">
        <is>
          <t>EE 苏州比斯特购物村</t>
        </is>
      </c>
      <c r="E1796" s="16" t="n">
        <v>4</v>
      </c>
      <c r="F1796" s="16" t="inlineStr">
        <is>
          <t>奥特莱斯</t>
        </is>
      </c>
      <c r="G1796" s="16" t="inlineStr">
        <is>
          <t>EEWJF23E01</t>
        </is>
      </c>
      <c r="H1796" s="16" t="n">
        <v>799</v>
      </c>
      <c r="I1796" s="16" t="n">
        <v>699</v>
      </c>
      <c r="J1796" s="17" t="inlineStr">
        <is>
          <t>########</t>
        </is>
      </c>
      <c r="K1796" s="16" t="inlineStr">
        <is>
          <t>(56)L/Indigo</t>
        </is>
      </c>
      <c r="L1796" s="16" t="inlineStr">
        <is>
          <t>营业中</t>
        </is>
      </c>
      <c r="M1796" s="16" t="inlineStr">
        <is>
          <t>EEWJF23E0156160</t>
        </is>
      </c>
      <c r="N1796" s="16">
        <f>LEFT(M1796,12)</f>
        <v/>
      </c>
      <c r="O1796" s="16" t="inlineStr">
        <is>
          <t>EEWJF23E01, (56)L/Indigo, (160)160</t>
        </is>
      </c>
      <c r="P1796" s="16" t="n">
        <v>799</v>
      </c>
      <c r="Q1796" s="16" t="n">
        <v>699</v>
      </c>
      <c r="R1796" s="16" t="n"/>
      <c r="S1796" s="16" t="n"/>
      <c r="T1796" s="16" t="n">
        <v>1</v>
      </c>
    </row>
    <row r="1797" s="103">
      <c r="A1797" s="16" t="inlineStr">
        <is>
          <t>B331</t>
        </is>
      </c>
      <c r="B1797" s="16" t="inlineStr">
        <is>
          <t>上海区域</t>
        </is>
      </c>
      <c r="C1797" s="16" t="inlineStr">
        <is>
          <t>CN0Q</t>
        </is>
      </c>
      <c r="D1797" s="16" t="inlineStr">
        <is>
          <t>EE 苏州比斯特购物村</t>
        </is>
      </c>
      <c r="E1797" s="16" t="n">
        <v>4</v>
      </c>
      <c r="F1797" s="16" t="inlineStr">
        <is>
          <t>奥特莱斯</t>
        </is>
      </c>
      <c r="G1797" s="16" t="inlineStr">
        <is>
          <t>EEWJF23E01</t>
        </is>
      </c>
      <c r="H1797" s="16" t="n">
        <v>799</v>
      </c>
      <c r="I1797" s="16" t="n">
        <v>699</v>
      </c>
      <c r="J1797" s="17" t="inlineStr">
        <is>
          <t>########</t>
        </is>
      </c>
      <c r="K1797" s="16" t="inlineStr">
        <is>
          <t>(56)L/Indigo</t>
        </is>
      </c>
      <c r="L1797" s="16" t="inlineStr">
        <is>
          <t>营业中</t>
        </is>
      </c>
      <c r="M1797" s="16" t="inlineStr">
        <is>
          <t>EEWJF23E0156165</t>
        </is>
      </c>
      <c r="N1797" s="16">
        <f>LEFT(M1797,12)</f>
        <v/>
      </c>
      <c r="O1797" s="16" t="inlineStr">
        <is>
          <t>EEWJF23E01, (56)L/Indigo, (165)165</t>
        </is>
      </c>
      <c r="P1797" s="16" t="n">
        <v>799</v>
      </c>
      <c r="Q1797" s="16" t="n">
        <v>699</v>
      </c>
      <c r="R1797" s="16" t="n"/>
      <c r="S1797" s="16" t="n"/>
      <c r="T1797" s="16" t="n">
        <v>3</v>
      </c>
    </row>
    <row r="1798" s="103">
      <c r="A1798" s="16" t="inlineStr">
        <is>
          <t>B331</t>
        </is>
      </c>
      <c r="B1798" s="16" t="inlineStr">
        <is>
          <t>上海区域</t>
        </is>
      </c>
      <c r="C1798" s="16" t="inlineStr">
        <is>
          <t>CN0Q</t>
        </is>
      </c>
      <c r="D1798" s="16" t="inlineStr">
        <is>
          <t>EE 苏州比斯特购物村</t>
        </is>
      </c>
      <c r="E1798" s="16" t="n">
        <v>4</v>
      </c>
      <c r="F1798" s="16" t="inlineStr">
        <is>
          <t>奥特莱斯</t>
        </is>
      </c>
      <c r="G1798" s="16" t="inlineStr">
        <is>
          <t>EEWJF23E01</t>
        </is>
      </c>
      <c r="H1798" s="16" t="n">
        <v>799</v>
      </c>
      <c r="I1798" s="16" t="n">
        <v>699</v>
      </c>
      <c r="J1798" s="17" t="inlineStr">
        <is>
          <t>########</t>
        </is>
      </c>
      <c r="K1798" s="16" t="inlineStr">
        <is>
          <t>(56)L/Indigo</t>
        </is>
      </c>
      <c r="L1798" s="16" t="inlineStr">
        <is>
          <t>营业中</t>
        </is>
      </c>
      <c r="M1798" s="16" t="inlineStr">
        <is>
          <t>EEWJF23E0156170</t>
        </is>
      </c>
      <c r="N1798" s="16">
        <f>LEFT(M1798,12)</f>
        <v/>
      </c>
      <c r="O1798" s="16" t="inlineStr">
        <is>
          <t>EEWJF23E01, (56)L/Indigo, (170)170</t>
        </is>
      </c>
      <c r="P1798" s="16" t="n">
        <v>799</v>
      </c>
      <c r="Q1798" s="16" t="n">
        <v>699</v>
      </c>
      <c r="R1798" s="16" t="n"/>
      <c r="S1798" s="16" t="n"/>
      <c r="T1798" s="16" t="n">
        <v>1</v>
      </c>
    </row>
    <row r="1799" s="103">
      <c r="A1799" s="16" t="inlineStr">
        <is>
          <t>B331</t>
        </is>
      </c>
      <c r="B1799" s="16" t="inlineStr">
        <is>
          <t>上海区域</t>
        </is>
      </c>
      <c r="C1799" s="16" t="inlineStr">
        <is>
          <t>CN0Q</t>
        </is>
      </c>
      <c r="D1799" s="16" t="inlineStr">
        <is>
          <t>EE 苏州比斯特购物村</t>
        </is>
      </c>
      <c r="E1799" s="16" t="n">
        <v>4</v>
      </c>
      <c r="F1799" s="16" t="inlineStr">
        <is>
          <t>奥特莱斯</t>
        </is>
      </c>
      <c r="G1799" s="16" t="inlineStr">
        <is>
          <t>EEWJF23M02</t>
        </is>
      </c>
      <c r="H1799" s="16" t="n">
        <v>899</v>
      </c>
      <c r="I1799" s="16" t="n">
        <v>799</v>
      </c>
      <c r="J1799" s="17" t="n">
        <v>45659</v>
      </c>
      <c r="K1799" s="16" t="inlineStr">
        <is>
          <t>(55)Indigo</t>
        </is>
      </c>
      <c r="L1799" s="16" t="inlineStr">
        <is>
          <t>营业中</t>
        </is>
      </c>
      <c r="M1799" s="16" t="inlineStr">
        <is>
          <t>EEWJF23M0255160</t>
        </is>
      </c>
      <c r="N1799" s="16">
        <f>LEFT(M1799,12)</f>
        <v/>
      </c>
      <c r="O1799" s="16" t="inlineStr">
        <is>
          <t>EEWJF23M02, (55)Indigo, (160)160</t>
        </is>
      </c>
      <c r="P1799" s="16" t="n">
        <v>899</v>
      </c>
      <c r="Q1799" s="16" t="n">
        <v>799</v>
      </c>
      <c r="R1799" s="16" t="n"/>
      <c r="S1799" s="16" t="n"/>
      <c r="T1799" s="16" t="n">
        <v>2</v>
      </c>
    </row>
    <row r="1800" s="103">
      <c r="A1800" s="16" t="inlineStr">
        <is>
          <t>B331</t>
        </is>
      </c>
      <c r="B1800" s="16" t="inlineStr">
        <is>
          <t>上海区域</t>
        </is>
      </c>
      <c r="C1800" s="16" t="inlineStr">
        <is>
          <t>CN0Q</t>
        </is>
      </c>
      <c r="D1800" s="16" t="inlineStr">
        <is>
          <t>EE 苏州比斯特购物村</t>
        </is>
      </c>
      <c r="E1800" s="16" t="n">
        <v>4</v>
      </c>
      <c r="F1800" s="16" t="inlineStr">
        <is>
          <t>奥特莱斯</t>
        </is>
      </c>
      <c r="G1800" s="16" t="inlineStr">
        <is>
          <t>EEWJF23M02</t>
        </is>
      </c>
      <c r="H1800" s="16" t="n">
        <v>899</v>
      </c>
      <c r="I1800" s="16" t="n">
        <v>799</v>
      </c>
      <c r="J1800" s="17" t="n">
        <v>45659</v>
      </c>
      <c r="K1800" s="16" t="inlineStr">
        <is>
          <t>(55)Indigo</t>
        </is>
      </c>
      <c r="L1800" s="16" t="inlineStr">
        <is>
          <t>营业中</t>
        </is>
      </c>
      <c r="M1800" s="16" t="inlineStr">
        <is>
          <t>EEWJF23M0255165</t>
        </is>
      </c>
      <c r="N1800" s="16">
        <f>LEFT(M1800,12)</f>
        <v/>
      </c>
      <c r="O1800" s="16" t="inlineStr">
        <is>
          <t>EEWJF23M02, (55)Indigo, (165)165</t>
        </is>
      </c>
      <c r="P1800" s="16" t="n">
        <v>899</v>
      </c>
      <c r="Q1800" s="16" t="n">
        <v>799</v>
      </c>
      <c r="R1800" s="16" t="n"/>
      <c r="S1800" s="16" t="n"/>
      <c r="T1800" s="16" t="n">
        <v>3</v>
      </c>
    </row>
    <row r="1801" s="103">
      <c r="A1801" s="16" t="inlineStr">
        <is>
          <t>B331</t>
        </is>
      </c>
      <c r="B1801" s="16" t="inlineStr">
        <is>
          <t>上海区域</t>
        </is>
      </c>
      <c r="C1801" s="16" t="inlineStr">
        <is>
          <t>CN0Q</t>
        </is>
      </c>
      <c r="D1801" s="16" t="inlineStr">
        <is>
          <t>EE 苏州比斯特购物村</t>
        </is>
      </c>
      <c r="E1801" s="16" t="n">
        <v>4</v>
      </c>
      <c r="F1801" s="16" t="inlineStr">
        <is>
          <t>奥特莱斯</t>
        </is>
      </c>
      <c r="G1801" s="16" t="inlineStr">
        <is>
          <t>EEWJF23M02</t>
        </is>
      </c>
      <c r="H1801" s="16" t="n">
        <v>899</v>
      </c>
      <c r="I1801" s="16" t="n">
        <v>799</v>
      </c>
      <c r="J1801" s="17" t="n">
        <v>45659</v>
      </c>
      <c r="K1801" s="16" t="inlineStr">
        <is>
          <t>(55)Indigo</t>
        </is>
      </c>
      <c r="L1801" s="16" t="inlineStr">
        <is>
          <t>营业中</t>
        </is>
      </c>
      <c r="M1801" s="16" t="inlineStr">
        <is>
          <t>EEWJF23M0255170</t>
        </is>
      </c>
      <c r="N1801" s="16">
        <f>LEFT(M1801,12)</f>
        <v/>
      </c>
      <c r="O1801" s="16" t="inlineStr">
        <is>
          <t>EEWJF23M02, (55)Indigo, (170)170</t>
        </is>
      </c>
      <c r="P1801" s="16" t="n">
        <v>899</v>
      </c>
      <c r="Q1801" s="16" t="n">
        <v>799</v>
      </c>
      <c r="R1801" s="16" t="n"/>
      <c r="S1801" s="16" t="n"/>
      <c r="T1801" s="16" t="n">
        <v>1</v>
      </c>
    </row>
    <row r="1802" s="103">
      <c r="A1802" s="16" t="inlineStr">
        <is>
          <t>B331</t>
        </is>
      </c>
      <c r="B1802" s="16" t="inlineStr">
        <is>
          <t>上海区域</t>
        </is>
      </c>
      <c r="C1802" s="16" t="inlineStr">
        <is>
          <t>CN0Q</t>
        </is>
      </c>
      <c r="D1802" s="16" t="inlineStr">
        <is>
          <t>EE 苏州比斯特购物村</t>
        </is>
      </c>
      <c r="E1802" s="16" t="n">
        <v>4</v>
      </c>
      <c r="F1802" s="16" t="inlineStr">
        <is>
          <t>奥特莱斯</t>
        </is>
      </c>
      <c r="G1802" s="16" t="inlineStr">
        <is>
          <t>EEWJF24M01</t>
        </is>
      </c>
      <c r="H1802" s="16" t="n">
        <v>699</v>
      </c>
      <c r="I1802" s="16" t="n">
        <v>699</v>
      </c>
      <c r="J1802" s="17" t="inlineStr">
        <is>
          <t>########</t>
        </is>
      </c>
      <c r="K1802" s="16" t="inlineStr">
        <is>
          <t>(01)M/Indigo</t>
        </is>
      </c>
      <c r="L1802" s="16" t="inlineStr">
        <is>
          <t>营业中</t>
        </is>
      </c>
      <c r="M1802" s="16" t="inlineStr">
        <is>
          <t>EEWJF24M0101160</t>
        </is>
      </c>
      <c r="N1802" s="16">
        <f>LEFT(M1802,12)</f>
        <v/>
      </c>
      <c r="O1802" s="16" t="inlineStr">
        <is>
          <t>EEWJF24M01, (01)M/Indigo, (160)160</t>
        </is>
      </c>
      <c r="P1802" s="16" t="n">
        <v>699</v>
      </c>
      <c r="Q1802" s="16" t="n">
        <v>699</v>
      </c>
      <c r="R1802" s="16" t="n"/>
      <c r="S1802" s="16" t="n"/>
      <c r="T1802" s="16" t="n">
        <v>3</v>
      </c>
    </row>
    <row r="1803" s="103">
      <c r="A1803" s="16" t="inlineStr">
        <is>
          <t>B331</t>
        </is>
      </c>
      <c r="B1803" s="16" t="inlineStr">
        <is>
          <t>上海区域</t>
        </is>
      </c>
      <c r="C1803" s="16" t="inlineStr">
        <is>
          <t>CN0Q</t>
        </is>
      </c>
      <c r="D1803" s="16" t="inlineStr">
        <is>
          <t>EE 苏州比斯特购物村</t>
        </is>
      </c>
      <c r="E1803" s="16" t="n">
        <v>4</v>
      </c>
      <c r="F1803" s="16" t="inlineStr">
        <is>
          <t>奥特莱斯</t>
        </is>
      </c>
      <c r="G1803" s="16" t="inlineStr">
        <is>
          <t>EEWJF24M01</t>
        </is>
      </c>
      <c r="H1803" s="16" t="n">
        <v>699</v>
      </c>
      <c r="I1803" s="16" t="n">
        <v>699</v>
      </c>
      <c r="J1803" s="17" t="inlineStr">
        <is>
          <t>########</t>
        </is>
      </c>
      <c r="K1803" s="16" t="inlineStr">
        <is>
          <t>(01)M/Indigo</t>
        </is>
      </c>
      <c r="L1803" s="16" t="inlineStr">
        <is>
          <t>营业中</t>
        </is>
      </c>
      <c r="M1803" s="16" t="inlineStr">
        <is>
          <t>EEWJF24M0101165</t>
        </is>
      </c>
      <c r="N1803" s="16">
        <f>LEFT(M1803,12)</f>
        <v/>
      </c>
      <c r="O1803" s="16" t="inlineStr">
        <is>
          <t>EEWJF24M01, (01)M/Indigo, (165)165</t>
        </is>
      </c>
      <c r="P1803" s="16" t="n">
        <v>699</v>
      </c>
      <c r="Q1803" s="16" t="n">
        <v>699</v>
      </c>
      <c r="R1803" s="16" t="n"/>
      <c r="S1803" s="16" t="n"/>
      <c r="T1803" s="16" t="n">
        <v>2</v>
      </c>
    </row>
    <row r="1804" s="103">
      <c r="A1804" s="16" t="inlineStr">
        <is>
          <t>B331</t>
        </is>
      </c>
      <c r="B1804" s="16" t="inlineStr">
        <is>
          <t>上海区域</t>
        </is>
      </c>
      <c r="C1804" s="16" t="inlineStr">
        <is>
          <t>CN0Q</t>
        </is>
      </c>
      <c r="D1804" s="16" t="inlineStr">
        <is>
          <t>EE 苏州比斯特购物村</t>
        </is>
      </c>
      <c r="E1804" s="16" t="n">
        <v>4</v>
      </c>
      <c r="F1804" s="16" t="inlineStr">
        <is>
          <t>奥特莱斯</t>
        </is>
      </c>
      <c r="G1804" s="16" t="inlineStr">
        <is>
          <t>EEWJF24M01</t>
        </is>
      </c>
      <c r="H1804" s="16" t="n">
        <v>699</v>
      </c>
      <c r="I1804" s="16" t="n">
        <v>699</v>
      </c>
      <c r="J1804" s="17" t="inlineStr">
        <is>
          <t>########</t>
        </is>
      </c>
      <c r="K1804" s="16" t="inlineStr">
        <is>
          <t>(01)M/Indigo</t>
        </is>
      </c>
      <c r="L1804" s="16" t="inlineStr">
        <is>
          <t>营业中</t>
        </is>
      </c>
      <c r="M1804" s="16" t="inlineStr">
        <is>
          <t>EEWJF24M0101170</t>
        </is>
      </c>
      <c r="N1804" s="16">
        <f>LEFT(M1804,12)</f>
        <v/>
      </c>
      <c r="O1804" s="16" t="inlineStr">
        <is>
          <t>EEWJF24M01, (01)M/Indigo, (170)170</t>
        </is>
      </c>
      <c r="P1804" s="16" t="n">
        <v>699</v>
      </c>
      <c r="Q1804" s="16" t="n">
        <v>699</v>
      </c>
      <c r="R1804" s="16" t="n"/>
      <c r="S1804" s="16" t="n"/>
      <c r="T1804" s="16" t="n">
        <v>1</v>
      </c>
    </row>
    <row r="1805" s="103">
      <c r="A1805" s="16" t="inlineStr">
        <is>
          <t>B331</t>
        </is>
      </c>
      <c r="B1805" s="16" t="inlineStr">
        <is>
          <t>上海区域</t>
        </is>
      </c>
      <c r="C1805" s="16" t="inlineStr">
        <is>
          <t>CN0Q</t>
        </is>
      </c>
      <c r="D1805" s="16" t="inlineStr">
        <is>
          <t>EE 苏州比斯特购物村</t>
        </is>
      </c>
      <c r="E1805" s="16" t="n">
        <v>4</v>
      </c>
      <c r="F1805" s="16" t="inlineStr">
        <is>
          <t>奥特莱斯</t>
        </is>
      </c>
      <c r="G1805" s="16" t="inlineStr">
        <is>
          <t>EEWJF24M01</t>
        </is>
      </c>
      <c r="H1805" s="16" t="n">
        <v>699</v>
      </c>
      <c r="I1805" s="16" t="n">
        <v>699</v>
      </c>
      <c r="J1805" s="17" t="inlineStr">
        <is>
          <t>########</t>
        </is>
      </c>
      <c r="K1805" s="16" t="inlineStr">
        <is>
          <t>(39)Ivory</t>
        </is>
      </c>
      <c r="L1805" s="16" t="inlineStr">
        <is>
          <t>营业中</t>
        </is>
      </c>
      <c r="M1805" s="16" t="inlineStr">
        <is>
          <t>EEWJF24M0139160</t>
        </is>
      </c>
      <c r="N1805" s="16">
        <f>LEFT(M1805,12)</f>
        <v/>
      </c>
      <c r="O1805" s="16" t="inlineStr">
        <is>
          <t>EEWJF24M01, (39)Ivory, (160)160</t>
        </is>
      </c>
      <c r="P1805" s="16" t="n">
        <v>699</v>
      </c>
      <c r="Q1805" s="16" t="n">
        <v>699</v>
      </c>
      <c r="R1805" s="16" t="n"/>
      <c r="S1805" s="16" t="n"/>
      <c r="T1805" s="16" t="n">
        <v>3</v>
      </c>
    </row>
    <row r="1806" s="103">
      <c r="A1806" s="16" t="inlineStr">
        <is>
          <t>B331</t>
        </is>
      </c>
      <c r="B1806" s="16" t="inlineStr">
        <is>
          <t>上海区域</t>
        </is>
      </c>
      <c r="C1806" s="16" t="inlineStr">
        <is>
          <t>CN0Q</t>
        </is>
      </c>
      <c r="D1806" s="16" t="inlineStr">
        <is>
          <t>EE 苏州比斯特购物村</t>
        </is>
      </c>
      <c r="E1806" s="16" t="n">
        <v>4</v>
      </c>
      <c r="F1806" s="16" t="inlineStr">
        <is>
          <t>奥特莱斯</t>
        </is>
      </c>
      <c r="G1806" s="16" t="inlineStr">
        <is>
          <t>EEWJF24M01</t>
        </is>
      </c>
      <c r="H1806" s="16" t="n">
        <v>699</v>
      </c>
      <c r="I1806" s="16" t="n">
        <v>699</v>
      </c>
      <c r="J1806" s="17" t="inlineStr">
        <is>
          <t>########</t>
        </is>
      </c>
      <c r="K1806" s="16" t="inlineStr">
        <is>
          <t>(39)Ivory</t>
        </is>
      </c>
      <c r="L1806" s="16" t="inlineStr">
        <is>
          <t>营业中</t>
        </is>
      </c>
      <c r="M1806" s="16" t="inlineStr">
        <is>
          <t>EEWJF24M0139165</t>
        </is>
      </c>
      <c r="N1806" s="16">
        <f>LEFT(M1806,12)</f>
        <v/>
      </c>
      <c r="O1806" s="16" t="inlineStr">
        <is>
          <t>EEWJF24M01, (39)Ivory, (165)165</t>
        </is>
      </c>
      <c r="P1806" s="16" t="n">
        <v>699</v>
      </c>
      <c r="Q1806" s="16" t="n">
        <v>699</v>
      </c>
      <c r="R1806" s="16" t="n"/>
      <c r="S1806" s="16" t="n"/>
      <c r="T1806" s="16" t="n">
        <v>2</v>
      </c>
    </row>
    <row r="1807" s="103">
      <c r="A1807" s="16" t="inlineStr">
        <is>
          <t>B331</t>
        </is>
      </c>
      <c r="B1807" s="16" t="inlineStr">
        <is>
          <t>上海区域</t>
        </is>
      </c>
      <c r="C1807" s="16" t="inlineStr">
        <is>
          <t>CN0Q</t>
        </is>
      </c>
      <c r="D1807" s="16" t="inlineStr">
        <is>
          <t>EE 苏州比斯特购物村</t>
        </is>
      </c>
      <c r="E1807" s="16" t="n">
        <v>4</v>
      </c>
      <c r="F1807" s="16" t="inlineStr">
        <is>
          <t>奥特莱斯</t>
        </is>
      </c>
      <c r="G1807" s="16" t="inlineStr">
        <is>
          <t>EEWJF24M01</t>
        </is>
      </c>
      <c r="H1807" s="16" t="n">
        <v>699</v>
      </c>
      <c r="I1807" s="16" t="n">
        <v>699</v>
      </c>
      <c r="J1807" s="17" t="inlineStr">
        <is>
          <t>########</t>
        </is>
      </c>
      <c r="K1807" s="16" t="inlineStr">
        <is>
          <t>(39)Ivory</t>
        </is>
      </c>
      <c r="L1807" s="16" t="inlineStr">
        <is>
          <t>营业中</t>
        </is>
      </c>
      <c r="M1807" s="16" t="inlineStr">
        <is>
          <t>EEWJF24M0139170</t>
        </is>
      </c>
      <c r="N1807" s="16">
        <f>LEFT(M1807,12)</f>
        <v/>
      </c>
      <c r="O1807" s="16" t="inlineStr">
        <is>
          <t>EEWJF24M01, (39)Ivory, (170)170</t>
        </is>
      </c>
      <c r="P1807" s="16" t="n">
        <v>699</v>
      </c>
      <c r="Q1807" s="16" t="n">
        <v>699</v>
      </c>
      <c r="R1807" s="16" t="n"/>
      <c r="S1807" s="16" t="n"/>
      <c r="T1807" s="16" t="n">
        <v>2</v>
      </c>
    </row>
    <row r="1808" s="103">
      <c r="A1808" s="16" t="inlineStr">
        <is>
          <t>B331</t>
        </is>
      </c>
      <c r="B1808" s="16" t="inlineStr">
        <is>
          <t>上海区域</t>
        </is>
      </c>
      <c r="C1808" s="16" t="inlineStr">
        <is>
          <t>CN0Q</t>
        </is>
      </c>
      <c r="D1808" s="16" t="inlineStr">
        <is>
          <t>EE 苏州比斯特购物村</t>
        </is>
      </c>
      <c r="E1808" s="16" t="n">
        <v>4</v>
      </c>
      <c r="F1808" s="16" t="inlineStr">
        <is>
          <t>奥特莱斯</t>
        </is>
      </c>
      <c r="G1808" s="16" t="inlineStr">
        <is>
          <t>EEWJG23B01</t>
        </is>
      </c>
      <c r="H1808" s="16" t="n">
        <v>899</v>
      </c>
      <c r="I1808" s="16" t="n">
        <v>999</v>
      </c>
      <c r="J1808" s="17" t="inlineStr">
        <is>
          <t>########</t>
        </is>
      </c>
      <c r="K1808" s="16" t="inlineStr">
        <is>
          <t>(56)L/Indigo</t>
        </is>
      </c>
      <c r="L1808" s="16" t="inlineStr">
        <is>
          <t>营业中</t>
        </is>
      </c>
      <c r="M1808" s="16" t="inlineStr">
        <is>
          <t>EEWJG23B0156155</t>
        </is>
      </c>
      <c r="N1808" s="16">
        <f>LEFT(M1808,12)</f>
        <v/>
      </c>
      <c r="O1808" s="16" t="inlineStr">
        <is>
          <t>EEWJG23B01, (56)L/Indigo, (155)155</t>
        </is>
      </c>
      <c r="P1808" s="16" t="n">
        <v>899</v>
      </c>
      <c r="Q1808" s="16" t="n">
        <v>999</v>
      </c>
      <c r="R1808" s="16" t="n"/>
      <c r="S1808" s="16" t="n"/>
      <c r="T1808" s="16" t="n">
        <v>1</v>
      </c>
    </row>
    <row r="1809" s="103">
      <c r="A1809" s="16" t="inlineStr">
        <is>
          <t>B331</t>
        </is>
      </c>
      <c r="B1809" s="16" t="inlineStr">
        <is>
          <t>上海区域</t>
        </is>
      </c>
      <c r="C1809" s="16" t="inlineStr">
        <is>
          <t>CN0Q</t>
        </is>
      </c>
      <c r="D1809" s="16" t="inlineStr">
        <is>
          <t>EE 苏州比斯特购物村</t>
        </is>
      </c>
      <c r="E1809" s="16" t="n">
        <v>4</v>
      </c>
      <c r="F1809" s="16" t="inlineStr">
        <is>
          <t>奥特莱斯</t>
        </is>
      </c>
      <c r="G1809" s="16" t="inlineStr">
        <is>
          <t>EEWJG23B01</t>
        </is>
      </c>
      <c r="H1809" s="16" t="n">
        <v>899</v>
      </c>
      <c r="I1809" s="16" t="n">
        <v>999</v>
      </c>
      <c r="J1809" s="17" t="inlineStr">
        <is>
          <t>########</t>
        </is>
      </c>
      <c r="K1809" s="16" t="inlineStr">
        <is>
          <t>(56)L/Indigo</t>
        </is>
      </c>
      <c r="L1809" s="16" t="inlineStr">
        <is>
          <t>营业中</t>
        </is>
      </c>
      <c r="M1809" s="16" t="inlineStr">
        <is>
          <t>EEWJG23B0156160</t>
        </is>
      </c>
      <c r="N1809" s="16">
        <f>LEFT(M1809,12)</f>
        <v/>
      </c>
      <c r="O1809" s="16" t="inlineStr">
        <is>
          <t>EEWJG23B01, (56)L/Indigo, (160)160</t>
        </is>
      </c>
      <c r="P1809" s="16" t="n">
        <v>899</v>
      </c>
      <c r="Q1809" s="16" t="n">
        <v>999</v>
      </c>
      <c r="R1809" s="16" t="n"/>
      <c r="S1809" s="16" t="n"/>
      <c r="T1809" s="16" t="n">
        <v>2</v>
      </c>
    </row>
    <row r="1810" s="103">
      <c r="A1810" s="16" t="inlineStr">
        <is>
          <t>B331</t>
        </is>
      </c>
      <c r="B1810" s="16" t="inlineStr">
        <is>
          <t>上海区域</t>
        </is>
      </c>
      <c r="C1810" s="16" t="inlineStr">
        <is>
          <t>CN0Q</t>
        </is>
      </c>
      <c r="D1810" s="16" t="inlineStr">
        <is>
          <t>EE 苏州比斯特购物村</t>
        </is>
      </c>
      <c r="E1810" s="16" t="n">
        <v>4</v>
      </c>
      <c r="F1810" s="16" t="inlineStr">
        <is>
          <t>奥特莱斯</t>
        </is>
      </c>
      <c r="G1810" s="16" t="inlineStr">
        <is>
          <t>EEWJG23B01</t>
        </is>
      </c>
      <c r="H1810" s="16" t="n">
        <v>899</v>
      </c>
      <c r="I1810" s="16" t="n">
        <v>999</v>
      </c>
      <c r="J1810" s="17" t="inlineStr">
        <is>
          <t>########</t>
        </is>
      </c>
      <c r="K1810" s="16" t="inlineStr">
        <is>
          <t>(56)L/Indigo</t>
        </is>
      </c>
      <c r="L1810" s="16" t="inlineStr">
        <is>
          <t>营业中</t>
        </is>
      </c>
      <c r="M1810" s="16" t="inlineStr">
        <is>
          <t>EEWJG23B0156165</t>
        </is>
      </c>
      <c r="N1810" s="16">
        <f>LEFT(M1810,12)</f>
        <v/>
      </c>
      <c r="O1810" s="16" t="inlineStr">
        <is>
          <t>EEWJG23B01, (56)L/Indigo, (165)165</t>
        </is>
      </c>
      <c r="P1810" s="16" t="n">
        <v>899</v>
      </c>
      <c r="Q1810" s="16" t="n">
        <v>999</v>
      </c>
      <c r="R1810" s="16" t="n">
        <v>1</v>
      </c>
      <c r="S1810" s="16" t="n">
        <v>631</v>
      </c>
      <c r="T1810" s="16" t="n">
        <v>1</v>
      </c>
    </row>
    <row r="1811" s="103">
      <c r="A1811" s="16" t="inlineStr">
        <is>
          <t>B331</t>
        </is>
      </c>
      <c r="B1811" s="16" t="inlineStr">
        <is>
          <t>上海区域</t>
        </is>
      </c>
      <c r="C1811" s="16" t="inlineStr">
        <is>
          <t>CN0Q</t>
        </is>
      </c>
      <c r="D1811" s="16" t="inlineStr">
        <is>
          <t>EE 苏州比斯特购物村</t>
        </is>
      </c>
      <c r="E1811" s="16" t="n">
        <v>4</v>
      </c>
      <c r="F1811" s="16" t="inlineStr">
        <is>
          <t>奥特莱斯</t>
        </is>
      </c>
      <c r="G1811" s="16" t="inlineStr">
        <is>
          <t>EEWJG23B01</t>
        </is>
      </c>
      <c r="H1811" s="16" t="n">
        <v>899</v>
      </c>
      <c r="I1811" s="16" t="n">
        <v>999</v>
      </c>
      <c r="J1811" s="17" t="inlineStr">
        <is>
          <t>########</t>
        </is>
      </c>
      <c r="K1811" s="16" t="inlineStr">
        <is>
          <t>(56)L/Indigo</t>
        </is>
      </c>
      <c r="L1811" s="16" t="inlineStr">
        <is>
          <t>营业中</t>
        </is>
      </c>
      <c r="M1811" s="16" t="inlineStr">
        <is>
          <t>EEWJG23B0156170</t>
        </is>
      </c>
      <c r="N1811" s="16">
        <f>LEFT(M1811,12)</f>
        <v/>
      </c>
      <c r="O1811" s="16" t="inlineStr">
        <is>
          <t>EEWJG23B01, (56)L/Indigo, (170)170</t>
        </is>
      </c>
      <c r="P1811" s="16" t="n">
        <v>899</v>
      </c>
      <c r="Q1811" s="16" t="n">
        <v>999</v>
      </c>
      <c r="R1811" s="16" t="n">
        <v>1</v>
      </c>
      <c r="S1811" s="16" t="n">
        <v>637</v>
      </c>
      <c r="T1811" s="16" t="n">
        <v>1</v>
      </c>
    </row>
    <row r="1812" s="103">
      <c r="A1812" s="16" t="inlineStr">
        <is>
          <t>B331</t>
        </is>
      </c>
      <c r="B1812" s="16" t="inlineStr">
        <is>
          <t>上海区域</t>
        </is>
      </c>
      <c r="C1812" s="16" t="inlineStr">
        <is>
          <t>CN0Q</t>
        </is>
      </c>
      <c r="D1812" s="16" t="inlineStr">
        <is>
          <t>EE 苏州比斯特购物村</t>
        </is>
      </c>
      <c r="E1812" s="16" t="n">
        <v>4</v>
      </c>
      <c r="F1812" s="16" t="inlineStr">
        <is>
          <t>奥特莱斯</t>
        </is>
      </c>
      <c r="G1812" s="16" t="inlineStr">
        <is>
          <t>EEWJG23B01</t>
        </is>
      </c>
      <c r="H1812" s="16" t="n">
        <v>899</v>
      </c>
      <c r="I1812" s="16" t="n">
        <v>999</v>
      </c>
      <c r="J1812" s="17" t="inlineStr">
        <is>
          <t>########</t>
        </is>
      </c>
      <c r="K1812" s="16" t="inlineStr">
        <is>
          <t>(57)D/Indigo</t>
        </is>
      </c>
      <c r="L1812" s="16" t="inlineStr">
        <is>
          <t>营业中</t>
        </is>
      </c>
      <c r="M1812" s="16" t="inlineStr">
        <is>
          <t>EEWJG23B0157155</t>
        </is>
      </c>
      <c r="N1812" s="16">
        <f>LEFT(M1812,12)</f>
        <v/>
      </c>
      <c r="O1812" s="16" t="inlineStr">
        <is>
          <t>EEWJG23B01, (57)D/Indigo, (155)155</t>
        </is>
      </c>
      <c r="P1812" s="16" t="n">
        <v>899</v>
      </c>
      <c r="Q1812" s="16" t="n">
        <v>999</v>
      </c>
      <c r="R1812" s="16" t="n"/>
      <c r="S1812" s="16" t="n"/>
      <c r="T1812" s="16" t="n">
        <v>2</v>
      </c>
    </row>
    <row r="1813" s="103">
      <c r="A1813" s="16" t="inlineStr">
        <is>
          <t>B331</t>
        </is>
      </c>
      <c r="B1813" s="16" t="inlineStr">
        <is>
          <t>上海区域</t>
        </is>
      </c>
      <c r="C1813" s="16" t="inlineStr">
        <is>
          <t>CN0Q</t>
        </is>
      </c>
      <c r="D1813" s="16" t="inlineStr">
        <is>
          <t>EE 苏州比斯特购物村</t>
        </is>
      </c>
      <c r="E1813" s="16" t="n">
        <v>4</v>
      </c>
      <c r="F1813" s="16" t="inlineStr">
        <is>
          <t>奥特莱斯</t>
        </is>
      </c>
      <c r="G1813" s="16" t="inlineStr">
        <is>
          <t>EEWJG23B01</t>
        </is>
      </c>
      <c r="H1813" s="16" t="n">
        <v>899</v>
      </c>
      <c r="I1813" s="16" t="n">
        <v>999</v>
      </c>
      <c r="J1813" s="17" t="inlineStr">
        <is>
          <t>########</t>
        </is>
      </c>
      <c r="K1813" s="16" t="inlineStr">
        <is>
          <t>(57)D/Indigo</t>
        </is>
      </c>
      <c r="L1813" s="16" t="inlineStr">
        <is>
          <t>营业中</t>
        </is>
      </c>
      <c r="M1813" s="16" t="inlineStr">
        <is>
          <t>EEWJG23B0157160</t>
        </is>
      </c>
      <c r="N1813" s="16">
        <f>LEFT(M1813,12)</f>
        <v/>
      </c>
      <c r="O1813" s="16" t="inlineStr">
        <is>
          <t>EEWJG23B01, (57)D/Indigo, (160)160</t>
        </is>
      </c>
      <c r="P1813" s="16" t="n">
        <v>899</v>
      </c>
      <c r="Q1813" s="16" t="n">
        <v>999</v>
      </c>
      <c r="R1813" s="16" t="n"/>
      <c r="S1813" s="16" t="n"/>
      <c r="T1813" s="16" t="n">
        <v>2</v>
      </c>
    </row>
    <row r="1814" s="103">
      <c r="A1814" s="16" t="inlineStr">
        <is>
          <t>B331</t>
        </is>
      </c>
      <c r="B1814" s="16" t="inlineStr">
        <is>
          <t>上海区域</t>
        </is>
      </c>
      <c r="C1814" s="16" t="inlineStr">
        <is>
          <t>CN0Q</t>
        </is>
      </c>
      <c r="D1814" s="16" t="inlineStr">
        <is>
          <t>EE 苏州比斯特购物村</t>
        </is>
      </c>
      <c r="E1814" s="16" t="n">
        <v>4</v>
      </c>
      <c r="F1814" s="16" t="inlineStr">
        <is>
          <t>奥特莱斯</t>
        </is>
      </c>
      <c r="G1814" s="16" t="inlineStr">
        <is>
          <t>EEWJG23B01</t>
        </is>
      </c>
      <c r="H1814" s="16" t="n">
        <v>899</v>
      </c>
      <c r="I1814" s="16" t="n">
        <v>999</v>
      </c>
      <c r="J1814" s="17" t="inlineStr">
        <is>
          <t>########</t>
        </is>
      </c>
      <c r="K1814" s="16" t="inlineStr">
        <is>
          <t>(57)D/Indigo</t>
        </is>
      </c>
      <c r="L1814" s="16" t="inlineStr">
        <is>
          <t>营业中</t>
        </is>
      </c>
      <c r="M1814" s="16" t="inlineStr">
        <is>
          <t>EEWJG23B0157165</t>
        </is>
      </c>
      <c r="N1814" s="16">
        <f>LEFT(M1814,12)</f>
        <v/>
      </c>
      <c r="O1814" s="16" t="inlineStr">
        <is>
          <t>EEWJG23B01, (57)D/Indigo, (165)165</t>
        </is>
      </c>
      <c r="P1814" s="16" t="n">
        <v>899</v>
      </c>
      <c r="Q1814" s="16" t="n">
        <v>999</v>
      </c>
      <c r="R1814" s="16" t="n"/>
      <c r="S1814" s="16" t="n"/>
      <c r="T1814" s="16" t="n">
        <v>2</v>
      </c>
    </row>
    <row r="1815" s="103">
      <c r="A1815" s="16" t="inlineStr">
        <is>
          <t>B331</t>
        </is>
      </c>
      <c r="B1815" s="16" t="inlineStr">
        <is>
          <t>上海区域</t>
        </is>
      </c>
      <c r="C1815" s="16" t="inlineStr">
        <is>
          <t>CN0Q</t>
        </is>
      </c>
      <c r="D1815" s="16" t="inlineStr">
        <is>
          <t>EE 苏州比斯特购物村</t>
        </is>
      </c>
      <c r="E1815" s="16" t="n">
        <v>4</v>
      </c>
      <c r="F1815" s="16" t="inlineStr">
        <is>
          <t>奥特莱斯</t>
        </is>
      </c>
      <c r="G1815" s="16" t="inlineStr">
        <is>
          <t>EEWJG23B01</t>
        </is>
      </c>
      <c r="H1815" s="16" t="n">
        <v>899</v>
      </c>
      <c r="I1815" s="16" t="n">
        <v>999</v>
      </c>
      <c r="J1815" s="17" t="inlineStr">
        <is>
          <t>########</t>
        </is>
      </c>
      <c r="K1815" s="16" t="inlineStr">
        <is>
          <t>(57)D/Indigo</t>
        </is>
      </c>
      <c r="L1815" s="16" t="inlineStr">
        <is>
          <t>营业中</t>
        </is>
      </c>
      <c r="M1815" s="16" t="inlineStr">
        <is>
          <t>EEWJG23B0157170</t>
        </is>
      </c>
      <c r="N1815" s="16">
        <f>LEFT(M1815,12)</f>
        <v/>
      </c>
      <c r="O1815" s="16" t="inlineStr">
        <is>
          <t>EEWJG23B01, (57)D/Indigo, (170)170</t>
        </is>
      </c>
      <c r="P1815" s="16" t="n">
        <v>899</v>
      </c>
      <c r="Q1815" s="16" t="n">
        <v>999</v>
      </c>
      <c r="R1815" s="16" t="n"/>
      <c r="S1815" s="16" t="n"/>
      <c r="T1815" s="16" t="n">
        <v>2</v>
      </c>
    </row>
    <row r="1816" s="103">
      <c r="A1816" s="16" t="inlineStr">
        <is>
          <t>B331</t>
        </is>
      </c>
      <c r="B1816" s="16" t="inlineStr">
        <is>
          <t>上海区域</t>
        </is>
      </c>
      <c r="C1816" s="16" t="inlineStr">
        <is>
          <t>CN0Q</t>
        </is>
      </c>
      <c r="D1816" s="16" t="inlineStr">
        <is>
          <t>EE 苏州比斯特购物村</t>
        </is>
      </c>
      <c r="E1816" s="16" t="n">
        <v>4</v>
      </c>
      <c r="F1816" s="16" t="inlineStr">
        <is>
          <t>奥特莱斯</t>
        </is>
      </c>
      <c r="G1816" s="16" t="inlineStr">
        <is>
          <t>EEWJG23B02</t>
        </is>
      </c>
      <c r="H1816" s="16" t="n">
        <v>799</v>
      </c>
      <c r="I1816" s="16" t="n">
        <v>799</v>
      </c>
      <c r="J1816" s="17" t="inlineStr">
        <is>
          <t>########</t>
        </is>
      </c>
      <c r="K1816" s="16" t="inlineStr">
        <is>
          <t>(55)Indigo</t>
        </is>
      </c>
      <c r="L1816" s="16" t="inlineStr">
        <is>
          <t>营业中</t>
        </is>
      </c>
      <c r="M1816" s="16" t="inlineStr">
        <is>
          <t>EEWJG23B0255155</t>
        </is>
      </c>
      <c r="N1816" s="16">
        <f>LEFT(M1816,12)</f>
        <v/>
      </c>
      <c r="O1816" s="16" t="inlineStr">
        <is>
          <t>EEWJG23B02, (55)Indigo, (155)155</t>
        </is>
      </c>
      <c r="P1816" s="16" t="n">
        <v>799</v>
      </c>
      <c r="Q1816" s="16" t="n">
        <v>799</v>
      </c>
      <c r="R1816" s="16" t="n">
        <v>1</v>
      </c>
      <c r="S1816" s="16" t="n">
        <v>506</v>
      </c>
      <c r="T1816" s="16" t="n">
        <v>1</v>
      </c>
    </row>
    <row r="1817" s="103">
      <c r="A1817" s="16" t="inlineStr">
        <is>
          <t>B331</t>
        </is>
      </c>
      <c r="B1817" s="16" t="inlineStr">
        <is>
          <t>上海区域</t>
        </is>
      </c>
      <c r="C1817" s="16" t="inlineStr">
        <is>
          <t>CN0Q</t>
        </is>
      </c>
      <c r="D1817" s="16" t="inlineStr">
        <is>
          <t>EE 苏州比斯特购物村</t>
        </is>
      </c>
      <c r="E1817" s="16" t="n">
        <v>4</v>
      </c>
      <c r="F1817" s="16" t="inlineStr">
        <is>
          <t>奥特莱斯</t>
        </is>
      </c>
      <c r="G1817" s="16" t="inlineStr">
        <is>
          <t>EEWJG23B02</t>
        </is>
      </c>
      <c r="H1817" s="16" t="n">
        <v>799</v>
      </c>
      <c r="I1817" s="16" t="n">
        <v>799</v>
      </c>
      <c r="J1817" s="17" t="inlineStr">
        <is>
          <t>########</t>
        </is>
      </c>
      <c r="K1817" s="16" t="inlineStr">
        <is>
          <t>(55)Indigo</t>
        </is>
      </c>
      <c r="L1817" s="16" t="inlineStr">
        <is>
          <t>营业中</t>
        </is>
      </c>
      <c r="M1817" s="16" t="inlineStr">
        <is>
          <t>EEWJG23B0255160</t>
        </is>
      </c>
      <c r="N1817" s="16">
        <f>LEFT(M1817,12)</f>
        <v/>
      </c>
      <c r="O1817" s="16" t="inlineStr">
        <is>
          <t>EEWJG23B02, (55)Indigo, (160)160</t>
        </is>
      </c>
      <c r="P1817" s="16" t="n">
        <v>799</v>
      </c>
      <c r="Q1817" s="16" t="n">
        <v>799</v>
      </c>
      <c r="R1817" s="16" t="n">
        <v>3</v>
      </c>
      <c r="S1817" s="18" t="n">
        <v>1258</v>
      </c>
      <c r="T1817" s="16" t="n">
        <v>0</v>
      </c>
    </row>
    <row r="1818" s="103">
      <c r="A1818" s="16" t="inlineStr">
        <is>
          <t>B331</t>
        </is>
      </c>
      <c r="B1818" s="16" t="inlineStr">
        <is>
          <t>上海区域</t>
        </is>
      </c>
      <c r="C1818" s="16" t="inlineStr">
        <is>
          <t>CN0Q</t>
        </is>
      </c>
      <c r="D1818" s="16" t="inlineStr">
        <is>
          <t>EE 苏州比斯特购物村</t>
        </is>
      </c>
      <c r="E1818" s="16" t="n">
        <v>4</v>
      </c>
      <c r="F1818" s="16" t="inlineStr">
        <is>
          <t>奥特莱斯</t>
        </is>
      </c>
      <c r="G1818" s="16" t="inlineStr">
        <is>
          <t>EEWJG23B02</t>
        </is>
      </c>
      <c r="H1818" s="16" t="n">
        <v>799</v>
      </c>
      <c r="I1818" s="16" t="n">
        <v>799</v>
      </c>
      <c r="J1818" s="17" t="inlineStr">
        <is>
          <t>########</t>
        </is>
      </c>
      <c r="K1818" s="16" t="inlineStr">
        <is>
          <t>(55)Indigo</t>
        </is>
      </c>
      <c r="L1818" s="16" t="inlineStr">
        <is>
          <t>营业中</t>
        </is>
      </c>
      <c r="M1818" s="16" t="inlineStr">
        <is>
          <t>EEWJG23B0255165</t>
        </is>
      </c>
      <c r="N1818" s="16">
        <f>LEFT(M1818,12)</f>
        <v/>
      </c>
      <c r="O1818" s="16" t="inlineStr">
        <is>
          <t>EEWJG23B02, (55)Indigo, (165)165</t>
        </is>
      </c>
      <c r="P1818" s="16" t="n">
        <v>799</v>
      </c>
      <c r="Q1818" s="16" t="n">
        <v>799</v>
      </c>
      <c r="R1818" s="16" t="n">
        <v>1</v>
      </c>
      <c r="S1818" s="16" t="n">
        <v>506</v>
      </c>
      <c r="T1818" s="16" t="n">
        <v>1</v>
      </c>
    </row>
    <row r="1819" s="103">
      <c r="A1819" s="16" t="inlineStr">
        <is>
          <t>B331</t>
        </is>
      </c>
      <c r="B1819" s="16" t="inlineStr">
        <is>
          <t>上海区域</t>
        </is>
      </c>
      <c r="C1819" s="16" t="inlineStr">
        <is>
          <t>CN0Q</t>
        </is>
      </c>
      <c r="D1819" s="16" t="inlineStr">
        <is>
          <t>EE 苏州比斯特购物村</t>
        </is>
      </c>
      <c r="E1819" s="16" t="n">
        <v>4</v>
      </c>
      <c r="F1819" s="16" t="inlineStr">
        <is>
          <t>奥特莱斯</t>
        </is>
      </c>
      <c r="G1819" s="16" t="inlineStr">
        <is>
          <t>EEWJG23B02</t>
        </is>
      </c>
      <c r="H1819" s="16" t="n">
        <v>799</v>
      </c>
      <c r="I1819" s="16" t="n">
        <v>799</v>
      </c>
      <c r="J1819" s="17" t="inlineStr">
        <is>
          <t>########</t>
        </is>
      </c>
      <c r="K1819" s="16" t="inlineStr">
        <is>
          <t>(55)Indigo</t>
        </is>
      </c>
      <c r="L1819" s="16" t="inlineStr">
        <is>
          <t>营业中</t>
        </is>
      </c>
      <c r="M1819" s="16" t="inlineStr">
        <is>
          <t>EEWJG23B0255170</t>
        </is>
      </c>
      <c r="N1819" s="16">
        <f>LEFT(M1819,12)</f>
        <v/>
      </c>
      <c r="O1819" s="16" t="inlineStr">
        <is>
          <t>EEWJG23B02, (55)Indigo, (170)170</t>
        </is>
      </c>
      <c r="P1819" s="16" t="n">
        <v>799</v>
      </c>
      <c r="Q1819" s="16" t="n">
        <v>799</v>
      </c>
      <c r="R1819" s="16" t="n">
        <v>1</v>
      </c>
      <c r="S1819" s="16" t="n">
        <v>507</v>
      </c>
      <c r="T1819" s="16" t="n">
        <v>1</v>
      </c>
    </row>
    <row r="1820" s="103">
      <c r="A1820" s="16" t="inlineStr">
        <is>
          <t>B331</t>
        </is>
      </c>
      <c r="B1820" s="16" t="inlineStr">
        <is>
          <t>上海区域</t>
        </is>
      </c>
      <c r="C1820" s="16" t="inlineStr">
        <is>
          <t>CN0Q</t>
        </is>
      </c>
      <c r="D1820" s="16" t="inlineStr">
        <is>
          <t>EE 苏州比斯特购物村</t>
        </is>
      </c>
      <c r="E1820" s="16" t="n">
        <v>4</v>
      </c>
      <c r="F1820" s="16" t="inlineStr">
        <is>
          <t>奥特莱斯</t>
        </is>
      </c>
      <c r="G1820" s="16" t="inlineStr">
        <is>
          <t>EEWJG24E01</t>
        </is>
      </c>
      <c r="H1820" s="16" t="n">
        <v>699</v>
      </c>
      <c r="I1820" s="16" t="n">
        <v>699</v>
      </c>
      <c r="J1820" s="17" t="inlineStr">
        <is>
          <t>########</t>
        </is>
      </c>
      <c r="K1820" s="16" t="inlineStr">
        <is>
          <t>(39)Ivory</t>
        </is>
      </c>
      <c r="L1820" s="16" t="inlineStr">
        <is>
          <t>营业中</t>
        </is>
      </c>
      <c r="M1820" s="16" t="inlineStr">
        <is>
          <t>EEWJG24E0139155</t>
        </is>
      </c>
      <c r="N1820" s="16">
        <f>LEFT(M1820,12)</f>
        <v/>
      </c>
      <c r="O1820" s="16" t="inlineStr">
        <is>
          <t>EEWJG24E01, (39)Ivory, (155)155</t>
        </is>
      </c>
      <c r="P1820" s="16" t="n">
        <v>699</v>
      </c>
      <c r="Q1820" s="16" t="n">
        <v>699</v>
      </c>
      <c r="R1820" s="16" t="n">
        <v>1</v>
      </c>
      <c r="S1820" s="16" t="n">
        <v>452</v>
      </c>
      <c r="T1820" s="16" t="n">
        <v>1</v>
      </c>
    </row>
    <row r="1821" s="103">
      <c r="A1821" s="16" t="inlineStr">
        <is>
          <t>B331</t>
        </is>
      </c>
      <c r="B1821" s="16" t="inlineStr">
        <is>
          <t>上海区域</t>
        </is>
      </c>
      <c r="C1821" s="16" t="inlineStr">
        <is>
          <t>CN0Q</t>
        </is>
      </c>
      <c r="D1821" s="16" t="inlineStr">
        <is>
          <t>EE 苏州比斯特购物村</t>
        </is>
      </c>
      <c r="E1821" s="16" t="n">
        <v>4</v>
      </c>
      <c r="F1821" s="16" t="inlineStr">
        <is>
          <t>奥特莱斯</t>
        </is>
      </c>
      <c r="G1821" s="16" t="inlineStr">
        <is>
          <t>EEWJG24E01</t>
        </is>
      </c>
      <c r="H1821" s="16" t="n">
        <v>699</v>
      </c>
      <c r="I1821" s="16" t="n">
        <v>699</v>
      </c>
      <c r="J1821" s="17" t="inlineStr">
        <is>
          <t>########</t>
        </is>
      </c>
      <c r="K1821" s="16" t="inlineStr">
        <is>
          <t>(39)Ivory</t>
        </is>
      </c>
      <c r="L1821" s="16" t="inlineStr">
        <is>
          <t>营业中</t>
        </is>
      </c>
      <c r="M1821" s="16" t="inlineStr">
        <is>
          <t>EEWJG24E0139160</t>
        </is>
      </c>
      <c r="N1821" s="16">
        <f>LEFT(M1821,12)</f>
        <v/>
      </c>
      <c r="O1821" s="16" t="inlineStr">
        <is>
          <t>EEWJG24E01, (39)Ivory, (160)160</t>
        </is>
      </c>
      <c r="P1821" s="16" t="n">
        <v>699</v>
      </c>
      <c r="Q1821" s="16" t="n">
        <v>699</v>
      </c>
      <c r="R1821" s="16" t="n">
        <v>1</v>
      </c>
      <c r="S1821" s="16" t="n">
        <v>489</v>
      </c>
      <c r="T1821" s="16" t="n">
        <v>1</v>
      </c>
    </row>
    <row r="1822" s="103">
      <c r="A1822" s="16" t="inlineStr">
        <is>
          <t>B331</t>
        </is>
      </c>
      <c r="B1822" s="16" t="inlineStr">
        <is>
          <t>上海区域</t>
        </is>
      </c>
      <c r="C1822" s="16" t="inlineStr">
        <is>
          <t>CN0Q</t>
        </is>
      </c>
      <c r="D1822" s="16" t="inlineStr">
        <is>
          <t>EE 苏州比斯特购物村</t>
        </is>
      </c>
      <c r="E1822" s="16" t="n">
        <v>4</v>
      </c>
      <c r="F1822" s="16" t="inlineStr">
        <is>
          <t>奥特莱斯</t>
        </is>
      </c>
      <c r="G1822" s="16" t="inlineStr">
        <is>
          <t>EEWJG24E01</t>
        </is>
      </c>
      <c r="H1822" s="16" t="n">
        <v>699</v>
      </c>
      <c r="I1822" s="16" t="n">
        <v>699</v>
      </c>
      <c r="J1822" s="17" t="inlineStr">
        <is>
          <t>########</t>
        </is>
      </c>
      <c r="K1822" s="16" t="inlineStr">
        <is>
          <t>(39)Ivory</t>
        </is>
      </c>
      <c r="L1822" s="16" t="inlineStr">
        <is>
          <t>营业中</t>
        </is>
      </c>
      <c r="M1822" s="16" t="inlineStr">
        <is>
          <t>EEWJG24E0139165</t>
        </is>
      </c>
      <c r="N1822" s="16">
        <f>LEFT(M1822,12)</f>
        <v/>
      </c>
      <c r="O1822" s="16" t="inlineStr">
        <is>
          <t>EEWJG24E01, (39)Ivory, (165)165</t>
        </is>
      </c>
      <c r="P1822" s="16" t="n">
        <v>699</v>
      </c>
      <c r="Q1822" s="16" t="n">
        <v>699</v>
      </c>
      <c r="R1822" s="16" t="n">
        <v>2</v>
      </c>
      <c r="S1822" s="16" t="n">
        <v>658</v>
      </c>
      <c r="T1822" s="16" t="n">
        <v>2</v>
      </c>
    </row>
    <row r="1823" s="103">
      <c r="A1823" s="16" t="inlineStr">
        <is>
          <t>B331</t>
        </is>
      </c>
      <c r="B1823" s="16" t="inlineStr">
        <is>
          <t>上海区域</t>
        </is>
      </c>
      <c r="C1823" s="16" t="inlineStr">
        <is>
          <t>CN0Q</t>
        </is>
      </c>
      <c r="D1823" s="16" t="inlineStr">
        <is>
          <t>EE 苏州比斯特购物村</t>
        </is>
      </c>
      <c r="E1823" s="16" t="n">
        <v>4</v>
      </c>
      <c r="F1823" s="16" t="inlineStr">
        <is>
          <t>奥特莱斯</t>
        </is>
      </c>
      <c r="G1823" s="16" t="inlineStr">
        <is>
          <t>EEWJG24E01</t>
        </is>
      </c>
      <c r="H1823" s="16" t="n">
        <v>699</v>
      </c>
      <c r="I1823" s="16" t="n">
        <v>699</v>
      </c>
      <c r="J1823" s="17" t="inlineStr">
        <is>
          <t>########</t>
        </is>
      </c>
      <c r="K1823" s="16" t="inlineStr">
        <is>
          <t>(39)Ivory</t>
        </is>
      </c>
      <c r="L1823" s="16" t="inlineStr">
        <is>
          <t>营业中</t>
        </is>
      </c>
      <c r="M1823" s="16" t="inlineStr">
        <is>
          <t>EEWJG24E0139170</t>
        </is>
      </c>
      <c r="N1823" s="16">
        <f>LEFT(M1823,12)</f>
        <v/>
      </c>
      <c r="O1823" s="16" t="inlineStr">
        <is>
          <t>EEWJG24E01, (39)Ivory, (170)170</t>
        </is>
      </c>
      <c r="P1823" s="16" t="n">
        <v>699</v>
      </c>
      <c r="Q1823" s="16" t="n">
        <v>699</v>
      </c>
      <c r="R1823" s="16" t="n"/>
      <c r="S1823" s="16" t="n"/>
      <c r="T1823" s="16" t="n">
        <v>2</v>
      </c>
    </row>
    <row r="1824" s="103">
      <c r="A1824" s="16" t="inlineStr">
        <is>
          <t>B331</t>
        </is>
      </c>
      <c r="B1824" s="16" t="inlineStr">
        <is>
          <t>上海区域</t>
        </is>
      </c>
      <c r="C1824" s="16" t="inlineStr">
        <is>
          <t>CN0Q</t>
        </is>
      </c>
      <c r="D1824" s="16" t="inlineStr">
        <is>
          <t>EE 苏州比斯特购物村</t>
        </is>
      </c>
      <c r="E1824" s="16" t="n">
        <v>4</v>
      </c>
      <c r="F1824" s="16" t="inlineStr">
        <is>
          <t>奥特莱斯</t>
        </is>
      </c>
      <c r="G1824" s="16" t="inlineStr">
        <is>
          <t>EEWJG24E01</t>
        </is>
      </c>
      <c r="H1824" s="16" t="n">
        <v>699</v>
      </c>
      <c r="I1824" s="16" t="n">
        <v>699</v>
      </c>
      <c r="J1824" s="17" t="inlineStr">
        <is>
          <t>########</t>
        </is>
      </c>
      <c r="K1824" s="16" t="inlineStr">
        <is>
          <t>(55)Indigo</t>
        </is>
      </c>
      <c r="L1824" s="16" t="inlineStr">
        <is>
          <t>营业中</t>
        </is>
      </c>
      <c r="M1824" s="16" t="inlineStr">
        <is>
          <t>EEWJG24E0155155</t>
        </is>
      </c>
      <c r="N1824" s="16">
        <f>LEFT(M1824,12)</f>
        <v/>
      </c>
      <c r="O1824" s="16" t="inlineStr">
        <is>
          <t>EEWJG24E01, (55)Indigo, (155)155</t>
        </is>
      </c>
      <c r="P1824" s="16" t="n">
        <v>699</v>
      </c>
      <c r="Q1824" s="16" t="n">
        <v>699</v>
      </c>
      <c r="R1824" s="16" t="n">
        <v>1</v>
      </c>
      <c r="S1824" s="16" t="n">
        <v>489</v>
      </c>
      <c r="T1824" s="16" t="n">
        <v>0</v>
      </c>
    </row>
    <row r="1825" s="103">
      <c r="A1825" s="16" t="inlineStr">
        <is>
          <t>B331</t>
        </is>
      </c>
      <c r="B1825" s="16" t="inlineStr">
        <is>
          <t>上海区域</t>
        </is>
      </c>
      <c r="C1825" s="16" t="inlineStr">
        <is>
          <t>CN0Q</t>
        </is>
      </c>
      <c r="D1825" s="16" t="inlineStr">
        <is>
          <t>EE 苏州比斯特购物村</t>
        </is>
      </c>
      <c r="E1825" s="16" t="n">
        <v>4</v>
      </c>
      <c r="F1825" s="16" t="inlineStr">
        <is>
          <t>奥特莱斯</t>
        </is>
      </c>
      <c r="G1825" s="16" t="inlineStr">
        <is>
          <t>EEWJG24E01</t>
        </is>
      </c>
      <c r="H1825" s="16" t="n">
        <v>699</v>
      </c>
      <c r="I1825" s="16" t="n">
        <v>699</v>
      </c>
      <c r="J1825" s="17" t="inlineStr">
        <is>
          <t>########</t>
        </is>
      </c>
      <c r="K1825" s="16" t="inlineStr">
        <is>
          <t>(55)Indigo</t>
        </is>
      </c>
      <c r="L1825" s="16" t="inlineStr">
        <is>
          <t>营业中</t>
        </is>
      </c>
      <c r="M1825" s="16" t="inlineStr">
        <is>
          <t>EEWJG24E0155160</t>
        </is>
      </c>
      <c r="N1825" s="16">
        <f>LEFT(M1825,12)</f>
        <v/>
      </c>
      <c r="O1825" s="16" t="inlineStr">
        <is>
          <t>EEWJG24E01, (55)Indigo, (160)160</t>
        </is>
      </c>
      <c r="P1825" s="16" t="n">
        <v>699</v>
      </c>
      <c r="Q1825" s="16" t="n">
        <v>699</v>
      </c>
      <c r="R1825" s="16" t="n">
        <v>1</v>
      </c>
      <c r="S1825" s="16" t="n">
        <v>444</v>
      </c>
      <c r="T1825" s="16" t="n">
        <v>1</v>
      </c>
    </row>
    <row r="1826" s="103">
      <c r="A1826" s="16" t="inlineStr">
        <is>
          <t>B331</t>
        </is>
      </c>
      <c r="B1826" s="16" t="inlineStr">
        <is>
          <t>上海区域</t>
        </is>
      </c>
      <c r="C1826" s="16" t="inlineStr">
        <is>
          <t>CN0Q</t>
        </is>
      </c>
      <c r="D1826" s="16" t="inlineStr">
        <is>
          <t>EE 苏州比斯特购物村</t>
        </is>
      </c>
      <c r="E1826" s="16" t="n">
        <v>4</v>
      </c>
      <c r="F1826" s="16" t="inlineStr">
        <is>
          <t>奥特莱斯</t>
        </is>
      </c>
      <c r="G1826" s="16" t="inlineStr">
        <is>
          <t>EEWJG24E01</t>
        </is>
      </c>
      <c r="H1826" s="16" t="n">
        <v>699</v>
      </c>
      <c r="I1826" s="16" t="n">
        <v>699</v>
      </c>
      <c r="J1826" s="17" t="inlineStr">
        <is>
          <t>########</t>
        </is>
      </c>
      <c r="K1826" s="16" t="inlineStr">
        <is>
          <t>(55)Indigo</t>
        </is>
      </c>
      <c r="L1826" s="16" t="inlineStr">
        <is>
          <t>营业中</t>
        </is>
      </c>
      <c r="M1826" s="16" t="inlineStr">
        <is>
          <t>EEWJG24E0155165</t>
        </is>
      </c>
      <c r="N1826" s="16">
        <f>LEFT(M1826,12)</f>
        <v/>
      </c>
      <c r="O1826" s="16" t="inlineStr">
        <is>
          <t>EEWJG24E01, (55)Indigo, (165)165</t>
        </is>
      </c>
      <c r="P1826" s="16" t="n">
        <v>699</v>
      </c>
      <c r="Q1826" s="16" t="n">
        <v>699</v>
      </c>
      <c r="R1826" s="16" t="n">
        <v>1</v>
      </c>
      <c r="S1826" s="16" t="n">
        <v>489</v>
      </c>
      <c r="T1826" s="16" t="n">
        <v>1</v>
      </c>
    </row>
    <row r="1827" s="103">
      <c r="A1827" s="16" t="inlineStr">
        <is>
          <t>B331</t>
        </is>
      </c>
      <c r="B1827" s="16" t="inlineStr">
        <is>
          <t>上海区域</t>
        </is>
      </c>
      <c r="C1827" s="16" t="inlineStr">
        <is>
          <t>CN0Q</t>
        </is>
      </c>
      <c r="D1827" s="16" t="inlineStr">
        <is>
          <t>EE 苏州比斯特购物村</t>
        </is>
      </c>
      <c r="E1827" s="16" t="n">
        <v>4</v>
      </c>
      <c r="F1827" s="16" t="inlineStr">
        <is>
          <t>奥特莱斯</t>
        </is>
      </c>
      <c r="G1827" s="16" t="inlineStr">
        <is>
          <t>EEWJG24E01</t>
        </is>
      </c>
      <c r="H1827" s="16" t="n">
        <v>699</v>
      </c>
      <c r="I1827" s="16" t="n">
        <v>699</v>
      </c>
      <c r="J1827" s="17" t="inlineStr">
        <is>
          <t>########</t>
        </is>
      </c>
      <c r="K1827" s="16" t="inlineStr">
        <is>
          <t>(55)Indigo</t>
        </is>
      </c>
      <c r="L1827" s="16" t="inlineStr">
        <is>
          <t>营业中</t>
        </is>
      </c>
      <c r="M1827" s="16" t="inlineStr">
        <is>
          <t>EEWJG24E0155170</t>
        </is>
      </c>
      <c r="N1827" s="16">
        <f>LEFT(M1827,12)</f>
        <v/>
      </c>
      <c r="O1827" s="16" t="inlineStr">
        <is>
          <t>EEWJG24E01, (55)Indigo, (170)170</t>
        </is>
      </c>
      <c r="P1827" s="16" t="n">
        <v>699</v>
      </c>
      <c r="Q1827" s="16" t="n">
        <v>699</v>
      </c>
      <c r="R1827" s="16" t="n"/>
      <c r="S1827" s="16" t="n"/>
      <c r="T1827" s="16" t="n">
        <v>2</v>
      </c>
    </row>
    <row r="1828" s="103">
      <c r="A1828" s="16" t="inlineStr">
        <is>
          <t>B331</t>
        </is>
      </c>
      <c r="B1828" s="16" t="inlineStr">
        <is>
          <t>上海区域</t>
        </is>
      </c>
      <c r="C1828" s="16" t="inlineStr">
        <is>
          <t>CN0Q</t>
        </is>
      </c>
      <c r="D1828" s="16" t="inlineStr">
        <is>
          <t>EE 苏州比斯特购物村</t>
        </is>
      </c>
      <c r="E1828" s="16" t="n">
        <v>4</v>
      </c>
      <c r="F1828" s="16" t="inlineStr">
        <is>
          <t>奥特莱斯</t>
        </is>
      </c>
      <c r="G1828" s="16" t="inlineStr">
        <is>
          <t>EEYAG12B01</t>
        </is>
      </c>
      <c r="H1828" s="16" t="n">
        <v>699</v>
      </c>
      <c r="I1828" s="16" t="n">
        <v>699</v>
      </c>
      <c r="J1828" s="17" t="inlineStr">
        <is>
          <t>########</t>
        </is>
      </c>
      <c r="K1828" s="16" t="inlineStr">
        <is>
          <t>(39)Ivory</t>
        </is>
      </c>
      <c r="L1828" s="16" t="inlineStr">
        <is>
          <t>营业中</t>
        </is>
      </c>
      <c r="M1828" s="16" t="inlineStr">
        <is>
          <t>EEYAG12B0139160</t>
        </is>
      </c>
      <c r="N1828" s="16">
        <f>LEFT(M1828,12)</f>
        <v/>
      </c>
      <c r="O1828" s="16" t="inlineStr">
        <is>
          <t>EEYAG12B01, (39)Ivory, (160)160</t>
        </is>
      </c>
      <c r="P1828" s="16" t="n">
        <v>699</v>
      </c>
      <c r="Q1828" s="16" t="n">
        <v>699</v>
      </c>
      <c r="R1828" s="16" t="n"/>
      <c r="S1828" s="16" t="n"/>
      <c r="T1828" s="16" t="n">
        <v>3</v>
      </c>
    </row>
    <row r="1829" s="103">
      <c r="A1829" s="16" t="inlineStr">
        <is>
          <t>B331</t>
        </is>
      </c>
      <c r="B1829" s="16" t="inlineStr">
        <is>
          <t>上海区域</t>
        </is>
      </c>
      <c r="C1829" s="16" t="inlineStr">
        <is>
          <t>CN0Q</t>
        </is>
      </c>
      <c r="D1829" s="16" t="inlineStr">
        <is>
          <t>EE 苏州比斯特购物村</t>
        </is>
      </c>
      <c r="E1829" s="16" t="n">
        <v>4</v>
      </c>
      <c r="F1829" s="16" t="inlineStr">
        <is>
          <t>奥特莱斯</t>
        </is>
      </c>
      <c r="G1829" s="16" t="inlineStr">
        <is>
          <t>EEYAG12B01</t>
        </is>
      </c>
      <c r="H1829" s="16" t="n">
        <v>699</v>
      </c>
      <c r="I1829" s="16" t="n">
        <v>699</v>
      </c>
      <c r="J1829" s="17" t="inlineStr">
        <is>
          <t>########</t>
        </is>
      </c>
      <c r="K1829" s="16" t="inlineStr">
        <is>
          <t>(39)Ivory</t>
        </is>
      </c>
      <c r="L1829" s="16" t="inlineStr">
        <is>
          <t>营业中</t>
        </is>
      </c>
      <c r="M1829" s="16" t="inlineStr">
        <is>
          <t>EEYAG12B0139165</t>
        </is>
      </c>
      <c r="N1829" s="16">
        <f>LEFT(M1829,12)</f>
        <v/>
      </c>
      <c r="O1829" s="16" t="inlineStr">
        <is>
          <t>EEYAG12B01, (39)Ivory, (165)165</t>
        </is>
      </c>
      <c r="P1829" s="16" t="n">
        <v>699</v>
      </c>
      <c r="Q1829" s="16" t="n">
        <v>699</v>
      </c>
      <c r="R1829" s="16" t="n"/>
      <c r="S1829" s="16" t="n"/>
      <c r="T1829" s="16" t="n">
        <v>3</v>
      </c>
    </row>
    <row r="1830" s="103">
      <c r="A1830" s="16" t="inlineStr">
        <is>
          <t>B331</t>
        </is>
      </c>
      <c r="B1830" s="16" t="inlineStr">
        <is>
          <t>上海区域</t>
        </is>
      </c>
      <c r="C1830" s="16" t="inlineStr">
        <is>
          <t>CN0Q</t>
        </is>
      </c>
      <c r="D1830" s="16" t="inlineStr">
        <is>
          <t>EE 苏州比斯特购物村</t>
        </is>
      </c>
      <c r="E1830" s="16" t="n">
        <v>4</v>
      </c>
      <c r="F1830" s="16" t="inlineStr">
        <is>
          <t>奥特莱斯</t>
        </is>
      </c>
      <c r="G1830" s="16" t="inlineStr">
        <is>
          <t>EEYAG12B01</t>
        </is>
      </c>
      <c r="H1830" s="16" t="n">
        <v>699</v>
      </c>
      <c r="I1830" s="16" t="n">
        <v>699</v>
      </c>
      <c r="J1830" s="17" t="inlineStr">
        <is>
          <t>########</t>
        </is>
      </c>
      <c r="K1830" s="16" t="inlineStr">
        <is>
          <t>(39)Ivory</t>
        </is>
      </c>
      <c r="L1830" s="16" t="inlineStr">
        <is>
          <t>营业中</t>
        </is>
      </c>
      <c r="M1830" s="16" t="inlineStr">
        <is>
          <t>EEYAG12B0139170</t>
        </is>
      </c>
      <c r="N1830" s="16">
        <f>LEFT(M1830,12)</f>
        <v/>
      </c>
      <c r="O1830" s="16" t="inlineStr">
        <is>
          <t>EEYAG12B01, (39)Ivory, (170)170</t>
        </is>
      </c>
      <c r="P1830" s="16" t="n">
        <v>699</v>
      </c>
      <c r="Q1830" s="16" t="n">
        <v>699</v>
      </c>
      <c r="R1830" s="16" t="n"/>
      <c r="S1830" s="16" t="n"/>
      <c r="T1830" s="16" t="n">
        <v>3</v>
      </c>
    </row>
    <row r="1831" s="103">
      <c r="A1831" s="16" t="inlineStr">
        <is>
          <t>B331</t>
        </is>
      </c>
      <c r="B1831" s="16" t="inlineStr">
        <is>
          <t>上海区域</t>
        </is>
      </c>
      <c r="C1831" s="16" t="inlineStr">
        <is>
          <t>CN0Q</t>
        </is>
      </c>
      <c r="D1831" s="16" t="inlineStr">
        <is>
          <t>EE 苏州比斯特购物村</t>
        </is>
      </c>
      <c r="E1831" s="16" t="n">
        <v>4</v>
      </c>
      <c r="F1831" s="16" t="inlineStr">
        <is>
          <t>奥特莱斯</t>
        </is>
      </c>
      <c r="G1831" s="16" t="inlineStr">
        <is>
          <t>EEYAG23B03</t>
        </is>
      </c>
      <c r="H1831" s="16" t="n">
        <v>799</v>
      </c>
      <c r="I1831" s="16" t="n">
        <v>699</v>
      </c>
      <c r="J1831" s="17" t="inlineStr">
        <is>
          <t>########</t>
        </is>
      </c>
      <c r="K1831" s="16" t="inlineStr">
        <is>
          <t>(39)Ivory</t>
        </is>
      </c>
      <c r="L1831" s="16" t="inlineStr">
        <is>
          <t>营业中</t>
        </is>
      </c>
      <c r="M1831" s="16" t="inlineStr">
        <is>
          <t>EEYAG23B0339160</t>
        </is>
      </c>
      <c r="N1831" s="16">
        <f>LEFT(M1831,12)</f>
        <v/>
      </c>
      <c r="O1831" s="16" t="inlineStr">
        <is>
          <t>EEYAG23B03, (39)Ivory, (160)160</t>
        </is>
      </c>
      <c r="P1831" s="16" t="n">
        <v>799</v>
      </c>
      <c r="Q1831" s="16" t="n">
        <v>699</v>
      </c>
      <c r="R1831" s="16" t="n">
        <v>1</v>
      </c>
      <c r="S1831" s="16" t="n">
        <v>489</v>
      </c>
      <c r="T1831" s="16" t="n">
        <v>1</v>
      </c>
    </row>
    <row r="1832" s="103">
      <c r="A1832" s="16" t="inlineStr">
        <is>
          <t>B331</t>
        </is>
      </c>
      <c r="B1832" s="16" t="inlineStr">
        <is>
          <t>上海区域</t>
        </is>
      </c>
      <c r="C1832" s="16" t="inlineStr">
        <is>
          <t>CN0Q</t>
        </is>
      </c>
      <c r="D1832" s="16" t="inlineStr">
        <is>
          <t>EE 苏州比斯特购物村</t>
        </is>
      </c>
      <c r="E1832" s="16" t="n">
        <v>4</v>
      </c>
      <c r="F1832" s="16" t="inlineStr">
        <is>
          <t>奥特莱斯</t>
        </is>
      </c>
      <c r="G1832" s="16" t="inlineStr">
        <is>
          <t>EEYAG23B03</t>
        </is>
      </c>
      <c r="H1832" s="16" t="n">
        <v>799</v>
      </c>
      <c r="I1832" s="16" t="n">
        <v>699</v>
      </c>
      <c r="J1832" s="17" t="inlineStr">
        <is>
          <t>########</t>
        </is>
      </c>
      <c r="K1832" s="16" t="inlineStr">
        <is>
          <t>(39)Ivory</t>
        </is>
      </c>
      <c r="L1832" s="16" t="inlineStr">
        <is>
          <t>营业中</t>
        </is>
      </c>
      <c r="M1832" s="16" t="inlineStr">
        <is>
          <t>EEYAG23B0339165</t>
        </is>
      </c>
      <c r="N1832" s="16">
        <f>LEFT(M1832,12)</f>
        <v/>
      </c>
      <c r="O1832" s="16" t="inlineStr">
        <is>
          <t>EEYAG23B03, (39)Ivory, (165)165</t>
        </is>
      </c>
      <c r="P1832" s="16" t="n">
        <v>799</v>
      </c>
      <c r="Q1832" s="16" t="n">
        <v>699</v>
      </c>
      <c r="R1832" s="16" t="n">
        <v>1</v>
      </c>
      <c r="S1832" s="16" t="n">
        <v>449</v>
      </c>
      <c r="T1832" s="16" t="n">
        <v>1</v>
      </c>
    </row>
    <row r="1833" s="103">
      <c r="A1833" s="16" t="inlineStr">
        <is>
          <t>B331</t>
        </is>
      </c>
      <c r="B1833" s="16" t="inlineStr">
        <is>
          <t>上海区域</t>
        </is>
      </c>
      <c r="C1833" s="16" t="inlineStr">
        <is>
          <t>CN0Q</t>
        </is>
      </c>
      <c r="D1833" s="16" t="inlineStr">
        <is>
          <t>EE 苏州比斯特购物村</t>
        </is>
      </c>
      <c r="E1833" s="16" t="n">
        <v>4</v>
      </c>
      <c r="F1833" s="16" t="inlineStr">
        <is>
          <t>奥特莱斯</t>
        </is>
      </c>
      <c r="G1833" s="16" t="inlineStr">
        <is>
          <t>EEYAG23B03</t>
        </is>
      </c>
      <c r="H1833" s="16" t="n">
        <v>799</v>
      </c>
      <c r="I1833" s="16" t="n">
        <v>699</v>
      </c>
      <c r="J1833" s="17" t="inlineStr">
        <is>
          <t>########</t>
        </is>
      </c>
      <c r="K1833" s="16" t="inlineStr">
        <is>
          <t>(39)Ivory</t>
        </is>
      </c>
      <c r="L1833" s="16" t="inlineStr">
        <is>
          <t>营业中</t>
        </is>
      </c>
      <c r="M1833" s="16" t="inlineStr">
        <is>
          <t>EEYAG23B0339170</t>
        </is>
      </c>
      <c r="N1833" s="16">
        <f>LEFT(M1833,12)</f>
        <v/>
      </c>
      <c r="O1833" s="16" t="inlineStr">
        <is>
          <t>EEYAG23B03, (39)Ivory, (170)170</t>
        </is>
      </c>
      <c r="P1833" s="16" t="n">
        <v>799</v>
      </c>
      <c r="Q1833" s="16" t="n">
        <v>699</v>
      </c>
      <c r="R1833" s="16" t="n">
        <v>1</v>
      </c>
      <c r="S1833" s="16" t="n">
        <v>446</v>
      </c>
      <c r="T1833" s="16" t="n">
        <v>1</v>
      </c>
    </row>
    <row r="1834" s="103">
      <c r="A1834" s="16" t="inlineStr">
        <is>
          <t>B331</t>
        </is>
      </c>
      <c r="B1834" s="16" t="inlineStr">
        <is>
          <t>上海区域</t>
        </is>
      </c>
      <c r="C1834" s="16" t="inlineStr">
        <is>
          <t>CN0Q</t>
        </is>
      </c>
      <c r="D1834" s="16" t="inlineStr">
        <is>
          <t>EE 苏州比斯特购物村</t>
        </is>
      </c>
      <c r="E1834" s="16" t="n">
        <v>4</v>
      </c>
      <c r="F1834" s="16" t="inlineStr">
        <is>
          <t>奥特莱斯</t>
        </is>
      </c>
      <c r="G1834" s="16" t="inlineStr">
        <is>
          <t>EEYAG24B02</t>
        </is>
      </c>
      <c r="H1834" s="16" t="n">
        <v>699</v>
      </c>
      <c r="I1834" s="16" t="n">
        <v>699</v>
      </c>
      <c r="J1834" s="17" t="n">
        <v>46083</v>
      </c>
      <c r="K1834" s="16" t="inlineStr">
        <is>
          <t>(39)Ivory</t>
        </is>
      </c>
      <c r="L1834" s="16" t="inlineStr">
        <is>
          <t>营业中</t>
        </is>
      </c>
      <c r="M1834" s="16" t="inlineStr">
        <is>
          <t>EEYAG24B0239160</t>
        </is>
      </c>
      <c r="N1834" s="16">
        <f>LEFT(M1834,12)</f>
        <v/>
      </c>
      <c r="O1834" s="16" t="inlineStr">
        <is>
          <t>EEYAG24B02, (39)Ivory, (160)160</t>
        </is>
      </c>
      <c r="P1834" s="16" t="n">
        <v>699</v>
      </c>
      <c r="Q1834" s="16" t="n">
        <v>699</v>
      </c>
      <c r="R1834" s="16" t="n"/>
      <c r="S1834" s="16" t="n"/>
      <c r="T1834" s="16" t="n">
        <v>2</v>
      </c>
    </row>
    <row r="1835" s="103">
      <c r="A1835" s="16" t="inlineStr">
        <is>
          <t>B331</t>
        </is>
      </c>
      <c r="B1835" s="16" t="inlineStr">
        <is>
          <t>上海区域</t>
        </is>
      </c>
      <c r="C1835" s="16" t="inlineStr">
        <is>
          <t>CN0Q</t>
        </is>
      </c>
      <c r="D1835" s="16" t="inlineStr">
        <is>
          <t>EE 苏州比斯特购物村</t>
        </is>
      </c>
      <c r="E1835" s="16" t="n">
        <v>4</v>
      </c>
      <c r="F1835" s="16" t="inlineStr">
        <is>
          <t>奥特莱斯</t>
        </is>
      </c>
      <c r="G1835" s="16" t="inlineStr">
        <is>
          <t>EEYAG24B02</t>
        </is>
      </c>
      <c r="H1835" s="16" t="n">
        <v>699</v>
      </c>
      <c r="I1835" s="16" t="n">
        <v>699</v>
      </c>
      <c r="J1835" s="17" t="n">
        <v>46083</v>
      </c>
      <c r="K1835" s="16" t="inlineStr">
        <is>
          <t>(39)Ivory</t>
        </is>
      </c>
      <c r="L1835" s="16" t="inlineStr">
        <is>
          <t>营业中</t>
        </is>
      </c>
      <c r="M1835" s="16" t="inlineStr">
        <is>
          <t>EEYAG24B0239165</t>
        </is>
      </c>
      <c r="N1835" s="16">
        <f>LEFT(M1835,12)</f>
        <v/>
      </c>
      <c r="O1835" s="16" t="inlineStr">
        <is>
          <t>EEYAG24B02, (39)Ivory, (165)165</t>
        </is>
      </c>
      <c r="P1835" s="16" t="n">
        <v>699</v>
      </c>
      <c r="Q1835" s="16" t="n">
        <v>699</v>
      </c>
      <c r="R1835" s="16" t="n">
        <v>1</v>
      </c>
      <c r="S1835" s="16" t="n"/>
      <c r="T1835" s="16" t="n">
        <v>1</v>
      </c>
    </row>
    <row r="1836" s="103">
      <c r="A1836" s="16" t="inlineStr">
        <is>
          <t>B331</t>
        </is>
      </c>
      <c r="B1836" s="16" t="inlineStr">
        <is>
          <t>上海区域</t>
        </is>
      </c>
      <c r="C1836" s="16" t="inlineStr">
        <is>
          <t>CN0Q</t>
        </is>
      </c>
      <c r="D1836" s="16" t="inlineStr">
        <is>
          <t>EE 苏州比斯特购物村</t>
        </is>
      </c>
      <c r="E1836" s="16" t="n">
        <v>4</v>
      </c>
      <c r="F1836" s="16" t="inlineStr">
        <is>
          <t>奥特莱斯</t>
        </is>
      </c>
      <c r="G1836" s="16" t="inlineStr">
        <is>
          <t>EEYAG24B02</t>
        </is>
      </c>
      <c r="H1836" s="16" t="n">
        <v>699</v>
      </c>
      <c r="I1836" s="16" t="n">
        <v>699</v>
      </c>
      <c r="J1836" s="17" t="n">
        <v>46083</v>
      </c>
      <c r="K1836" s="16" t="inlineStr">
        <is>
          <t>(39)Ivory</t>
        </is>
      </c>
      <c r="L1836" s="16" t="inlineStr">
        <is>
          <t>营业中</t>
        </is>
      </c>
      <c r="M1836" s="16" t="inlineStr">
        <is>
          <t>EEYAG24B0239170</t>
        </is>
      </c>
      <c r="N1836" s="16">
        <f>LEFT(M1836,12)</f>
        <v/>
      </c>
      <c r="O1836" s="16" t="inlineStr">
        <is>
          <t>EEYAG24B02, (39)Ivory, (170)170</t>
        </is>
      </c>
      <c r="P1836" s="16" t="n">
        <v>699</v>
      </c>
      <c r="Q1836" s="16" t="n">
        <v>699</v>
      </c>
      <c r="R1836" s="16" t="n"/>
      <c r="S1836" s="16" t="n"/>
      <c r="T1836" s="16" t="n">
        <v>2</v>
      </c>
    </row>
    <row r="1837" s="103">
      <c r="A1837" s="16" t="inlineStr">
        <is>
          <t>B331</t>
        </is>
      </c>
      <c r="B1837" s="16" t="inlineStr">
        <is>
          <t>上海区域</t>
        </is>
      </c>
      <c r="C1837" s="16" t="inlineStr">
        <is>
          <t>CN0Q</t>
        </is>
      </c>
      <c r="D1837" s="16" t="inlineStr">
        <is>
          <t>EE 苏州比斯特购物村</t>
        </is>
      </c>
      <c r="E1837" s="16" t="n">
        <v>4</v>
      </c>
      <c r="F1837" s="16" t="inlineStr">
        <is>
          <t>奥特莱斯</t>
        </is>
      </c>
      <c r="G1837" s="16" t="inlineStr">
        <is>
          <t>EEYAG25B01</t>
        </is>
      </c>
      <c r="H1837" s="16" t="n">
        <v>699</v>
      </c>
      <c r="I1837" s="16" t="n">
        <v>699</v>
      </c>
      <c r="J1837" s="17" t="inlineStr">
        <is>
          <t>########</t>
        </is>
      </c>
      <c r="K1837" s="16" t="inlineStr">
        <is>
          <t>(39)Ivory</t>
        </is>
      </c>
      <c r="L1837" s="16" t="inlineStr">
        <is>
          <t>营业中</t>
        </is>
      </c>
      <c r="M1837" s="16" t="inlineStr">
        <is>
          <t>EEYAG25B0139160</t>
        </is>
      </c>
      <c r="N1837" s="16">
        <f>LEFT(M1837,12)</f>
        <v/>
      </c>
      <c r="O1837" s="16" t="inlineStr">
        <is>
          <t>EEYAG25B01, (39)Ivory, (160)160</t>
        </is>
      </c>
      <c r="P1837" s="16" t="n">
        <v>699</v>
      </c>
      <c r="Q1837" s="16" t="n">
        <v>699</v>
      </c>
      <c r="R1837" s="16" t="n">
        <v>2</v>
      </c>
      <c r="S1837" s="16" t="n">
        <v>902</v>
      </c>
      <c r="T1837" s="16" t="n">
        <v>2</v>
      </c>
    </row>
    <row r="1838" s="103">
      <c r="A1838" s="16" t="inlineStr">
        <is>
          <t>B331</t>
        </is>
      </c>
      <c r="B1838" s="16" t="inlineStr">
        <is>
          <t>上海区域</t>
        </is>
      </c>
      <c r="C1838" s="16" t="inlineStr">
        <is>
          <t>CN0Q</t>
        </is>
      </c>
      <c r="D1838" s="16" t="inlineStr">
        <is>
          <t>EE 苏州比斯特购物村</t>
        </is>
      </c>
      <c r="E1838" s="16" t="n">
        <v>4</v>
      </c>
      <c r="F1838" s="16" t="inlineStr">
        <is>
          <t>奥特莱斯</t>
        </is>
      </c>
      <c r="G1838" s="16" t="inlineStr">
        <is>
          <t>EEYAG25B01</t>
        </is>
      </c>
      <c r="H1838" s="16" t="n">
        <v>699</v>
      </c>
      <c r="I1838" s="16" t="n">
        <v>699</v>
      </c>
      <c r="J1838" s="17" t="inlineStr">
        <is>
          <t>########</t>
        </is>
      </c>
      <c r="K1838" s="16" t="inlineStr">
        <is>
          <t>(39)Ivory</t>
        </is>
      </c>
      <c r="L1838" s="16" t="inlineStr">
        <is>
          <t>营业中</t>
        </is>
      </c>
      <c r="M1838" s="16" t="inlineStr">
        <is>
          <t>EEYAG25B0139165</t>
        </is>
      </c>
      <c r="N1838" s="16">
        <f>LEFT(M1838,12)</f>
        <v/>
      </c>
      <c r="O1838" s="16" t="inlineStr">
        <is>
          <t>EEYAG25B01, (39)Ivory, (165)165</t>
        </is>
      </c>
      <c r="P1838" s="16" t="n">
        <v>699</v>
      </c>
      <c r="Q1838" s="16" t="n">
        <v>699</v>
      </c>
      <c r="R1838" s="16" t="n">
        <v>1</v>
      </c>
      <c r="S1838" s="16" t="n">
        <v>443</v>
      </c>
      <c r="T1838" s="16" t="n">
        <v>1</v>
      </c>
    </row>
    <row r="1839" s="103">
      <c r="A1839" s="16" t="inlineStr">
        <is>
          <t>B331</t>
        </is>
      </c>
      <c r="B1839" s="16" t="inlineStr">
        <is>
          <t>上海区域</t>
        </is>
      </c>
      <c r="C1839" s="16" t="inlineStr">
        <is>
          <t>CN0Q</t>
        </is>
      </c>
      <c r="D1839" s="16" t="inlineStr">
        <is>
          <t>EE 苏州比斯特购物村</t>
        </is>
      </c>
      <c r="E1839" s="16" t="n">
        <v>4</v>
      </c>
      <c r="F1839" s="16" t="inlineStr">
        <is>
          <t>奥特莱斯</t>
        </is>
      </c>
      <c r="G1839" s="16" t="inlineStr">
        <is>
          <t>EEYAG25B01</t>
        </is>
      </c>
      <c r="H1839" s="16" t="n">
        <v>699</v>
      </c>
      <c r="I1839" s="16" t="n">
        <v>699</v>
      </c>
      <c r="J1839" s="17" t="inlineStr">
        <is>
          <t>########</t>
        </is>
      </c>
      <c r="K1839" s="16" t="inlineStr">
        <is>
          <t>(39)Ivory</t>
        </is>
      </c>
      <c r="L1839" s="16" t="inlineStr">
        <is>
          <t>营业中</t>
        </is>
      </c>
      <c r="M1839" s="16" t="inlineStr">
        <is>
          <t>EEYAG25B0139170</t>
        </is>
      </c>
      <c r="N1839" s="16">
        <f>LEFT(M1839,12)</f>
        <v/>
      </c>
      <c r="O1839" s="16" t="inlineStr">
        <is>
          <t>EEYAG25B01, (39)Ivory, (170)170</t>
        </is>
      </c>
      <c r="P1839" s="16" t="n">
        <v>699</v>
      </c>
      <c r="Q1839" s="16" t="n">
        <v>699</v>
      </c>
      <c r="R1839" s="16" t="n">
        <v>1</v>
      </c>
      <c r="S1839" s="16" t="n">
        <v>489</v>
      </c>
      <c r="T1839" s="16" t="n">
        <v>1</v>
      </c>
    </row>
    <row r="1840" s="103">
      <c r="A1840" s="16" t="inlineStr">
        <is>
          <t>B331</t>
        </is>
      </c>
      <c r="B1840" s="16" t="inlineStr">
        <is>
          <t>上海区域</t>
        </is>
      </c>
      <c r="C1840" s="16" t="inlineStr">
        <is>
          <t>CN0Q</t>
        </is>
      </c>
      <c r="D1840" s="16" t="inlineStr">
        <is>
          <t>EE 苏州比斯特购物村</t>
        </is>
      </c>
      <c r="E1840" s="16" t="n">
        <v>4</v>
      </c>
      <c r="F1840" s="16" t="inlineStr">
        <is>
          <t>奥特莱斯</t>
        </is>
      </c>
      <c r="G1840" s="16" t="inlineStr">
        <is>
          <t>EEYAG25B01</t>
        </is>
      </c>
      <c r="H1840" s="16" t="n">
        <v>699</v>
      </c>
      <c r="I1840" s="16" t="n">
        <v>699</v>
      </c>
      <c r="J1840" s="17" t="inlineStr">
        <is>
          <t>########</t>
        </is>
      </c>
      <c r="K1840" s="16" t="inlineStr">
        <is>
          <t>(51)L/Blue</t>
        </is>
      </c>
      <c r="L1840" s="16" t="inlineStr">
        <is>
          <t>营业中</t>
        </is>
      </c>
      <c r="M1840" s="16" t="inlineStr">
        <is>
          <t>EEYAG25B0151160</t>
        </is>
      </c>
      <c r="N1840" s="16">
        <f>LEFT(M1840,12)</f>
        <v/>
      </c>
      <c r="O1840" s="16" t="inlineStr">
        <is>
          <t>EEYAG25B01, (51)L/Blue, (160)160</t>
        </is>
      </c>
      <c r="P1840" s="16" t="n">
        <v>699</v>
      </c>
      <c r="Q1840" s="16" t="n">
        <v>699</v>
      </c>
      <c r="R1840" s="16" t="n">
        <v>2</v>
      </c>
      <c r="S1840" s="16" t="n">
        <v>446</v>
      </c>
      <c r="T1840" s="16" t="n">
        <v>2</v>
      </c>
    </row>
    <row r="1841" s="103">
      <c r="A1841" s="16" t="inlineStr">
        <is>
          <t>B331</t>
        </is>
      </c>
      <c r="B1841" s="16" t="inlineStr">
        <is>
          <t>上海区域</t>
        </is>
      </c>
      <c r="C1841" s="16" t="inlineStr">
        <is>
          <t>CN0Q</t>
        </is>
      </c>
      <c r="D1841" s="16" t="inlineStr">
        <is>
          <t>EE 苏州比斯特购物村</t>
        </is>
      </c>
      <c r="E1841" s="16" t="n">
        <v>4</v>
      </c>
      <c r="F1841" s="16" t="inlineStr">
        <is>
          <t>奥特莱斯</t>
        </is>
      </c>
      <c r="G1841" s="16" t="inlineStr">
        <is>
          <t>EEYAG25B01</t>
        </is>
      </c>
      <c r="H1841" s="16" t="n">
        <v>699</v>
      </c>
      <c r="I1841" s="16" t="n">
        <v>699</v>
      </c>
      <c r="J1841" s="17" t="inlineStr">
        <is>
          <t>########</t>
        </is>
      </c>
      <c r="K1841" s="16" t="inlineStr">
        <is>
          <t>(51)L/Blue</t>
        </is>
      </c>
      <c r="L1841" s="16" t="inlineStr">
        <is>
          <t>营业中</t>
        </is>
      </c>
      <c r="M1841" s="16" t="inlineStr">
        <is>
          <t>EEYAG25B0151165</t>
        </is>
      </c>
      <c r="N1841" s="16">
        <f>LEFT(M1841,12)</f>
        <v/>
      </c>
      <c r="O1841" s="16" t="inlineStr">
        <is>
          <t>EEYAG25B01, (51)L/Blue, (165)165</t>
        </is>
      </c>
      <c r="P1841" s="16" t="n">
        <v>699</v>
      </c>
      <c r="Q1841" s="16" t="n">
        <v>699</v>
      </c>
      <c r="R1841" s="16" t="n">
        <v>2</v>
      </c>
      <c r="S1841" s="16" t="n">
        <v>930</v>
      </c>
      <c r="T1841" s="16" t="n">
        <v>2</v>
      </c>
    </row>
    <row r="1842" s="103">
      <c r="A1842" s="16" t="inlineStr">
        <is>
          <t>B331</t>
        </is>
      </c>
      <c r="B1842" s="16" t="inlineStr">
        <is>
          <t>上海区域</t>
        </is>
      </c>
      <c r="C1842" s="16" t="inlineStr">
        <is>
          <t>CN0Q</t>
        </is>
      </c>
      <c r="D1842" s="16" t="inlineStr">
        <is>
          <t>EE 苏州比斯特购物村</t>
        </is>
      </c>
      <c r="E1842" s="16" t="n">
        <v>4</v>
      </c>
      <c r="F1842" s="16" t="inlineStr">
        <is>
          <t>奥特莱斯</t>
        </is>
      </c>
      <c r="G1842" s="16" t="inlineStr">
        <is>
          <t>EEYAG25B01</t>
        </is>
      </c>
      <c r="H1842" s="16" t="n">
        <v>699</v>
      </c>
      <c r="I1842" s="16" t="n">
        <v>699</v>
      </c>
      <c r="J1842" s="17" t="inlineStr">
        <is>
          <t>########</t>
        </is>
      </c>
      <c r="K1842" s="16" t="inlineStr">
        <is>
          <t>(51)L/Blue</t>
        </is>
      </c>
      <c r="L1842" s="16" t="inlineStr">
        <is>
          <t>营业中</t>
        </is>
      </c>
      <c r="M1842" s="16" t="inlineStr">
        <is>
          <t>EEYAG25B0151170</t>
        </is>
      </c>
      <c r="N1842" s="16">
        <f>LEFT(M1842,12)</f>
        <v/>
      </c>
      <c r="O1842" s="16" t="inlineStr">
        <is>
          <t>EEYAG25B01, (51)L/Blue, (170)170</t>
        </is>
      </c>
      <c r="P1842" s="16" t="n">
        <v>699</v>
      </c>
      <c r="Q1842" s="16" t="n">
        <v>699</v>
      </c>
      <c r="R1842" s="16" t="n">
        <v>1</v>
      </c>
      <c r="S1842" s="16" t="n"/>
      <c r="T1842" s="16" t="n">
        <v>1</v>
      </c>
    </row>
    <row r="1843" s="103">
      <c r="A1843" s="16" t="inlineStr">
        <is>
          <t>B331</t>
        </is>
      </c>
      <c r="B1843" s="16" t="inlineStr">
        <is>
          <t>上海区域</t>
        </is>
      </c>
      <c r="C1843" s="16" t="inlineStr">
        <is>
          <t>CN0Q</t>
        </is>
      </c>
      <c r="D1843" s="16" t="inlineStr">
        <is>
          <t>EE 苏州比斯特购物村</t>
        </is>
      </c>
      <c r="E1843" s="16" t="n">
        <v>4</v>
      </c>
      <c r="F1843" s="16" t="inlineStr">
        <is>
          <t>奥特莱斯</t>
        </is>
      </c>
      <c r="G1843" s="16" t="inlineStr">
        <is>
          <t>EEYAG25B04</t>
        </is>
      </c>
      <c r="H1843" s="16" t="n">
        <v>599</v>
      </c>
      <c r="I1843" s="16" t="n">
        <v>599</v>
      </c>
      <c r="J1843" s="17" t="inlineStr">
        <is>
          <t>########</t>
        </is>
      </c>
      <c r="K1843" s="16" t="inlineStr">
        <is>
          <t>(39)Ivory</t>
        </is>
      </c>
      <c r="L1843" s="16" t="inlineStr">
        <is>
          <t>营业中</t>
        </is>
      </c>
      <c r="M1843" s="16" t="inlineStr">
        <is>
          <t>EEYAG25B0439160</t>
        </is>
      </c>
      <c r="N1843" s="16">
        <f>LEFT(M1843,12)</f>
        <v/>
      </c>
      <c r="O1843" s="16" t="inlineStr">
        <is>
          <t>EEYAG25B04, (39)Ivory, (160)160</t>
        </is>
      </c>
      <c r="P1843" s="16" t="n">
        <v>599</v>
      </c>
      <c r="Q1843" s="16" t="n">
        <v>599</v>
      </c>
      <c r="R1843" s="16" t="n">
        <v>5</v>
      </c>
      <c r="S1843" s="18" t="n">
        <v>1554</v>
      </c>
      <c r="T1843" s="16" t="n">
        <v>3</v>
      </c>
    </row>
    <row r="1844" s="103">
      <c r="A1844" s="16" t="inlineStr">
        <is>
          <t>B331</t>
        </is>
      </c>
      <c r="B1844" s="16" t="inlineStr">
        <is>
          <t>上海区域</t>
        </is>
      </c>
      <c r="C1844" s="16" t="inlineStr">
        <is>
          <t>CN0Q</t>
        </is>
      </c>
      <c r="D1844" s="16" t="inlineStr">
        <is>
          <t>EE 苏州比斯特购物村</t>
        </is>
      </c>
      <c r="E1844" s="16" t="n">
        <v>4</v>
      </c>
      <c r="F1844" s="16" t="inlineStr">
        <is>
          <t>奥特莱斯</t>
        </is>
      </c>
      <c r="G1844" s="16" t="inlineStr">
        <is>
          <t>EEYAG25B04</t>
        </is>
      </c>
      <c r="H1844" s="16" t="n">
        <v>599</v>
      </c>
      <c r="I1844" s="16" t="n">
        <v>599</v>
      </c>
      <c r="J1844" s="17" t="inlineStr">
        <is>
          <t>########</t>
        </is>
      </c>
      <c r="K1844" s="16" t="inlineStr">
        <is>
          <t>(39)Ivory</t>
        </is>
      </c>
      <c r="L1844" s="16" t="inlineStr">
        <is>
          <t>营业中</t>
        </is>
      </c>
      <c r="M1844" s="16" t="inlineStr">
        <is>
          <t>EEYAG25B0439165</t>
        </is>
      </c>
      <c r="N1844" s="16">
        <f>LEFT(M1844,12)</f>
        <v/>
      </c>
      <c r="O1844" s="16" t="inlineStr">
        <is>
          <t>EEYAG25B04, (39)Ivory, (165)165</t>
        </is>
      </c>
      <c r="P1844" s="16" t="n">
        <v>599</v>
      </c>
      <c r="Q1844" s="16" t="n">
        <v>599</v>
      </c>
      <c r="R1844" s="16" t="n">
        <v>6</v>
      </c>
      <c r="S1844" s="18" t="n">
        <v>1494</v>
      </c>
      <c r="T1844" s="16" t="n">
        <v>6</v>
      </c>
    </row>
    <row r="1845" s="103">
      <c r="A1845" s="16" t="inlineStr">
        <is>
          <t>B331</t>
        </is>
      </c>
      <c r="B1845" s="16" t="inlineStr">
        <is>
          <t>上海区域</t>
        </is>
      </c>
      <c r="C1845" s="16" t="inlineStr">
        <is>
          <t>CN0Q</t>
        </is>
      </c>
      <c r="D1845" s="16" t="inlineStr">
        <is>
          <t>EE 苏州比斯特购物村</t>
        </is>
      </c>
      <c r="E1845" s="16" t="n">
        <v>4</v>
      </c>
      <c r="F1845" s="16" t="inlineStr">
        <is>
          <t>奥特莱斯</t>
        </is>
      </c>
      <c r="G1845" s="16" t="inlineStr">
        <is>
          <t>EEYAG25B04</t>
        </is>
      </c>
      <c r="H1845" s="16" t="n">
        <v>599</v>
      </c>
      <c r="I1845" s="16" t="n">
        <v>599</v>
      </c>
      <c r="J1845" s="17" t="inlineStr">
        <is>
          <t>########</t>
        </is>
      </c>
      <c r="K1845" s="16" t="inlineStr">
        <is>
          <t>(39)Ivory</t>
        </is>
      </c>
      <c r="L1845" s="16" t="inlineStr">
        <is>
          <t>营业中</t>
        </is>
      </c>
      <c r="M1845" s="16" t="inlineStr">
        <is>
          <t>EEYAG25B0439170</t>
        </is>
      </c>
      <c r="N1845" s="16">
        <f>LEFT(M1845,12)</f>
        <v/>
      </c>
      <c r="O1845" s="16" t="inlineStr">
        <is>
          <t>EEYAG25B04, (39)Ivory, (170)170</t>
        </is>
      </c>
      <c r="P1845" s="16" t="n">
        <v>599</v>
      </c>
      <c r="Q1845" s="16" t="n">
        <v>599</v>
      </c>
      <c r="R1845" s="16" t="n">
        <v>2</v>
      </c>
      <c r="S1845" s="16" t="n">
        <v>379</v>
      </c>
      <c r="T1845" s="16" t="n">
        <v>2</v>
      </c>
    </row>
    <row r="1846" s="103">
      <c r="A1846" s="16" t="inlineStr">
        <is>
          <t>B331</t>
        </is>
      </c>
      <c r="B1846" s="16" t="inlineStr">
        <is>
          <t>上海区域</t>
        </is>
      </c>
      <c r="C1846" s="16" t="inlineStr">
        <is>
          <t>CN0Q</t>
        </is>
      </c>
      <c r="D1846" s="16" t="inlineStr">
        <is>
          <t>EE 苏州比斯特购物村</t>
        </is>
      </c>
      <c r="E1846" s="16" t="n">
        <v>4</v>
      </c>
      <c r="F1846" s="16" t="inlineStr">
        <is>
          <t>奥特莱斯</t>
        </is>
      </c>
      <c r="G1846" s="16" t="inlineStr">
        <is>
          <t>EEYAG26B03</t>
        </is>
      </c>
      <c r="H1846" s="16" t="n">
        <v>699</v>
      </c>
      <c r="I1846" s="16" t="n">
        <v>699</v>
      </c>
      <c r="J1846" s="17" t="inlineStr">
        <is>
          <t>########</t>
        </is>
      </c>
      <c r="K1846" s="16" t="inlineStr">
        <is>
          <t>(59)Navy</t>
        </is>
      </c>
      <c r="L1846" s="16" t="inlineStr">
        <is>
          <t>营业中</t>
        </is>
      </c>
      <c r="M1846" s="16" t="inlineStr">
        <is>
          <t>EEYAG26B0359160</t>
        </is>
      </c>
      <c r="N1846" s="16">
        <f>LEFT(M1846,12)</f>
        <v/>
      </c>
      <c r="O1846" s="16" t="inlineStr">
        <is>
          <t>EEYAG26B03, (59)Navy, (160)160</t>
        </is>
      </c>
      <c r="P1846" s="16" t="n">
        <v>699</v>
      </c>
      <c r="Q1846" s="16" t="n">
        <v>699</v>
      </c>
      <c r="R1846" s="16" t="n">
        <v>2</v>
      </c>
      <c r="S1846" s="16" t="n">
        <v>445</v>
      </c>
      <c r="T1846" s="16" t="n">
        <v>2</v>
      </c>
    </row>
    <row r="1847" s="103">
      <c r="A1847" s="16" t="inlineStr">
        <is>
          <t>B331</t>
        </is>
      </c>
      <c r="B1847" s="16" t="inlineStr">
        <is>
          <t>上海区域</t>
        </is>
      </c>
      <c r="C1847" s="16" t="inlineStr">
        <is>
          <t>CN0Q</t>
        </is>
      </c>
      <c r="D1847" s="16" t="inlineStr">
        <is>
          <t>EE 苏州比斯特购物村</t>
        </is>
      </c>
      <c r="E1847" s="16" t="n">
        <v>4</v>
      </c>
      <c r="F1847" s="16" t="inlineStr">
        <is>
          <t>奥特莱斯</t>
        </is>
      </c>
      <c r="G1847" s="16" t="inlineStr">
        <is>
          <t>EEYAG26B03</t>
        </is>
      </c>
      <c r="H1847" s="16" t="n">
        <v>699</v>
      </c>
      <c r="I1847" s="16" t="n">
        <v>699</v>
      </c>
      <c r="J1847" s="17" t="inlineStr">
        <is>
          <t>########</t>
        </is>
      </c>
      <c r="K1847" s="16" t="inlineStr">
        <is>
          <t>(59)Navy</t>
        </is>
      </c>
      <c r="L1847" s="16" t="inlineStr">
        <is>
          <t>营业中</t>
        </is>
      </c>
      <c r="M1847" s="16" t="inlineStr">
        <is>
          <t>EEYAG26B0359165</t>
        </is>
      </c>
      <c r="N1847" s="16">
        <f>LEFT(M1847,12)</f>
        <v/>
      </c>
      <c r="O1847" s="16" t="inlineStr">
        <is>
          <t>EEYAG26B03, (59)Navy, (165)165</t>
        </is>
      </c>
      <c r="P1847" s="16" t="n">
        <v>699</v>
      </c>
      <c r="Q1847" s="16" t="n">
        <v>699</v>
      </c>
      <c r="R1847" s="16" t="n">
        <v>3</v>
      </c>
      <c r="S1847" s="16" t="n">
        <v>651</v>
      </c>
      <c r="T1847" s="16" t="n">
        <v>3</v>
      </c>
    </row>
    <row r="1848" s="103">
      <c r="A1848" s="16" t="inlineStr">
        <is>
          <t>B331</t>
        </is>
      </c>
      <c r="B1848" s="16" t="inlineStr">
        <is>
          <t>上海区域</t>
        </is>
      </c>
      <c r="C1848" s="16" t="inlineStr">
        <is>
          <t>CN0Q</t>
        </is>
      </c>
      <c r="D1848" s="16" t="inlineStr">
        <is>
          <t>EE 苏州比斯特购物村</t>
        </is>
      </c>
      <c r="E1848" s="16" t="n">
        <v>4</v>
      </c>
      <c r="F1848" s="16" t="inlineStr">
        <is>
          <t>奥特莱斯</t>
        </is>
      </c>
      <c r="G1848" s="16" t="inlineStr">
        <is>
          <t>EEYAG26B03</t>
        </is>
      </c>
      <c r="H1848" s="16" t="n">
        <v>699</v>
      </c>
      <c r="I1848" s="16" t="n">
        <v>699</v>
      </c>
      <c r="J1848" s="17" t="inlineStr">
        <is>
          <t>########</t>
        </is>
      </c>
      <c r="K1848" s="16" t="inlineStr">
        <is>
          <t>(59)Navy</t>
        </is>
      </c>
      <c r="L1848" s="16" t="inlineStr">
        <is>
          <t>营业中</t>
        </is>
      </c>
      <c r="M1848" s="16" t="inlineStr">
        <is>
          <t>EEYAG26B0359170</t>
        </is>
      </c>
      <c r="N1848" s="16">
        <f>LEFT(M1848,12)</f>
        <v/>
      </c>
      <c r="O1848" s="16" t="inlineStr">
        <is>
          <t>EEYAG26B03, (59)Navy, (170)170</t>
        </is>
      </c>
      <c r="P1848" s="16" t="n">
        <v>699</v>
      </c>
      <c r="Q1848" s="16" t="n">
        <v>699</v>
      </c>
      <c r="R1848" s="16" t="n"/>
      <c r="S1848" s="16" t="n"/>
      <c r="T1848" s="16" t="n">
        <v>1</v>
      </c>
    </row>
    <row r="1849" s="103">
      <c r="A1849" s="16" t="inlineStr">
        <is>
          <t>B331</t>
        </is>
      </c>
      <c r="B1849" s="16" t="inlineStr">
        <is>
          <t>上海区域</t>
        </is>
      </c>
      <c r="C1849" s="16" t="inlineStr">
        <is>
          <t>CN0Q</t>
        </is>
      </c>
      <c r="D1849" s="16" t="inlineStr">
        <is>
          <t>EE 苏州比斯特购物村</t>
        </is>
      </c>
      <c r="E1849" s="16" t="n">
        <v>4</v>
      </c>
      <c r="F1849" s="16" t="inlineStr">
        <is>
          <t>奥特莱斯</t>
        </is>
      </c>
      <c r="G1849" s="16" t="inlineStr">
        <is>
          <t>EEYAG26B04</t>
        </is>
      </c>
      <c r="H1849" s="16" t="n">
        <v>699</v>
      </c>
      <c r="I1849" s="16" t="n">
        <v>699</v>
      </c>
      <c r="J1849" s="17" t="inlineStr">
        <is>
          <t>########</t>
        </is>
      </c>
      <c r="K1849" s="16" t="inlineStr">
        <is>
          <t>(39)Ivory</t>
        </is>
      </c>
      <c r="L1849" s="16" t="inlineStr">
        <is>
          <t>营业中</t>
        </is>
      </c>
      <c r="M1849" s="16" t="inlineStr">
        <is>
          <t>EEYAG26B0439160</t>
        </is>
      </c>
      <c r="N1849" s="16">
        <f>LEFT(M1849,12)</f>
        <v/>
      </c>
      <c r="O1849" s="16" t="inlineStr">
        <is>
          <t>EEYAG26B04, (39)Ivory, (160)160</t>
        </is>
      </c>
      <c r="P1849" s="16" t="n">
        <v>699</v>
      </c>
      <c r="Q1849" s="16" t="n">
        <v>699</v>
      </c>
      <c r="R1849" s="16" t="n">
        <v>0</v>
      </c>
      <c r="S1849" s="16" t="n">
        <v>-243</v>
      </c>
      <c r="T1849" s="16" t="n">
        <v>2</v>
      </c>
    </row>
    <row r="1850" s="103">
      <c r="A1850" s="16" t="inlineStr">
        <is>
          <t>B331</t>
        </is>
      </c>
      <c r="B1850" s="16" t="inlineStr">
        <is>
          <t>上海区域</t>
        </is>
      </c>
      <c r="C1850" s="16" t="inlineStr">
        <is>
          <t>CN0Q</t>
        </is>
      </c>
      <c r="D1850" s="16" t="inlineStr">
        <is>
          <t>EE 苏州比斯特购物村</t>
        </is>
      </c>
      <c r="E1850" s="16" t="n">
        <v>4</v>
      </c>
      <c r="F1850" s="16" t="inlineStr">
        <is>
          <t>奥特莱斯</t>
        </is>
      </c>
      <c r="G1850" s="16" t="inlineStr">
        <is>
          <t>EEYAG26B04</t>
        </is>
      </c>
      <c r="H1850" s="16" t="n">
        <v>699</v>
      </c>
      <c r="I1850" s="16" t="n">
        <v>699</v>
      </c>
      <c r="J1850" s="17" t="inlineStr">
        <is>
          <t>########</t>
        </is>
      </c>
      <c r="K1850" s="16" t="inlineStr">
        <is>
          <t>(39)Ivory</t>
        </is>
      </c>
      <c r="L1850" s="16" t="inlineStr">
        <is>
          <t>营业中</t>
        </is>
      </c>
      <c r="M1850" s="16" t="inlineStr">
        <is>
          <t>EEYAG26B0439165</t>
        </is>
      </c>
      <c r="N1850" s="16">
        <f>LEFT(M1850,12)</f>
        <v/>
      </c>
      <c r="O1850" s="16" t="inlineStr">
        <is>
          <t>EEYAG26B04, (39)Ivory, (165)165</t>
        </is>
      </c>
      <c r="P1850" s="16" t="n">
        <v>699</v>
      </c>
      <c r="Q1850" s="16" t="n">
        <v>699</v>
      </c>
      <c r="R1850" s="16" t="n">
        <v>2</v>
      </c>
      <c r="S1850" s="18" t="n">
        <v>1160</v>
      </c>
      <c r="T1850" s="16" t="n">
        <v>3</v>
      </c>
    </row>
    <row r="1851" s="103">
      <c r="A1851" s="16" t="inlineStr">
        <is>
          <t>B331</t>
        </is>
      </c>
      <c r="B1851" s="16" t="inlineStr">
        <is>
          <t>上海区域</t>
        </is>
      </c>
      <c r="C1851" s="16" t="inlineStr">
        <is>
          <t>CN0Q</t>
        </is>
      </c>
      <c r="D1851" s="16" t="inlineStr">
        <is>
          <t>EE 苏州比斯特购物村</t>
        </is>
      </c>
      <c r="E1851" s="16" t="n">
        <v>4</v>
      </c>
      <c r="F1851" s="16" t="inlineStr">
        <is>
          <t>奥特莱斯</t>
        </is>
      </c>
      <c r="G1851" s="16" t="inlineStr">
        <is>
          <t>EEYAG26B04</t>
        </is>
      </c>
      <c r="H1851" s="16" t="n">
        <v>699</v>
      </c>
      <c r="I1851" s="16" t="n">
        <v>699</v>
      </c>
      <c r="J1851" s="17" t="inlineStr">
        <is>
          <t>########</t>
        </is>
      </c>
      <c r="K1851" s="16" t="inlineStr">
        <is>
          <t>(39)Ivory</t>
        </is>
      </c>
      <c r="L1851" s="16" t="inlineStr">
        <is>
          <t>营业中</t>
        </is>
      </c>
      <c r="M1851" s="16" t="inlineStr">
        <is>
          <t>EEYAG26B0439170</t>
        </is>
      </c>
      <c r="N1851" s="16">
        <f>LEFT(M1851,12)</f>
        <v/>
      </c>
      <c r="O1851" s="16" t="inlineStr">
        <is>
          <t>EEYAG26B04, (39)Ivory, (170)170</t>
        </is>
      </c>
      <c r="P1851" s="16" t="n">
        <v>699</v>
      </c>
      <c r="Q1851" s="16" t="n">
        <v>699</v>
      </c>
      <c r="R1851" s="16" t="n"/>
      <c r="S1851" s="16" t="n"/>
      <c r="T1851" s="16" t="n">
        <v>1</v>
      </c>
    </row>
    <row r="1852" s="103">
      <c r="A1852" s="16" t="inlineStr">
        <is>
          <t>B331</t>
        </is>
      </c>
      <c r="B1852" s="16" t="inlineStr">
        <is>
          <t>上海区域</t>
        </is>
      </c>
      <c r="C1852" s="16" t="inlineStr">
        <is>
          <t>CN0Q</t>
        </is>
      </c>
      <c r="D1852" s="16" t="inlineStr">
        <is>
          <t>EE 苏州比斯特购物村</t>
        </is>
      </c>
      <c r="E1852" s="16" t="n">
        <v>4</v>
      </c>
      <c r="F1852" s="16" t="inlineStr">
        <is>
          <t>奥特莱斯</t>
        </is>
      </c>
      <c r="G1852" s="16" t="inlineStr">
        <is>
          <t>EEYAG64S01</t>
        </is>
      </c>
      <c r="H1852" s="16" t="n">
        <v>699</v>
      </c>
      <c r="I1852" s="16" t="n">
        <v>699</v>
      </c>
      <c r="J1852" s="17" t="inlineStr">
        <is>
          <t>########</t>
        </is>
      </c>
      <c r="K1852" s="16" t="inlineStr">
        <is>
          <t>(39)Ivory</t>
        </is>
      </c>
      <c r="L1852" s="16" t="inlineStr">
        <is>
          <t>营业中</t>
        </is>
      </c>
      <c r="M1852" s="16" t="inlineStr">
        <is>
          <t>EEYAG64S0139160</t>
        </is>
      </c>
      <c r="N1852" s="16">
        <f>LEFT(M1852,12)</f>
        <v/>
      </c>
      <c r="O1852" s="16" t="inlineStr">
        <is>
          <t>EEYAG64S01, (39)Ivory, (160)160</t>
        </is>
      </c>
      <c r="P1852" s="16" t="n">
        <v>699</v>
      </c>
      <c r="Q1852" s="16" t="n">
        <v>699</v>
      </c>
      <c r="R1852" s="16" t="n">
        <v>1</v>
      </c>
      <c r="S1852" s="16" t="n">
        <v>350</v>
      </c>
      <c r="T1852" s="16" t="n">
        <v>4</v>
      </c>
    </row>
    <row r="1853" s="103">
      <c r="A1853" s="16" t="inlineStr">
        <is>
          <t>B331</t>
        </is>
      </c>
      <c r="B1853" s="16" t="inlineStr">
        <is>
          <t>上海区域</t>
        </is>
      </c>
      <c r="C1853" s="16" t="inlineStr">
        <is>
          <t>CN0Q</t>
        </is>
      </c>
      <c r="D1853" s="16" t="inlineStr">
        <is>
          <t>EE 苏州比斯特购物村</t>
        </is>
      </c>
      <c r="E1853" s="16" t="n">
        <v>4</v>
      </c>
      <c r="F1853" s="16" t="inlineStr">
        <is>
          <t>奥特莱斯</t>
        </is>
      </c>
      <c r="G1853" s="16" t="inlineStr">
        <is>
          <t>EEYAG64S01</t>
        </is>
      </c>
      <c r="H1853" s="16" t="n">
        <v>699</v>
      </c>
      <c r="I1853" s="16" t="n">
        <v>699</v>
      </c>
      <c r="J1853" s="17" t="inlineStr">
        <is>
          <t>########</t>
        </is>
      </c>
      <c r="K1853" s="16" t="inlineStr">
        <is>
          <t>(39)Ivory</t>
        </is>
      </c>
      <c r="L1853" s="16" t="inlineStr">
        <is>
          <t>营业中</t>
        </is>
      </c>
      <c r="M1853" s="16" t="inlineStr">
        <is>
          <t>EEYAG64S0139165</t>
        </is>
      </c>
      <c r="N1853" s="16">
        <f>LEFT(M1853,12)</f>
        <v/>
      </c>
      <c r="O1853" s="16" t="inlineStr">
        <is>
          <t>EEYAG64S01, (39)Ivory, (165)165</t>
        </is>
      </c>
      <c r="P1853" s="16" t="n">
        <v>699</v>
      </c>
      <c r="Q1853" s="16" t="n">
        <v>699</v>
      </c>
      <c r="R1853" s="16" t="n"/>
      <c r="S1853" s="16" t="n"/>
      <c r="T1853" s="16" t="n">
        <v>5</v>
      </c>
    </row>
    <row r="1854" s="103">
      <c r="A1854" s="16" t="inlineStr">
        <is>
          <t>B331</t>
        </is>
      </c>
      <c r="B1854" s="16" t="inlineStr">
        <is>
          <t>上海区域</t>
        </is>
      </c>
      <c r="C1854" s="16" t="inlineStr">
        <is>
          <t>CN0Q</t>
        </is>
      </c>
      <c r="D1854" s="16" t="inlineStr">
        <is>
          <t>EE 苏州比斯特购物村</t>
        </is>
      </c>
      <c r="E1854" s="16" t="n">
        <v>4</v>
      </c>
      <c r="F1854" s="16" t="inlineStr">
        <is>
          <t>奥特莱斯</t>
        </is>
      </c>
      <c r="G1854" s="16" t="inlineStr">
        <is>
          <t>EEYAG64S01</t>
        </is>
      </c>
      <c r="H1854" s="16" t="n">
        <v>699</v>
      </c>
      <c r="I1854" s="16" t="n">
        <v>699</v>
      </c>
      <c r="J1854" s="17" t="inlineStr">
        <is>
          <t>########</t>
        </is>
      </c>
      <c r="K1854" s="16" t="inlineStr">
        <is>
          <t>(39)Ivory</t>
        </is>
      </c>
      <c r="L1854" s="16" t="inlineStr">
        <is>
          <t>营业中</t>
        </is>
      </c>
      <c r="M1854" s="16" t="inlineStr">
        <is>
          <t>EEYAG64S0139170</t>
        </is>
      </c>
      <c r="N1854" s="16">
        <f>LEFT(M1854,12)</f>
        <v/>
      </c>
      <c r="O1854" s="16" t="inlineStr">
        <is>
          <t>EEYAG64S01, (39)Ivory, (170)170</t>
        </is>
      </c>
      <c r="P1854" s="16" t="n">
        <v>699</v>
      </c>
      <c r="Q1854" s="16" t="n">
        <v>699</v>
      </c>
      <c r="R1854" s="16" t="n"/>
      <c r="S1854" s="16" t="n"/>
      <c r="T1854" s="16" t="n">
        <v>2</v>
      </c>
    </row>
    <row r="1855" s="103">
      <c r="A1855" s="16" t="inlineStr">
        <is>
          <t>B331</t>
        </is>
      </c>
      <c r="B1855" s="16" t="inlineStr">
        <is>
          <t>上海区域</t>
        </is>
      </c>
      <c r="C1855" s="16" t="inlineStr">
        <is>
          <t>CN0Q</t>
        </is>
      </c>
      <c r="D1855" s="16" t="inlineStr">
        <is>
          <t>EE 苏州比斯特购物村</t>
        </is>
      </c>
      <c r="E1855" s="16" t="n">
        <v>4</v>
      </c>
      <c r="F1855" s="16" t="inlineStr">
        <is>
          <t>奥特莱斯</t>
        </is>
      </c>
      <c r="G1855" s="16" t="inlineStr">
        <is>
          <t>EEYAG64S01</t>
        </is>
      </c>
      <c r="H1855" s="16" t="n">
        <v>699</v>
      </c>
      <c r="I1855" s="16" t="n">
        <v>699</v>
      </c>
      <c r="J1855" s="17" t="inlineStr">
        <is>
          <t>########</t>
        </is>
      </c>
      <c r="K1855" s="16" t="inlineStr">
        <is>
          <t>(51)L/Blue</t>
        </is>
      </c>
      <c r="L1855" s="16" t="inlineStr">
        <is>
          <t>营业中</t>
        </is>
      </c>
      <c r="M1855" s="16" t="inlineStr">
        <is>
          <t>EEYAG64S0151160</t>
        </is>
      </c>
      <c r="N1855" s="16">
        <f>LEFT(M1855,12)</f>
        <v/>
      </c>
      <c r="O1855" s="16" t="inlineStr">
        <is>
          <t>EEYAG64S01, (51)L/Blue, (160)160</t>
        </is>
      </c>
      <c r="P1855" s="16" t="n">
        <v>699</v>
      </c>
      <c r="Q1855" s="16" t="n">
        <v>699</v>
      </c>
      <c r="R1855" s="16" t="n">
        <v>4</v>
      </c>
      <c r="S1855" s="16" t="n">
        <v>638</v>
      </c>
      <c r="T1855" s="16" t="n">
        <v>5</v>
      </c>
    </row>
    <row r="1856" s="103">
      <c r="A1856" s="16" t="inlineStr">
        <is>
          <t>B331</t>
        </is>
      </c>
      <c r="B1856" s="16" t="inlineStr">
        <is>
          <t>上海区域</t>
        </is>
      </c>
      <c r="C1856" s="16" t="inlineStr">
        <is>
          <t>CN0Q</t>
        </is>
      </c>
      <c r="D1856" s="16" t="inlineStr">
        <is>
          <t>EE 苏州比斯特购物村</t>
        </is>
      </c>
      <c r="E1856" s="16" t="n">
        <v>4</v>
      </c>
      <c r="F1856" s="16" t="inlineStr">
        <is>
          <t>奥特莱斯</t>
        </is>
      </c>
      <c r="G1856" s="16" t="inlineStr">
        <is>
          <t>EEYAG64S01</t>
        </is>
      </c>
      <c r="H1856" s="16" t="n">
        <v>699</v>
      </c>
      <c r="I1856" s="16" t="n">
        <v>699</v>
      </c>
      <c r="J1856" s="17" t="inlineStr">
        <is>
          <t>########</t>
        </is>
      </c>
      <c r="K1856" s="16" t="inlineStr">
        <is>
          <t>(51)L/Blue</t>
        </is>
      </c>
      <c r="L1856" s="16" t="inlineStr">
        <is>
          <t>营业中</t>
        </is>
      </c>
      <c r="M1856" s="16" t="inlineStr">
        <is>
          <t>EEYAG64S0151165</t>
        </is>
      </c>
      <c r="N1856" s="16">
        <f>LEFT(M1856,12)</f>
        <v/>
      </c>
      <c r="O1856" s="16" t="inlineStr">
        <is>
          <t>EEYAG64S01, (51)L/Blue, (165)165</t>
        </is>
      </c>
      <c r="P1856" s="16" t="n">
        <v>699</v>
      </c>
      <c r="Q1856" s="16" t="n">
        <v>699</v>
      </c>
      <c r="R1856" s="16" t="n">
        <v>5</v>
      </c>
      <c r="S1856" s="18" t="n">
        <v>1018</v>
      </c>
      <c r="T1856" s="16" t="n">
        <v>4</v>
      </c>
    </row>
    <row r="1857" s="103">
      <c r="A1857" s="16" t="inlineStr">
        <is>
          <t>B331</t>
        </is>
      </c>
      <c r="B1857" s="16" t="inlineStr">
        <is>
          <t>上海区域</t>
        </is>
      </c>
      <c r="C1857" s="16" t="inlineStr">
        <is>
          <t>CN0Q</t>
        </is>
      </c>
      <c r="D1857" s="16" t="inlineStr">
        <is>
          <t>EE 苏州比斯特购物村</t>
        </is>
      </c>
      <c r="E1857" s="16" t="n">
        <v>4</v>
      </c>
      <c r="F1857" s="16" t="inlineStr">
        <is>
          <t>奥特莱斯</t>
        </is>
      </c>
      <c r="G1857" s="16" t="inlineStr">
        <is>
          <t>EEYAG64S01</t>
        </is>
      </c>
      <c r="H1857" s="16" t="n">
        <v>699</v>
      </c>
      <c r="I1857" s="16" t="n">
        <v>699</v>
      </c>
      <c r="J1857" s="17" t="inlineStr">
        <is>
          <t>########</t>
        </is>
      </c>
      <c r="K1857" s="16" t="inlineStr">
        <is>
          <t>(51)L/Blue</t>
        </is>
      </c>
      <c r="L1857" s="16" t="inlineStr">
        <is>
          <t>营业中</t>
        </is>
      </c>
      <c r="M1857" s="16" t="inlineStr">
        <is>
          <t>EEYAG64S0151170</t>
        </is>
      </c>
      <c r="N1857" s="16">
        <f>LEFT(M1857,12)</f>
        <v/>
      </c>
      <c r="O1857" s="16" t="inlineStr">
        <is>
          <t>EEYAG64S01, (51)L/Blue, (170)170</t>
        </is>
      </c>
      <c r="P1857" s="16" t="n">
        <v>699</v>
      </c>
      <c r="Q1857" s="16" t="n">
        <v>699</v>
      </c>
      <c r="R1857" s="16" t="n">
        <v>1</v>
      </c>
      <c r="S1857" s="16" t="n"/>
      <c r="T1857" s="16" t="n">
        <v>3</v>
      </c>
    </row>
    <row r="1858" s="103">
      <c r="A1858" s="16" t="inlineStr">
        <is>
          <t>B331</t>
        </is>
      </c>
      <c r="B1858" s="16" t="inlineStr">
        <is>
          <t>上海区域</t>
        </is>
      </c>
      <c r="C1858" s="16" t="inlineStr">
        <is>
          <t>CN0Q</t>
        </is>
      </c>
      <c r="D1858" s="16" t="inlineStr">
        <is>
          <t>EE 苏州比斯特购物村</t>
        </is>
      </c>
      <c r="E1858" s="16" t="n">
        <v>4</v>
      </c>
      <c r="F1858" s="16" t="inlineStr">
        <is>
          <t>奥特莱斯</t>
        </is>
      </c>
      <c r="G1858" s="16" t="inlineStr">
        <is>
          <t>EEYCG12B1G</t>
        </is>
      </c>
      <c r="H1858" s="16" t="n">
        <v>799</v>
      </c>
      <c r="I1858" s="16" t="n">
        <v>799</v>
      </c>
      <c r="J1858" s="17" t="n">
        <v>46027</v>
      </c>
      <c r="K1858" s="16" t="inlineStr">
        <is>
          <t>(50)Blue</t>
        </is>
      </c>
      <c r="L1858" s="16" t="inlineStr">
        <is>
          <t>营业中</t>
        </is>
      </c>
      <c r="M1858" s="16" t="inlineStr">
        <is>
          <t>EEYCG12B1G50170</t>
        </is>
      </c>
      <c r="N1858" s="16">
        <f>LEFT(M1858,12)</f>
        <v/>
      </c>
      <c r="O1858" s="16" t="inlineStr">
        <is>
          <t>EEYCG12B1G, (50)Blue, (170)170</t>
        </is>
      </c>
      <c r="P1858" s="16" t="n">
        <v>799</v>
      </c>
      <c r="Q1858" s="16" t="n">
        <v>799</v>
      </c>
      <c r="R1858" s="16" t="n"/>
      <c r="S1858" s="16" t="n"/>
      <c r="T1858" s="16" t="n">
        <v>3</v>
      </c>
    </row>
    <row r="1859" s="103">
      <c r="A1859" s="16" t="inlineStr">
        <is>
          <t>B331</t>
        </is>
      </c>
      <c r="B1859" s="16" t="inlineStr">
        <is>
          <t>上海区域</t>
        </is>
      </c>
      <c r="C1859" s="16" t="inlineStr">
        <is>
          <t>CN0Q</t>
        </is>
      </c>
      <c r="D1859" s="16" t="inlineStr">
        <is>
          <t>EE 苏州比斯特购物村</t>
        </is>
      </c>
      <c r="E1859" s="16" t="n">
        <v>4</v>
      </c>
      <c r="F1859" s="16" t="inlineStr">
        <is>
          <t>奥特莱斯</t>
        </is>
      </c>
      <c r="G1859" s="16" t="inlineStr">
        <is>
          <t>EEYCG12B1G</t>
        </is>
      </c>
      <c r="H1859" s="16" t="n">
        <v>799</v>
      </c>
      <c r="I1859" s="16" t="n">
        <v>799</v>
      </c>
      <c r="J1859" s="17" t="n">
        <v>46027</v>
      </c>
      <c r="K1859" s="16" t="inlineStr">
        <is>
          <t>(50)Blue</t>
        </is>
      </c>
      <c r="L1859" s="16" t="inlineStr">
        <is>
          <t>营业中</t>
        </is>
      </c>
      <c r="M1859" s="16" t="inlineStr">
        <is>
          <t>EEYCG12B1G50175</t>
        </is>
      </c>
      <c r="N1859" s="16">
        <f>LEFT(M1859,12)</f>
        <v/>
      </c>
      <c r="O1859" s="16" t="inlineStr">
        <is>
          <t>EEYCG12B1G, (50)Blue, (175)175</t>
        </is>
      </c>
      <c r="P1859" s="16" t="n">
        <v>799</v>
      </c>
      <c r="Q1859" s="16" t="n">
        <v>799</v>
      </c>
      <c r="R1859" s="16" t="n"/>
      <c r="S1859" s="16" t="n"/>
      <c r="T1859" s="16" t="n">
        <v>3</v>
      </c>
    </row>
    <row r="1860" s="103">
      <c r="A1860" s="16" t="inlineStr">
        <is>
          <t>B331</t>
        </is>
      </c>
      <c r="B1860" s="16" t="inlineStr">
        <is>
          <t>上海区域</t>
        </is>
      </c>
      <c r="C1860" s="16" t="inlineStr">
        <is>
          <t>CN0Q</t>
        </is>
      </c>
      <c r="D1860" s="16" t="inlineStr">
        <is>
          <t>EE 苏州比斯特购物村</t>
        </is>
      </c>
      <c r="E1860" s="16" t="n">
        <v>4</v>
      </c>
      <c r="F1860" s="16" t="inlineStr">
        <is>
          <t>奥特莱斯</t>
        </is>
      </c>
      <c r="G1860" s="16" t="inlineStr">
        <is>
          <t>EEYCG12B1G</t>
        </is>
      </c>
      <c r="H1860" s="16" t="n">
        <v>799</v>
      </c>
      <c r="I1860" s="16" t="n">
        <v>799</v>
      </c>
      <c r="J1860" s="17" t="n">
        <v>46027</v>
      </c>
      <c r="K1860" s="16" t="inlineStr">
        <is>
          <t>(50)Blue</t>
        </is>
      </c>
      <c r="L1860" s="16" t="inlineStr">
        <is>
          <t>营业中</t>
        </is>
      </c>
      <c r="M1860" s="16" t="inlineStr">
        <is>
          <t>EEYCG12B1G50180</t>
        </is>
      </c>
      <c r="N1860" s="16">
        <f>LEFT(M1860,12)</f>
        <v/>
      </c>
      <c r="O1860" s="16" t="inlineStr">
        <is>
          <t>EEYCG12B1G, (50)Blue, (180)180</t>
        </is>
      </c>
      <c r="P1860" s="16" t="n">
        <v>799</v>
      </c>
      <c r="Q1860" s="16" t="n">
        <v>799</v>
      </c>
      <c r="R1860" s="16" t="n"/>
      <c r="S1860" s="16" t="n"/>
      <c r="T1860" s="16" t="n">
        <v>3</v>
      </c>
    </row>
    <row r="1861" s="103">
      <c r="A1861" s="16" t="inlineStr">
        <is>
          <t>B331</t>
        </is>
      </c>
      <c r="B1861" s="16" t="inlineStr">
        <is>
          <t>上海区域</t>
        </is>
      </c>
      <c r="C1861" s="16" t="inlineStr">
        <is>
          <t>CN0Q</t>
        </is>
      </c>
      <c r="D1861" s="16" t="inlineStr">
        <is>
          <t>EE 苏州比斯特购物村</t>
        </is>
      </c>
      <c r="E1861" s="16" t="n">
        <v>4</v>
      </c>
      <c r="F1861" s="16" t="inlineStr">
        <is>
          <t>奥特莱斯</t>
        </is>
      </c>
      <c r="G1861" s="16" t="inlineStr">
        <is>
          <t>EEYCG23B1G</t>
        </is>
      </c>
      <c r="H1861" s="16" t="n">
        <v>899</v>
      </c>
      <c r="I1861" s="16" t="n">
        <v>899</v>
      </c>
      <c r="J1861" s="17" t="inlineStr">
        <is>
          <t>########</t>
        </is>
      </c>
      <c r="K1861" s="16" t="inlineStr">
        <is>
          <t>(50)Blue</t>
        </is>
      </c>
      <c r="L1861" s="16" t="inlineStr">
        <is>
          <t>营业中</t>
        </is>
      </c>
      <c r="M1861" s="16" t="inlineStr">
        <is>
          <t>EEYCG23B1G50170</t>
        </is>
      </c>
      <c r="N1861" s="16">
        <f>LEFT(M1861,12)</f>
        <v/>
      </c>
      <c r="O1861" s="16" t="inlineStr">
        <is>
          <t>EEYCG23B1G, (50)Blue, (170)170</t>
        </is>
      </c>
      <c r="P1861" s="16" t="n">
        <v>899</v>
      </c>
      <c r="Q1861" s="16" t="n">
        <v>899</v>
      </c>
      <c r="R1861" s="16" t="n">
        <v>2</v>
      </c>
      <c r="S1861" s="18" t="n">
        <v>1152</v>
      </c>
      <c r="T1861" s="16" t="n">
        <v>0</v>
      </c>
    </row>
    <row r="1862" s="103">
      <c r="A1862" s="16" t="inlineStr">
        <is>
          <t>B331</t>
        </is>
      </c>
      <c r="B1862" s="16" t="inlineStr">
        <is>
          <t>上海区域</t>
        </is>
      </c>
      <c r="C1862" s="16" t="inlineStr">
        <is>
          <t>CN0Q</t>
        </is>
      </c>
      <c r="D1862" s="16" t="inlineStr">
        <is>
          <t>EE 苏州比斯特购物村</t>
        </is>
      </c>
      <c r="E1862" s="16" t="n">
        <v>4</v>
      </c>
      <c r="F1862" s="16" t="inlineStr">
        <is>
          <t>奥特莱斯</t>
        </is>
      </c>
      <c r="G1862" s="16" t="inlineStr">
        <is>
          <t>EEYCG23B1G</t>
        </is>
      </c>
      <c r="H1862" s="16" t="n">
        <v>899</v>
      </c>
      <c r="I1862" s="16" t="n">
        <v>899</v>
      </c>
      <c r="J1862" s="17" t="inlineStr">
        <is>
          <t>########</t>
        </is>
      </c>
      <c r="K1862" s="16" t="inlineStr">
        <is>
          <t>(50)Blue</t>
        </is>
      </c>
      <c r="L1862" s="16" t="inlineStr">
        <is>
          <t>营业中</t>
        </is>
      </c>
      <c r="M1862" s="16" t="inlineStr">
        <is>
          <t>EEYCG23B1G50175</t>
        </is>
      </c>
      <c r="N1862" s="16">
        <f>LEFT(M1862,12)</f>
        <v/>
      </c>
      <c r="O1862" s="16" t="inlineStr">
        <is>
          <t>EEYCG23B1G, (50)Blue, (175)175</t>
        </is>
      </c>
      <c r="P1862" s="16" t="n">
        <v>899</v>
      </c>
      <c r="Q1862" s="16" t="n">
        <v>899</v>
      </c>
      <c r="R1862" s="16" t="n">
        <v>2</v>
      </c>
      <c r="S1862" s="18" t="n">
        <v>1160</v>
      </c>
      <c r="T1862" s="16" t="n">
        <v>0</v>
      </c>
    </row>
    <row r="1863" s="103">
      <c r="A1863" s="16" t="inlineStr">
        <is>
          <t>B331</t>
        </is>
      </c>
      <c r="B1863" s="16" t="inlineStr">
        <is>
          <t>上海区域</t>
        </is>
      </c>
      <c r="C1863" s="16" t="inlineStr">
        <is>
          <t>CN0Q</t>
        </is>
      </c>
      <c r="D1863" s="16" t="inlineStr">
        <is>
          <t>EE 苏州比斯特购物村</t>
        </is>
      </c>
      <c r="E1863" s="16" t="n">
        <v>4</v>
      </c>
      <c r="F1863" s="16" t="inlineStr">
        <is>
          <t>奥特莱斯</t>
        </is>
      </c>
      <c r="G1863" s="16" t="inlineStr">
        <is>
          <t>EEYCG23B1G</t>
        </is>
      </c>
      <c r="H1863" s="16" t="n">
        <v>899</v>
      </c>
      <c r="I1863" s="16" t="n">
        <v>899</v>
      </c>
      <c r="J1863" s="17" t="inlineStr">
        <is>
          <t>########</t>
        </is>
      </c>
      <c r="K1863" s="16" t="inlineStr">
        <is>
          <t>(50)Blue</t>
        </is>
      </c>
      <c r="L1863" s="16" t="inlineStr">
        <is>
          <t>营业中</t>
        </is>
      </c>
      <c r="M1863" s="16" t="inlineStr">
        <is>
          <t>EEYCG23B1G50180</t>
        </is>
      </c>
      <c r="N1863" s="16">
        <f>LEFT(M1863,12)</f>
        <v/>
      </c>
      <c r="O1863" s="16" t="inlineStr">
        <is>
          <t>EEYCG23B1G, (50)Blue, (180)180</t>
        </is>
      </c>
      <c r="P1863" s="16" t="n">
        <v>899</v>
      </c>
      <c r="Q1863" s="16" t="n">
        <v>899</v>
      </c>
      <c r="R1863" s="16" t="n"/>
      <c r="S1863" s="16" t="n"/>
      <c r="T1863" s="16" t="n">
        <v>2</v>
      </c>
    </row>
    <row r="1864" s="103">
      <c r="A1864" s="16" t="inlineStr">
        <is>
          <t>B331</t>
        </is>
      </c>
      <c r="B1864" s="16" t="inlineStr">
        <is>
          <t>上海区域</t>
        </is>
      </c>
      <c r="C1864" s="16" t="inlineStr">
        <is>
          <t>CN0Q</t>
        </is>
      </c>
      <c r="D1864" s="16" t="inlineStr">
        <is>
          <t>EE 苏州比斯特购物村</t>
        </is>
      </c>
      <c r="E1864" s="16" t="n">
        <v>4</v>
      </c>
      <c r="F1864" s="16" t="inlineStr">
        <is>
          <t>奥特莱斯</t>
        </is>
      </c>
      <c r="G1864" s="16" t="inlineStr">
        <is>
          <t>EEYCG23B1G</t>
        </is>
      </c>
      <c r="H1864" s="16" t="n">
        <v>899</v>
      </c>
      <c r="I1864" s="16" t="n">
        <v>899</v>
      </c>
      <c r="J1864" s="17" t="inlineStr">
        <is>
          <t>########</t>
        </is>
      </c>
      <c r="K1864" s="16" t="inlineStr">
        <is>
          <t>(50)Blue</t>
        </is>
      </c>
      <c r="L1864" s="16" t="inlineStr">
        <is>
          <t>营业中</t>
        </is>
      </c>
      <c r="M1864" s="16" t="inlineStr">
        <is>
          <t>EEYCG23B1G50185</t>
        </is>
      </c>
      <c r="N1864" s="16">
        <f>LEFT(M1864,12)</f>
        <v/>
      </c>
      <c r="O1864" s="16" t="inlineStr">
        <is>
          <t>EEYCG23B1G, (50)Blue, (185)185</t>
        </is>
      </c>
      <c r="P1864" s="16" t="n">
        <v>899</v>
      </c>
      <c r="Q1864" s="16" t="n">
        <v>899</v>
      </c>
      <c r="R1864" s="16" t="n"/>
      <c r="S1864" s="16" t="n"/>
      <c r="T1864" s="16" t="n">
        <v>1</v>
      </c>
    </row>
    <row r="1865" s="103">
      <c r="A1865" s="16" t="inlineStr">
        <is>
          <t>B331</t>
        </is>
      </c>
      <c r="B1865" s="16" t="inlineStr">
        <is>
          <t>上海区域</t>
        </is>
      </c>
      <c r="C1865" s="16" t="inlineStr">
        <is>
          <t>CN0Q</t>
        </is>
      </c>
      <c r="D1865" s="16" t="inlineStr">
        <is>
          <t>EE 苏州比斯特购物村</t>
        </is>
      </c>
      <c r="E1865" s="16" t="n">
        <v>4</v>
      </c>
      <c r="F1865" s="16" t="inlineStr">
        <is>
          <t>奥特莱斯</t>
        </is>
      </c>
      <c r="G1865" s="16" t="inlineStr">
        <is>
          <t>EEYCG23E01</t>
        </is>
      </c>
      <c r="H1865" s="16" t="n">
        <v>799</v>
      </c>
      <c r="I1865" s="16" t="n">
        <v>799</v>
      </c>
      <c r="J1865" s="17" t="inlineStr">
        <is>
          <t>########</t>
        </is>
      </c>
      <c r="K1865" s="16" t="inlineStr">
        <is>
          <t>(36)L/Beige</t>
        </is>
      </c>
      <c r="L1865" s="16" t="inlineStr">
        <is>
          <t>营业中</t>
        </is>
      </c>
      <c r="M1865" s="16" t="inlineStr">
        <is>
          <t>EEYCG23E0136160</t>
        </is>
      </c>
      <c r="N1865" s="16">
        <f>LEFT(M1865,12)</f>
        <v/>
      </c>
      <c r="O1865" s="16" t="inlineStr">
        <is>
          <t>EEYCG23E01, (36)L/Beige, (160)160</t>
        </is>
      </c>
      <c r="P1865" s="16" t="n">
        <v>799</v>
      </c>
      <c r="Q1865" s="16" t="n">
        <v>799</v>
      </c>
      <c r="R1865" s="16" t="n"/>
      <c r="S1865" s="16" t="n"/>
      <c r="T1865" s="16" t="n">
        <v>2</v>
      </c>
    </row>
    <row r="1866" s="103">
      <c r="A1866" s="16" t="inlineStr">
        <is>
          <t>B331</t>
        </is>
      </c>
      <c r="B1866" s="16" t="inlineStr">
        <is>
          <t>上海区域</t>
        </is>
      </c>
      <c r="C1866" s="16" t="inlineStr">
        <is>
          <t>CN0Q</t>
        </is>
      </c>
      <c r="D1866" s="16" t="inlineStr">
        <is>
          <t>EE 苏州比斯特购物村</t>
        </is>
      </c>
      <c r="E1866" s="16" t="n">
        <v>4</v>
      </c>
      <c r="F1866" s="16" t="inlineStr">
        <is>
          <t>奥特莱斯</t>
        </is>
      </c>
      <c r="G1866" s="16" t="inlineStr">
        <is>
          <t>EEYCG23E01</t>
        </is>
      </c>
      <c r="H1866" s="16" t="n">
        <v>799</v>
      </c>
      <c r="I1866" s="16" t="n">
        <v>799</v>
      </c>
      <c r="J1866" s="17" t="inlineStr">
        <is>
          <t>########</t>
        </is>
      </c>
      <c r="K1866" s="16" t="inlineStr">
        <is>
          <t>(36)L/Beige</t>
        </is>
      </c>
      <c r="L1866" s="16" t="inlineStr">
        <is>
          <t>营业中</t>
        </is>
      </c>
      <c r="M1866" s="16" t="inlineStr">
        <is>
          <t>EEYCG23E0136165</t>
        </is>
      </c>
      <c r="N1866" s="16">
        <f>LEFT(M1866,12)</f>
        <v/>
      </c>
      <c r="O1866" s="16" t="inlineStr">
        <is>
          <t>EEYCG23E01, (36)L/Beige, (165)165</t>
        </is>
      </c>
      <c r="P1866" s="16" t="n">
        <v>799</v>
      </c>
      <c r="Q1866" s="16" t="n">
        <v>799</v>
      </c>
      <c r="R1866" s="16" t="n">
        <v>1</v>
      </c>
      <c r="S1866" s="16" t="n">
        <v>559</v>
      </c>
      <c r="T1866" s="16" t="n">
        <v>1</v>
      </c>
    </row>
    <row r="1867" s="103">
      <c r="A1867" s="16" t="inlineStr">
        <is>
          <t>B331</t>
        </is>
      </c>
      <c r="B1867" s="16" t="inlineStr">
        <is>
          <t>上海区域</t>
        </is>
      </c>
      <c r="C1867" s="16" t="inlineStr">
        <is>
          <t>CN0Q</t>
        </is>
      </c>
      <c r="D1867" s="16" t="inlineStr">
        <is>
          <t>EE 苏州比斯特购物村</t>
        </is>
      </c>
      <c r="E1867" s="16" t="n">
        <v>4</v>
      </c>
      <c r="F1867" s="16" t="inlineStr">
        <is>
          <t>奥特莱斯</t>
        </is>
      </c>
      <c r="G1867" s="16" t="inlineStr">
        <is>
          <t>EEYCG23E01</t>
        </is>
      </c>
      <c r="H1867" s="16" t="n">
        <v>799</v>
      </c>
      <c r="I1867" s="16" t="n">
        <v>799</v>
      </c>
      <c r="J1867" s="17" t="inlineStr">
        <is>
          <t>########</t>
        </is>
      </c>
      <c r="K1867" s="16" t="inlineStr">
        <is>
          <t>(36)L/Beige</t>
        </is>
      </c>
      <c r="L1867" s="16" t="inlineStr">
        <is>
          <t>营业中</t>
        </is>
      </c>
      <c r="M1867" s="16" t="inlineStr">
        <is>
          <t>EEYCG23E0136170</t>
        </is>
      </c>
      <c r="N1867" s="16">
        <f>LEFT(M1867,12)</f>
        <v/>
      </c>
      <c r="O1867" s="16" t="inlineStr">
        <is>
          <t>EEYCG23E01, (36)L/Beige, (170)170</t>
        </is>
      </c>
      <c r="P1867" s="16" t="n">
        <v>799</v>
      </c>
      <c r="Q1867" s="16" t="n">
        <v>799</v>
      </c>
      <c r="R1867" s="16" t="n"/>
      <c r="S1867" s="16" t="n"/>
      <c r="T1867" s="16" t="n">
        <v>2</v>
      </c>
    </row>
    <row r="1868" s="103">
      <c r="A1868" s="16" t="inlineStr">
        <is>
          <t>B331</t>
        </is>
      </c>
      <c r="B1868" s="16" t="inlineStr">
        <is>
          <t>上海区域</t>
        </is>
      </c>
      <c r="C1868" s="16" t="inlineStr">
        <is>
          <t>CN0Q</t>
        </is>
      </c>
      <c r="D1868" s="16" t="inlineStr">
        <is>
          <t>EE 苏州比斯特购物村</t>
        </is>
      </c>
      <c r="E1868" s="16" t="n">
        <v>4</v>
      </c>
      <c r="F1868" s="16" t="inlineStr">
        <is>
          <t>奥特莱斯</t>
        </is>
      </c>
      <c r="G1868" s="16" t="inlineStr">
        <is>
          <t>EEYCG23E01</t>
        </is>
      </c>
      <c r="H1868" s="16" t="n">
        <v>799</v>
      </c>
      <c r="I1868" s="16" t="n">
        <v>799</v>
      </c>
      <c r="J1868" s="17" t="inlineStr">
        <is>
          <t>########</t>
        </is>
      </c>
      <c r="K1868" s="16" t="inlineStr">
        <is>
          <t>(50)Blue</t>
        </is>
      </c>
      <c r="L1868" s="16" t="inlineStr">
        <is>
          <t>营业中</t>
        </is>
      </c>
      <c r="M1868" s="16" t="inlineStr">
        <is>
          <t>EEYCG23E0150160</t>
        </is>
      </c>
      <c r="N1868" s="16">
        <f>LEFT(M1868,12)</f>
        <v/>
      </c>
      <c r="O1868" s="16" t="inlineStr">
        <is>
          <t>EEYCG23E01, (50)Blue, (160)160</t>
        </is>
      </c>
      <c r="P1868" s="16" t="n">
        <v>799</v>
      </c>
      <c r="Q1868" s="16" t="n">
        <v>799</v>
      </c>
      <c r="R1868" s="16" t="n"/>
      <c r="S1868" s="16" t="n"/>
      <c r="T1868" s="16" t="n">
        <v>4</v>
      </c>
    </row>
    <row r="1869" s="103">
      <c r="A1869" s="16" t="inlineStr">
        <is>
          <t>B331</t>
        </is>
      </c>
      <c r="B1869" s="16" t="inlineStr">
        <is>
          <t>上海区域</t>
        </is>
      </c>
      <c r="C1869" s="16" t="inlineStr">
        <is>
          <t>CN0Q</t>
        </is>
      </c>
      <c r="D1869" s="16" t="inlineStr">
        <is>
          <t>EE 苏州比斯特购物村</t>
        </is>
      </c>
      <c r="E1869" s="16" t="n">
        <v>4</v>
      </c>
      <c r="F1869" s="16" t="inlineStr">
        <is>
          <t>奥特莱斯</t>
        </is>
      </c>
      <c r="G1869" s="16" t="inlineStr">
        <is>
          <t>EEYCG23E01</t>
        </is>
      </c>
      <c r="H1869" s="16" t="n">
        <v>799</v>
      </c>
      <c r="I1869" s="16" t="n">
        <v>799</v>
      </c>
      <c r="J1869" s="17" t="inlineStr">
        <is>
          <t>########</t>
        </is>
      </c>
      <c r="K1869" s="16" t="inlineStr">
        <is>
          <t>(50)Blue</t>
        </is>
      </c>
      <c r="L1869" s="16" t="inlineStr">
        <is>
          <t>营业中</t>
        </is>
      </c>
      <c r="M1869" s="16" t="inlineStr">
        <is>
          <t>EEYCG23E0150165</t>
        </is>
      </c>
      <c r="N1869" s="16">
        <f>LEFT(M1869,12)</f>
        <v/>
      </c>
      <c r="O1869" s="16" t="inlineStr">
        <is>
          <t>EEYCG23E01, (50)Blue, (165)165</t>
        </is>
      </c>
      <c r="P1869" s="16" t="n">
        <v>799</v>
      </c>
      <c r="Q1869" s="16" t="n">
        <v>799</v>
      </c>
      <c r="R1869" s="16" t="n"/>
      <c r="S1869" s="16" t="n"/>
      <c r="T1869" s="16" t="n">
        <v>3</v>
      </c>
    </row>
    <row r="1870" s="103">
      <c r="A1870" s="16" t="inlineStr">
        <is>
          <t>B331</t>
        </is>
      </c>
      <c r="B1870" s="16" t="inlineStr">
        <is>
          <t>上海区域</t>
        </is>
      </c>
      <c r="C1870" s="16" t="inlineStr">
        <is>
          <t>CN0Q</t>
        </is>
      </c>
      <c r="D1870" s="16" t="inlineStr">
        <is>
          <t>EE 苏州比斯特购物村</t>
        </is>
      </c>
      <c r="E1870" s="16" t="n">
        <v>4</v>
      </c>
      <c r="F1870" s="16" t="inlineStr">
        <is>
          <t>奥特莱斯</t>
        </is>
      </c>
      <c r="G1870" s="16" t="inlineStr">
        <is>
          <t>EEYCG23E01</t>
        </is>
      </c>
      <c r="H1870" s="16" t="n">
        <v>799</v>
      </c>
      <c r="I1870" s="16" t="n">
        <v>799</v>
      </c>
      <c r="J1870" s="17" t="inlineStr">
        <is>
          <t>########</t>
        </is>
      </c>
      <c r="K1870" s="16" t="inlineStr">
        <is>
          <t>(50)Blue</t>
        </is>
      </c>
      <c r="L1870" s="16" t="inlineStr">
        <is>
          <t>营业中</t>
        </is>
      </c>
      <c r="M1870" s="16" t="inlineStr">
        <is>
          <t>EEYCG23E0150170</t>
        </is>
      </c>
      <c r="N1870" s="16">
        <f>LEFT(M1870,12)</f>
        <v/>
      </c>
      <c r="O1870" s="16" t="inlineStr">
        <is>
          <t>EEYCG23E01, (50)Blue, (170)170</t>
        </is>
      </c>
      <c r="P1870" s="16" t="n">
        <v>799</v>
      </c>
      <c r="Q1870" s="16" t="n">
        <v>799</v>
      </c>
      <c r="R1870" s="16" t="n"/>
      <c r="S1870" s="16" t="n"/>
      <c r="T1870" s="16" t="n">
        <v>2</v>
      </c>
    </row>
    <row r="1871" s="103">
      <c r="A1871" s="16" t="inlineStr">
        <is>
          <t>B331</t>
        </is>
      </c>
      <c r="B1871" s="16" t="inlineStr">
        <is>
          <t>上海区域</t>
        </is>
      </c>
      <c r="C1871" s="16" t="inlineStr">
        <is>
          <t>CN0Q</t>
        </is>
      </c>
      <c r="D1871" s="16" t="inlineStr">
        <is>
          <t>EE 苏州比斯特购物村</t>
        </is>
      </c>
      <c r="E1871" s="16" t="n">
        <v>4</v>
      </c>
      <c r="F1871" s="16" t="inlineStr">
        <is>
          <t>奥特莱斯</t>
        </is>
      </c>
      <c r="G1871" s="16" t="inlineStr">
        <is>
          <t>EEYCG24E01</t>
        </is>
      </c>
      <c r="H1871" s="16" t="n">
        <v>699</v>
      </c>
      <c r="I1871" s="16" t="n">
        <v>699</v>
      </c>
      <c r="J1871" s="17" t="inlineStr">
        <is>
          <t>########</t>
        </is>
      </c>
      <c r="K1871" s="16" t="inlineStr">
        <is>
          <t>(59)Navy</t>
        </is>
      </c>
      <c r="L1871" s="16" t="inlineStr">
        <is>
          <t>营业中</t>
        </is>
      </c>
      <c r="M1871" s="16" t="inlineStr">
        <is>
          <t>EEYCG24E0159160</t>
        </is>
      </c>
      <c r="N1871" s="16">
        <f>LEFT(M1871,12)</f>
        <v/>
      </c>
      <c r="O1871" s="16" t="inlineStr">
        <is>
          <t>EEYCG24E01, (59)Navy, (160)160</t>
        </is>
      </c>
      <c r="P1871" s="16" t="n">
        <v>699</v>
      </c>
      <c r="Q1871" s="16" t="n">
        <v>699</v>
      </c>
      <c r="R1871" s="16" t="n"/>
      <c r="S1871" s="16" t="n"/>
      <c r="T1871" s="16" t="n">
        <v>2</v>
      </c>
    </row>
    <row r="1872" s="103">
      <c r="A1872" s="16" t="inlineStr">
        <is>
          <t>B331</t>
        </is>
      </c>
      <c r="B1872" s="16" t="inlineStr">
        <is>
          <t>上海区域</t>
        </is>
      </c>
      <c r="C1872" s="16" t="inlineStr">
        <is>
          <t>CN0Q</t>
        </is>
      </c>
      <c r="D1872" s="16" t="inlineStr">
        <is>
          <t>EE 苏州比斯特购物村</t>
        </is>
      </c>
      <c r="E1872" s="16" t="n">
        <v>4</v>
      </c>
      <c r="F1872" s="16" t="inlineStr">
        <is>
          <t>奥特莱斯</t>
        </is>
      </c>
      <c r="G1872" s="16" t="inlineStr">
        <is>
          <t>EEYCG24E01</t>
        </is>
      </c>
      <c r="H1872" s="16" t="n">
        <v>699</v>
      </c>
      <c r="I1872" s="16" t="n">
        <v>699</v>
      </c>
      <c r="J1872" s="17" t="inlineStr">
        <is>
          <t>########</t>
        </is>
      </c>
      <c r="K1872" s="16" t="inlineStr">
        <is>
          <t>(59)Navy</t>
        </is>
      </c>
      <c r="L1872" s="16" t="inlineStr">
        <is>
          <t>营业中</t>
        </is>
      </c>
      <c r="M1872" s="16" t="inlineStr">
        <is>
          <t>EEYCG24E0159165</t>
        </is>
      </c>
      <c r="N1872" s="16">
        <f>LEFT(M1872,12)</f>
        <v/>
      </c>
      <c r="O1872" s="16" t="inlineStr">
        <is>
          <t>EEYCG24E01, (59)Navy, (165)165</t>
        </is>
      </c>
      <c r="P1872" s="16" t="n">
        <v>699</v>
      </c>
      <c r="Q1872" s="16" t="n">
        <v>699</v>
      </c>
      <c r="R1872" s="16" t="n"/>
      <c r="S1872" s="16" t="n"/>
      <c r="T1872" s="16" t="n">
        <v>2</v>
      </c>
    </row>
    <row r="1873" s="103">
      <c r="A1873" s="16" t="inlineStr">
        <is>
          <t>B331</t>
        </is>
      </c>
      <c r="B1873" s="16" t="inlineStr">
        <is>
          <t>上海区域</t>
        </is>
      </c>
      <c r="C1873" s="16" t="inlineStr">
        <is>
          <t>CN0Q</t>
        </is>
      </c>
      <c r="D1873" s="16" t="inlineStr">
        <is>
          <t>EE 苏州比斯特购物村</t>
        </is>
      </c>
      <c r="E1873" s="16" t="n">
        <v>4</v>
      </c>
      <c r="F1873" s="16" t="inlineStr">
        <is>
          <t>奥特莱斯</t>
        </is>
      </c>
      <c r="G1873" s="16" t="inlineStr">
        <is>
          <t>EEYCG24E01</t>
        </is>
      </c>
      <c r="H1873" s="16" t="n">
        <v>699</v>
      </c>
      <c r="I1873" s="16" t="n">
        <v>699</v>
      </c>
      <c r="J1873" s="17" t="inlineStr">
        <is>
          <t>########</t>
        </is>
      </c>
      <c r="K1873" s="16" t="inlineStr">
        <is>
          <t>(59)Navy</t>
        </is>
      </c>
      <c r="L1873" s="16" t="inlineStr">
        <is>
          <t>营业中</t>
        </is>
      </c>
      <c r="M1873" s="16" t="inlineStr">
        <is>
          <t>EEYCG24E0159170</t>
        </is>
      </c>
      <c r="N1873" s="16">
        <f>LEFT(M1873,12)</f>
        <v/>
      </c>
      <c r="O1873" s="16" t="inlineStr">
        <is>
          <t>EEYCG24E01, (59)Navy, (170)170</t>
        </is>
      </c>
      <c r="P1873" s="16" t="n">
        <v>699</v>
      </c>
      <c r="Q1873" s="16" t="n">
        <v>699</v>
      </c>
      <c r="R1873" s="16" t="n"/>
      <c r="S1873" s="16" t="n"/>
      <c r="T1873" s="16" t="n">
        <v>1</v>
      </c>
    </row>
    <row r="1874" s="103">
      <c r="A1874" s="16" t="inlineStr">
        <is>
          <t>B331</t>
        </is>
      </c>
      <c r="B1874" s="16" t="inlineStr">
        <is>
          <t>上海区域</t>
        </is>
      </c>
      <c r="C1874" s="16" t="inlineStr">
        <is>
          <t>CN0Q</t>
        </is>
      </c>
      <c r="D1874" s="16" t="inlineStr">
        <is>
          <t>EE 苏州比斯特购物村</t>
        </is>
      </c>
      <c r="E1874" s="16" t="n">
        <v>4</v>
      </c>
      <c r="F1874" s="16" t="inlineStr">
        <is>
          <t>奥特莱斯</t>
        </is>
      </c>
      <c r="G1874" s="16" t="inlineStr">
        <is>
          <t>EEYCG24E01</t>
        </is>
      </c>
      <c r="H1874" s="16" t="n">
        <v>699</v>
      </c>
      <c r="I1874" s="16" t="n">
        <v>699</v>
      </c>
      <c r="J1874" s="17" t="inlineStr">
        <is>
          <t>########</t>
        </is>
      </c>
      <c r="K1874" s="16" t="inlineStr">
        <is>
          <t>(88)Lavender</t>
        </is>
      </c>
      <c r="L1874" s="16" t="inlineStr">
        <is>
          <t>营业中</t>
        </is>
      </c>
      <c r="M1874" s="16" t="inlineStr">
        <is>
          <t>EEYCG24E0188160</t>
        </is>
      </c>
      <c r="N1874" s="16">
        <f>LEFT(M1874,12)</f>
        <v/>
      </c>
      <c r="O1874" s="16" t="inlineStr">
        <is>
          <t>EEYCG24E01, (88)Lavender, (160)160</t>
        </is>
      </c>
      <c r="P1874" s="16" t="n">
        <v>699</v>
      </c>
      <c r="Q1874" s="16" t="n">
        <v>699</v>
      </c>
      <c r="R1874" s="16" t="n">
        <v>1</v>
      </c>
      <c r="S1874" s="16" t="n">
        <v>489</v>
      </c>
      <c r="T1874" s="16" t="n">
        <v>2</v>
      </c>
    </row>
    <row r="1875" s="103">
      <c r="A1875" s="16" t="inlineStr">
        <is>
          <t>B331</t>
        </is>
      </c>
      <c r="B1875" s="16" t="inlineStr">
        <is>
          <t>上海区域</t>
        </is>
      </c>
      <c r="C1875" s="16" t="inlineStr">
        <is>
          <t>CN0Q</t>
        </is>
      </c>
      <c r="D1875" s="16" t="inlineStr">
        <is>
          <t>EE 苏州比斯特购物村</t>
        </is>
      </c>
      <c r="E1875" s="16" t="n">
        <v>4</v>
      </c>
      <c r="F1875" s="16" t="inlineStr">
        <is>
          <t>奥特莱斯</t>
        </is>
      </c>
      <c r="G1875" s="16" t="inlineStr">
        <is>
          <t>EEYCG24E01</t>
        </is>
      </c>
      <c r="H1875" s="16" t="n">
        <v>699</v>
      </c>
      <c r="I1875" s="16" t="n">
        <v>699</v>
      </c>
      <c r="J1875" s="17" t="inlineStr">
        <is>
          <t>########</t>
        </is>
      </c>
      <c r="K1875" s="16" t="inlineStr">
        <is>
          <t>(88)Lavender</t>
        </is>
      </c>
      <c r="L1875" s="16" t="inlineStr">
        <is>
          <t>营业中</t>
        </is>
      </c>
      <c r="M1875" s="16" t="inlineStr">
        <is>
          <t>EEYCG24E0188165</t>
        </is>
      </c>
      <c r="N1875" s="16">
        <f>LEFT(M1875,12)</f>
        <v/>
      </c>
      <c r="O1875" s="16" t="inlineStr">
        <is>
          <t>EEYCG24E01, (88)Lavender, (165)165</t>
        </is>
      </c>
      <c r="P1875" s="16" t="n">
        <v>699</v>
      </c>
      <c r="Q1875" s="16" t="n">
        <v>699</v>
      </c>
      <c r="R1875" s="16" t="n">
        <v>1</v>
      </c>
      <c r="S1875" s="16" t="n">
        <v>443</v>
      </c>
      <c r="T1875" s="16" t="n">
        <v>1</v>
      </c>
    </row>
    <row r="1876" s="103">
      <c r="A1876" s="16" t="inlineStr">
        <is>
          <t>B331</t>
        </is>
      </c>
      <c r="B1876" s="16" t="inlineStr">
        <is>
          <t>上海区域</t>
        </is>
      </c>
      <c r="C1876" s="16" t="inlineStr">
        <is>
          <t>CN0Q</t>
        </is>
      </c>
      <c r="D1876" s="16" t="inlineStr">
        <is>
          <t>EE 苏州比斯特购物村</t>
        </is>
      </c>
      <c r="E1876" s="16" t="n">
        <v>4</v>
      </c>
      <c r="F1876" s="16" t="inlineStr">
        <is>
          <t>奥特莱斯</t>
        </is>
      </c>
      <c r="G1876" s="16" t="inlineStr">
        <is>
          <t>EEYCG24E01</t>
        </is>
      </c>
      <c r="H1876" s="16" t="n">
        <v>699</v>
      </c>
      <c r="I1876" s="16" t="n">
        <v>699</v>
      </c>
      <c r="J1876" s="17" t="inlineStr">
        <is>
          <t>########</t>
        </is>
      </c>
      <c r="K1876" s="16" t="inlineStr">
        <is>
          <t>(88)Lavender</t>
        </is>
      </c>
      <c r="L1876" s="16" t="inlineStr">
        <is>
          <t>营业中</t>
        </is>
      </c>
      <c r="M1876" s="16" t="inlineStr">
        <is>
          <t>EEYCG24E0188170</t>
        </is>
      </c>
      <c r="N1876" s="16">
        <f>LEFT(M1876,12)</f>
        <v/>
      </c>
      <c r="O1876" s="16" t="inlineStr">
        <is>
          <t>EEYCG24E01, (88)Lavender, (170)170</t>
        </is>
      </c>
      <c r="P1876" s="16" t="n">
        <v>699</v>
      </c>
      <c r="Q1876" s="16" t="n">
        <v>699</v>
      </c>
      <c r="R1876" s="16" t="n">
        <v>1</v>
      </c>
      <c r="S1876" s="16" t="n">
        <v>444</v>
      </c>
      <c r="T1876" s="16" t="n">
        <v>0</v>
      </c>
    </row>
    <row r="1877" s="103">
      <c r="A1877" s="16" t="inlineStr">
        <is>
          <t>B331</t>
        </is>
      </c>
      <c r="B1877" s="16" t="inlineStr">
        <is>
          <t>上海区域</t>
        </is>
      </c>
      <c r="C1877" s="16" t="inlineStr">
        <is>
          <t>CN0Q</t>
        </is>
      </c>
      <c r="D1877" s="16" t="inlineStr">
        <is>
          <t>EE 苏州比斯特购物村</t>
        </is>
      </c>
      <c r="E1877" s="16" t="n">
        <v>4</v>
      </c>
      <c r="F1877" s="16" t="inlineStr">
        <is>
          <t>奥特莱斯</t>
        </is>
      </c>
      <c r="G1877" s="16" t="inlineStr">
        <is>
          <t>EEYCG24E02</t>
        </is>
      </c>
      <c r="H1877" s="16" t="n">
        <v>799</v>
      </c>
      <c r="I1877" s="16" t="n">
        <v>799</v>
      </c>
      <c r="J1877" s="17" t="inlineStr">
        <is>
          <t>########</t>
        </is>
      </c>
      <c r="K1877" s="16" t="inlineStr">
        <is>
          <t>(50)Blue</t>
        </is>
      </c>
      <c r="L1877" s="16" t="inlineStr">
        <is>
          <t>营业中</t>
        </is>
      </c>
      <c r="M1877" s="16" t="inlineStr">
        <is>
          <t>EEYCG24E0250160</t>
        </is>
      </c>
      <c r="N1877" s="16">
        <f>LEFT(M1877,12)</f>
        <v/>
      </c>
      <c r="O1877" s="16" t="inlineStr">
        <is>
          <t>EEYCG24E02, (50)Blue, (160)160</t>
        </is>
      </c>
      <c r="P1877" s="16" t="n">
        <v>799</v>
      </c>
      <c r="Q1877" s="16" t="n">
        <v>799</v>
      </c>
      <c r="R1877" s="16" t="n">
        <v>2</v>
      </c>
      <c r="S1877" s="16" t="n">
        <v>523</v>
      </c>
      <c r="T1877" s="16" t="n">
        <v>2</v>
      </c>
    </row>
    <row r="1878" s="103">
      <c r="A1878" s="16" t="inlineStr">
        <is>
          <t>B331</t>
        </is>
      </c>
      <c r="B1878" s="16" t="inlineStr">
        <is>
          <t>上海区域</t>
        </is>
      </c>
      <c r="C1878" s="16" t="inlineStr">
        <is>
          <t>CN0Q</t>
        </is>
      </c>
      <c r="D1878" s="16" t="inlineStr">
        <is>
          <t>EE 苏州比斯特购物村</t>
        </is>
      </c>
      <c r="E1878" s="16" t="n">
        <v>4</v>
      </c>
      <c r="F1878" s="16" t="inlineStr">
        <is>
          <t>奥特莱斯</t>
        </is>
      </c>
      <c r="G1878" s="16" t="inlineStr">
        <is>
          <t>EEYCG24E02</t>
        </is>
      </c>
      <c r="H1878" s="16" t="n">
        <v>799</v>
      </c>
      <c r="I1878" s="16" t="n">
        <v>799</v>
      </c>
      <c r="J1878" s="17" t="inlineStr">
        <is>
          <t>########</t>
        </is>
      </c>
      <c r="K1878" s="16" t="inlineStr">
        <is>
          <t>(50)Blue</t>
        </is>
      </c>
      <c r="L1878" s="16" t="inlineStr">
        <is>
          <t>营业中</t>
        </is>
      </c>
      <c r="M1878" s="16" t="inlineStr">
        <is>
          <t>EEYCG24E0250165</t>
        </is>
      </c>
      <c r="N1878" s="16">
        <f>LEFT(M1878,12)</f>
        <v/>
      </c>
      <c r="O1878" s="16" t="inlineStr">
        <is>
          <t>EEYCG24E02, (50)Blue, (165)165</t>
        </is>
      </c>
      <c r="P1878" s="16" t="n">
        <v>799</v>
      </c>
      <c r="Q1878" s="16" t="n">
        <v>799</v>
      </c>
      <c r="R1878" s="16" t="n">
        <v>3</v>
      </c>
      <c r="S1878" s="18" t="n">
        <v>1525</v>
      </c>
      <c r="T1878" s="16" t="n">
        <v>3</v>
      </c>
    </row>
    <row r="1879" s="103">
      <c r="A1879" s="16" t="inlineStr">
        <is>
          <t>B331</t>
        </is>
      </c>
      <c r="B1879" s="16" t="inlineStr">
        <is>
          <t>上海区域</t>
        </is>
      </c>
      <c r="C1879" s="16" t="inlineStr">
        <is>
          <t>CN0Q</t>
        </is>
      </c>
      <c r="D1879" s="16" t="inlineStr">
        <is>
          <t>EE 苏州比斯特购物村</t>
        </is>
      </c>
      <c r="E1879" s="16" t="n">
        <v>4</v>
      </c>
      <c r="F1879" s="16" t="inlineStr">
        <is>
          <t>奥特莱斯</t>
        </is>
      </c>
      <c r="G1879" s="16" t="inlineStr">
        <is>
          <t>EEYCG24E02</t>
        </is>
      </c>
      <c r="H1879" s="16" t="n">
        <v>799</v>
      </c>
      <c r="I1879" s="16" t="n">
        <v>799</v>
      </c>
      <c r="J1879" s="17" t="inlineStr">
        <is>
          <t>########</t>
        </is>
      </c>
      <c r="K1879" s="16" t="inlineStr">
        <is>
          <t>(50)Blue</t>
        </is>
      </c>
      <c r="L1879" s="16" t="inlineStr">
        <is>
          <t>营业中</t>
        </is>
      </c>
      <c r="M1879" s="16" t="inlineStr">
        <is>
          <t>EEYCG24E0250170</t>
        </is>
      </c>
      <c r="N1879" s="16">
        <f>LEFT(M1879,12)</f>
        <v/>
      </c>
      <c r="O1879" s="16" t="inlineStr">
        <is>
          <t>EEYCG24E02, (50)Blue, (170)170</t>
        </is>
      </c>
      <c r="P1879" s="16" t="n">
        <v>799</v>
      </c>
      <c r="Q1879" s="16" t="n">
        <v>799</v>
      </c>
      <c r="R1879" s="16" t="n">
        <v>1</v>
      </c>
      <c r="S1879" s="16" t="n">
        <v>524</v>
      </c>
      <c r="T1879" s="16" t="n">
        <v>2</v>
      </c>
    </row>
    <row r="1880" s="103">
      <c r="A1880" s="16" t="inlineStr">
        <is>
          <t>B331</t>
        </is>
      </c>
      <c r="B1880" s="16" t="inlineStr">
        <is>
          <t>上海区域</t>
        </is>
      </c>
      <c r="C1880" s="16" t="inlineStr">
        <is>
          <t>CN0Q</t>
        </is>
      </c>
      <c r="D1880" s="16" t="inlineStr">
        <is>
          <t>EE 苏州比斯特购物村</t>
        </is>
      </c>
      <c r="E1880" s="16" t="n">
        <v>4</v>
      </c>
      <c r="F1880" s="16" t="inlineStr">
        <is>
          <t>奥特莱斯</t>
        </is>
      </c>
      <c r="G1880" s="16" t="inlineStr">
        <is>
          <t>EEYCG25B1G</t>
        </is>
      </c>
      <c r="H1880" s="16" t="n">
        <v>799</v>
      </c>
      <c r="I1880" s="16" t="n">
        <v>799</v>
      </c>
      <c r="J1880" s="17" t="inlineStr">
        <is>
          <t>########</t>
        </is>
      </c>
      <c r="K1880" s="16" t="inlineStr">
        <is>
          <t>(20)Red</t>
        </is>
      </c>
      <c r="L1880" s="16" t="inlineStr">
        <is>
          <t>营业中</t>
        </is>
      </c>
      <c r="M1880" s="16" t="inlineStr">
        <is>
          <t>EEYCG25B1G20170</t>
        </is>
      </c>
      <c r="N1880" s="16">
        <f>LEFT(M1880,12)</f>
        <v/>
      </c>
      <c r="O1880" s="16" t="inlineStr">
        <is>
          <t>EEYCG25B1G, (20)Red, (170)170</t>
        </is>
      </c>
      <c r="P1880" s="16" t="n">
        <v>799</v>
      </c>
      <c r="Q1880" s="16" t="n">
        <v>799</v>
      </c>
      <c r="R1880" s="16" t="n"/>
      <c r="S1880" s="16" t="n"/>
      <c r="T1880" s="16" t="n">
        <v>2</v>
      </c>
    </row>
    <row r="1881" s="103">
      <c r="A1881" s="16" t="inlineStr">
        <is>
          <t>B331</t>
        </is>
      </c>
      <c r="B1881" s="16" t="inlineStr">
        <is>
          <t>上海区域</t>
        </is>
      </c>
      <c r="C1881" s="16" t="inlineStr">
        <is>
          <t>CN0Q</t>
        </is>
      </c>
      <c r="D1881" s="16" t="inlineStr">
        <is>
          <t>EE 苏州比斯特购物村</t>
        </is>
      </c>
      <c r="E1881" s="16" t="n">
        <v>4</v>
      </c>
      <c r="F1881" s="16" t="inlineStr">
        <is>
          <t>奥特莱斯</t>
        </is>
      </c>
      <c r="G1881" s="16" t="inlineStr">
        <is>
          <t>EEYCG25B1G</t>
        </is>
      </c>
      <c r="H1881" s="16" t="n">
        <v>799</v>
      </c>
      <c r="I1881" s="16" t="n">
        <v>799</v>
      </c>
      <c r="J1881" s="17" t="inlineStr">
        <is>
          <t>########</t>
        </is>
      </c>
      <c r="K1881" s="16" t="inlineStr">
        <is>
          <t>(20)Red</t>
        </is>
      </c>
      <c r="L1881" s="16" t="inlineStr">
        <is>
          <t>营业中</t>
        </is>
      </c>
      <c r="M1881" s="16" t="inlineStr">
        <is>
          <t>EEYCG25B1G20175</t>
        </is>
      </c>
      <c r="N1881" s="16">
        <f>LEFT(M1881,12)</f>
        <v/>
      </c>
      <c r="O1881" s="16" t="inlineStr">
        <is>
          <t>EEYCG25B1G, (20)Red, (175)175</t>
        </is>
      </c>
      <c r="P1881" s="16" t="n">
        <v>799</v>
      </c>
      <c r="Q1881" s="16" t="n">
        <v>799</v>
      </c>
      <c r="R1881" s="16" t="n"/>
      <c r="S1881" s="16" t="n"/>
      <c r="T1881" s="16" t="n">
        <v>2</v>
      </c>
    </row>
    <row r="1882" s="103">
      <c r="A1882" s="16" t="inlineStr">
        <is>
          <t>B331</t>
        </is>
      </c>
      <c r="B1882" s="16" t="inlineStr">
        <is>
          <t>上海区域</t>
        </is>
      </c>
      <c r="C1882" s="16" t="inlineStr">
        <is>
          <t>CN0Q</t>
        </is>
      </c>
      <c r="D1882" s="16" t="inlineStr">
        <is>
          <t>EE 苏州比斯特购物村</t>
        </is>
      </c>
      <c r="E1882" s="16" t="n">
        <v>4</v>
      </c>
      <c r="F1882" s="16" t="inlineStr">
        <is>
          <t>奥特莱斯</t>
        </is>
      </c>
      <c r="G1882" s="16" t="inlineStr">
        <is>
          <t>EEYCG25B1G</t>
        </is>
      </c>
      <c r="H1882" s="16" t="n">
        <v>799</v>
      </c>
      <c r="I1882" s="16" t="n">
        <v>799</v>
      </c>
      <c r="J1882" s="17" t="inlineStr">
        <is>
          <t>########</t>
        </is>
      </c>
      <c r="K1882" s="16" t="inlineStr">
        <is>
          <t>(20)Red</t>
        </is>
      </c>
      <c r="L1882" s="16" t="inlineStr">
        <is>
          <t>营业中</t>
        </is>
      </c>
      <c r="M1882" s="16" t="inlineStr">
        <is>
          <t>EEYCG25B1G20180</t>
        </is>
      </c>
      <c r="N1882" s="16">
        <f>LEFT(M1882,12)</f>
        <v/>
      </c>
      <c r="O1882" s="16" t="inlineStr">
        <is>
          <t>EEYCG25B1G, (20)Red, (180)180</t>
        </is>
      </c>
      <c r="P1882" s="16" t="n">
        <v>799</v>
      </c>
      <c r="Q1882" s="16" t="n">
        <v>799</v>
      </c>
      <c r="R1882" s="16" t="n"/>
      <c r="S1882" s="16" t="n"/>
      <c r="T1882" s="16" t="n">
        <v>2</v>
      </c>
    </row>
    <row r="1883" s="103">
      <c r="A1883" s="16" t="inlineStr">
        <is>
          <t>B331</t>
        </is>
      </c>
      <c r="B1883" s="16" t="inlineStr">
        <is>
          <t>上海区域</t>
        </is>
      </c>
      <c r="C1883" s="16" t="inlineStr">
        <is>
          <t>CN0Q</t>
        </is>
      </c>
      <c r="D1883" s="16" t="inlineStr">
        <is>
          <t>EE 苏州比斯特购物村</t>
        </is>
      </c>
      <c r="E1883" s="16" t="n">
        <v>4</v>
      </c>
      <c r="F1883" s="16" t="inlineStr">
        <is>
          <t>奥特莱斯</t>
        </is>
      </c>
      <c r="G1883" s="16" t="inlineStr">
        <is>
          <t>EEYCG25B1G</t>
        </is>
      </c>
      <c r="H1883" s="16" t="n">
        <v>799</v>
      </c>
      <c r="I1883" s="16" t="n">
        <v>799</v>
      </c>
      <c r="J1883" s="17" t="inlineStr">
        <is>
          <t>########</t>
        </is>
      </c>
      <c r="K1883" s="16" t="inlineStr">
        <is>
          <t>(20)Red</t>
        </is>
      </c>
      <c r="L1883" s="16" t="inlineStr">
        <is>
          <t>营业中</t>
        </is>
      </c>
      <c r="M1883" s="16" t="inlineStr">
        <is>
          <t>EEYCG25B1G20185</t>
        </is>
      </c>
      <c r="N1883" s="16">
        <f>LEFT(M1883,12)</f>
        <v/>
      </c>
      <c r="O1883" s="16" t="inlineStr">
        <is>
          <t>EEYCG25B1G, (20)Red, (185)185</t>
        </is>
      </c>
      <c r="P1883" s="16" t="n">
        <v>799</v>
      </c>
      <c r="Q1883" s="16" t="n">
        <v>799</v>
      </c>
      <c r="R1883" s="16" t="n"/>
      <c r="S1883" s="16" t="n"/>
      <c r="T1883" s="16" t="n">
        <v>1</v>
      </c>
    </row>
    <row r="1884" s="103">
      <c r="A1884" s="16" t="inlineStr">
        <is>
          <t>B331</t>
        </is>
      </c>
      <c r="B1884" s="16" t="inlineStr">
        <is>
          <t>上海区域</t>
        </is>
      </c>
      <c r="C1884" s="16" t="inlineStr">
        <is>
          <t>CN0Q</t>
        </is>
      </c>
      <c r="D1884" s="16" t="inlineStr">
        <is>
          <t>EE 苏州比斯特购物村</t>
        </is>
      </c>
      <c r="E1884" s="16" t="n">
        <v>4</v>
      </c>
      <c r="F1884" s="16" t="inlineStr">
        <is>
          <t>奥特莱斯</t>
        </is>
      </c>
      <c r="G1884" s="16" t="inlineStr">
        <is>
          <t>EEYCG26E01</t>
        </is>
      </c>
      <c r="H1884" s="16" t="n">
        <v>799</v>
      </c>
      <c r="I1884" s="16" t="n">
        <v>799</v>
      </c>
      <c r="J1884" s="17" t="inlineStr">
        <is>
          <t>########</t>
        </is>
      </c>
      <c r="K1884" s="16" t="inlineStr">
        <is>
          <t>(99)MIX</t>
        </is>
      </c>
      <c r="L1884" s="16" t="inlineStr">
        <is>
          <t>营业中</t>
        </is>
      </c>
      <c r="M1884" s="16" t="inlineStr">
        <is>
          <t>EEYCG26E0199160</t>
        </is>
      </c>
      <c r="N1884" s="16">
        <f>LEFT(M1884,12)</f>
        <v/>
      </c>
      <c r="O1884" s="16" t="inlineStr">
        <is>
          <t>EEYCG26E01, (99)MIX, (160)160</t>
        </is>
      </c>
      <c r="P1884" s="16" t="n">
        <v>799</v>
      </c>
      <c r="Q1884" s="16" t="n">
        <v>799</v>
      </c>
      <c r="R1884" s="16" t="n">
        <v>4</v>
      </c>
      <c r="S1884" s="18" t="n">
        <v>1528</v>
      </c>
      <c r="T1884" s="16" t="n">
        <v>2</v>
      </c>
    </row>
    <row r="1885" s="103">
      <c r="A1885" s="16" t="inlineStr">
        <is>
          <t>B331</t>
        </is>
      </c>
      <c r="B1885" s="16" t="inlineStr">
        <is>
          <t>上海区域</t>
        </is>
      </c>
      <c r="C1885" s="16" t="inlineStr">
        <is>
          <t>CN0Q</t>
        </is>
      </c>
      <c r="D1885" s="16" t="inlineStr">
        <is>
          <t>EE 苏州比斯特购物村</t>
        </is>
      </c>
      <c r="E1885" s="16" t="n">
        <v>4</v>
      </c>
      <c r="F1885" s="16" t="inlineStr">
        <is>
          <t>奥特莱斯</t>
        </is>
      </c>
      <c r="G1885" s="16" t="inlineStr">
        <is>
          <t>EEYCG26E01</t>
        </is>
      </c>
      <c r="H1885" s="16" t="n">
        <v>799</v>
      </c>
      <c r="I1885" s="16" t="n">
        <v>799</v>
      </c>
      <c r="J1885" s="17" t="inlineStr">
        <is>
          <t>########</t>
        </is>
      </c>
      <c r="K1885" s="16" t="inlineStr">
        <is>
          <t>(99)MIX</t>
        </is>
      </c>
      <c r="L1885" s="16" t="inlineStr">
        <is>
          <t>营业中</t>
        </is>
      </c>
      <c r="M1885" s="16" t="inlineStr">
        <is>
          <t>EEYCG26E0199165</t>
        </is>
      </c>
      <c r="N1885" s="16">
        <f>LEFT(M1885,12)</f>
        <v/>
      </c>
      <c r="O1885" s="16" t="inlineStr">
        <is>
          <t>EEYCG26E01, (99)MIX, (165)165</t>
        </is>
      </c>
      <c r="P1885" s="16" t="n">
        <v>799</v>
      </c>
      <c r="Q1885" s="16" t="n">
        <v>799</v>
      </c>
      <c r="R1885" s="16" t="n">
        <v>3</v>
      </c>
      <c r="S1885" s="18" t="n">
        <v>1265</v>
      </c>
      <c r="T1885" s="16" t="n">
        <v>3</v>
      </c>
    </row>
    <row r="1886" s="103">
      <c r="A1886" s="16" t="inlineStr">
        <is>
          <t>B331</t>
        </is>
      </c>
      <c r="B1886" s="16" t="inlineStr">
        <is>
          <t>上海区域</t>
        </is>
      </c>
      <c r="C1886" s="16" t="inlineStr">
        <is>
          <t>CN0Q</t>
        </is>
      </c>
      <c r="D1886" s="16" t="inlineStr">
        <is>
          <t>EE 苏州比斯特购物村</t>
        </is>
      </c>
      <c r="E1886" s="16" t="n">
        <v>4</v>
      </c>
      <c r="F1886" s="16" t="inlineStr">
        <is>
          <t>奥特莱斯</t>
        </is>
      </c>
      <c r="G1886" s="16" t="inlineStr">
        <is>
          <t>EEYCG26E01</t>
        </is>
      </c>
      <c r="H1886" s="16" t="n">
        <v>799</v>
      </c>
      <c r="I1886" s="16" t="n">
        <v>799</v>
      </c>
      <c r="J1886" s="17" t="inlineStr">
        <is>
          <t>########</t>
        </is>
      </c>
      <c r="K1886" s="16" t="inlineStr">
        <is>
          <t>(99)MIX</t>
        </is>
      </c>
      <c r="L1886" s="16" t="inlineStr">
        <is>
          <t>营业中</t>
        </is>
      </c>
      <c r="M1886" s="16" t="inlineStr">
        <is>
          <t>EEYCG26E0199170</t>
        </is>
      </c>
      <c r="N1886" s="16">
        <f>LEFT(M1886,12)</f>
        <v/>
      </c>
      <c r="O1886" s="16" t="inlineStr">
        <is>
          <t>EEYCG26E01, (99)MIX, (170)170</t>
        </is>
      </c>
      <c r="P1886" s="16" t="n">
        <v>799</v>
      </c>
      <c r="Q1886" s="16" t="n">
        <v>799</v>
      </c>
      <c r="R1886" s="16" t="n">
        <v>2</v>
      </c>
      <c r="S1886" s="18" t="n">
        <v>1019</v>
      </c>
      <c r="T1886" s="16" t="n">
        <v>2</v>
      </c>
    </row>
    <row r="1887" s="103">
      <c r="A1887" s="16" t="inlineStr">
        <is>
          <t>B331</t>
        </is>
      </c>
      <c r="B1887" s="16" t="inlineStr">
        <is>
          <t>上海区域</t>
        </is>
      </c>
      <c r="C1887" s="16" t="inlineStr">
        <is>
          <t>CN0Q</t>
        </is>
      </c>
      <c r="D1887" s="16" t="inlineStr">
        <is>
          <t>EE 苏州比斯特购物村</t>
        </is>
      </c>
      <c r="E1887" s="16" t="n">
        <v>4</v>
      </c>
      <c r="F1887" s="16" t="inlineStr">
        <is>
          <t>奥特莱斯</t>
        </is>
      </c>
      <c r="G1887" s="16" t="inlineStr">
        <is>
          <t>EEYCG63S01</t>
        </is>
      </c>
      <c r="H1887" s="16" t="n">
        <v>799</v>
      </c>
      <c r="I1887" s="16" t="n">
        <v>799</v>
      </c>
      <c r="J1887" s="17" t="inlineStr">
        <is>
          <t>########</t>
        </is>
      </c>
      <c r="K1887" s="16" t="inlineStr">
        <is>
          <t>(26)L/Pink</t>
        </is>
      </c>
      <c r="L1887" s="16" t="inlineStr">
        <is>
          <t>营业中</t>
        </is>
      </c>
      <c r="M1887" s="16" t="inlineStr">
        <is>
          <t>EEYCG63S0126160</t>
        </is>
      </c>
      <c r="N1887" s="16">
        <f>LEFT(M1887,12)</f>
        <v/>
      </c>
      <c r="O1887" s="16" t="inlineStr">
        <is>
          <t>EEYCG63S01, (26)L/Pink, (160)160</t>
        </is>
      </c>
      <c r="P1887" s="16" t="n">
        <v>799</v>
      </c>
      <c r="Q1887" s="16" t="n">
        <v>799</v>
      </c>
      <c r="R1887" s="16" t="n">
        <v>1</v>
      </c>
      <c r="S1887" s="16" t="n">
        <v>240</v>
      </c>
      <c r="T1887" s="16" t="n">
        <v>3</v>
      </c>
    </row>
    <row r="1888" s="103">
      <c r="A1888" s="16" t="inlineStr">
        <is>
          <t>B331</t>
        </is>
      </c>
      <c r="B1888" s="16" t="inlineStr">
        <is>
          <t>上海区域</t>
        </is>
      </c>
      <c r="C1888" s="16" t="inlineStr">
        <is>
          <t>CN0Q</t>
        </is>
      </c>
      <c r="D1888" s="16" t="inlineStr">
        <is>
          <t>EE 苏州比斯特购物村</t>
        </is>
      </c>
      <c r="E1888" s="16" t="n">
        <v>4</v>
      </c>
      <c r="F1888" s="16" t="inlineStr">
        <is>
          <t>奥特莱斯</t>
        </is>
      </c>
      <c r="G1888" s="16" t="inlineStr">
        <is>
          <t>EEYCG63S01</t>
        </is>
      </c>
      <c r="H1888" s="16" t="n">
        <v>799</v>
      </c>
      <c r="I1888" s="16" t="n">
        <v>799</v>
      </c>
      <c r="J1888" s="17" t="inlineStr">
        <is>
          <t>########</t>
        </is>
      </c>
      <c r="K1888" s="16" t="inlineStr">
        <is>
          <t>(26)L/Pink</t>
        </is>
      </c>
      <c r="L1888" s="16" t="inlineStr">
        <is>
          <t>营业中</t>
        </is>
      </c>
      <c r="M1888" s="16" t="inlineStr">
        <is>
          <t>EEYCG63S0126165</t>
        </is>
      </c>
      <c r="N1888" s="16">
        <f>LEFT(M1888,12)</f>
        <v/>
      </c>
      <c r="O1888" s="16" t="inlineStr">
        <is>
          <t>EEYCG63S01, (26)L/Pink, (165)165</t>
        </is>
      </c>
      <c r="P1888" s="16" t="n">
        <v>799</v>
      </c>
      <c r="Q1888" s="16" t="n">
        <v>799</v>
      </c>
      <c r="R1888" s="16" t="n"/>
      <c r="S1888" s="16" t="n"/>
      <c r="T1888" s="16" t="n">
        <v>2</v>
      </c>
    </row>
    <row r="1889" s="103">
      <c r="A1889" s="16" t="inlineStr">
        <is>
          <t>B331</t>
        </is>
      </c>
      <c r="B1889" s="16" t="inlineStr">
        <is>
          <t>上海区域</t>
        </is>
      </c>
      <c r="C1889" s="16" t="inlineStr">
        <is>
          <t>CN0Q</t>
        </is>
      </c>
      <c r="D1889" s="16" t="inlineStr">
        <is>
          <t>EE 苏州比斯特购物村</t>
        </is>
      </c>
      <c r="E1889" s="16" t="n">
        <v>4</v>
      </c>
      <c r="F1889" s="16" t="inlineStr">
        <is>
          <t>奥特莱斯</t>
        </is>
      </c>
      <c r="G1889" s="16" t="inlineStr">
        <is>
          <t>EEYCG63S01</t>
        </is>
      </c>
      <c r="H1889" s="16" t="n">
        <v>799</v>
      </c>
      <c r="I1889" s="16" t="n">
        <v>799</v>
      </c>
      <c r="J1889" s="17" t="inlineStr">
        <is>
          <t>########</t>
        </is>
      </c>
      <c r="K1889" s="16" t="inlineStr">
        <is>
          <t>(26)L/Pink</t>
        </is>
      </c>
      <c r="L1889" s="16" t="inlineStr">
        <is>
          <t>营业中</t>
        </is>
      </c>
      <c r="M1889" s="16" t="inlineStr">
        <is>
          <t>EEYCG63S0126170</t>
        </is>
      </c>
      <c r="N1889" s="16">
        <f>LEFT(M1889,12)</f>
        <v/>
      </c>
      <c r="O1889" s="16" t="inlineStr">
        <is>
          <t>EEYCG63S01, (26)L/Pink, (170)170</t>
        </is>
      </c>
      <c r="P1889" s="16" t="n">
        <v>799</v>
      </c>
      <c r="Q1889" s="16" t="n">
        <v>799</v>
      </c>
      <c r="R1889" s="16" t="n">
        <v>1</v>
      </c>
      <c r="S1889" s="16" t="n">
        <v>400</v>
      </c>
      <c r="T1889" s="16" t="n">
        <v>1</v>
      </c>
    </row>
    <row r="1890" s="103">
      <c r="A1890" s="16" t="inlineStr">
        <is>
          <t>B331</t>
        </is>
      </c>
      <c r="B1890" s="16" t="inlineStr">
        <is>
          <t>上海区域</t>
        </is>
      </c>
      <c r="C1890" s="16" t="inlineStr">
        <is>
          <t>CN0Q</t>
        </is>
      </c>
      <c r="D1890" s="16" t="inlineStr">
        <is>
          <t>EE 苏州比斯特购物村</t>
        </is>
      </c>
      <c r="E1890" s="16" t="n">
        <v>4</v>
      </c>
      <c r="F1890" s="16" t="inlineStr">
        <is>
          <t>奥特莱斯</t>
        </is>
      </c>
      <c r="G1890" s="16" t="inlineStr">
        <is>
          <t>EEYCG63S01</t>
        </is>
      </c>
      <c r="H1890" s="16" t="n">
        <v>799</v>
      </c>
      <c r="I1890" s="16" t="n">
        <v>799</v>
      </c>
      <c r="J1890" s="17" t="inlineStr">
        <is>
          <t>########</t>
        </is>
      </c>
      <c r="K1890" s="16" t="inlineStr">
        <is>
          <t>(51)L/Blue</t>
        </is>
      </c>
      <c r="L1890" s="16" t="inlineStr">
        <is>
          <t>营业中</t>
        </is>
      </c>
      <c r="M1890" s="16" t="inlineStr">
        <is>
          <t>EEYCG63S0151160</t>
        </is>
      </c>
      <c r="N1890" s="16">
        <f>LEFT(M1890,12)</f>
        <v/>
      </c>
      <c r="O1890" s="16" t="inlineStr">
        <is>
          <t>EEYCG63S01, (51)L/Blue, (160)160</t>
        </is>
      </c>
      <c r="P1890" s="16" t="n">
        <v>799</v>
      </c>
      <c r="Q1890" s="16" t="n">
        <v>799</v>
      </c>
      <c r="R1890" s="16" t="n">
        <v>4</v>
      </c>
      <c r="S1890" s="18" t="n">
        <v>1499</v>
      </c>
      <c r="T1890" s="16" t="n">
        <v>2</v>
      </c>
    </row>
    <row r="1891" s="103">
      <c r="A1891" s="16" t="inlineStr">
        <is>
          <t>B331</t>
        </is>
      </c>
      <c r="B1891" s="16" t="inlineStr">
        <is>
          <t>上海区域</t>
        </is>
      </c>
      <c r="C1891" s="16" t="inlineStr">
        <is>
          <t>CN0Q</t>
        </is>
      </c>
      <c r="D1891" s="16" t="inlineStr">
        <is>
          <t>EE 苏州比斯特购物村</t>
        </is>
      </c>
      <c r="E1891" s="16" t="n">
        <v>4</v>
      </c>
      <c r="F1891" s="16" t="inlineStr">
        <is>
          <t>奥特莱斯</t>
        </is>
      </c>
      <c r="G1891" s="16" t="inlineStr">
        <is>
          <t>EEYCG63S01</t>
        </is>
      </c>
      <c r="H1891" s="16" t="n">
        <v>799</v>
      </c>
      <c r="I1891" s="16" t="n">
        <v>799</v>
      </c>
      <c r="J1891" s="17" t="inlineStr">
        <is>
          <t>########</t>
        </is>
      </c>
      <c r="K1891" s="16" t="inlineStr">
        <is>
          <t>(51)L/Blue</t>
        </is>
      </c>
      <c r="L1891" s="16" t="inlineStr">
        <is>
          <t>营业中</t>
        </is>
      </c>
      <c r="M1891" s="16" t="inlineStr">
        <is>
          <t>EEYCG63S0151165</t>
        </is>
      </c>
      <c r="N1891" s="16">
        <f>LEFT(M1891,12)</f>
        <v/>
      </c>
      <c r="O1891" s="16" t="inlineStr">
        <is>
          <t>EEYCG63S01, (51)L/Blue, (165)165</t>
        </is>
      </c>
      <c r="P1891" s="16" t="n">
        <v>799</v>
      </c>
      <c r="Q1891" s="16" t="n">
        <v>799</v>
      </c>
      <c r="R1891" s="16" t="n">
        <v>1</v>
      </c>
      <c r="S1891" s="16" t="n">
        <v>400</v>
      </c>
      <c r="T1891" s="16" t="n">
        <v>5</v>
      </c>
    </row>
    <row r="1892" s="103">
      <c r="A1892" s="16" t="inlineStr">
        <is>
          <t>B331</t>
        </is>
      </c>
      <c r="B1892" s="16" t="inlineStr">
        <is>
          <t>上海区域</t>
        </is>
      </c>
      <c r="C1892" s="16" t="inlineStr">
        <is>
          <t>CN0Q</t>
        </is>
      </c>
      <c r="D1892" s="16" t="inlineStr">
        <is>
          <t>EE 苏州比斯特购物村</t>
        </is>
      </c>
      <c r="E1892" s="16" t="n">
        <v>4</v>
      </c>
      <c r="F1892" s="16" t="inlineStr">
        <is>
          <t>奥特莱斯</t>
        </is>
      </c>
      <c r="G1892" s="16" t="inlineStr">
        <is>
          <t>EEYCG63S01</t>
        </is>
      </c>
      <c r="H1892" s="16" t="n">
        <v>799</v>
      </c>
      <c r="I1892" s="16" t="n">
        <v>799</v>
      </c>
      <c r="J1892" s="17" t="inlineStr">
        <is>
          <t>########</t>
        </is>
      </c>
      <c r="K1892" s="16" t="inlineStr">
        <is>
          <t>(51)L/Blue</t>
        </is>
      </c>
      <c r="L1892" s="16" t="inlineStr">
        <is>
          <t>营业中</t>
        </is>
      </c>
      <c r="M1892" s="16" t="inlineStr">
        <is>
          <t>EEYCG63S0151170</t>
        </is>
      </c>
      <c r="N1892" s="16">
        <f>LEFT(M1892,12)</f>
        <v/>
      </c>
      <c r="O1892" s="16" t="inlineStr">
        <is>
          <t>EEYCG63S01, (51)L/Blue, (170)170</t>
        </is>
      </c>
      <c r="P1892" s="16" t="n">
        <v>799</v>
      </c>
      <c r="Q1892" s="16" t="n">
        <v>799</v>
      </c>
      <c r="R1892" s="16" t="n"/>
      <c r="S1892" s="16" t="n"/>
      <c r="T1892" s="16" t="n">
        <v>4</v>
      </c>
    </row>
    <row r="1893" s="103">
      <c r="A1893" s="16" t="inlineStr">
        <is>
          <t>B331</t>
        </is>
      </c>
      <c r="B1893" s="16" t="inlineStr">
        <is>
          <t>上海区域</t>
        </is>
      </c>
      <c r="C1893" s="16" t="inlineStr">
        <is>
          <t>CN0Q</t>
        </is>
      </c>
      <c r="D1893" s="16" t="inlineStr">
        <is>
          <t>EE 苏州比斯特购物村</t>
        </is>
      </c>
      <c r="E1893" s="16" t="n">
        <v>4</v>
      </c>
      <c r="F1893" s="16" t="inlineStr">
        <is>
          <t>奥特莱斯</t>
        </is>
      </c>
      <c r="G1893" s="16" t="inlineStr">
        <is>
          <t>EEYPG12E1G</t>
        </is>
      </c>
      <c r="H1893" s="16" t="n">
        <v>799</v>
      </c>
      <c r="I1893" s="16" t="n">
        <v>799</v>
      </c>
      <c r="J1893" s="17" t="n">
        <v>46024</v>
      </c>
      <c r="K1893" s="16" t="inlineStr">
        <is>
          <t>(55)Indigo</t>
        </is>
      </c>
      <c r="L1893" s="16" t="inlineStr">
        <is>
          <t>营业中</t>
        </is>
      </c>
      <c r="M1893" s="16" t="inlineStr">
        <is>
          <t>EEYPG12E1G55170</t>
        </is>
      </c>
      <c r="N1893" s="16">
        <f>LEFT(M1893,12)</f>
        <v/>
      </c>
      <c r="O1893" s="16" t="inlineStr">
        <is>
          <t>EEYPG12E1G, (55)Indigo, (170)170</t>
        </is>
      </c>
      <c r="P1893" s="16" t="n">
        <v>799</v>
      </c>
      <c r="Q1893" s="16" t="n">
        <v>799</v>
      </c>
      <c r="R1893" s="16" t="n">
        <v>1</v>
      </c>
      <c r="S1893" s="16" t="n"/>
      <c r="T1893" s="16" t="n">
        <v>2</v>
      </c>
    </row>
    <row r="1894" s="103">
      <c r="A1894" s="16" t="inlineStr">
        <is>
          <t>B331</t>
        </is>
      </c>
      <c r="B1894" s="16" t="inlineStr">
        <is>
          <t>上海区域</t>
        </is>
      </c>
      <c r="C1894" s="16" t="inlineStr">
        <is>
          <t>CN0Q</t>
        </is>
      </c>
      <c r="D1894" s="16" t="inlineStr">
        <is>
          <t>EE 苏州比斯特购物村</t>
        </is>
      </c>
      <c r="E1894" s="16" t="n">
        <v>4</v>
      </c>
      <c r="F1894" s="16" t="inlineStr">
        <is>
          <t>奥特莱斯</t>
        </is>
      </c>
      <c r="G1894" s="16" t="inlineStr">
        <is>
          <t>EEYPG12E1G</t>
        </is>
      </c>
      <c r="H1894" s="16" t="n">
        <v>799</v>
      </c>
      <c r="I1894" s="16" t="n">
        <v>799</v>
      </c>
      <c r="J1894" s="17" t="n">
        <v>46024</v>
      </c>
      <c r="K1894" s="16" t="inlineStr">
        <is>
          <t>(55)Indigo</t>
        </is>
      </c>
      <c r="L1894" s="16" t="inlineStr">
        <is>
          <t>营业中</t>
        </is>
      </c>
      <c r="M1894" s="16" t="inlineStr">
        <is>
          <t>EEYPG12E1G55175</t>
        </is>
      </c>
      <c r="N1894" s="16">
        <f>LEFT(M1894,12)</f>
        <v/>
      </c>
      <c r="O1894" s="16" t="inlineStr">
        <is>
          <t>EEYPG12E1G, (55)Indigo, (175)175</t>
        </is>
      </c>
      <c r="P1894" s="16" t="n">
        <v>799</v>
      </c>
      <c r="Q1894" s="16" t="n">
        <v>799</v>
      </c>
      <c r="R1894" s="16" t="n">
        <v>2</v>
      </c>
      <c r="S1894" s="16" t="n">
        <v>240</v>
      </c>
      <c r="T1894" s="16" t="n">
        <v>1</v>
      </c>
    </row>
    <row r="1895" s="103">
      <c r="A1895" s="16" t="inlineStr">
        <is>
          <t>B331</t>
        </is>
      </c>
      <c r="B1895" s="16" t="inlineStr">
        <is>
          <t>上海区域</t>
        </is>
      </c>
      <c r="C1895" s="16" t="inlineStr">
        <is>
          <t>CN0Q</t>
        </is>
      </c>
      <c r="D1895" s="16" t="inlineStr">
        <is>
          <t>EE 苏州比斯特购物村</t>
        </is>
      </c>
      <c r="E1895" s="16" t="n">
        <v>4</v>
      </c>
      <c r="F1895" s="16" t="inlineStr">
        <is>
          <t>奥特莱斯</t>
        </is>
      </c>
      <c r="G1895" s="16" t="inlineStr">
        <is>
          <t>EEYPG12E1G</t>
        </is>
      </c>
      <c r="H1895" s="16" t="n">
        <v>799</v>
      </c>
      <c r="I1895" s="16" t="n">
        <v>799</v>
      </c>
      <c r="J1895" s="17" t="n">
        <v>46024</v>
      </c>
      <c r="K1895" s="16" t="inlineStr">
        <is>
          <t>(55)Indigo</t>
        </is>
      </c>
      <c r="L1895" s="16" t="inlineStr">
        <is>
          <t>营业中</t>
        </is>
      </c>
      <c r="M1895" s="16" t="inlineStr">
        <is>
          <t>EEYPG12E1G55180</t>
        </is>
      </c>
      <c r="N1895" s="16">
        <f>LEFT(M1895,12)</f>
        <v/>
      </c>
      <c r="O1895" s="16" t="inlineStr">
        <is>
          <t>EEYPG12E1G, (55)Indigo, (180)180</t>
        </is>
      </c>
      <c r="P1895" s="16" t="n">
        <v>799</v>
      </c>
      <c r="Q1895" s="16" t="n">
        <v>799</v>
      </c>
      <c r="R1895" s="16" t="n"/>
      <c r="S1895" s="16" t="n"/>
      <c r="T1895" s="16" t="n">
        <v>3</v>
      </c>
    </row>
    <row r="1896" s="103">
      <c r="A1896" s="16" t="inlineStr">
        <is>
          <t>B331</t>
        </is>
      </c>
      <c r="B1896" s="16" t="inlineStr">
        <is>
          <t>上海区域</t>
        </is>
      </c>
      <c r="C1896" s="16" t="inlineStr">
        <is>
          <t>CN0Q</t>
        </is>
      </c>
      <c r="D1896" s="16" t="inlineStr">
        <is>
          <t>EE 苏州比斯特购物村</t>
        </is>
      </c>
      <c r="E1896" s="16" t="n">
        <v>4</v>
      </c>
      <c r="F1896" s="16" t="inlineStr">
        <is>
          <t>奥特莱斯</t>
        </is>
      </c>
      <c r="G1896" s="16" t="inlineStr">
        <is>
          <t>EEYPG12E1G</t>
        </is>
      </c>
      <c r="H1896" s="16" t="n">
        <v>799</v>
      </c>
      <c r="I1896" s="16" t="n">
        <v>799</v>
      </c>
      <c r="J1896" s="17" t="n">
        <v>46024</v>
      </c>
      <c r="K1896" s="16" t="inlineStr">
        <is>
          <t>(55)Indigo</t>
        </is>
      </c>
      <c r="L1896" s="16" t="inlineStr">
        <is>
          <t>营业中</t>
        </is>
      </c>
      <c r="M1896" s="16" t="inlineStr">
        <is>
          <t>EEYPG12E1G55185</t>
        </is>
      </c>
      <c r="N1896" s="16">
        <f>LEFT(M1896,12)</f>
        <v/>
      </c>
      <c r="O1896" s="16" t="inlineStr">
        <is>
          <t>EEYPG12E1G, (55)Indigo, (185)185</t>
        </is>
      </c>
      <c r="P1896" s="16" t="n">
        <v>799</v>
      </c>
      <c r="Q1896" s="16" t="n">
        <v>799</v>
      </c>
      <c r="R1896" s="16" t="n">
        <v>1</v>
      </c>
      <c r="S1896" s="16" t="n">
        <v>361</v>
      </c>
      <c r="T1896" s="16" t="n">
        <v>2</v>
      </c>
    </row>
    <row r="1897" s="103">
      <c r="A1897" s="16" t="inlineStr">
        <is>
          <t>B331</t>
        </is>
      </c>
      <c r="B1897" s="16" t="inlineStr">
        <is>
          <t>上海区域</t>
        </is>
      </c>
      <c r="C1897" s="16" t="inlineStr">
        <is>
          <t>CN0Q</t>
        </is>
      </c>
      <c r="D1897" s="16" t="inlineStr">
        <is>
          <t>EE 苏州比斯特购物村</t>
        </is>
      </c>
      <c r="E1897" s="16" t="n">
        <v>4</v>
      </c>
      <c r="F1897" s="16" t="inlineStr">
        <is>
          <t>奥特莱斯</t>
        </is>
      </c>
      <c r="G1897" s="16" t="inlineStr">
        <is>
          <t>EEYPG23E01</t>
        </is>
      </c>
      <c r="H1897" s="16" t="n">
        <v>699</v>
      </c>
      <c r="I1897" s="16" t="n">
        <v>699</v>
      </c>
      <c r="J1897" s="17" t="inlineStr">
        <is>
          <t>########</t>
        </is>
      </c>
      <c r="K1897" s="16" t="inlineStr">
        <is>
          <t>(55)Indigo</t>
        </is>
      </c>
      <c r="L1897" s="16" t="inlineStr">
        <is>
          <t>营业中</t>
        </is>
      </c>
      <c r="M1897" s="16" t="inlineStr">
        <is>
          <t>EEYPG23E0155160</t>
        </is>
      </c>
      <c r="N1897" s="16">
        <f>LEFT(M1897,12)</f>
        <v/>
      </c>
      <c r="O1897" s="16" t="inlineStr">
        <is>
          <t>EEYPG23E01, (55)Indigo, (160)160</t>
        </is>
      </c>
      <c r="P1897" s="16" t="n">
        <v>699</v>
      </c>
      <c r="Q1897" s="16" t="n">
        <v>699</v>
      </c>
      <c r="R1897" s="16" t="n"/>
      <c r="S1897" s="16" t="n"/>
      <c r="T1897" s="16" t="n">
        <v>3</v>
      </c>
    </row>
    <row r="1898" s="103">
      <c r="A1898" s="16" t="inlineStr">
        <is>
          <t>B331</t>
        </is>
      </c>
      <c r="B1898" s="16" t="inlineStr">
        <is>
          <t>上海区域</t>
        </is>
      </c>
      <c r="C1898" s="16" t="inlineStr">
        <is>
          <t>CN0Q</t>
        </is>
      </c>
      <c r="D1898" s="16" t="inlineStr">
        <is>
          <t>EE 苏州比斯特购物村</t>
        </is>
      </c>
      <c r="E1898" s="16" t="n">
        <v>4</v>
      </c>
      <c r="F1898" s="16" t="inlineStr">
        <is>
          <t>奥特莱斯</t>
        </is>
      </c>
      <c r="G1898" s="16" t="inlineStr">
        <is>
          <t>EEYPG23E01</t>
        </is>
      </c>
      <c r="H1898" s="16" t="n">
        <v>699</v>
      </c>
      <c r="I1898" s="16" t="n">
        <v>699</v>
      </c>
      <c r="J1898" s="17" t="inlineStr">
        <is>
          <t>########</t>
        </is>
      </c>
      <c r="K1898" s="16" t="inlineStr">
        <is>
          <t>(55)Indigo</t>
        </is>
      </c>
      <c r="L1898" s="16" t="inlineStr">
        <is>
          <t>营业中</t>
        </is>
      </c>
      <c r="M1898" s="16" t="inlineStr">
        <is>
          <t>EEYPG23E0155165</t>
        </is>
      </c>
      <c r="N1898" s="16">
        <f>LEFT(M1898,12)</f>
        <v/>
      </c>
      <c r="O1898" s="16" t="inlineStr">
        <is>
          <t>EEYPG23E01, (55)Indigo, (165)165</t>
        </is>
      </c>
      <c r="P1898" s="16" t="n">
        <v>699</v>
      </c>
      <c r="Q1898" s="16" t="n">
        <v>699</v>
      </c>
      <c r="R1898" s="16" t="n">
        <v>2</v>
      </c>
      <c r="S1898" s="16" t="n">
        <v>979</v>
      </c>
      <c r="T1898" s="16" t="n">
        <v>2</v>
      </c>
    </row>
    <row r="1899" s="103">
      <c r="A1899" s="16" t="inlineStr">
        <is>
          <t>B331</t>
        </is>
      </c>
      <c r="B1899" s="16" t="inlineStr">
        <is>
          <t>上海区域</t>
        </is>
      </c>
      <c r="C1899" s="16" t="inlineStr">
        <is>
          <t>CN0Q</t>
        </is>
      </c>
      <c r="D1899" s="16" t="inlineStr">
        <is>
          <t>EE 苏州比斯特购物村</t>
        </is>
      </c>
      <c r="E1899" s="16" t="n">
        <v>4</v>
      </c>
      <c r="F1899" s="16" t="inlineStr">
        <is>
          <t>奥特莱斯</t>
        </is>
      </c>
      <c r="G1899" s="16" t="inlineStr">
        <is>
          <t>EEYPG23E01</t>
        </is>
      </c>
      <c r="H1899" s="16" t="n">
        <v>699</v>
      </c>
      <c r="I1899" s="16" t="n">
        <v>699</v>
      </c>
      <c r="J1899" s="17" t="inlineStr">
        <is>
          <t>########</t>
        </is>
      </c>
      <c r="K1899" s="16" t="inlineStr">
        <is>
          <t>(55)Indigo</t>
        </is>
      </c>
      <c r="L1899" s="16" t="inlineStr">
        <is>
          <t>营业中</t>
        </is>
      </c>
      <c r="M1899" s="16" t="inlineStr">
        <is>
          <t>EEYPG23E0155170</t>
        </is>
      </c>
      <c r="N1899" s="16">
        <f>LEFT(M1899,12)</f>
        <v/>
      </c>
      <c r="O1899" s="16" t="inlineStr">
        <is>
          <t>EEYPG23E01, (55)Indigo, (170)170</t>
        </is>
      </c>
      <c r="P1899" s="16" t="n">
        <v>699</v>
      </c>
      <c r="Q1899" s="16" t="n">
        <v>699</v>
      </c>
      <c r="R1899" s="16" t="n">
        <v>1</v>
      </c>
      <c r="S1899" s="16" t="n">
        <v>489</v>
      </c>
      <c r="T1899" s="16" t="n">
        <v>1</v>
      </c>
    </row>
    <row r="1900" s="103">
      <c r="A1900" s="16" t="inlineStr">
        <is>
          <t>B331</t>
        </is>
      </c>
      <c r="B1900" s="16" t="inlineStr">
        <is>
          <t>上海区域</t>
        </is>
      </c>
      <c r="C1900" s="16" t="inlineStr">
        <is>
          <t>CN0Q</t>
        </is>
      </c>
      <c r="D1900" s="16" t="inlineStr">
        <is>
          <t>EE 苏州比斯特购物村</t>
        </is>
      </c>
      <c r="E1900" s="16" t="n">
        <v>4</v>
      </c>
      <c r="F1900" s="16" t="inlineStr">
        <is>
          <t>奥特莱斯</t>
        </is>
      </c>
      <c r="G1900" s="16" t="inlineStr">
        <is>
          <t>EEYPG23E01</t>
        </is>
      </c>
      <c r="H1900" s="16" t="n">
        <v>699</v>
      </c>
      <c r="I1900" s="16" t="n">
        <v>699</v>
      </c>
      <c r="J1900" s="17" t="inlineStr">
        <is>
          <t>########</t>
        </is>
      </c>
      <c r="K1900" s="16" t="inlineStr">
        <is>
          <t>(56)L/Indigo</t>
        </is>
      </c>
      <c r="L1900" s="16" t="inlineStr">
        <is>
          <t>营业中</t>
        </is>
      </c>
      <c r="M1900" s="16" t="inlineStr">
        <is>
          <t>EEYPG23E0156160</t>
        </is>
      </c>
      <c r="N1900" s="16">
        <f>LEFT(M1900,12)</f>
        <v/>
      </c>
      <c r="O1900" s="16" t="inlineStr">
        <is>
          <t>EEYPG23E01, (56)L/Indigo, (160)160</t>
        </is>
      </c>
      <c r="P1900" s="16" t="n">
        <v>699</v>
      </c>
      <c r="Q1900" s="16" t="n">
        <v>699</v>
      </c>
      <c r="R1900" s="16" t="n">
        <v>3</v>
      </c>
      <c r="S1900" s="16" t="n">
        <v>922</v>
      </c>
      <c r="T1900" s="16" t="n">
        <v>0</v>
      </c>
    </row>
    <row r="1901" s="103">
      <c r="A1901" s="16" t="inlineStr">
        <is>
          <t>B331</t>
        </is>
      </c>
      <c r="B1901" s="16" t="inlineStr">
        <is>
          <t>上海区域</t>
        </is>
      </c>
      <c r="C1901" s="16" t="inlineStr">
        <is>
          <t>CN0Q</t>
        </is>
      </c>
      <c r="D1901" s="16" t="inlineStr">
        <is>
          <t>EE 苏州比斯特购物村</t>
        </is>
      </c>
      <c r="E1901" s="16" t="n">
        <v>4</v>
      </c>
      <c r="F1901" s="16" t="inlineStr">
        <is>
          <t>奥特莱斯</t>
        </is>
      </c>
      <c r="G1901" s="16" t="inlineStr">
        <is>
          <t>EEYPG23E01</t>
        </is>
      </c>
      <c r="H1901" s="16" t="n">
        <v>699</v>
      </c>
      <c r="I1901" s="16" t="n">
        <v>699</v>
      </c>
      <c r="J1901" s="17" t="inlineStr">
        <is>
          <t>########</t>
        </is>
      </c>
      <c r="K1901" s="16" t="inlineStr">
        <is>
          <t>(56)L/Indigo</t>
        </is>
      </c>
      <c r="L1901" s="16" t="inlineStr">
        <is>
          <t>营业中</t>
        </is>
      </c>
      <c r="M1901" s="16" t="inlineStr">
        <is>
          <t>EEYPG23E0156165</t>
        </is>
      </c>
      <c r="N1901" s="16">
        <f>LEFT(M1901,12)</f>
        <v/>
      </c>
      <c r="O1901" s="16" t="inlineStr">
        <is>
          <t>EEYPG23E01, (56)L/Indigo, (165)165</t>
        </is>
      </c>
      <c r="P1901" s="16" t="n">
        <v>699</v>
      </c>
      <c r="Q1901" s="16" t="n">
        <v>699</v>
      </c>
      <c r="R1901" s="16" t="n">
        <v>4</v>
      </c>
      <c r="S1901" s="18" t="n">
        <v>1421</v>
      </c>
      <c r="T1901" s="16" t="n">
        <v>4</v>
      </c>
    </row>
    <row r="1902" s="103">
      <c r="A1902" s="16" t="inlineStr">
        <is>
          <t>B331</t>
        </is>
      </c>
      <c r="B1902" s="16" t="inlineStr">
        <is>
          <t>上海区域</t>
        </is>
      </c>
      <c r="C1902" s="16" t="inlineStr">
        <is>
          <t>CN0Q</t>
        </is>
      </c>
      <c r="D1902" s="16" t="inlineStr">
        <is>
          <t>EE 苏州比斯特购物村</t>
        </is>
      </c>
      <c r="E1902" s="16" t="n">
        <v>4</v>
      </c>
      <c r="F1902" s="16" t="inlineStr">
        <is>
          <t>奥特莱斯</t>
        </is>
      </c>
      <c r="G1902" s="16" t="inlineStr">
        <is>
          <t>EEYPG23E01</t>
        </is>
      </c>
      <c r="H1902" s="16" t="n">
        <v>699</v>
      </c>
      <c r="I1902" s="16" t="n">
        <v>699</v>
      </c>
      <c r="J1902" s="17" t="inlineStr">
        <is>
          <t>########</t>
        </is>
      </c>
      <c r="K1902" s="16" t="inlineStr">
        <is>
          <t>(56)L/Indigo</t>
        </is>
      </c>
      <c r="L1902" s="16" t="inlineStr">
        <is>
          <t>营业中</t>
        </is>
      </c>
      <c r="M1902" s="16" t="inlineStr">
        <is>
          <t>EEYPG23E0156170</t>
        </is>
      </c>
      <c r="N1902" s="16">
        <f>LEFT(M1902,12)</f>
        <v/>
      </c>
      <c r="O1902" s="16" t="inlineStr">
        <is>
          <t>EEYPG23E01, (56)L/Indigo, (170)170</t>
        </is>
      </c>
      <c r="P1902" s="16" t="n">
        <v>699</v>
      </c>
      <c r="Q1902" s="16" t="n">
        <v>699</v>
      </c>
      <c r="R1902" s="16" t="n">
        <v>3</v>
      </c>
      <c r="S1902" s="16" t="n">
        <v>904</v>
      </c>
      <c r="T1902" s="16" t="n">
        <v>3</v>
      </c>
    </row>
    <row r="1903" s="103">
      <c r="A1903" s="16" t="inlineStr">
        <is>
          <t>B331</t>
        </is>
      </c>
      <c r="B1903" s="16" t="inlineStr">
        <is>
          <t>上海区域</t>
        </is>
      </c>
      <c r="C1903" s="16" t="inlineStr">
        <is>
          <t>CN0Q</t>
        </is>
      </c>
      <c r="D1903" s="16" t="inlineStr">
        <is>
          <t>EE 苏州比斯特购物村</t>
        </is>
      </c>
      <c r="E1903" s="16" t="n">
        <v>4</v>
      </c>
      <c r="F1903" s="16" t="inlineStr">
        <is>
          <t>奥特莱斯</t>
        </is>
      </c>
      <c r="G1903" s="16" t="inlineStr">
        <is>
          <t>EEYPG24E01</t>
        </is>
      </c>
      <c r="H1903" s="16" t="n">
        <v>599</v>
      </c>
      <c r="I1903" s="16" t="n">
        <v>599</v>
      </c>
      <c r="J1903" s="17" t="inlineStr">
        <is>
          <t>########</t>
        </is>
      </c>
      <c r="K1903" s="16" t="inlineStr">
        <is>
          <t>(01)M/Indigo</t>
        </is>
      </c>
      <c r="L1903" s="16" t="inlineStr">
        <is>
          <t>营业中</t>
        </is>
      </c>
      <c r="M1903" s="16" t="inlineStr">
        <is>
          <t>EEYPG24E0101160</t>
        </is>
      </c>
      <c r="N1903" s="16">
        <f>LEFT(M1903,12)</f>
        <v/>
      </c>
      <c r="O1903" s="16" t="inlineStr">
        <is>
          <t>EEYPG24E01, (01)M/Indigo, (160)160</t>
        </is>
      </c>
      <c r="P1903" s="16" t="n">
        <v>599</v>
      </c>
      <c r="Q1903" s="16" t="n">
        <v>599</v>
      </c>
      <c r="R1903" s="16" t="n">
        <v>7</v>
      </c>
      <c r="S1903" s="16" t="n">
        <v>378</v>
      </c>
      <c r="T1903" s="16" t="n">
        <v>13</v>
      </c>
    </row>
    <row r="1904" s="103">
      <c r="A1904" s="16" t="inlineStr">
        <is>
          <t>B331</t>
        </is>
      </c>
      <c r="B1904" s="16" t="inlineStr">
        <is>
          <t>上海区域</t>
        </is>
      </c>
      <c r="C1904" s="16" t="inlineStr">
        <is>
          <t>CN0Q</t>
        </is>
      </c>
      <c r="D1904" s="16" t="inlineStr">
        <is>
          <t>EE 苏州比斯特购物村</t>
        </is>
      </c>
      <c r="E1904" s="16" t="n">
        <v>4</v>
      </c>
      <c r="F1904" s="16" t="inlineStr">
        <is>
          <t>奥特莱斯</t>
        </is>
      </c>
      <c r="G1904" s="16" t="inlineStr">
        <is>
          <t>EEYPG24E01</t>
        </is>
      </c>
      <c r="H1904" s="16" t="n">
        <v>599</v>
      </c>
      <c r="I1904" s="16" t="n">
        <v>599</v>
      </c>
      <c r="J1904" s="17" t="inlineStr">
        <is>
          <t>########</t>
        </is>
      </c>
      <c r="K1904" s="16" t="inlineStr">
        <is>
          <t>(01)M/Indigo</t>
        </is>
      </c>
      <c r="L1904" s="16" t="inlineStr">
        <is>
          <t>营业中</t>
        </is>
      </c>
      <c r="M1904" s="16" t="inlineStr">
        <is>
          <t>EEYPG24E0101165</t>
        </is>
      </c>
      <c r="N1904" s="16">
        <f>LEFT(M1904,12)</f>
        <v/>
      </c>
      <c r="O1904" s="16" t="inlineStr">
        <is>
          <t>EEYPG24E01, (01)M/Indigo, (165)165</t>
        </is>
      </c>
      <c r="P1904" s="16" t="n">
        <v>599</v>
      </c>
      <c r="Q1904" s="16" t="n">
        <v>599</v>
      </c>
      <c r="R1904" s="16" t="n">
        <v>5</v>
      </c>
      <c r="S1904" s="18" t="n">
        <v>1216</v>
      </c>
      <c r="T1904" s="16" t="n">
        <v>2</v>
      </c>
    </row>
    <row r="1905" s="103">
      <c r="A1905" s="16" t="inlineStr">
        <is>
          <t>B331</t>
        </is>
      </c>
      <c r="B1905" s="16" t="inlineStr">
        <is>
          <t>上海区域</t>
        </is>
      </c>
      <c r="C1905" s="16" t="inlineStr">
        <is>
          <t>CN0Q</t>
        </is>
      </c>
      <c r="D1905" s="16" t="inlineStr">
        <is>
          <t>EE 苏州比斯特购物村</t>
        </is>
      </c>
      <c r="E1905" s="16" t="n">
        <v>4</v>
      </c>
      <c r="F1905" s="16" t="inlineStr">
        <is>
          <t>奥特莱斯</t>
        </is>
      </c>
      <c r="G1905" s="16" t="inlineStr">
        <is>
          <t>EEYPG24E01</t>
        </is>
      </c>
      <c r="H1905" s="16" t="n">
        <v>599</v>
      </c>
      <c r="I1905" s="16" t="n">
        <v>599</v>
      </c>
      <c r="J1905" s="17" t="inlineStr">
        <is>
          <t>########</t>
        </is>
      </c>
      <c r="K1905" s="16" t="inlineStr">
        <is>
          <t>(01)M/Indigo</t>
        </is>
      </c>
      <c r="L1905" s="16" t="inlineStr">
        <is>
          <t>营业中</t>
        </is>
      </c>
      <c r="M1905" s="16" t="inlineStr">
        <is>
          <t>EEYPG24E0101170</t>
        </is>
      </c>
      <c r="N1905" s="16">
        <f>LEFT(M1905,12)</f>
        <v/>
      </c>
      <c r="O1905" s="16" t="inlineStr">
        <is>
          <t>EEYPG24E01, (01)M/Indigo, (170)170</t>
        </is>
      </c>
      <c r="P1905" s="16" t="n">
        <v>599</v>
      </c>
      <c r="Q1905" s="16" t="n">
        <v>599</v>
      </c>
      <c r="R1905" s="16" t="n">
        <v>1</v>
      </c>
      <c r="S1905" s="16" t="n"/>
      <c r="T1905" s="16" t="n">
        <v>2</v>
      </c>
    </row>
    <row r="1906" s="103">
      <c r="A1906" s="16" t="inlineStr">
        <is>
          <t>B331</t>
        </is>
      </c>
      <c r="B1906" s="16" t="inlineStr">
        <is>
          <t>上海区域</t>
        </is>
      </c>
      <c r="C1906" s="16" t="inlineStr">
        <is>
          <t>CN0Q</t>
        </is>
      </c>
      <c r="D1906" s="16" t="inlineStr">
        <is>
          <t>EE 苏州比斯特购物村</t>
        </is>
      </c>
      <c r="E1906" s="16" t="n">
        <v>4</v>
      </c>
      <c r="F1906" s="16" t="inlineStr">
        <is>
          <t>奥特莱斯</t>
        </is>
      </c>
      <c r="G1906" s="16" t="inlineStr">
        <is>
          <t>EEYPG24E01</t>
        </is>
      </c>
      <c r="H1906" s="16" t="n">
        <v>599</v>
      </c>
      <c r="I1906" s="16" t="n">
        <v>599</v>
      </c>
      <c r="J1906" s="17" t="inlineStr">
        <is>
          <t>########</t>
        </is>
      </c>
      <c r="K1906" s="16" t="inlineStr">
        <is>
          <t>(56)L/Indigo</t>
        </is>
      </c>
      <c r="L1906" s="16" t="inlineStr">
        <is>
          <t>营业中</t>
        </is>
      </c>
      <c r="M1906" s="16" t="inlineStr">
        <is>
          <t>EEYPG24E0156160</t>
        </is>
      </c>
      <c r="N1906" s="16">
        <f>LEFT(M1906,12)</f>
        <v/>
      </c>
      <c r="O1906" s="16" t="inlineStr">
        <is>
          <t>EEYPG24E01, (56)L/Indigo, (160)160</t>
        </is>
      </c>
      <c r="P1906" s="16" t="n">
        <v>599</v>
      </c>
      <c r="Q1906" s="16" t="n">
        <v>599</v>
      </c>
      <c r="R1906" s="16" t="n">
        <v>3</v>
      </c>
      <c r="S1906" s="16" t="n">
        <v>380</v>
      </c>
      <c r="T1906" s="16" t="n">
        <v>5</v>
      </c>
    </row>
    <row r="1907" s="103">
      <c r="A1907" s="16" t="inlineStr">
        <is>
          <t>B331</t>
        </is>
      </c>
      <c r="B1907" s="16" t="inlineStr">
        <is>
          <t>上海区域</t>
        </is>
      </c>
      <c r="C1907" s="16" t="inlineStr">
        <is>
          <t>CN0Q</t>
        </is>
      </c>
      <c r="D1907" s="16" t="inlineStr">
        <is>
          <t>EE 苏州比斯特购物村</t>
        </is>
      </c>
      <c r="E1907" s="16" t="n">
        <v>4</v>
      </c>
      <c r="F1907" s="16" t="inlineStr">
        <is>
          <t>奥特莱斯</t>
        </is>
      </c>
      <c r="G1907" s="16" t="inlineStr">
        <is>
          <t>EEYPG24E01</t>
        </is>
      </c>
      <c r="H1907" s="16" t="n">
        <v>599</v>
      </c>
      <c r="I1907" s="16" t="n">
        <v>599</v>
      </c>
      <c r="J1907" s="17" t="inlineStr">
        <is>
          <t>########</t>
        </is>
      </c>
      <c r="K1907" s="16" t="inlineStr">
        <is>
          <t>(56)L/Indigo</t>
        </is>
      </c>
      <c r="L1907" s="16" t="inlineStr">
        <is>
          <t>营业中</t>
        </is>
      </c>
      <c r="M1907" s="16" t="inlineStr">
        <is>
          <t>EEYPG24E0156165</t>
        </is>
      </c>
      <c r="N1907" s="16">
        <f>LEFT(M1907,12)</f>
        <v/>
      </c>
      <c r="O1907" s="16" t="inlineStr">
        <is>
          <t>EEYPG24E01, (56)L/Indigo, (165)165</t>
        </is>
      </c>
      <c r="P1907" s="16" t="n">
        <v>599</v>
      </c>
      <c r="Q1907" s="16" t="n">
        <v>599</v>
      </c>
      <c r="R1907" s="16" t="n">
        <v>2</v>
      </c>
      <c r="S1907" s="16" t="n">
        <v>419</v>
      </c>
      <c r="T1907" s="16" t="n">
        <v>6</v>
      </c>
    </row>
    <row r="1908" s="103">
      <c r="A1908" s="16" t="inlineStr">
        <is>
          <t>B331</t>
        </is>
      </c>
      <c r="B1908" s="16" t="inlineStr">
        <is>
          <t>上海区域</t>
        </is>
      </c>
      <c r="C1908" s="16" t="inlineStr">
        <is>
          <t>CN0Q</t>
        </is>
      </c>
      <c r="D1908" s="16" t="inlineStr">
        <is>
          <t>EE 苏州比斯特购物村</t>
        </is>
      </c>
      <c r="E1908" s="16" t="n">
        <v>4</v>
      </c>
      <c r="F1908" s="16" t="inlineStr">
        <is>
          <t>奥特莱斯</t>
        </is>
      </c>
      <c r="G1908" s="16" t="inlineStr">
        <is>
          <t>EEYPG24E01</t>
        </is>
      </c>
      <c r="H1908" s="16" t="n">
        <v>599</v>
      </c>
      <c r="I1908" s="16" t="n">
        <v>599</v>
      </c>
      <c r="J1908" s="17" t="inlineStr">
        <is>
          <t>########</t>
        </is>
      </c>
      <c r="K1908" s="16" t="inlineStr">
        <is>
          <t>(56)L/Indigo</t>
        </is>
      </c>
      <c r="L1908" s="16" t="inlineStr">
        <is>
          <t>营业中</t>
        </is>
      </c>
      <c r="M1908" s="16" t="inlineStr">
        <is>
          <t>EEYPG24E0156170</t>
        </is>
      </c>
      <c r="N1908" s="16">
        <f>LEFT(M1908,12)</f>
        <v/>
      </c>
      <c r="O1908" s="16" t="inlineStr">
        <is>
          <t>EEYPG24E01, (56)L/Indigo, (170)170</t>
        </is>
      </c>
      <c r="P1908" s="16" t="n">
        <v>599</v>
      </c>
      <c r="Q1908" s="16" t="n">
        <v>599</v>
      </c>
      <c r="R1908" s="16" t="n">
        <v>1</v>
      </c>
      <c r="S1908" s="16" t="n">
        <v>392</v>
      </c>
      <c r="T1908" s="16" t="n">
        <v>3</v>
      </c>
    </row>
    <row r="1909" s="103">
      <c r="A1909" s="16" t="inlineStr">
        <is>
          <t>B331</t>
        </is>
      </c>
      <c r="B1909" s="16" t="inlineStr">
        <is>
          <t>上海区域</t>
        </is>
      </c>
      <c r="C1909" s="16" t="inlineStr">
        <is>
          <t>CN0Q</t>
        </is>
      </c>
      <c r="D1909" s="16" t="inlineStr">
        <is>
          <t>EE 苏州比斯特购物村</t>
        </is>
      </c>
      <c r="E1909" s="16" t="n">
        <v>4</v>
      </c>
      <c r="F1909" s="16" t="inlineStr">
        <is>
          <t>奥特莱斯</t>
        </is>
      </c>
      <c r="G1909" s="16" t="inlineStr">
        <is>
          <t>EEYPG25B1G</t>
        </is>
      </c>
      <c r="H1909" s="16" t="n">
        <v>799</v>
      </c>
      <c r="I1909" s="16" t="n">
        <v>799</v>
      </c>
      <c r="J1909" s="17" t="inlineStr">
        <is>
          <t>########</t>
        </is>
      </c>
      <c r="K1909" s="16" t="inlineStr">
        <is>
          <t>(55)Indigo</t>
        </is>
      </c>
      <c r="L1909" s="16" t="inlineStr">
        <is>
          <t>营业中</t>
        </is>
      </c>
      <c r="M1909" s="16" t="inlineStr">
        <is>
          <t>EEYPG25B1G55170</t>
        </is>
      </c>
      <c r="N1909" s="16">
        <f>LEFT(M1909,12)</f>
        <v/>
      </c>
      <c r="O1909" s="16" t="inlineStr">
        <is>
          <t>EEYPG25B1G, (55)Indigo, (170)170</t>
        </is>
      </c>
      <c r="P1909" s="16" t="n">
        <v>799</v>
      </c>
      <c r="Q1909" s="16" t="n">
        <v>799</v>
      </c>
      <c r="R1909" s="16" t="n"/>
      <c r="S1909" s="16" t="n"/>
      <c r="T1909" s="16" t="n">
        <v>2</v>
      </c>
    </row>
    <row r="1910" s="103">
      <c r="A1910" s="16" t="inlineStr">
        <is>
          <t>B331</t>
        </is>
      </c>
      <c r="B1910" s="16" t="inlineStr">
        <is>
          <t>上海区域</t>
        </is>
      </c>
      <c r="C1910" s="16" t="inlineStr">
        <is>
          <t>CN0Q</t>
        </is>
      </c>
      <c r="D1910" s="16" t="inlineStr">
        <is>
          <t>EE 苏州比斯特购物村</t>
        </is>
      </c>
      <c r="E1910" s="16" t="n">
        <v>4</v>
      </c>
      <c r="F1910" s="16" t="inlineStr">
        <is>
          <t>奥特莱斯</t>
        </is>
      </c>
      <c r="G1910" s="16" t="inlineStr">
        <is>
          <t>EEYPG25B1G</t>
        </is>
      </c>
      <c r="H1910" s="16" t="n">
        <v>799</v>
      </c>
      <c r="I1910" s="16" t="n">
        <v>799</v>
      </c>
      <c r="J1910" s="17" t="inlineStr">
        <is>
          <t>########</t>
        </is>
      </c>
      <c r="K1910" s="16" t="inlineStr">
        <is>
          <t>(55)Indigo</t>
        </is>
      </c>
      <c r="L1910" s="16" t="inlineStr">
        <is>
          <t>营业中</t>
        </is>
      </c>
      <c r="M1910" s="16" t="inlineStr">
        <is>
          <t>EEYPG25B1G55175</t>
        </is>
      </c>
      <c r="N1910" s="16">
        <f>LEFT(M1910,12)</f>
        <v/>
      </c>
      <c r="O1910" s="16" t="inlineStr">
        <is>
          <t>EEYPG25B1G, (55)Indigo, (175)175</t>
        </is>
      </c>
      <c r="P1910" s="16" t="n">
        <v>799</v>
      </c>
      <c r="Q1910" s="16" t="n">
        <v>799</v>
      </c>
      <c r="R1910" s="16" t="n">
        <v>1</v>
      </c>
      <c r="S1910" s="16" t="n"/>
      <c r="T1910" s="16" t="n">
        <v>2</v>
      </c>
    </row>
    <row r="1911" s="103">
      <c r="A1911" s="16" t="inlineStr">
        <is>
          <t>B331</t>
        </is>
      </c>
      <c r="B1911" s="16" t="inlineStr">
        <is>
          <t>上海区域</t>
        </is>
      </c>
      <c r="C1911" s="16" t="inlineStr">
        <is>
          <t>CN0Q</t>
        </is>
      </c>
      <c r="D1911" s="16" t="inlineStr">
        <is>
          <t>EE 苏州比斯特购物村</t>
        </is>
      </c>
      <c r="E1911" s="16" t="n">
        <v>4</v>
      </c>
      <c r="F1911" s="16" t="inlineStr">
        <is>
          <t>奥特莱斯</t>
        </is>
      </c>
      <c r="G1911" s="16" t="inlineStr">
        <is>
          <t>EEYPG25B1G</t>
        </is>
      </c>
      <c r="H1911" s="16" t="n">
        <v>799</v>
      </c>
      <c r="I1911" s="16" t="n">
        <v>799</v>
      </c>
      <c r="J1911" s="17" t="inlineStr">
        <is>
          <t>########</t>
        </is>
      </c>
      <c r="K1911" s="16" t="inlineStr">
        <is>
          <t>(55)Indigo</t>
        </is>
      </c>
      <c r="L1911" s="16" t="inlineStr">
        <is>
          <t>营业中</t>
        </is>
      </c>
      <c r="M1911" s="16" t="inlineStr">
        <is>
          <t>EEYPG25B1G55180</t>
        </is>
      </c>
      <c r="N1911" s="16">
        <f>LEFT(M1911,12)</f>
        <v/>
      </c>
      <c r="O1911" s="16" t="inlineStr">
        <is>
          <t>EEYPG25B1G, (55)Indigo, (180)180</t>
        </is>
      </c>
      <c r="P1911" s="16" t="n">
        <v>799</v>
      </c>
      <c r="Q1911" s="16" t="n">
        <v>799</v>
      </c>
      <c r="R1911" s="16" t="n">
        <v>1</v>
      </c>
      <c r="S1911" s="16" t="n"/>
      <c r="T1911" s="16" t="n">
        <v>2</v>
      </c>
    </row>
    <row r="1912" s="103">
      <c r="A1912" s="16" t="inlineStr">
        <is>
          <t>B331</t>
        </is>
      </c>
      <c r="B1912" s="16" t="inlineStr">
        <is>
          <t>上海区域</t>
        </is>
      </c>
      <c r="C1912" s="16" t="inlineStr">
        <is>
          <t>CN0Q</t>
        </is>
      </c>
      <c r="D1912" s="16" t="inlineStr">
        <is>
          <t>EE 苏州比斯特购物村</t>
        </is>
      </c>
      <c r="E1912" s="16" t="n">
        <v>4</v>
      </c>
      <c r="F1912" s="16" t="inlineStr">
        <is>
          <t>奥特莱斯</t>
        </is>
      </c>
      <c r="G1912" s="16" t="inlineStr">
        <is>
          <t>EEYPG25B1G</t>
        </is>
      </c>
      <c r="H1912" s="16" t="n">
        <v>799</v>
      </c>
      <c r="I1912" s="16" t="n">
        <v>799</v>
      </c>
      <c r="J1912" s="17" t="inlineStr">
        <is>
          <t>########</t>
        </is>
      </c>
      <c r="K1912" s="16" t="inlineStr">
        <is>
          <t>(55)Indigo</t>
        </is>
      </c>
      <c r="L1912" s="16" t="inlineStr">
        <is>
          <t>营业中</t>
        </is>
      </c>
      <c r="M1912" s="16" t="inlineStr">
        <is>
          <t>EEYPG25B1G55185</t>
        </is>
      </c>
      <c r="N1912" s="16">
        <f>LEFT(M1912,12)</f>
        <v/>
      </c>
      <c r="O1912" s="16" t="inlineStr">
        <is>
          <t>EEYPG25B1G, (55)Indigo, (185)185</t>
        </is>
      </c>
      <c r="P1912" s="16" t="n">
        <v>799</v>
      </c>
      <c r="Q1912" s="16" t="n">
        <v>799</v>
      </c>
      <c r="R1912" s="16" t="n"/>
      <c r="S1912" s="16" t="n"/>
      <c r="T1912" s="16" t="n">
        <v>1</v>
      </c>
    </row>
    <row r="1913" s="103">
      <c r="A1913" s="16" t="inlineStr">
        <is>
          <t>B331</t>
        </is>
      </c>
      <c r="B1913" s="16" t="inlineStr">
        <is>
          <t>上海区域</t>
        </is>
      </c>
      <c r="C1913" s="16" t="inlineStr">
        <is>
          <t>CN0Q</t>
        </is>
      </c>
      <c r="D1913" s="16" t="inlineStr">
        <is>
          <t>EE 苏州比斯特购物村</t>
        </is>
      </c>
      <c r="E1913" s="16" t="n">
        <v>4</v>
      </c>
      <c r="F1913" s="16" t="inlineStr">
        <is>
          <t>奥特莱斯</t>
        </is>
      </c>
      <c r="G1913" s="16" t="inlineStr">
        <is>
          <t>EEYSG12E1G</t>
        </is>
      </c>
      <c r="H1913" s="16" t="n">
        <v>799</v>
      </c>
      <c r="I1913" s="16" t="n">
        <v>799</v>
      </c>
      <c r="J1913" s="17" t="n">
        <v>46027</v>
      </c>
      <c r="K1913" s="16" t="inlineStr">
        <is>
          <t>(35)Beige</t>
        </is>
      </c>
      <c r="L1913" s="16" t="inlineStr">
        <is>
          <t>营业中</t>
        </is>
      </c>
      <c r="M1913" s="16" t="inlineStr">
        <is>
          <t>EEYSG12E1G35170</t>
        </is>
      </c>
      <c r="N1913" s="16">
        <f>LEFT(M1913,12)</f>
        <v/>
      </c>
      <c r="O1913" s="16" t="inlineStr">
        <is>
          <t>EEYSG12E1G, (35)Beige, (170)170</t>
        </is>
      </c>
      <c r="P1913" s="16" t="n">
        <v>799</v>
      </c>
      <c r="Q1913" s="16" t="n">
        <v>799</v>
      </c>
      <c r="R1913" s="16" t="n">
        <v>2</v>
      </c>
      <c r="S1913" s="16" t="n">
        <v>361</v>
      </c>
      <c r="T1913" s="16" t="n">
        <v>1</v>
      </c>
    </row>
    <row r="1914" s="103">
      <c r="A1914" s="16" t="inlineStr">
        <is>
          <t>B331</t>
        </is>
      </c>
      <c r="B1914" s="16" t="inlineStr">
        <is>
          <t>上海区域</t>
        </is>
      </c>
      <c r="C1914" s="16" t="inlineStr">
        <is>
          <t>CN0Q</t>
        </is>
      </c>
      <c r="D1914" s="16" t="inlineStr">
        <is>
          <t>EE 苏州比斯特购物村</t>
        </is>
      </c>
      <c r="E1914" s="16" t="n">
        <v>4</v>
      </c>
      <c r="F1914" s="16" t="inlineStr">
        <is>
          <t>奥特莱斯</t>
        </is>
      </c>
      <c r="G1914" s="16" t="inlineStr">
        <is>
          <t>EEYSG12E1G</t>
        </is>
      </c>
      <c r="H1914" s="16" t="n">
        <v>799</v>
      </c>
      <c r="I1914" s="16" t="n">
        <v>799</v>
      </c>
      <c r="J1914" s="17" t="n">
        <v>46027</v>
      </c>
      <c r="K1914" s="16" t="inlineStr">
        <is>
          <t>(35)Beige</t>
        </is>
      </c>
      <c r="L1914" s="16" t="inlineStr">
        <is>
          <t>营业中</t>
        </is>
      </c>
      <c r="M1914" s="16" t="inlineStr">
        <is>
          <t>EEYSG12E1G35175</t>
        </is>
      </c>
      <c r="N1914" s="16">
        <f>LEFT(M1914,12)</f>
        <v/>
      </c>
      <c r="O1914" s="16" t="inlineStr">
        <is>
          <t>EEYSG12E1G, (35)Beige, (175)175</t>
        </is>
      </c>
      <c r="P1914" s="16" t="n">
        <v>799</v>
      </c>
      <c r="Q1914" s="16" t="n">
        <v>799</v>
      </c>
      <c r="R1914" s="16" t="n">
        <v>1</v>
      </c>
      <c r="S1914" s="16" t="n">
        <v>363</v>
      </c>
      <c r="T1914" s="16" t="n">
        <v>2</v>
      </c>
    </row>
    <row r="1915" s="103">
      <c r="A1915" s="16" t="inlineStr">
        <is>
          <t>B331</t>
        </is>
      </c>
      <c r="B1915" s="16" t="inlineStr">
        <is>
          <t>上海区域</t>
        </is>
      </c>
      <c r="C1915" s="16" t="inlineStr">
        <is>
          <t>CN0Q</t>
        </is>
      </c>
      <c r="D1915" s="16" t="inlineStr">
        <is>
          <t>EE 苏州比斯特购物村</t>
        </is>
      </c>
      <c r="E1915" s="16" t="n">
        <v>4</v>
      </c>
      <c r="F1915" s="16" t="inlineStr">
        <is>
          <t>奥特莱斯</t>
        </is>
      </c>
      <c r="G1915" s="16" t="inlineStr">
        <is>
          <t>EEYSG12E1G</t>
        </is>
      </c>
      <c r="H1915" s="16" t="n">
        <v>799</v>
      </c>
      <c r="I1915" s="16" t="n">
        <v>799</v>
      </c>
      <c r="J1915" s="17" t="n">
        <v>46027</v>
      </c>
      <c r="K1915" s="16" t="inlineStr">
        <is>
          <t>(35)Beige</t>
        </is>
      </c>
      <c r="L1915" s="16" t="inlineStr">
        <is>
          <t>营业中</t>
        </is>
      </c>
      <c r="M1915" s="16" t="inlineStr">
        <is>
          <t>EEYSG12E1G35180</t>
        </is>
      </c>
      <c r="N1915" s="16">
        <f>LEFT(M1915,12)</f>
        <v/>
      </c>
      <c r="O1915" s="16" t="inlineStr">
        <is>
          <t>EEYSG12E1G, (35)Beige, (180)180</t>
        </is>
      </c>
      <c r="P1915" s="16" t="n">
        <v>799</v>
      </c>
      <c r="Q1915" s="16" t="n">
        <v>799</v>
      </c>
      <c r="R1915" s="16" t="n">
        <v>2</v>
      </c>
      <c r="S1915" s="16" t="n"/>
      <c r="T1915" s="16" t="n">
        <v>1</v>
      </c>
    </row>
    <row r="1916" s="103">
      <c r="A1916" s="16" t="inlineStr">
        <is>
          <t>B331</t>
        </is>
      </c>
      <c r="B1916" s="16" t="inlineStr">
        <is>
          <t>上海区域</t>
        </is>
      </c>
      <c r="C1916" s="16" t="inlineStr">
        <is>
          <t>CN0Q</t>
        </is>
      </c>
      <c r="D1916" s="16" t="inlineStr">
        <is>
          <t>EE 苏州比斯特购物村</t>
        </is>
      </c>
      <c r="E1916" s="16" t="n">
        <v>4</v>
      </c>
      <c r="F1916" s="16" t="inlineStr">
        <is>
          <t>奥特莱斯</t>
        </is>
      </c>
      <c r="G1916" s="16" t="inlineStr">
        <is>
          <t>EEYSG12E1G</t>
        </is>
      </c>
      <c r="H1916" s="16" t="n">
        <v>799</v>
      </c>
      <c r="I1916" s="16" t="n">
        <v>799</v>
      </c>
      <c r="J1916" s="17" t="n">
        <v>46027</v>
      </c>
      <c r="K1916" s="16" t="inlineStr">
        <is>
          <t>(35)Beige</t>
        </is>
      </c>
      <c r="L1916" s="16" t="inlineStr">
        <is>
          <t>营业中</t>
        </is>
      </c>
      <c r="M1916" s="16" t="inlineStr">
        <is>
          <t>EEYSG12E1G35185</t>
        </is>
      </c>
      <c r="N1916" s="16">
        <f>LEFT(M1916,12)</f>
        <v/>
      </c>
      <c r="O1916" s="16" t="inlineStr">
        <is>
          <t>EEYSG12E1G, (35)Beige, (185)185</t>
        </is>
      </c>
      <c r="P1916" s="16" t="n">
        <v>799</v>
      </c>
      <c r="Q1916" s="16" t="n">
        <v>799</v>
      </c>
      <c r="R1916" s="16" t="n"/>
      <c r="S1916" s="16" t="n"/>
      <c r="T1916" s="16" t="n">
        <v>3</v>
      </c>
    </row>
    <row r="1917" s="103">
      <c r="A1917" s="16" t="inlineStr">
        <is>
          <t>B331</t>
        </is>
      </c>
      <c r="B1917" s="16" t="inlineStr">
        <is>
          <t>上海区域</t>
        </is>
      </c>
      <c r="C1917" s="16" t="inlineStr">
        <is>
          <t>CN0Q</t>
        </is>
      </c>
      <c r="D1917" s="16" t="inlineStr">
        <is>
          <t>EE 苏州比斯特购物村</t>
        </is>
      </c>
      <c r="E1917" s="16" t="n">
        <v>4</v>
      </c>
      <c r="F1917" s="16" t="inlineStr">
        <is>
          <t>奥特莱斯</t>
        </is>
      </c>
      <c r="G1917" s="16" t="inlineStr">
        <is>
          <t>EEYSG12E1G</t>
        </is>
      </c>
      <c r="H1917" s="16" t="n">
        <v>799</v>
      </c>
      <c r="I1917" s="16" t="n">
        <v>799</v>
      </c>
      <c r="J1917" s="17" t="n">
        <v>46027</v>
      </c>
      <c r="K1917" s="16" t="inlineStr">
        <is>
          <t>(50)Blue</t>
        </is>
      </c>
      <c r="L1917" s="16" t="inlineStr">
        <is>
          <t>营业中</t>
        </is>
      </c>
      <c r="M1917" s="16" t="inlineStr">
        <is>
          <t>EEYSG12E1G50170</t>
        </is>
      </c>
      <c r="N1917" s="16">
        <f>LEFT(M1917,12)</f>
        <v/>
      </c>
      <c r="O1917" s="16" t="inlineStr">
        <is>
          <t>EEYSG12E1G, (50)Blue, (170)170</t>
        </is>
      </c>
      <c r="P1917" s="16" t="n">
        <v>799</v>
      </c>
      <c r="Q1917" s="16" t="n">
        <v>799</v>
      </c>
      <c r="R1917" s="16" t="n">
        <v>1</v>
      </c>
      <c r="S1917" s="16" t="n">
        <v>371</v>
      </c>
      <c r="T1917" s="16" t="n">
        <v>2</v>
      </c>
    </row>
    <row r="1918" s="103">
      <c r="A1918" s="16" t="inlineStr">
        <is>
          <t>B331</t>
        </is>
      </c>
      <c r="B1918" s="16" t="inlineStr">
        <is>
          <t>上海区域</t>
        </is>
      </c>
      <c r="C1918" s="16" t="inlineStr">
        <is>
          <t>CN0Q</t>
        </is>
      </c>
      <c r="D1918" s="16" t="inlineStr">
        <is>
          <t>EE 苏州比斯特购物村</t>
        </is>
      </c>
      <c r="E1918" s="16" t="n">
        <v>4</v>
      </c>
      <c r="F1918" s="16" t="inlineStr">
        <is>
          <t>奥特莱斯</t>
        </is>
      </c>
      <c r="G1918" s="16" t="inlineStr">
        <is>
          <t>EEYSG12E1G</t>
        </is>
      </c>
      <c r="H1918" s="16" t="n">
        <v>799</v>
      </c>
      <c r="I1918" s="16" t="n">
        <v>799</v>
      </c>
      <c r="J1918" s="17" t="n">
        <v>46027</v>
      </c>
      <c r="K1918" s="16" t="inlineStr">
        <is>
          <t>(50)Blue</t>
        </is>
      </c>
      <c r="L1918" s="16" t="inlineStr">
        <is>
          <t>营业中</t>
        </is>
      </c>
      <c r="M1918" s="16" t="inlineStr">
        <is>
          <t>EEYSG12E1G50175</t>
        </is>
      </c>
      <c r="N1918" s="16">
        <f>LEFT(M1918,12)</f>
        <v/>
      </c>
      <c r="O1918" s="16" t="inlineStr">
        <is>
          <t>EEYSG12E1G, (50)Blue, (175)175</t>
        </is>
      </c>
      <c r="P1918" s="16" t="n">
        <v>799</v>
      </c>
      <c r="Q1918" s="16" t="n">
        <v>799</v>
      </c>
      <c r="R1918" s="16" t="n">
        <v>3</v>
      </c>
      <c r="S1918" s="16" t="n">
        <v>729</v>
      </c>
      <c r="T1918" s="16" t="n">
        <v>0</v>
      </c>
    </row>
    <row r="1919" s="103">
      <c r="A1919" s="16" t="inlineStr">
        <is>
          <t>B331</t>
        </is>
      </c>
      <c r="B1919" s="16" t="inlineStr">
        <is>
          <t>上海区域</t>
        </is>
      </c>
      <c r="C1919" s="16" t="inlineStr">
        <is>
          <t>CN0Q</t>
        </is>
      </c>
      <c r="D1919" s="16" t="inlineStr">
        <is>
          <t>EE 苏州比斯特购物村</t>
        </is>
      </c>
      <c r="E1919" s="16" t="n">
        <v>4</v>
      </c>
      <c r="F1919" s="16" t="inlineStr">
        <is>
          <t>奥特莱斯</t>
        </is>
      </c>
      <c r="G1919" s="16" t="inlineStr">
        <is>
          <t>EEYSG12E1G</t>
        </is>
      </c>
      <c r="H1919" s="16" t="n">
        <v>799</v>
      </c>
      <c r="I1919" s="16" t="n">
        <v>799</v>
      </c>
      <c r="J1919" s="17" t="n">
        <v>46027</v>
      </c>
      <c r="K1919" s="16" t="inlineStr">
        <is>
          <t>(50)Blue</t>
        </is>
      </c>
      <c r="L1919" s="16" t="inlineStr">
        <is>
          <t>营业中</t>
        </is>
      </c>
      <c r="M1919" s="16" t="inlineStr">
        <is>
          <t>EEYSG12E1G50180</t>
        </is>
      </c>
      <c r="N1919" s="16">
        <f>LEFT(M1919,12)</f>
        <v/>
      </c>
      <c r="O1919" s="16" t="inlineStr">
        <is>
          <t>EEYSG12E1G, (50)Blue, (180)180</t>
        </is>
      </c>
      <c r="P1919" s="16" t="n">
        <v>799</v>
      </c>
      <c r="Q1919" s="16" t="n">
        <v>799</v>
      </c>
      <c r="R1919" s="16" t="n"/>
      <c r="S1919" s="16" t="n"/>
      <c r="T1919" s="16" t="n">
        <v>3</v>
      </c>
    </row>
    <row r="1920" s="103">
      <c r="A1920" s="16" t="inlineStr">
        <is>
          <t>B331</t>
        </is>
      </c>
      <c r="B1920" s="16" t="inlineStr">
        <is>
          <t>上海区域</t>
        </is>
      </c>
      <c r="C1920" s="16" t="inlineStr">
        <is>
          <t>CN0Q</t>
        </is>
      </c>
      <c r="D1920" s="16" t="inlineStr">
        <is>
          <t>EE 苏州比斯特购物村</t>
        </is>
      </c>
      <c r="E1920" s="16" t="n">
        <v>4</v>
      </c>
      <c r="F1920" s="16" t="inlineStr">
        <is>
          <t>奥特莱斯</t>
        </is>
      </c>
      <c r="G1920" s="16" t="inlineStr">
        <is>
          <t>EEYSG12E1G</t>
        </is>
      </c>
      <c r="H1920" s="16" t="n">
        <v>799</v>
      </c>
      <c r="I1920" s="16" t="n">
        <v>799</v>
      </c>
      <c r="J1920" s="17" t="n">
        <v>46027</v>
      </c>
      <c r="K1920" s="16" t="inlineStr">
        <is>
          <t>(50)Blue</t>
        </is>
      </c>
      <c r="L1920" s="16" t="inlineStr">
        <is>
          <t>营业中</t>
        </is>
      </c>
      <c r="M1920" s="16" t="inlineStr">
        <is>
          <t>EEYSG12E1G50185</t>
        </is>
      </c>
      <c r="N1920" s="16">
        <f>LEFT(M1920,12)</f>
        <v/>
      </c>
      <c r="O1920" s="16" t="inlineStr">
        <is>
          <t>EEYSG12E1G, (50)Blue, (185)185</t>
        </is>
      </c>
      <c r="P1920" s="16" t="n">
        <v>799</v>
      </c>
      <c r="Q1920" s="16" t="n">
        <v>799</v>
      </c>
      <c r="R1920" s="16" t="n"/>
      <c r="S1920" s="16" t="n"/>
      <c r="T1920" s="16" t="n">
        <v>3</v>
      </c>
    </row>
    <row r="1921" s="103">
      <c r="A1921" s="16" t="inlineStr">
        <is>
          <t>B331</t>
        </is>
      </c>
      <c r="B1921" s="16" t="inlineStr">
        <is>
          <t>上海区域</t>
        </is>
      </c>
      <c r="C1921" s="16" t="inlineStr">
        <is>
          <t>CN0Q</t>
        </is>
      </c>
      <c r="D1921" s="16" t="inlineStr">
        <is>
          <t>EE 苏州比斯特购物村</t>
        </is>
      </c>
      <c r="E1921" s="16" t="n">
        <v>4</v>
      </c>
      <c r="F1921" s="16" t="inlineStr">
        <is>
          <t>奥特莱斯</t>
        </is>
      </c>
      <c r="G1921" s="16" t="inlineStr">
        <is>
          <t>EEYSG23E01</t>
        </is>
      </c>
      <c r="H1921" s="16" t="n">
        <v>799</v>
      </c>
      <c r="I1921" s="16" t="n">
        <v>799</v>
      </c>
      <c r="J1921" s="17" t="inlineStr">
        <is>
          <t>########</t>
        </is>
      </c>
      <c r="K1921" s="16" t="inlineStr">
        <is>
          <t>(26)L/Pink</t>
        </is>
      </c>
      <c r="L1921" s="16" t="inlineStr">
        <is>
          <t>营业中</t>
        </is>
      </c>
      <c r="M1921" s="16" t="inlineStr">
        <is>
          <t>EEYSG23E0126160</t>
        </is>
      </c>
      <c r="N1921" s="16">
        <f>LEFT(M1921,12)</f>
        <v/>
      </c>
      <c r="O1921" s="16" t="inlineStr">
        <is>
          <t>EEYSG23E01, (26)L/Pink, (160)160</t>
        </is>
      </c>
      <c r="P1921" s="16" t="n">
        <v>799</v>
      </c>
      <c r="Q1921" s="16" t="n">
        <v>799</v>
      </c>
      <c r="R1921" s="16" t="n">
        <v>2</v>
      </c>
      <c r="S1921" s="16" t="n"/>
      <c r="T1921" s="16" t="n">
        <v>4</v>
      </c>
    </row>
    <row r="1922" s="103">
      <c r="A1922" s="16" t="inlineStr">
        <is>
          <t>B331</t>
        </is>
      </c>
      <c r="B1922" s="16" t="inlineStr">
        <is>
          <t>上海区域</t>
        </is>
      </c>
      <c r="C1922" s="16" t="inlineStr">
        <is>
          <t>CN0Q</t>
        </is>
      </c>
      <c r="D1922" s="16" t="inlineStr">
        <is>
          <t>EE 苏州比斯特购物村</t>
        </is>
      </c>
      <c r="E1922" s="16" t="n">
        <v>4</v>
      </c>
      <c r="F1922" s="16" t="inlineStr">
        <is>
          <t>奥特莱斯</t>
        </is>
      </c>
      <c r="G1922" s="16" t="inlineStr">
        <is>
          <t>EEYSG23E01</t>
        </is>
      </c>
      <c r="H1922" s="16" t="n">
        <v>799</v>
      </c>
      <c r="I1922" s="16" t="n">
        <v>799</v>
      </c>
      <c r="J1922" s="17" t="inlineStr">
        <is>
          <t>########</t>
        </is>
      </c>
      <c r="K1922" s="16" t="inlineStr">
        <is>
          <t>(26)L/Pink</t>
        </is>
      </c>
      <c r="L1922" s="16" t="inlineStr">
        <is>
          <t>营业中</t>
        </is>
      </c>
      <c r="M1922" s="16" t="inlineStr">
        <is>
          <t>EEYSG23E0126165</t>
        </is>
      </c>
      <c r="N1922" s="16">
        <f>LEFT(M1922,12)</f>
        <v/>
      </c>
      <c r="O1922" s="16" t="inlineStr">
        <is>
          <t>EEYSG23E01, (26)L/Pink, (165)165</t>
        </is>
      </c>
      <c r="P1922" s="16" t="n">
        <v>799</v>
      </c>
      <c r="Q1922" s="16" t="n">
        <v>799</v>
      </c>
      <c r="R1922" s="16" t="n"/>
      <c r="S1922" s="16" t="n"/>
      <c r="T1922" s="16" t="n">
        <v>3</v>
      </c>
    </row>
    <row r="1923" s="103">
      <c r="A1923" s="16" t="inlineStr">
        <is>
          <t>B331</t>
        </is>
      </c>
      <c r="B1923" s="16" t="inlineStr">
        <is>
          <t>上海区域</t>
        </is>
      </c>
      <c r="C1923" s="16" t="inlineStr">
        <is>
          <t>CN0Q</t>
        </is>
      </c>
      <c r="D1923" s="16" t="inlineStr">
        <is>
          <t>EE 苏州比斯特购物村</t>
        </is>
      </c>
      <c r="E1923" s="16" t="n">
        <v>4</v>
      </c>
      <c r="F1923" s="16" t="inlineStr">
        <is>
          <t>奥特莱斯</t>
        </is>
      </c>
      <c r="G1923" s="16" t="inlineStr">
        <is>
          <t>EEYSG23E01</t>
        </is>
      </c>
      <c r="H1923" s="16" t="n">
        <v>799</v>
      </c>
      <c r="I1923" s="16" t="n">
        <v>799</v>
      </c>
      <c r="J1923" s="17" t="inlineStr">
        <is>
          <t>########</t>
        </is>
      </c>
      <c r="K1923" s="16" t="inlineStr">
        <is>
          <t>(26)L/Pink</t>
        </is>
      </c>
      <c r="L1923" s="16" t="inlineStr">
        <is>
          <t>营业中</t>
        </is>
      </c>
      <c r="M1923" s="16" t="inlineStr">
        <is>
          <t>EEYSG23E0126170</t>
        </is>
      </c>
      <c r="N1923" s="16">
        <f>LEFT(M1923,12)</f>
        <v/>
      </c>
      <c r="O1923" s="16" t="inlineStr">
        <is>
          <t>EEYSG23E01, (26)L/Pink, (170)170</t>
        </is>
      </c>
      <c r="P1923" s="16" t="n">
        <v>799</v>
      </c>
      <c r="Q1923" s="16" t="n">
        <v>799</v>
      </c>
      <c r="R1923" s="16" t="n"/>
      <c r="S1923" s="16" t="n"/>
      <c r="T1923" s="16" t="n">
        <v>3</v>
      </c>
    </row>
    <row r="1924" s="103">
      <c r="A1924" s="16" t="inlineStr">
        <is>
          <t>B331</t>
        </is>
      </c>
      <c r="B1924" s="16" t="inlineStr">
        <is>
          <t>上海区域</t>
        </is>
      </c>
      <c r="C1924" s="16" t="inlineStr">
        <is>
          <t>CN0Q</t>
        </is>
      </c>
      <c r="D1924" s="16" t="inlineStr">
        <is>
          <t>EE 苏州比斯特购物村</t>
        </is>
      </c>
      <c r="E1924" s="16" t="n">
        <v>4</v>
      </c>
      <c r="F1924" s="16" t="inlineStr">
        <is>
          <t>奥特莱斯</t>
        </is>
      </c>
      <c r="G1924" s="16" t="inlineStr">
        <is>
          <t>EEYSG23E01</t>
        </is>
      </c>
      <c r="H1924" s="16" t="n">
        <v>799</v>
      </c>
      <c r="I1924" s="16" t="n">
        <v>799</v>
      </c>
      <c r="J1924" s="17" t="inlineStr">
        <is>
          <t>########</t>
        </is>
      </c>
      <c r="K1924" s="16" t="inlineStr">
        <is>
          <t>(51)L/Blue</t>
        </is>
      </c>
      <c r="L1924" s="16" t="inlineStr">
        <is>
          <t>营业中</t>
        </is>
      </c>
      <c r="M1924" s="16" t="inlineStr">
        <is>
          <t>EEYSG23E0151160</t>
        </is>
      </c>
      <c r="N1924" s="16">
        <f>LEFT(M1924,12)</f>
        <v/>
      </c>
      <c r="O1924" s="16" t="inlineStr">
        <is>
          <t>EEYSG23E01, (51)L/Blue, (160)160</t>
        </is>
      </c>
      <c r="P1924" s="16" t="n">
        <v>799</v>
      </c>
      <c r="Q1924" s="16" t="n">
        <v>799</v>
      </c>
      <c r="R1924" s="16" t="n">
        <v>3</v>
      </c>
      <c r="S1924" s="18" t="n">
        <v>1536</v>
      </c>
      <c r="T1924" s="16" t="n">
        <v>3</v>
      </c>
    </row>
    <row r="1925" s="103">
      <c r="A1925" s="16" t="inlineStr">
        <is>
          <t>B331</t>
        </is>
      </c>
      <c r="B1925" s="16" t="inlineStr">
        <is>
          <t>上海区域</t>
        </is>
      </c>
      <c r="C1925" s="16" t="inlineStr">
        <is>
          <t>CN0Q</t>
        </is>
      </c>
      <c r="D1925" s="16" t="inlineStr">
        <is>
          <t>EE 苏州比斯特购物村</t>
        </is>
      </c>
      <c r="E1925" s="16" t="n">
        <v>4</v>
      </c>
      <c r="F1925" s="16" t="inlineStr">
        <is>
          <t>奥特莱斯</t>
        </is>
      </c>
      <c r="G1925" s="16" t="inlineStr">
        <is>
          <t>EEYSG23E01</t>
        </is>
      </c>
      <c r="H1925" s="16" t="n">
        <v>799</v>
      </c>
      <c r="I1925" s="16" t="n">
        <v>799</v>
      </c>
      <c r="J1925" s="17" t="inlineStr">
        <is>
          <t>########</t>
        </is>
      </c>
      <c r="K1925" s="16" t="inlineStr">
        <is>
          <t>(51)L/Blue</t>
        </is>
      </c>
      <c r="L1925" s="16" t="inlineStr">
        <is>
          <t>营业中</t>
        </is>
      </c>
      <c r="M1925" s="16" t="inlineStr">
        <is>
          <t>EEYSG23E0151165</t>
        </is>
      </c>
      <c r="N1925" s="16">
        <f>LEFT(M1925,12)</f>
        <v/>
      </c>
      <c r="O1925" s="16" t="inlineStr">
        <is>
          <t>EEYSG23E01, (51)L/Blue, (165)165</t>
        </is>
      </c>
      <c r="P1925" s="16" t="n">
        <v>799</v>
      </c>
      <c r="Q1925" s="16" t="n">
        <v>799</v>
      </c>
      <c r="R1925" s="16" t="n">
        <v>6</v>
      </c>
      <c r="S1925" s="18" t="n">
        <v>2041</v>
      </c>
      <c r="T1925" s="16" t="n">
        <v>6</v>
      </c>
    </row>
    <row r="1926" s="103">
      <c r="A1926" s="16" t="inlineStr">
        <is>
          <t>B331</t>
        </is>
      </c>
      <c r="B1926" s="16" t="inlineStr">
        <is>
          <t>上海区域</t>
        </is>
      </c>
      <c r="C1926" s="16" t="inlineStr">
        <is>
          <t>CN0Q</t>
        </is>
      </c>
      <c r="D1926" s="16" t="inlineStr">
        <is>
          <t>EE 苏州比斯特购物村</t>
        </is>
      </c>
      <c r="E1926" s="16" t="n">
        <v>4</v>
      </c>
      <c r="F1926" s="16" t="inlineStr">
        <is>
          <t>奥特莱斯</t>
        </is>
      </c>
      <c r="G1926" s="16" t="inlineStr">
        <is>
          <t>EEYSG23E01</t>
        </is>
      </c>
      <c r="H1926" s="16" t="n">
        <v>799</v>
      </c>
      <c r="I1926" s="16" t="n">
        <v>799</v>
      </c>
      <c r="J1926" s="17" t="inlineStr">
        <is>
          <t>########</t>
        </is>
      </c>
      <c r="K1926" s="16" t="inlineStr">
        <is>
          <t>(51)L/Blue</t>
        </is>
      </c>
      <c r="L1926" s="16" t="inlineStr">
        <is>
          <t>营业中</t>
        </is>
      </c>
      <c r="M1926" s="16" t="inlineStr">
        <is>
          <t>EEYSG23E0151170</t>
        </is>
      </c>
      <c r="N1926" s="16">
        <f>LEFT(M1926,12)</f>
        <v/>
      </c>
      <c r="O1926" s="16" t="inlineStr">
        <is>
          <t>EEYSG23E01, (51)L/Blue, (170)170</t>
        </is>
      </c>
      <c r="P1926" s="16" t="n">
        <v>799</v>
      </c>
      <c r="Q1926" s="16" t="n">
        <v>799</v>
      </c>
      <c r="R1926" s="16" t="n"/>
      <c r="S1926" s="16" t="n"/>
      <c r="T1926" s="16" t="n">
        <v>3</v>
      </c>
    </row>
    <row r="1927" s="103">
      <c r="A1927" s="16" t="inlineStr">
        <is>
          <t>B331</t>
        </is>
      </c>
      <c r="B1927" s="16" t="inlineStr">
        <is>
          <t>上海区域</t>
        </is>
      </c>
      <c r="C1927" s="16" t="inlineStr">
        <is>
          <t>CN0Q</t>
        </is>
      </c>
      <c r="D1927" s="16" t="inlineStr">
        <is>
          <t>EE 苏州比斯特购物村</t>
        </is>
      </c>
      <c r="E1927" s="16" t="n">
        <v>4</v>
      </c>
      <c r="F1927" s="16" t="inlineStr">
        <is>
          <t>奥特莱斯</t>
        </is>
      </c>
      <c r="G1927" s="16" t="inlineStr">
        <is>
          <t>EEYSG23E01</t>
        </is>
      </c>
      <c r="H1927" s="16" t="n">
        <v>799</v>
      </c>
      <c r="I1927" s="16" t="n">
        <v>799</v>
      </c>
      <c r="J1927" s="17" t="inlineStr">
        <is>
          <t>########</t>
        </is>
      </c>
      <c r="K1927" s="16" t="inlineStr">
        <is>
          <t>(88)Lavender</t>
        </is>
      </c>
      <c r="L1927" s="16" t="inlineStr">
        <is>
          <t>营业中</t>
        </is>
      </c>
      <c r="M1927" s="16" t="inlineStr">
        <is>
          <t>EEYSG23E0188160</t>
        </is>
      </c>
      <c r="N1927" s="16">
        <f>LEFT(M1927,12)</f>
        <v/>
      </c>
      <c r="O1927" s="16" t="inlineStr">
        <is>
          <t>EEYSG23E01, (88)Lavender, (160)160</t>
        </is>
      </c>
      <c r="P1927" s="16" t="n">
        <v>799</v>
      </c>
      <c r="Q1927" s="16" t="n">
        <v>799</v>
      </c>
      <c r="R1927" s="16" t="n">
        <v>1</v>
      </c>
      <c r="S1927" s="16" t="n"/>
      <c r="T1927" s="16" t="n">
        <v>2</v>
      </c>
    </row>
    <row r="1928" s="103">
      <c r="A1928" s="16" t="inlineStr">
        <is>
          <t>B331</t>
        </is>
      </c>
      <c r="B1928" s="16" t="inlineStr">
        <is>
          <t>上海区域</t>
        </is>
      </c>
      <c r="C1928" s="16" t="inlineStr">
        <is>
          <t>CN0Q</t>
        </is>
      </c>
      <c r="D1928" s="16" t="inlineStr">
        <is>
          <t>EE 苏州比斯特购物村</t>
        </is>
      </c>
      <c r="E1928" s="16" t="n">
        <v>4</v>
      </c>
      <c r="F1928" s="16" t="inlineStr">
        <is>
          <t>奥特莱斯</t>
        </is>
      </c>
      <c r="G1928" s="16" t="inlineStr">
        <is>
          <t>EEYSG23E01</t>
        </is>
      </c>
      <c r="H1928" s="16" t="n">
        <v>799</v>
      </c>
      <c r="I1928" s="16" t="n">
        <v>799</v>
      </c>
      <c r="J1928" s="17" t="inlineStr">
        <is>
          <t>########</t>
        </is>
      </c>
      <c r="K1928" s="16" t="inlineStr">
        <is>
          <t>(88)Lavender</t>
        </is>
      </c>
      <c r="L1928" s="16" t="inlineStr">
        <is>
          <t>营业中</t>
        </is>
      </c>
      <c r="M1928" s="16" t="inlineStr">
        <is>
          <t>EEYSG23E0188165</t>
        </is>
      </c>
      <c r="N1928" s="16">
        <f>LEFT(M1928,12)</f>
        <v/>
      </c>
      <c r="O1928" s="16" t="inlineStr">
        <is>
          <t>EEYSG23E01, (88)Lavender, (165)165</t>
        </is>
      </c>
      <c r="P1928" s="16" t="n">
        <v>799</v>
      </c>
      <c r="Q1928" s="16" t="n">
        <v>799</v>
      </c>
      <c r="R1928" s="16" t="n"/>
      <c r="S1928" s="16" t="n"/>
      <c r="T1928" s="16" t="n">
        <v>2</v>
      </c>
    </row>
    <row r="1929" s="103">
      <c r="A1929" s="16" t="inlineStr">
        <is>
          <t>B331</t>
        </is>
      </c>
      <c r="B1929" s="16" t="inlineStr">
        <is>
          <t>上海区域</t>
        </is>
      </c>
      <c r="C1929" s="16" t="inlineStr">
        <is>
          <t>CN0Q</t>
        </is>
      </c>
      <c r="D1929" s="16" t="inlineStr">
        <is>
          <t>EE 苏州比斯特购物村</t>
        </is>
      </c>
      <c r="E1929" s="16" t="n">
        <v>4</v>
      </c>
      <c r="F1929" s="16" t="inlineStr">
        <is>
          <t>奥特莱斯</t>
        </is>
      </c>
      <c r="G1929" s="16" t="inlineStr">
        <is>
          <t>EEYSG23E01</t>
        </is>
      </c>
      <c r="H1929" s="16" t="n">
        <v>799</v>
      </c>
      <c r="I1929" s="16" t="n">
        <v>799</v>
      </c>
      <c r="J1929" s="17" t="inlineStr">
        <is>
          <t>########</t>
        </is>
      </c>
      <c r="K1929" s="16" t="inlineStr">
        <is>
          <t>(88)Lavender</t>
        </is>
      </c>
      <c r="L1929" s="16" t="inlineStr">
        <is>
          <t>营业中</t>
        </is>
      </c>
      <c r="M1929" s="16" t="inlineStr">
        <is>
          <t>EEYSG23E0188170</t>
        </is>
      </c>
      <c r="N1929" s="16">
        <f>LEFT(M1929,12)</f>
        <v/>
      </c>
      <c r="O1929" s="16" t="inlineStr">
        <is>
          <t>EEYSG23E01, (88)Lavender, (170)170</t>
        </is>
      </c>
      <c r="P1929" s="16" t="n">
        <v>799</v>
      </c>
      <c r="Q1929" s="16" t="n">
        <v>799</v>
      </c>
      <c r="R1929" s="16" t="n"/>
      <c r="S1929" s="16" t="n"/>
      <c r="T1929" s="16" t="n">
        <v>2</v>
      </c>
    </row>
    <row r="1930" s="103">
      <c r="A1930" s="16" t="inlineStr">
        <is>
          <t>B331</t>
        </is>
      </c>
      <c r="B1930" s="16" t="inlineStr">
        <is>
          <t>上海区域</t>
        </is>
      </c>
      <c r="C1930" s="16" t="inlineStr">
        <is>
          <t>CN0Q</t>
        </is>
      </c>
      <c r="D1930" s="16" t="inlineStr">
        <is>
          <t>EE 苏州比斯特购物村</t>
        </is>
      </c>
      <c r="E1930" s="16" t="n">
        <v>4</v>
      </c>
      <c r="F1930" s="16" t="inlineStr">
        <is>
          <t>奥特莱斯</t>
        </is>
      </c>
      <c r="G1930" s="16" t="inlineStr">
        <is>
          <t>EEYSG24E04</t>
        </is>
      </c>
      <c r="H1930" s="16" t="n">
        <v>699</v>
      </c>
      <c r="I1930" s="16" t="n">
        <v>699</v>
      </c>
      <c r="J1930" s="17" t="inlineStr">
        <is>
          <t>########</t>
        </is>
      </c>
      <c r="K1930" s="16" t="inlineStr">
        <is>
          <t>(50)Blue</t>
        </is>
      </c>
      <c r="L1930" s="16" t="inlineStr">
        <is>
          <t>营业中</t>
        </is>
      </c>
      <c r="M1930" s="16" t="inlineStr">
        <is>
          <t>EEYSG24E0450160</t>
        </is>
      </c>
      <c r="N1930" s="16">
        <f>LEFT(M1930,12)</f>
        <v/>
      </c>
      <c r="O1930" s="16" t="inlineStr">
        <is>
          <t>EEYSG24E04, (50)Blue, (160)160</t>
        </is>
      </c>
      <c r="P1930" s="16" t="n">
        <v>699</v>
      </c>
      <c r="Q1930" s="16" t="n">
        <v>699</v>
      </c>
      <c r="R1930" s="16" t="n"/>
      <c r="S1930" s="16" t="n"/>
      <c r="T1930" s="16" t="n">
        <v>2</v>
      </c>
    </row>
    <row r="1931" s="103">
      <c r="A1931" s="16" t="inlineStr">
        <is>
          <t>B331</t>
        </is>
      </c>
      <c r="B1931" s="16" t="inlineStr">
        <is>
          <t>上海区域</t>
        </is>
      </c>
      <c r="C1931" s="16" t="inlineStr">
        <is>
          <t>CN0Q</t>
        </is>
      </c>
      <c r="D1931" s="16" t="inlineStr">
        <is>
          <t>EE 苏州比斯特购物村</t>
        </is>
      </c>
      <c r="E1931" s="16" t="n">
        <v>4</v>
      </c>
      <c r="F1931" s="16" t="inlineStr">
        <is>
          <t>奥特莱斯</t>
        </is>
      </c>
      <c r="G1931" s="16" t="inlineStr">
        <is>
          <t>EEYSG24E04</t>
        </is>
      </c>
      <c r="H1931" s="16" t="n">
        <v>699</v>
      </c>
      <c r="I1931" s="16" t="n">
        <v>699</v>
      </c>
      <c r="J1931" s="17" t="inlineStr">
        <is>
          <t>########</t>
        </is>
      </c>
      <c r="K1931" s="16" t="inlineStr">
        <is>
          <t>(50)Blue</t>
        </is>
      </c>
      <c r="L1931" s="16" t="inlineStr">
        <is>
          <t>营业中</t>
        </is>
      </c>
      <c r="M1931" s="16" t="inlineStr">
        <is>
          <t>EEYSG24E0450165</t>
        </is>
      </c>
      <c r="N1931" s="16">
        <f>LEFT(M1931,12)</f>
        <v/>
      </c>
      <c r="O1931" s="16" t="inlineStr">
        <is>
          <t>EEYSG24E04, (50)Blue, (165)165</t>
        </is>
      </c>
      <c r="P1931" s="16" t="n">
        <v>699</v>
      </c>
      <c r="Q1931" s="16" t="n">
        <v>699</v>
      </c>
      <c r="R1931" s="16" t="n"/>
      <c r="S1931" s="16" t="n"/>
      <c r="T1931" s="16" t="n">
        <v>2</v>
      </c>
    </row>
    <row r="1932" s="103">
      <c r="A1932" s="16" t="inlineStr">
        <is>
          <t>B331</t>
        </is>
      </c>
      <c r="B1932" s="16" t="inlineStr">
        <is>
          <t>上海区域</t>
        </is>
      </c>
      <c r="C1932" s="16" t="inlineStr">
        <is>
          <t>CN0Q</t>
        </is>
      </c>
      <c r="D1932" s="16" t="inlineStr">
        <is>
          <t>EE 苏州比斯特购物村</t>
        </is>
      </c>
      <c r="E1932" s="16" t="n">
        <v>4</v>
      </c>
      <c r="F1932" s="16" t="inlineStr">
        <is>
          <t>奥特莱斯</t>
        </is>
      </c>
      <c r="G1932" s="16" t="inlineStr">
        <is>
          <t>EEYSG24E04</t>
        </is>
      </c>
      <c r="H1932" s="16" t="n">
        <v>699</v>
      </c>
      <c r="I1932" s="16" t="n">
        <v>699</v>
      </c>
      <c r="J1932" s="17" t="inlineStr">
        <is>
          <t>########</t>
        </is>
      </c>
      <c r="K1932" s="16" t="inlineStr">
        <is>
          <t>(50)Blue</t>
        </is>
      </c>
      <c r="L1932" s="16" t="inlineStr">
        <is>
          <t>营业中</t>
        </is>
      </c>
      <c r="M1932" s="16" t="inlineStr">
        <is>
          <t>EEYSG24E0450170</t>
        </is>
      </c>
      <c r="N1932" s="16">
        <f>LEFT(M1932,12)</f>
        <v/>
      </c>
      <c r="O1932" s="16" t="inlineStr">
        <is>
          <t>EEYSG24E04, (50)Blue, (170)170</t>
        </is>
      </c>
      <c r="P1932" s="16" t="n">
        <v>699</v>
      </c>
      <c r="Q1932" s="16" t="n">
        <v>699</v>
      </c>
      <c r="R1932" s="16" t="n">
        <v>1</v>
      </c>
      <c r="S1932" s="16" t="n">
        <v>446</v>
      </c>
      <c r="T1932" s="16" t="n">
        <v>1</v>
      </c>
    </row>
    <row r="1933" s="103">
      <c r="A1933" s="16" t="inlineStr">
        <is>
          <t>B331</t>
        </is>
      </c>
      <c r="B1933" s="16" t="inlineStr">
        <is>
          <t>上海区域</t>
        </is>
      </c>
      <c r="C1933" s="16" t="inlineStr">
        <is>
          <t>CN0Q</t>
        </is>
      </c>
      <c r="D1933" s="16" t="inlineStr">
        <is>
          <t>EE 苏州比斯特购物村</t>
        </is>
      </c>
      <c r="E1933" s="16" t="n">
        <v>4</v>
      </c>
      <c r="F1933" s="16" t="inlineStr">
        <is>
          <t>奥特莱斯</t>
        </is>
      </c>
      <c r="G1933" s="16" t="inlineStr">
        <is>
          <t>EEYSG25B1G</t>
        </is>
      </c>
      <c r="H1933" s="16" t="n">
        <v>899</v>
      </c>
      <c r="I1933" s="16" t="n">
        <v>899</v>
      </c>
      <c r="J1933" s="17" t="inlineStr">
        <is>
          <t>########</t>
        </is>
      </c>
      <c r="K1933" s="16" t="inlineStr">
        <is>
          <t>(25)Pink</t>
        </is>
      </c>
      <c r="L1933" s="16" t="inlineStr">
        <is>
          <t>营业中</t>
        </is>
      </c>
      <c r="M1933" s="16" t="inlineStr">
        <is>
          <t>EEYSG25B1G25170</t>
        </is>
      </c>
      <c r="N1933" s="16">
        <f>LEFT(M1933,12)</f>
        <v/>
      </c>
      <c r="O1933" s="16" t="inlineStr">
        <is>
          <t>EEYSG25B1G, (25)Pink, (170)170</t>
        </is>
      </c>
      <c r="P1933" s="16" t="n">
        <v>899</v>
      </c>
      <c r="Q1933" s="16" t="n">
        <v>899</v>
      </c>
      <c r="R1933" s="16" t="n">
        <v>2</v>
      </c>
      <c r="S1933" s="16" t="n">
        <v>576</v>
      </c>
      <c r="T1933" s="16" t="n">
        <v>1</v>
      </c>
    </row>
    <row r="1934" s="103">
      <c r="A1934" s="16" t="inlineStr">
        <is>
          <t>B331</t>
        </is>
      </c>
      <c r="B1934" s="16" t="inlineStr">
        <is>
          <t>上海区域</t>
        </is>
      </c>
      <c r="C1934" s="16" t="inlineStr">
        <is>
          <t>CN0Q</t>
        </is>
      </c>
      <c r="D1934" s="16" t="inlineStr">
        <is>
          <t>EE 苏州比斯特购物村</t>
        </is>
      </c>
      <c r="E1934" s="16" t="n">
        <v>4</v>
      </c>
      <c r="F1934" s="16" t="inlineStr">
        <is>
          <t>奥特莱斯</t>
        </is>
      </c>
      <c r="G1934" s="16" t="inlineStr">
        <is>
          <t>EEYSG25B1G</t>
        </is>
      </c>
      <c r="H1934" s="16" t="n">
        <v>899</v>
      </c>
      <c r="I1934" s="16" t="n">
        <v>899</v>
      </c>
      <c r="J1934" s="17" t="inlineStr">
        <is>
          <t>########</t>
        </is>
      </c>
      <c r="K1934" s="16" t="inlineStr">
        <is>
          <t>(25)Pink</t>
        </is>
      </c>
      <c r="L1934" s="16" t="inlineStr">
        <is>
          <t>营业中</t>
        </is>
      </c>
      <c r="M1934" s="16" t="inlineStr">
        <is>
          <t>EEYSG25B1G25175</t>
        </is>
      </c>
      <c r="N1934" s="16">
        <f>LEFT(M1934,12)</f>
        <v/>
      </c>
      <c r="O1934" s="16" t="inlineStr">
        <is>
          <t>EEYSG25B1G, (25)Pink, (175)175</t>
        </is>
      </c>
      <c r="P1934" s="16" t="n">
        <v>899</v>
      </c>
      <c r="Q1934" s="16" t="n">
        <v>899</v>
      </c>
      <c r="R1934" s="16" t="n"/>
      <c r="S1934" s="16" t="n"/>
      <c r="T1934" s="16" t="n">
        <v>2</v>
      </c>
    </row>
    <row r="1935" s="103">
      <c r="A1935" s="16" t="inlineStr">
        <is>
          <t>B331</t>
        </is>
      </c>
      <c r="B1935" s="16" t="inlineStr">
        <is>
          <t>上海区域</t>
        </is>
      </c>
      <c r="C1935" s="16" t="inlineStr">
        <is>
          <t>CN0Q</t>
        </is>
      </c>
      <c r="D1935" s="16" t="inlineStr">
        <is>
          <t>EE 苏州比斯特购物村</t>
        </is>
      </c>
      <c r="E1935" s="16" t="n">
        <v>4</v>
      </c>
      <c r="F1935" s="16" t="inlineStr">
        <is>
          <t>奥特莱斯</t>
        </is>
      </c>
      <c r="G1935" s="16" t="inlineStr">
        <is>
          <t>EEYSG25B1G</t>
        </is>
      </c>
      <c r="H1935" s="16" t="n">
        <v>899</v>
      </c>
      <c r="I1935" s="16" t="n">
        <v>899</v>
      </c>
      <c r="J1935" s="17" t="inlineStr">
        <is>
          <t>########</t>
        </is>
      </c>
      <c r="K1935" s="16" t="inlineStr">
        <is>
          <t>(25)Pink</t>
        </is>
      </c>
      <c r="L1935" s="16" t="inlineStr">
        <is>
          <t>营业中</t>
        </is>
      </c>
      <c r="M1935" s="16" t="inlineStr">
        <is>
          <t>EEYSG25B1G25180</t>
        </is>
      </c>
      <c r="N1935" s="16">
        <f>LEFT(M1935,12)</f>
        <v/>
      </c>
      <c r="O1935" s="16" t="inlineStr">
        <is>
          <t>EEYSG25B1G, (25)Pink, (180)180</t>
        </is>
      </c>
      <c r="P1935" s="16" t="n">
        <v>899</v>
      </c>
      <c r="Q1935" s="16" t="n">
        <v>899</v>
      </c>
      <c r="R1935" s="16" t="n"/>
      <c r="S1935" s="16" t="n"/>
      <c r="T1935" s="16" t="n">
        <v>2</v>
      </c>
    </row>
    <row r="1936" s="103">
      <c r="A1936" s="16" t="inlineStr">
        <is>
          <t>B331</t>
        </is>
      </c>
      <c r="B1936" s="16" t="inlineStr">
        <is>
          <t>上海区域</t>
        </is>
      </c>
      <c r="C1936" s="16" t="inlineStr">
        <is>
          <t>CN0Q</t>
        </is>
      </c>
      <c r="D1936" s="16" t="inlineStr">
        <is>
          <t>EE 苏州比斯特购物村</t>
        </is>
      </c>
      <c r="E1936" s="16" t="n">
        <v>4</v>
      </c>
      <c r="F1936" s="16" t="inlineStr">
        <is>
          <t>奥特莱斯</t>
        </is>
      </c>
      <c r="G1936" s="16" t="inlineStr">
        <is>
          <t>EEYSG25B1G</t>
        </is>
      </c>
      <c r="H1936" s="16" t="n">
        <v>899</v>
      </c>
      <c r="I1936" s="16" t="n">
        <v>899</v>
      </c>
      <c r="J1936" s="17" t="inlineStr">
        <is>
          <t>########</t>
        </is>
      </c>
      <c r="K1936" s="16" t="inlineStr">
        <is>
          <t>(25)Pink</t>
        </is>
      </c>
      <c r="L1936" s="16" t="inlineStr">
        <is>
          <t>营业中</t>
        </is>
      </c>
      <c r="M1936" s="16" t="inlineStr">
        <is>
          <t>EEYSG25B1G25185</t>
        </is>
      </c>
      <c r="N1936" s="16">
        <f>LEFT(M1936,12)</f>
        <v/>
      </c>
      <c r="O1936" s="16" t="inlineStr">
        <is>
          <t>EEYSG25B1G, (25)Pink, (185)185</t>
        </is>
      </c>
      <c r="P1936" s="16" t="n">
        <v>899</v>
      </c>
      <c r="Q1936" s="16" t="n">
        <v>899</v>
      </c>
      <c r="R1936" s="16" t="n"/>
      <c r="S1936" s="16" t="n"/>
      <c r="T1936" s="16" t="n">
        <v>1</v>
      </c>
    </row>
    <row r="1937" s="103">
      <c r="A1937" s="16" t="inlineStr">
        <is>
          <t>B331</t>
        </is>
      </c>
      <c r="B1937" s="16" t="inlineStr">
        <is>
          <t>上海区域</t>
        </is>
      </c>
      <c r="C1937" s="16" t="inlineStr">
        <is>
          <t>CN0Q</t>
        </is>
      </c>
      <c r="D1937" s="16" t="inlineStr">
        <is>
          <t>EE 苏州比斯特购物村</t>
        </is>
      </c>
      <c r="E1937" s="16" t="n">
        <v>4</v>
      </c>
      <c r="F1937" s="16" t="inlineStr">
        <is>
          <t>奥特莱斯</t>
        </is>
      </c>
      <c r="G1937" s="16" t="inlineStr">
        <is>
          <t>EEYSG25B1G</t>
        </is>
      </c>
      <c r="H1937" s="16" t="n">
        <v>899</v>
      </c>
      <c r="I1937" s="16" t="n">
        <v>899</v>
      </c>
      <c r="J1937" s="17" t="inlineStr">
        <is>
          <t>########</t>
        </is>
      </c>
      <c r="K1937" s="16" t="inlineStr">
        <is>
          <t>(50)Blue</t>
        </is>
      </c>
      <c r="L1937" s="16" t="inlineStr">
        <is>
          <t>营业中</t>
        </is>
      </c>
      <c r="M1937" s="16" t="inlineStr">
        <is>
          <t>EEYSG25B1G50170</t>
        </is>
      </c>
      <c r="N1937" s="16">
        <f>LEFT(M1937,12)</f>
        <v/>
      </c>
      <c r="O1937" s="16" t="inlineStr">
        <is>
          <t>EEYSG25B1G, (50)Blue, (170)170</t>
        </is>
      </c>
      <c r="P1937" s="16" t="n">
        <v>899</v>
      </c>
      <c r="Q1937" s="16" t="n">
        <v>899</v>
      </c>
      <c r="R1937" s="16" t="n">
        <v>2</v>
      </c>
      <c r="S1937" s="16" t="n"/>
      <c r="T1937" s="16" t="n">
        <v>4</v>
      </c>
    </row>
    <row r="1938" s="103">
      <c r="A1938" s="16" t="inlineStr">
        <is>
          <t>B331</t>
        </is>
      </c>
      <c r="B1938" s="16" t="inlineStr">
        <is>
          <t>上海区域</t>
        </is>
      </c>
      <c r="C1938" s="16" t="inlineStr">
        <is>
          <t>CN0Q</t>
        </is>
      </c>
      <c r="D1938" s="16" t="inlineStr">
        <is>
          <t>EE 苏州比斯特购物村</t>
        </is>
      </c>
      <c r="E1938" s="16" t="n">
        <v>4</v>
      </c>
      <c r="F1938" s="16" t="inlineStr">
        <is>
          <t>奥特莱斯</t>
        </is>
      </c>
      <c r="G1938" s="16" t="inlineStr">
        <is>
          <t>EEYSG25B1G</t>
        </is>
      </c>
      <c r="H1938" s="16" t="n">
        <v>899</v>
      </c>
      <c r="I1938" s="16" t="n">
        <v>899</v>
      </c>
      <c r="J1938" s="17" t="inlineStr">
        <is>
          <t>########</t>
        </is>
      </c>
      <c r="K1938" s="16" t="inlineStr">
        <is>
          <t>(50)Blue</t>
        </is>
      </c>
      <c r="L1938" s="16" t="inlineStr">
        <is>
          <t>营业中</t>
        </is>
      </c>
      <c r="M1938" s="16" t="inlineStr">
        <is>
          <t>EEYSG25B1G50175</t>
        </is>
      </c>
      <c r="N1938" s="16">
        <f>LEFT(M1938,12)</f>
        <v/>
      </c>
      <c r="O1938" s="16" t="inlineStr">
        <is>
          <t>EEYSG25B1G, (50)Blue, (175)175</t>
        </is>
      </c>
      <c r="P1938" s="16" t="n">
        <v>899</v>
      </c>
      <c r="Q1938" s="16" t="n">
        <v>899</v>
      </c>
      <c r="R1938" s="16" t="n">
        <v>2</v>
      </c>
      <c r="S1938" s="16" t="n">
        <v>579</v>
      </c>
      <c r="T1938" s="16" t="n">
        <v>1</v>
      </c>
    </row>
    <row r="1939" s="103">
      <c r="A1939" s="16" t="inlineStr">
        <is>
          <t>B331</t>
        </is>
      </c>
      <c r="B1939" s="16" t="inlineStr">
        <is>
          <t>上海区域</t>
        </is>
      </c>
      <c r="C1939" s="16" t="inlineStr">
        <is>
          <t>CN0Q</t>
        </is>
      </c>
      <c r="D1939" s="16" t="inlineStr">
        <is>
          <t>EE 苏州比斯特购物村</t>
        </is>
      </c>
      <c r="E1939" s="16" t="n">
        <v>4</v>
      </c>
      <c r="F1939" s="16" t="inlineStr">
        <is>
          <t>奥特莱斯</t>
        </is>
      </c>
      <c r="G1939" s="16" t="inlineStr">
        <is>
          <t>EEYSG25B1G</t>
        </is>
      </c>
      <c r="H1939" s="16" t="n">
        <v>899</v>
      </c>
      <c r="I1939" s="16" t="n">
        <v>899</v>
      </c>
      <c r="J1939" s="17" t="inlineStr">
        <is>
          <t>########</t>
        </is>
      </c>
      <c r="K1939" s="16" t="inlineStr">
        <is>
          <t>(50)Blue</t>
        </is>
      </c>
      <c r="L1939" s="16" t="inlineStr">
        <is>
          <t>营业中</t>
        </is>
      </c>
      <c r="M1939" s="16" t="inlineStr">
        <is>
          <t>EEYSG25B1G50180</t>
        </is>
      </c>
      <c r="N1939" s="16">
        <f>LEFT(M1939,12)</f>
        <v/>
      </c>
      <c r="O1939" s="16" t="inlineStr">
        <is>
          <t>EEYSG25B1G, (50)Blue, (180)180</t>
        </is>
      </c>
      <c r="P1939" s="16" t="n">
        <v>899</v>
      </c>
      <c r="Q1939" s="16" t="n">
        <v>899</v>
      </c>
      <c r="R1939" s="16" t="n"/>
      <c r="S1939" s="16" t="n"/>
      <c r="T1939" s="16" t="n">
        <v>2</v>
      </c>
    </row>
    <row r="1940" s="103">
      <c r="A1940" s="16" t="inlineStr">
        <is>
          <t>B331</t>
        </is>
      </c>
      <c r="B1940" s="16" t="inlineStr">
        <is>
          <t>上海区域</t>
        </is>
      </c>
      <c r="C1940" s="16" t="inlineStr">
        <is>
          <t>CN0Q</t>
        </is>
      </c>
      <c r="D1940" s="16" t="inlineStr">
        <is>
          <t>EE 苏州比斯特购物村</t>
        </is>
      </c>
      <c r="E1940" s="16" t="n">
        <v>4</v>
      </c>
      <c r="F1940" s="16" t="inlineStr">
        <is>
          <t>奥特莱斯</t>
        </is>
      </c>
      <c r="G1940" s="16" t="inlineStr">
        <is>
          <t>EEYSG25B1G</t>
        </is>
      </c>
      <c r="H1940" s="16" t="n">
        <v>899</v>
      </c>
      <c r="I1940" s="16" t="n">
        <v>899</v>
      </c>
      <c r="J1940" s="17" t="inlineStr">
        <is>
          <t>########</t>
        </is>
      </c>
      <c r="K1940" s="16" t="inlineStr">
        <is>
          <t>(50)Blue</t>
        </is>
      </c>
      <c r="L1940" s="16" t="inlineStr">
        <is>
          <t>营业中</t>
        </is>
      </c>
      <c r="M1940" s="16" t="inlineStr">
        <is>
          <t>EEYSG25B1G50185</t>
        </is>
      </c>
      <c r="N1940" s="16">
        <f>LEFT(M1940,12)</f>
        <v/>
      </c>
      <c r="O1940" s="16" t="inlineStr">
        <is>
          <t>EEYSG25B1G, (50)Blue, (185)185</t>
        </is>
      </c>
      <c r="P1940" s="16" t="n">
        <v>899</v>
      </c>
      <c r="Q1940" s="16" t="n">
        <v>899</v>
      </c>
      <c r="R1940" s="16" t="n"/>
      <c r="S1940" s="16" t="n"/>
      <c r="T1940" s="16" t="n">
        <v>1</v>
      </c>
    </row>
    <row r="1941" s="103">
      <c r="A1941" s="16" t="inlineStr">
        <is>
          <t>B331</t>
        </is>
      </c>
      <c r="B1941" s="16" t="inlineStr">
        <is>
          <t>上海区域</t>
        </is>
      </c>
      <c r="C1941" s="16" t="inlineStr">
        <is>
          <t>CN0Q</t>
        </is>
      </c>
      <c r="D1941" s="16" t="inlineStr">
        <is>
          <t>EE 苏州比斯特购物村</t>
        </is>
      </c>
      <c r="E1941" s="16" t="n">
        <v>4</v>
      </c>
      <c r="F1941" s="16" t="inlineStr">
        <is>
          <t>奥特莱斯</t>
        </is>
      </c>
      <c r="G1941" s="16" t="inlineStr">
        <is>
          <t>EEYSG63S01</t>
        </is>
      </c>
      <c r="H1941" s="16" t="n">
        <v>799</v>
      </c>
      <c r="I1941" s="16" t="n">
        <v>799</v>
      </c>
      <c r="J1941" s="17" t="inlineStr">
        <is>
          <t>########</t>
        </is>
      </c>
      <c r="K1941" s="16" t="inlineStr">
        <is>
          <t>(26)L/Pink</t>
        </is>
      </c>
      <c r="L1941" s="16" t="inlineStr">
        <is>
          <t>营业中</t>
        </is>
      </c>
      <c r="M1941" s="16" t="inlineStr">
        <is>
          <t>EEYSG63S0126160</t>
        </is>
      </c>
      <c r="N1941" s="16">
        <f>LEFT(M1941,12)</f>
        <v/>
      </c>
      <c r="O1941" s="16" t="inlineStr">
        <is>
          <t>EEYSG63S01, (26)L/Pink, (160)160</t>
        </is>
      </c>
      <c r="P1941" s="16" t="n">
        <v>799</v>
      </c>
      <c r="Q1941" s="16" t="n">
        <v>799</v>
      </c>
      <c r="R1941" s="16" t="n">
        <v>3</v>
      </c>
      <c r="S1941" s="18" t="n">
        <v>1134</v>
      </c>
      <c r="T1941" s="16" t="n">
        <v>3</v>
      </c>
    </row>
    <row r="1942" s="103">
      <c r="A1942" s="16" t="inlineStr">
        <is>
          <t>B331</t>
        </is>
      </c>
      <c r="B1942" s="16" t="inlineStr">
        <is>
          <t>上海区域</t>
        </is>
      </c>
      <c r="C1942" s="16" t="inlineStr">
        <is>
          <t>CN0Q</t>
        </is>
      </c>
      <c r="D1942" s="16" t="inlineStr">
        <is>
          <t>EE 苏州比斯特购物村</t>
        </is>
      </c>
      <c r="E1942" s="16" t="n">
        <v>4</v>
      </c>
      <c r="F1942" s="16" t="inlineStr">
        <is>
          <t>奥特莱斯</t>
        </is>
      </c>
      <c r="G1942" s="16" t="inlineStr">
        <is>
          <t>EEYSG63S01</t>
        </is>
      </c>
      <c r="H1942" s="16" t="n">
        <v>799</v>
      </c>
      <c r="I1942" s="16" t="n">
        <v>799</v>
      </c>
      <c r="J1942" s="17" t="inlineStr">
        <is>
          <t>########</t>
        </is>
      </c>
      <c r="K1942" s="16" t="inlineStr">
        <is>
          <t>(26)L/Pink</t>
        </is>
      </c>
      <c r="L1942" s="16" t="inlineStr">
        <is>
          <t>营业中</t>
        </is>
      </c>
      <c r="M1942" s="16" t="inlineStr">
        <is>
          <t>EEYSG63S0126165</t>
        </is>
      </c>
      <c r="N1942" s="16">
        <f>LEFT(M1942,12)</f>
        <v/>
      </c>
      <c r="O1942" s="16" t="inlineStr">
        <is>
          <t>EEYSG63S01, (26)L/Pink, (165)165</t>
        </is>
      </c>
      <c r="P1942" s="16" t="n">
        <v>799</v>
      </c>
      <c r="Q1942" s="16" t="n">
        <v>799</v>
      </c>
      <c r="R1942" s="16" t="n"/>
      <c r="S1942" s="16" t="n"/>
      <c r="T1942" s="16" t="n">
        <v>4</v>
      </c>
    </row>
    <row r="1943" s="103">
      <c r="A1943" s="16" t="inlineStr">
        <is>
          <t>B331</t>
        </is>
      </c>
      <c r="B1943" s="16" t="inlineStr">
        <is>
          <t>上海区域</t>
        </is>
      </c>
      <c r="C1943" s="16" t="inlineStr">
        <is>
          <t>CN0Q</t>
        </is>
      </c>
      <c r="D1943" s="16" t="inlineStr">
        <is>
          <t>EE 苏州比斯特购物村</t>
        </is>
      </c>
      <c r="E1943" s="16" t="n">
        <v>4</v>
      </c>
      <c r="F1943" s="16" t="inlineStr">
        <is>
          <t>奥特莱斯</t>
        </is>
      </c>
      <c r="G1943" s="16" t="inlineStr">
        <is>
          <t>EEYSG63S01</t>
        </is>
      </c>
      <c r="H1943" s="16" t="n">
        <v>799</v>
      </c>
      <c r="I1943" s="16" t="n">
        <v>799</v>
      </c>
      <c r="J1943" s="17" t="inlineStr">
        <is>
          <t>########</t>
        </is>
      </c>
      <c r="K1943" s="16" t="inlineStr">
        <is>
          <t>(26)L/Pink</t>
        </is>
      </c>
      <c r="L1943" s="16" t="inlineStr">
        <is>
          <t>营业中</t>
        </is>
      </c>
      <c r="M1943" s="16" t="inlineStr">
        <is>
          <t>EEYSG63S0126170</t>
        </is>
      </c>
      <c r="N1943" s="16">
        <f>LEFT(M1943,12)</f>
        <v/>
      </c>
      <c r="O1943" s="16" t="inlineStr">
        <is>
          <t>EEYSG63S01, (26)L/Pink, (170)170</t>
        </is>
      </c>
      <c r="P1943" s="16" t="n">
        <v>799</v>
      </c>
      <c r="Q1943" s="16" t="n">
        <v>799</v>
      </c>
      <c r="R1943" s="16" t="n">
        <v>1</v>
      </c>
      <c r="S1943" s="16" t="n">
        <v>370</v>
      </c>
      <c r="T1943" s="16" t="n">
        <v>1</v>
      </c>
    </row>
    <row r="1944" s="103">
      <c r="A1944" s="16" t="inlineStr">
        <is>
          <t>B331</t>
        </is>
      </c>
      <c r="B1944" s="16" t="inlineStr">
        <is>
          <t>上海区域</t>
        </is>
      </c>
      <c r="C1944" s="16" t="inlineStr">
        <is>
          <t>CN0Q</t>
        </is>
      </c>
      <c r="D1944" s="16" t="inlineStr">
        <is>
          <t>EE 苏州比斯特购物村</t>
        </is>
      </c>
      <c r="E1944" s="16" t="n">
        <v>4</v>
      </c>
      <c r="F1944" s="16" t="inlineStr">
        <is>
          <t>奥特莱斯</t>
        </is>
      </c>
      <c r="G1944" s="16" t="inlineStr">
        <is>
          <t>EEYSG63S01</t>
        </is>
      </c>
      <c r="H1944" s="16" t="n">
        <v>799</v>
      </c>
      <c r="I1944" s="16" t="n">
        <v>799</v>
      </c>
      <c r="J1944" s="17" t="inlineStr">
        <is>
          <t>########</t>
        </is>
      </c>
      <c r="K1944" s="16" t="inlineStr">
        <is>
          <t>(51)L/Blue</t>
        </is>
      </c>
      <c r="L1944" s="16" t="inlineStr">
        <is>
          <t>营业中</t>
        </is>
      </c>
      <c r="M1944" s="16" t="inlineStr">
        <is>
          <t>EEYSG63S0151160</t>
        </is>
      </c>
      <c r="N1944" s="16">
        <f>LEFT(M1944,12)</f>
        <v/>
      </c>
      <c r="O1944" s="16" t="inlineStr">
        <is>
          <t>EEYSG63S01, (51)L/Blue, (160)160</t>
        </is>
      </c>
      <c r="P1944" s="16" t="n">
        <v>799</v>
      </c>
      <c r="Q1944" s="16" t="n">
        <v>799</v>
      </c>
      <c r="R1944" s="16" t="n">
        <v>4</v>
      </c>
      <c r="S1944" s="16" t="n">
        <v>764</v>
      </c>
      <c r="T1944" s="16" t="n">
        <v>0</v>
      </c>
    </row>
    <row r="1945" s="103">
      <c r="A1945" s="16" t="inlineStr">
        <is>
          <t>B331</t>
        </is>
      </c>
      <c r="B1945" s="16" t="inlineStr">
        <is>
          <t>上海区域</t>
        </is>
      </c>
      <c r="C1945" s="16" t="inlineStr">
        <is>
          <t>CN0Q</t>
        </is>
      </c>
      <c r="D1945" s="16" t="inlineStr">
        <is>
          <t>EE 苏州比斯特购物村</t>
        </is>
      </c>
      <c r="E1945" s="16" t="n">
        <v>4</v>
      </c>
      <c r="F1945" s="16" t="inlineStr">
        <is>
          <t>奥特莱斯</t>
        </is>
      </c>
      <c r="G1945" s="16" t="inlineStr">
        <is>
          <t>EEYSG63S01</t>
        </is>
      </c>
      <c r="H1945" s="16" t="n">
        <v>799</v>
      </c>
      <c r="I1945" s="16" t="n">
        <v>799</v>
      </c>
      <c r="J1945" s="17" t="inlineStr">
        <is>
          <t>########</t>
        </is>
      </c>
      <c r="K1945" s="16" t="inlineStr">
        <is>
          <t>(51)L/Blue</t>
        </is>
      </c>
      <c r="L1945" s="16" t="inlineStr">
        <is>
          <t>营业中</t>
        </is>
      </c>
      <c r="M1945" s="16" t="inlineStr">
        <is>
          <t>EEYSG63S0151165</t>
        </is>
      </c>
      <c r="N1945" s="16">
        <f>LEFT(M1945,12)</f>
        <v/>
      </c>
      <c r="O1945" s="16" t="inlineStr">
        <is>
          <t>EEYSG63S01, (51)L/Blue, (165)165</t>
        </is>
      </c>
      <c r="P1945" s="16" t="n">
        <v>799</v>
      </c>
      <c r="Q1945" s="16" t="n">
        <v>799</v>
      </c>
      <c r="R1945" s="16" t="n">
        <v>4</v>
      </c>
      <c r="S1945" s="18" t="n">
        <v>1004</v>
      </c>
      <c r="T1945" s="16" t="n">
        <v>0</v>
      </c>
    </row>
    <row r="1946" s="103">
      <c r="A1946" s="16" t="inlineStr">
        <is>
          <t>B331</t>
        </is>
      </c>
      <c r="B1946" s="16" t="inlineStr">
        <is>
          <t>上海区域</t>
        </is>
      </c>
      <c r="C1946" s="16" t="inlineStr">
        <is>
          <t>CN0Q</t>
        </is>
      </c>
      <c r="D1946" s="16" t="inlineStr">
        <is>
          <t>EE 苏州比斯特购物村</t>
        </is>
      </c>
      <c r="E1946" s="16" t="n">
        <v>4</v>
      </c>
      <c r="F1946" s="16" t="inlineStr">
        <is>
          <t>奥特莱斯</t>
        </is>
      </c>
      <c r="G1946" s="16" t="inlineStr">
        <is>
          <t>EEYSG63S01</t>
        </is>
      </c>
      <c r="H1946" s="16" t="n">
        <v>799</v>
      </c>
      <c r="I1946" s="16" t="n">
        <v>799</v>
      </c>
      <c r="J1946" s="17" t="inlineStr">
        <is>
          <t>########</t>
        </is>
      </c>
      <c r="K1946" s="16" t="inlineStr">
        <is>
          <t>(51)L/Blue</t>
        </is>
      </c>
      <c r="L1946" s="16" t="inlineStr">
        <is>
          <t>营业中</t>
        </is>
      </c>
      <c r="M1946" s="16" t="inlineStr">
        <is>
          <t>EEYSG63S0151170</t>
        </is>
      </c>
      <c r="N1946" s="16">
        <f>LEFT(M1946,12)</f>
        <v/>
      </c>
      <c r="O1946" s="16" t="inlineStr">
        <is>
          <t>EEYSG63S01, (51)L/Blue, (170)170</t>
        </is>
      </c>
      <c r="P1946" s="16" t="n">
        <v>799</v>
      </c>
      <c r="Q1946" s="16" t="n">
        <v>799</v>
      </c>
      <c r="R1946" s="16" t="n">
        <v>2</v>
      </c>
      <c r="S1946" s="16" t="n">
        <v>361</v>
      </c>
      <c r="T1946" s="16" t="n">
        <v>0</v>
      </c>
    </row>
    <row r="1947" s="103">
      <c r="A1947" s="16" t="inlineStr">
        <is>
          <t>B331</t>
        </is>
      </c>
      <c r="B1947" s="16" t="inlineStr">
        <is>
          <t>上海区域</t>
        </is>
      </c>
      <c r="C1947" s="16" t="inlineStr">
        <is>
          <t>CN0Q</t>
        </is>
      </c>
      <c r="D1947" s="16" t="inlineStr">
        <is>
          <t>EE 苏州比斯特购物村</t>
        </is>
      </c>
      <c r="E1947" s="16" t="n">
        <v>4</v>
      </c>
      <c r="F1947" s="16" t="inlineStr">
        <is>
          <t>奥特莱斯</t>
        </is>
      </c>
      <c r="G1947" s="16" t="inlineStr">
        <is>
          <t>EEYSG63S02</t>
        </is>
      </c>
      <c r="H1947" s="16" t="n">
        <v>799</v>
      </c>
      <c r="I1947" s="16" t="n">
        <v>799</v>
      </c>
      <c r="J1947" s="17" t="inlineStr">
        <is>
          <t>########</t>
        </is>
      </c>
      <c r="K1947" s="16" t="inlineStr">
        <is>
          <t>(26)L/Pink</t>
        </is>
      </c>
      <c r="L1947" s="16" t="inlineStr">
        <is>
          <t>营业中</t>
        </is>
      </c>
      <c r="M1947" s="16" t="inlineStr">
        <is>
          <t>EEYSG63S0226160</t>
        </is>
      </c>
      <c r="N1947" s="16">
        <f>LEFT(M1947,12)</f>
        <v/>
      </c>
      <c r="O1947" s="16" t="inlineStr">
        <is>
          <t>EEYSG63S02, (26)L/Pink, (160)160</t>
        </is>
      </c>
      <c r="P1947" s="16" t="n">
        <v>799</v>
      </c>
      <c r="Q1947" s="16" t="n">
        <v>799</v>
      </c>
      <c r="R1947" s="16" t="n">
        <v>4</v>
      </c>
      <c r="S1947" s="18" t="n">
        <v>1166</v>
      </c>
      <c r="T1947" s="16" t="n">
        <v>1</v>
      </c>
    </row>
    <row r="1948" s="103">
      <c r="A1948" s="16" t="inlineStr">
        <is>
          <t>B331</t>
        </is>
      </c>
      <c r="B1948" s="16" t="inlineStr">
        <is>
          <t>上海区域</t>
        </is>
      </c>
      <c r="C1948" s="16" t="inlineStr">
        <is>
          <t>CN0Q</t>
        </is>
      </c>
      <c r="D1948" s="16" t="inlineStr">
        <is>
          <t>EE 苏州比斯特购物村</t>
        </is>
      </c>
      <c r="E1948" s="16" t="n">
        <v>4</v>
      </c>
      <c r="F1948" s="16" t="inlineStr">
        <is>
          <t>奥特莱斯</t>
        </is>
      </c>
      <c r="G1948" s="16" t="inlineStr">
        <is>
          <t>EEYSG63S02</t>
        </is>
      </c>
      <c r="H1948" s="16" t="n">
        <v>799</v>
      </c>
      <c r="I1948" s="16" t="n">
        <v>799</v>
      </c>
      <c r="J1948" s="17" t="inlineStr">
        <is>
          <t>########</t>
        </is>
      </c>
      <c r="K1948" s="16" t="inlineStr">
        <is>
          <t>(26)L/Pink</t>
        </is>
      </c>
      <c r="L1948" s="16" t="inlineStr">
        <is>
          <t>营业中</t>
        </is>
      </c>
      <c r="M1948" s="16" t="inlineStr">
        <is>
          <t>EEYSG63S0226165</t>
        </is>
      </c>
      <c r="N1948" s="16">
        <f>LEFT(M1948,12)</f>
        <v/>
      </c>
      <c r="O1948" s="16" t="inlineStr">
        <is>
          <t>EEYSG63S02, (26)L/Pink, (165)165</t>
        </is>
      </c>
      <c r="P1948" s="16" t="n">
        <v>799</v>
      </c>
      <c r="Q1948" s="16" t="n">
        <v>799</v>
      </c>
      <c r="R1948" s="16" t="n">
        <v>4</v>
      </c>
      <c r="S1948" s="18" t="n">
        <v>1142</v>
      </c>
      <c r="T1948" s="16" t="n">
        <v>2</v>
      </c>
    </row>
    <row r="1949" s="103">
      <c r="A1949" s="16" t="inlineStr">
        <is>
          <t>B331</t>
        </is>
      </c>
      <c r="B1949" s="16" t="inlineStr">
        <is>
          <t>上海区域</t>
        </is>
      </c>
      <c r="C1949" s="16" t="inlineStr">
        <is>
          <t>CN0Q</t>
        </is>
      </c>
      <c r="D1949" s="16" t="inlineStr">
        <is>
          <t>EE 苏州比斯特购物村</t>
        </is>
      </c>
      <c r="E1949" s="16" t="n">
        <v>4</v>
      </c>
      <c r="F1949" s="16" t="inlineStr">
        <is>
          <t>奥特莱斯</t>
        </is>
      </c>
      <c r="G1949" s="16" t="inlineStr">
        <is>
          <t>EEYSG63S02</t>
        </is>
      </c>
      <c r="H1949" s="16" t="n">
        <v>799</v>
      </c>
      <c r="I1949" s="16" t="n">
        <v>799</v>
      </c>
      <c r="J1949" s="17" t="inlineStr">
        <is>
          <t>########</t>
        </is>
      </c>
      <c r="K1949" s="16" t="inlineStr">
        <is>
          <t>(26)L/Pink</t>
        </is>
      </c>
      <c r="L1949" s="16" t="inlineStr">
        <is>
          <t>营业中</t>
        </is>
      </c>
      <c r="M1949" s="16" t="inlineStr">
        <is>
          <t>EEYSG63S0226170</t>
        </is>
      </c>
      <c r="N1949" s="16">
        <f>LEFT(M1949,12)</f>
        <v/>
      </c>
      <c r="O1949" s="16" t="inlineStr">
        <is>
          <t>EEYSG63S02, (26)L/Pink, (170)170</t>
        </is>
      </c>
      <c r="P1949" s="16" t="n">
        <v>799</v>
      </c>
      <c r="Q1949" s="16" t="n">
        <v>799</v>
      </c>
      <c r="R1949" s="16" t="n"/>
      <c r="S1949" s="16" t="n"/>
      <c r="T1949" s="16" t="n">
        <v>2</v>
      </c>
    </row>
    <row r="1950" s="103">
      <c r="A1950" s="16" t="inlineStr">
        <is>
          <t>B331</t>
        </is>
      </c>
      <c r="B1950" s="16" t="inlineStr">
        <is>
          <t>上海区域</t>
        </is>
      </c>
      <c r="C1950" s="16" t="inlineStr">
        <is>
          <t>CN0Q</t>
        </is>
      </c>
      <c r="D1950" s="16" t="inlineStr">
        <is>
          <t>EE 苏州比斯特购物村</t>
        </is>
      </c>
      <c r="E1950" s="16" t="n">
        <v>4</v>
      </c>
      <c r="F1950" s="16" t="inlineStr">
        <is>
          <t>奥特莱斯</t>
        </is>
      </c>
      <c r="G1950" s="16" t="inlineStr">
        <is>
          <t>EEYSG63S02</t>
        </is>
      </c>
      <c r="H1950" s="16" t="n">
        <v>799</v>
      </c>
      <c r="I1950" s="16" t="n">
        <v>799</v>
      </c>
      <c r="J1950" s="17" t="inlineStr">
        <is>
          <t>########</t>
        </is>
      </c>
      <c r="K1950" s="16" t="inlineStr">
        <is>
          <t>(50)Blue</t>
        </is>
      </c>
      <c r="L1950" s="16" t="inlineStr">
        <is>
          <t>营业中</t>
        </is>
      </c>
      <c r="M1950" s="16" t="inlineStr">
        <is>
          <t>EEYSG63S0250160</t>
        </is>
      </c>
      <c r="N1950" s="16">
        <f>LEFT(M1950,12)</f>
        <v/>
      </c>
      <c r="O1950" s="16" t="inlineStr">
        <is>
          <t>EEYSG63S02, (50)Blue, (160)160</t>
        </is>
      </c>
      <c r="P1950" s="16" t="n">
        <v>799</v>
      </c>
      <c r="Q1950" s="16" t="n">
        <v>799</v>
      </c>
      <c r="R1950" s="16" t="n">
        <v>1</v>
      </c>
      <c r="S1950" s="16" t="n">
        <v>400</v>
      </c>
      <c r="T1950" s="16" t="n">
        <v>5</v>
      </c>
    </row>
    <row r="1951" s="103">
      <c r="A1951" s="16" t="inlineStr">
        <is>
          <t>B331</t>
        </is>
      </c>
      <c r="B1951" s="16" t="inlineStr">
        <is>
          <t>上海区域</t>
        </is>
      </c>
      <c r="C1951" s="16" t="inlineStr">
        <is>
          <t>CN0Q</t>
        </is>
      </c>
      <c r="D1951" s="16" t="inlineStr">
        <is>
          <t>EE 苏州比斯特购物村</t>
        </is>
      </c>
      <c r="E1951" s="16" t="n">
        <v>4</v>
      </c>
      <c r="F1951" s="16" t="inlineStr">
        <is>
          <t>奥特莱斯</t>
        </is>
      </c>
      <c r="G1951" s="16" t="inlineStr">
        <is>
          <t>EEYSG63S02</t>
        </is>
      </c>
      <c r="H1951" s="16" t="n">
        <v>799</v>
      </c>
      <c r="I1951" s="16" t="n">
        <v>799</v>
      </c>
      <c r="J1951" s="17" t="inlineStr">
        <is>
          <t>########</t>
        </is>
      </c>
      <c r="K1951" s="16" t="inlineStr">
        <is>
          <t>(50)Blue</t>
        </is>
      </c>
      <c r="L1951" s="16" t="inlineStr">
        <is>
          <t>营业中</t>
        </is>
      </c>
      <c r="M1951" s="16" t="inlineStr">
        <is>
          <t>EEYSG63S0250165</t>
        </is>
      </c>
      <c r="N1951" s="16">
        <f>LEFT(M1951,12)</f>
        <v/>
      </c>
      <c r="O1951" s="16" t="inlineStr">
        <is>
          <t>EEYSG63S02, (50)Blue, (165)165</t>
        </is>
      </c>
      <c r="P1951" s="16" t="n">
        <v>799</v>
      </c>
      <c r="Q1951" s="16" t="n">
        <v>799</v>
      </c>
      <c r="R1951" s="16" t="n">
        <v>1</v>
      </c>
      <c r="S1951" s="16" t="n">
        <v>400</v>
      </c>
      <c r="T1951" s="16" t="n">
        <v>5</v>
      </c>
    </row>
    <row r="1952" s="103">
      <c r="A1952" s="16" t="inlineStr">
        <is>
          <t>B331</t>
        </is>
      </c>
      <c r="B1952" s="16" t="inlineStr">
        <is>
          <t>上海区域</t>
        </is>
      </c>
      <c r="C1952" s="16" t="inlineStr">
        <is>
          <t>CN0Q</t>
        </is>
      </c>
      <c r="D1952" s="16" t="inlineStr">
        <is>
          <t>EE 苏州比斯特购物村</t>
        </is>
      </c>
      <c r="E1952" s="16" t="n">
        <v>4</v>
      </c>
      <c r="F1952" s="16" t="inlineStr">
        <is>
          <t>奥特莱斯</t>
        </is>
      </c>
      <c r="G1952" s="16" t="inlineStr">
        <is>
          <t>EEYSG63S02</t>
        </is>
      </c>
      <c r="H1952" s="16" t="n">
        <v>799</v>
      </c>
      <c r="I1952" s="16" t="n">
        <v>799</v>
      </c>
      <c r="J1952" s="17" t="inlineStr">
        <is>
          <t>########</t>
        </is>
      </c>
      <c r="K1952" s="16" t="inlineStr">
        <is>
          <t>(50)Blue</t>
        </is>
      </c>
      <c r="L1952" s="16" t="inlineStr">
        <is>
          <t>营业中</t>
        </is>
      </c>
      <c r="M1952" s="16" t="inlineStr">
        <is>
          <t>EEYSG63S0250170</t>
        </is>
      </c>
      <c r="N1952" s="16">
        <f>LEFT(M1952,12)</f>
        <v/>
      </c>
      <c r="O1952" s="16" t="inlineStr">
        <is>
          <t>EEYSG63S02, (50)Blue, (170)170</t>
        </is>
      </c>
      <c r="P1952" s="16" t="n">
        <v>799</v>
      </c>
      <c r="Q1952" s="16" t="n">
        <v>799</v>
      </c>
      <c r="R1952" s="16" t="n">
        <v>1</v>
      </c>
      <c r="S1952" s="16" t="n">
        <v>366</v>
      </c>
      <c r="T1952" s="16" t="n">
        <v>2</v>
      </c>
    </row>
    <row r="1953" s="103">
      <c r="A1953" s="16" t="inlineStr">
        <is>
          <t>B331</t>
        </is>
      </c>
      <c r="B1953" s="16" t="inlineStr">
        <is>
          <t>上海区域</t>
        </is>
      </c>
      <c r="C1953" s="16" t="inlineStr">
        <is>
          <t>CN0Q</t>
        </is>
      </c>
      <c r="D1953" s="16" t="inlineStr">
        <is>
          <t>EE 苏州比斯特购物村</t>
        </is>
      </c>
      <c r="E1953" s="16" t="n">
        <v>4</v>
      </c>
      <c r="F1953" s="16" t="inlineStr">
        <is>
          <t>奥特莱斯</t>
        </is>
      </c>
      <c r="G1953" s="16" t="inlineStr">
        <is>
          <t>EEYSG63S02</t>
        </is>
      </c>
      <c r="H1953" s="16" t="n">
        <v>799</v>
      </c>
      <c r="I1953" s="16" t="n">
        <v>799</v>
      </c>
      <c r="J1953" s="17" t="inlineStr">
        <is>
          <t>########</t>
        </is>
      </c>
      <c r="K1953" s="16" t="inlineStr">
        <is>
          <t>(88)Lavender</t>
        </is>
      </c>
      <c r="L1953" s="16" t="inlineStr">
        <is>
          <t>营业中</t>
        </is>
      </c>
      <c r="M1953" s="16" t="inlineStr">
        <is>
          <t>EEYSG63S0288160</t>
        </is>
      </c>
      <c r="N1953" s="16">
        <f>LEFT(M1953,12)</f>
        <v/>
      </c>
      <c r="O1953" s="16" t="inlineStr">
        <is>
          <t>EEYSG63S02, (88)Lavender, (160)160</t>
        </is>
      </c>
      <c r="P1953" s="16" t="n">
        <v>799</v>
      </c>
      <c r="Q1953" s="16" t="n">
        <v>799</v>
      </c>
      <c r="R1953" s="16" t="n">
        <v>3</v>
      </c>
      <c r="S1953" s="18" t="n">
        <v>1167</v>
      </c>
      <c r="T1953" s="16" t="n">
        <v>1</v>
      </c>
    </row>
    <row r="1954" s="103">
      <c r="A1954" s="16" t="inlineStr">
        <is>
          <t>B331</t>
        </is>
      </c>
      <c r="B1954" s="16" t="inlineStr">
        <is>
          <t>上海区域</t>
        </is>
      </c>
      <c r="C1954" s="16" t="inlineStr">
        <is>
          <t>CN0Q</t>
        </is>
      </c>
      <c r="D1954" s="16" t="inlineStr">
        <is>
          <t>EE 苏州比斯特购物村</t>
        </is>
      </c>
      <c r="E1954" s="16" t="n">
        <v>4</v>
      </c>
      <c r="F1954" s="16" t="inlineStr">
        <is>
          <t>奥特莱斯</t>
        </is>
      </c>
      <c r="G1954" s="16" t="inlineStr">
        <is>
          <t>EEYSG63S02</t>
        </is>
      </c>
      <c r="H1954" s="16" t="n">
        <v>799</v>
      </c>
      <c r="I1954" s="16" t="n">
        <v>799</v>
      </c>
      <c r="J1954" s="17" t="inlineStr">
        <is>
          <t>########</t>
        </is>
      </c>
      <c r="K1954" s="16" t="inlineStr">
        <is>
          <t>(88)Lavender</t>
        </is>
      </c>
      <c r="L1954" s="16" t="inlineStr">
        <is>
          <t>营业中</t>
        </is>
      </c>
      <c r="M1954" s="16" t="inlineStr">
        <is>
          <t>EEYSG63S0288165</t>
        </is>
      </c>
      <c r="N1954" s="16">
        <f>LEFT(M1954,12)</f>
        <v/>
      </c>
      <c r="O1954" s="16" t="inlineStr">
        <is>
          <t>EEYSG63S02, (88)Lavender, (165)165</t>
        </is>
      </c>
      <c r="P1954" s="16" t="n">
        <v>799</v>
      </c>
      <c r="Q1954" s="16" t="n">
        <v>799</v>
      </c>
      <c r="R1954" s="16" t="n">
        <v>4</v>
      </c>
      <c r="S1954" s="16" t="n">
        <v>400</v>
      </c>
      <c r="T1954" s="16" t="n">
        <v>0</v>
      </c>
    </row>
    <row r="1955" s="103">
      <c r="A1955" s="16" t="inlineStr">
        <is>
          <t>B331</t>
        </is>
      </c>
      <c r="B1955" s="16" t="inlineStr">
        <is>
          <t>上海区域</t>
        </is>
      </c>
      <c r="C1955" s="16" t="inlineStr">
        <is>
          <t>CN0Q</t>
        </is>
      </c>
      <c r="D1955" s="16" t="inlineStr">
        <is>
          <t>EE 苏州比斯特购物村</t>
        </is>
      </c>
      <c r="E1955" s="16" t="n">
        <v>4</v>
      </c>
      <c r="F1955" s="16" t="inlineStr">
        <is>
          <t>奥特莱斯</t>
        </is>
      </c>
      <c r="G1955" s="16" t="inlineStr">
        <is>
          <t>EEYSG63S02</t>
        </is>
      </c>
      <c r="H1955" s="16" t="n">
        <v>799</v>
      </c>
      <c r="I1955" s="16" t="n">
        <v>799</v>
      </c>
      <c r="J1955" s="17" t="inlineStr">
        <is>
          <t>########</t>
        </is>
      </c>
      <c r="K1955" s="16" t="inlineStr">
        <is>
          <t>(88)Lavender</t>
        </is>
      </c>
      <c r="L1955" s="16" t="inlineStr">
        <is>
          <t>营业中</t>
        </is>
      </c>
      <c r="M1955" s="16" t="inlineStr">
        <is>
          <t>EEYSG63S0288170</t>
        </is>
      </c>
      <c r="N1955" s="16">
        <f>LEFT(M1955,12)</f>
        <v/>
      </c>
      <c r="O1955" s="16" t="inlineStr">
        <is>
          <t>EEYSG63S02, (88)Lavender, (170)170</t>
        </is>
      </c>
      <c r="P1955" s="16" t="n">
        <v>799</v>
      </c>
      <c r="Q1955" s="16" t="n">
        <v>799</v>
      </c>
      <c r="R1955" s="16" t="n">
        <v>1</v>
      </c>
      <c r="S1955" s="16" t="n">
        <v>363</v>
      </c>
      <c r="T1955" s="16" t="n">
        <v>1</v>
      </c>
    </row>
    <row r="1956" s="103">
      <c r="A1956" s="16" t="inlineStr">
        <is>
          <t>B331</t>
        </is>
      </c>
      <c r="B1956" s="16" t="inlineStr">
        <is>
          <t>上海区域</t>
        </is>
      </c>
      <c r="C1956" s="16" t="inlineStr">
        <is>
          <t>CN0Q</t>
        </is>
      </c>
      <c r="D1956" s="16" t="inlineStr">
        <is>
          <t>EE 苏州比斯特购物村</t>
        </is>
      </c>
      <c r="E1956" s="16" t="n">
        <v>4</v>
      </c>
      <c r="F1956" s="16" t="inlineStr">
        <is>
          <t>奥特莱斯</t>
        </is>
      </c>
      <c r="G1956" s="16" t="inlineStr">
        <is>
          <t>EEYWF23E01</t>
        </is>
      </c>
      <c r="H1956" s="16" t="n">
        <v>799</v>
      </c>
      <c r="I1956" s="16" t="n">
        <v>799</v>
      </c>
      <c r="J1956" s="17" t="n">
        <v>45659</v>
      </c>
      <c r="K1956" s="16" t="inlineStr">
        <is>
          <t>(30)Yellow</t>
        </is>
      </c>
      <c r="L1956" s="16" t="inlineStr">
        <is>
          <t>营业中</t>
        </is>
      </c>
      <c r="M1956" s="16" t="inlineStr">
        <is>
          <t>EEYWF23E0130160</t>
        </is>
      </c>
      <c r="N1956" s="16">
        <f>LEFT(M1956,12)</f>
        <v/>
      </c>
      <c r="O1956" s="16" t="inlineStr">
        <is>
          <t>EEYWF23E01, (30)Yellow, (160)160</t>
        </is>
      </c>
      <c r="P1956" s="16" t="n">
        <v>799</v>
      </c>
      <c r="Q1956" s="16" t="n">
        <v>799</v>
      </c>
      <c r="R1956" s="16" t="n">
        <v>3</v>
      </c>
      <c r="S1956" s="16" t="n">
        <v>400</v>
      </c>
      <c r="T1956" s="16" t="n">
        <v>1</v>
      </c>
    </row>
    <row r="1957" s="103">
      <c r="A1957" s="16" t="inlineStr">
        <is>
          <t>B331</t>
        </is>
      </c>
      <c r="B1957" s="16" t="inlineStr">
        <is>
          <t>上海区域</t>
        </is>
      </c>
      <c r="C1957" s="16" t="inlineStr">
        <is>
          <t>CN0Q</t>
        </is>
      </c>
      <c r="D1957" s="16" t="inlineStr">
        <is>
          <t>EE 苏州比斯特购物村</t>
        </is>
      </c>
      <c r="E1957" s="16" t="n">
        <v>4</v>
      </c>
      <c r="F1957" s="16" t="inlineStr">
        <is>
          <t>奥特莱斯</t>
        </is>
      </c>
      <c r="G1957" s="16" t="inlineStr">
        <is>
          <t>EEYWF23E01</t>
        </is>
      </c>
      <c r="H1957" s="16" t="n">
        <v>799</v>
      </c>
      <c r="I1957" s="16" t="n">
        <v>799</v>
      </c>
      <c r="J1957" s="17" t="n">
        <v>45659</v>
      </c>
      <c r="K1957" s="16" t="inlineStr">
        <is>
          <t>(30)Yellow</t>
        </is>
      </c>
      <c r="L1957" s="16" t="inlineStr">
        <is>
          <t>营业中</t>
        </is>
      </c>
      <c r="M1957" s="16" t="inlineStr">
        <is>
          <t>EEYWF23E0130165</t>
        </is>
      </c>
      <c r="N1957" s="16">
        <f>LEFT(M1957,12)</f>
        <v/>
      </c>
      <c r="O1957" s="16" t="inlineStr">
        <is>
          <t>EEYWF23E01, (30)Yellow, (165)165</t>
        </is>
      </c>
      <c r="P1957" s="16" t="n">
        <v>799</v>
      </c>
      <c r="Q1957" s="16" t="n">
        <v>799</v>
      </c>
      <c r="R1957" s="16" t="n">
        <v>1</v>
      </c>
      <c r="S1957" s="16" t="n"/>
      <c r="T1957" s="16" t="n">
        <v>2</v>
      </c>
    </row>
    <row r="1958" s="103">
      <c r="A1958" s="16" t="inlineStr">
        <is>
          <t>B331</t>
        </is>
      </c>
      <c r="B1958" s="16" t="inlineStr">
        <is>
          <t>上海区域</t>
        </is>
      </c>
      <c r="C1958" s="16" t="inlineStr">
        <is>
          <t>CN0Q</t>
        </is>
      </c>
      <c r="D1958" s="16" t="inlineStr">
        <is>
          <t>EE 苏州比斯特购物村</t>
        </is>
      </c>
      <c r="E1958" s="16" t="n">
        <v>4</v>
      </c>
      <c r="F1958" s="16" t="inlineStr">
        <is>
          <t>奥特莱斯</t>
        </is>
      </c>
      <c r="G1958" s="16" t="inlineStr">
        <is>
          <t>EEYWF23E01</t>
        </is>
      </c>
      <c r="H1958" s="16" t="n">
        <v>799</v>
      </c>
      <c r="I1958" s="16" t="n">
        <v>799</v>
      </c>
      <c r="J1958" s="17" t="n">
        <v>45659</v>
      </c>
      <c r="K1958" s="16" t="inlineStr">
        <is>
          <t>(30)Yellow</t>
        </is>
      </c>
      <c r="L1958" s="16" t="inlineStr">
        <is>
          <t>营业中</t>
        </is>
      </c>
      <c r="M1958" s="16" t="inlineStr">
        <is>
          <t>EEYWF23E0130170</t>
        </is>
      </c>
      <c r="N1958" s="16">
        <f>LEFT(M1958,12)</f>
        <v/>
      </c>
      <c r="O1958" s="16" t="inlineStr">
        <is>
          <t>EEYWF23E01, (30)Yellow, (170)170</t>
        </is>
      </c>
      <c r="P1958" s="16" t="n">
        <v>799</v>
      </c>
      <c r="Q1958" s="16" t="n">
        <v>799</v>
      </c>
      <c r="R1958" s="16" t="n"/>
      <c r="S1958" s="16" t="n"/>
      <c r="T1958" s="16" t="n">
        <v>1</v>
      </c>
    </row>
    <row r="1959" s="103">
      <c r="A1959" s="16" t="inlineStr">
        <is>
          <t>B331</t>
        </is>
      </c>
      <c r="B1959" s="16" t="inlineStr">
        <is>
          <t>上海区域</t>
        </is>
      </c>
      <c r="C1959" s="16" t="inlineStr">
        <is>
          <t>CN0Q</t>
        </is>
      </c>
      <c r="D1959" s="16" t="inlineStr">
        <is>
          <t>EE 苏州比斯特购物村</t>
        </is>
      </c>
      <c r="E1959" s="16" t="n">
        <v>4</v>
      </c>
      <c r="F1959" s="16" t="inlineStr">
        <is>
          <t>奥特莱斯</t>
        </is>
      </c>
      <c r="G1959" s="16" t="inlineStr">
        <is>
          <t>EEYWF23E01</t>
        </is>
      </c>
      <c r="H1959" s="16" t="n">
        <v>799</v>
      </c>
      <c r="I1959" s="16" t="n">
        <v>799</v>
      </c>
      <c r="J1959" s="17" t="n">
        <v>45659</v>
      </c>
      <c r="K1959" s="16" t="inlineStr">
        <is>
          <t>(35)Beige</t>
        </is>
      </c>
      <c r="L1959" s="16" t="inlineStr">
        <is>
          <t>营业中</t>
        </is>
      </c>
      <c r="M1959" s="16" t="inlineStr">
        <is>
          <t>EEYWF23E0135160</t>
        </is>
      </c>
      <c r="N1959" s="16">
        <f>LEFT(M1959,12)</f>
        <v/>
      </c>
      <c r="O1959" s="16" t="inlineStr">
        <is>
          <t>EEYWF23E01, (35)Beige, (160)160</t>
        </is>
      </c>
      <c r="P1959" s="16" t="n">
        <v>799</v>
      </c>
      <c r="Q1959" s="16" t="n">
        <v>799</v>
      </c>
      <c r="R1959" s="16" t="n"/>
      <c r="S1959" s="16" t="n"/>
      <c r="T1959" s="16" t="n">
        <v>4</v>
      </c>
    </row>
    <row r="1960" s="103">
      <c r="A1960" s="16" t="inlineStr">
        <is>
          <t>B331</t>
        </is>
      </c>
      <c r="B1960" s="16" t="inlineStr">
        <is>
          <t>上海区域</t>
        </is>
      </c>
      <c r="C1960" s="16" t="inlineStr">
        <is>
          <t>CN0Q</t>
        </is>
      </c>
      <c r="D1960" s="16" t="inlineStr">
        <is>
          <t>EE 苏州比斯特购物村</t>
        </is>
      </c>
      <c r="E1960" s="16" t="n">
        <v>4</v>
      </c>
      <c r="F1960" s="16" t="inlineStr">
        <is>
          <t>奥特莱斯</t>
        </is>
      </c>
      <c r="G1960" s="16" t="inlineStr">
        <is>
          <t>EEYWF23E01</t>
        </is>
      </c>
      <c r="H1960" s="16" t="n">
        <v>799</v>
      </c>
      <c r="I1960" s="16" t="n">
        <v>799</v>
      </c>
      <c r="J1960" s="17" t="n">
        <v>45659</v>
      </c>
      <c r="K1960" s="16" t="inlineStr">
        <is>
          <t>(35)Beige</t>
        </is>
      </c>
      <c r="L1960" s="16" t="inlineStr">
        <is>
          <t>营业中</t>
        </is>
      </c>
      <c r="M1960" s="16" t="inlineStr">
        <is>
          <t>EEYWF23E0135165</t>
        </is>
      </c>
      <c r="N1960" s="16">
        <f>LEFT(M1960,12)</f>
        <v/>
      </c>
      <c r="O1960" s="16" t="inlineStr">
        <is>
          <t>EEYWF23E01, (35)Beige, (165)165</t>
        </is>
      </c>
      <c r="P1960" s="16" t="n">
        <v>799</v>
      </c>
      <c r="Q1960" s="16" t="n">
        <v>799</v>
      </c>
      <c r="R1960" s="16" t="n"/>
      <c r="S1960" s="16" t="n"/>
      <c r="T1960" s="16" t="n">
        <v>3</v>
      </c>
    </row>
    <row r="1961" s="103">
      <c r="A1961" s="16" t="inlineStr">
        <is>
          <t>B331</t>
        </is>
      </c>
      <c r="B1961" s="16" t="inlineStr">
        <is>
          <t>上海区域</t>
        </is>
      </c>
      <c r="C1961" s="16" t="inlineStr">
        <is>
          <t>CN0Q</t>
        </is>
      </c>
      <c r="D1961" s="16" t="inlineStr">
        <is>
          <t>EE 苏州比斯特购物村</t>
        </is>
      </c>
      <c r="E1961" s="16" t="n">
        <v>4</v>
      </c>
      <c r="F1961" s="16" t="inlineStr">
        <is>
          <t>奥特莱斯</t>
        </is>
      </c>
      <c r="G1961" s="16" t="inlineStr">
        <is>
          <t>EEYWF23E01</t>
        </is>
      </c>
      <c r="H1961" s="16" t="n">
        <v>799</v>
      </c>
      <c r="I1961" s="16" t="n">
        <v>799</v>
      </c>
      <c r="J1961" s="17" t="n">
        <v>45659</v>
      </c>
      <c r="K1961" s="16" t="inlineStr">
        <is>
          <t>(35)Beige</t>
        </is>
      </c>
      <c r="L1961" s="16" t="inlineStr">
        <is>
          <t>营业中</t>
        </is>
      </c>
      <c r="M1961" s="16" t="inlineStr">
        <is>
          <t>EEYWF23E0135170</t>
        </is>
      </c>
      <c r="N1961" s="16">
        <f>LEFT(M1961,12)</f>
        <v/>
      </c>
      <c r="O1961" s="16" t="inlineStr">
        <is>
          <t>EEYWF23E01, (35)Beige, (170)170</t>
        </is>
      </c>
      <c r="P1961" s="16" t="n">
        <v>799</v>
      </c>
      <c r="Q1961" s="16" t="n">
        <v>799</v>
      </c>
      <c r="R1961" s="16" t="n"/>
      <c r="S1961" s="16" t="n"/>
      <c r="T1961" s="16" t="n">
        <v>1</v>
      </c>
    </row>
    <row r="1962" s="103">
      <c r="A1962" s="16" t="inlineStr">
        <is>
          <t>B331</t>
        </is>
      </c>
      <c r="B1962" s="16" t="inlineStr">
        <is>
          <t>上海区域</t>
        </is>
      </c>
      <c r="C1962" s="16" t="inlineStr">
        <is>
          <t>CN0Q</t>
        </is>
      </c>
      <c r="D1962" s="16" t="inlineStr">
        <is>
          <t>EE 苏州比斯特购物村</t>
        </is>
      </c>
      <c r="E1962" s="16" t="n">
        <v>4</v>
      </c>
      <c r="F1962" s="16" t="inlineStr">
        <is>
          <t>奥特莱斯</t>
        </is>
      </c>
      <c r="G1962" s="16" t="inlineStr">
        <is>
          <t>EEYWF23E01</t>
        </is>
      </c>
      <c r="H1962" s="16" t="n">
        <v>799</v>
      </c>
      <c r="I1962" s="16" t="n">
        <v>799</v>
      </c>
      <c r="J1962" s="17" t="n">
        <v>45659</v>
      </c>
      <c r="K1962" s="16" t="inlineStr">
        <is>
          <t>(39)Ivory</t>
        </is>
      </c>
      <c r="L1962" s="16" t="inlineStr">
        <is>
          <t>营业中</t>
        </is>
      </c>
      <c r="M1962" s="16" t="inlineStr">
        <is>
          <t>EEYWF23E0139160</t>
        </is>
      </c>
      <c r="N1962" s="16">
        <f>LEFT(M1962,12)</f>
        <v/>
      </c>
      <c r="O1962" s="16" t="inlineStr">
        <is>
          <t>EEYWF23E01, (39)Ivory, (160)160</t>
        </is>
      </c>
      <c r="P1962" s="16" t="n">
        <v>799</v>
      </c>
      <c r="Q1962" s="16" t="n">
        <v>799</v>
      </c>
      <c r="R1962" s="16" t="n"/>
      <c r="S1962" s="16" t="n"/>
      <c r="T1962" s="16" t="n">
        <v>6</v>
      </c>
    </row>
    <row r="1963" s="103">
      <c r="A1963" s="16" t="inlineStr">
        <is>
          <t>B331</t>
        </is>
      </c>
      <c r="B1963" s="16" t="inlineStr">
        <is>
          <t>上海区域</t>
        </is>
      </c>
      <c r="C1963" s="16" t="inlineStr">
        <is>
          <t>CN0Q</t>
        </is>
      </c>
      <c r="D1963" s="16" t="inlineStr">
        <is>
          <t>EE 苏州比斯特购物村</t>
        </is>
      </c>
      <c r="E1963" s="16" t="n">
        <v>4</v>
      </c>
      <c r="F1963" s="16" t="inlineStr">
        <is>
          <t>奥特莱斯</t>
        </is>
      </c>
      <c r="G1963" s="16" t="inlineStr">
        <is>
          <t>EEYWF23E01</t>
        </is>
      </c>
      <c r="H1963" s="16" t="n">
        <v>799</v>
      </c>
      <c r="I1963" s="16" t="n">
        <v>799</v>
      </c>
      <c r="J1963" s="17" t="n">
        <v>45659</v>
      </c>
      <c r="K1963" s="16" t="inlineStr">
        <is>
          <t>(39)Ivory</t>
        </is>
      </c>
      <c r="L1963" s="16" t="inlineStr">
        <is>
          <t>营业中</t>
        </is>
      </c>
      <c r="M1963" s="16" t="inlineStr">
        <is>
          <t>EEYWF23E0139165</t>
        </is>
      </c>
      <c r="N1963" s="16">
        <f>LEFT(M1963,12)</f>
        <v/>
      </c>
      <c r="O1963" s="16" t="inlineStr">
        <is>
          <t>EEYWF23E01, (39)Ivory, (165)165</t>
        </is>
      </c>
      <c r="P1963" s="16" t="n">
        <v>799</v>
      </c>
      <c r="Q1963" s="16" t="n">
        <v>799</v>
      </c>
      <c r="R1963" s="16" t="n"/>
      <c r="S1963" s="16" t="n"/>
      <c r="T1963" s="16" t="n">
        <v>4</v>
      </c>
    </row>
    <row r="1964" s="103">
      <c r="A1964" s="16" t="inlineStr">
        <is>
          <t>B331</t>
        </is>
      </c>
      <c r="B1964" s="16" t="inlineStr">
        <is>
          <t>上海区域</t>
        </is>
      </c>
      <c r="C1964" s="16" t="inlineStr">
        <is>
          <t>CN0Q</t>
        </is>
      </c>
      <c r="D1964" s="16" t="inlineStr">
        <is>
          <t>EE 苏州比斯特购物村</t>
        </is>
      </c>
      <c r="E1964" s="16" t="n">
        <v>4</v>
      </c>
      <c r="F1964" s="16" t="inlineStr">
        <is>
          <t>奥特莱斯</t>
        </is>
      </c>
      <c r="G1964" s="16" t="inlineStr">
        <is>
          <t>EEYWF23E01</t>
        </is>
      </c>
      <c r="H1964" s="16" t="n">
        <v>799</v>
      </c>
      <c r="I1964" s="16" t="n">
        <v>799</v>
      </c>
      <c r="J1964" s="17" t="n">
        <v>45659</v>
      </c>
      <c r="K1964" s="16" t="inlineStr">
        <is>
          <t>(39)Ivory</t>
        </is>
      </c>
      <c r="L1964" s="16" t="inlineStr">
        <is>
          <t>营业中</t>
        </is>
      </c>
      <c r="M1964" s="16" t="inlineStr">
        <is>
          <t>EEYWF23E0139170</t>
        </is>
      </c>
      <c r="N1964" s="16">
        <f>LEFT(M1964,12)</f>
        <v/>
      </c>
      <c r="O1964" s="16" t="inlineStr">
        <is>
          <t>EEYWF23E01, (39)Ivory, (170)170</t>
        </is>
      </c>
      <c r="P1964" s="16" t="n">
        <v>799</v>
      </c>
      <c r="Q1964" s="16" t="n">
        <v>799</v>
      </c>
      <c r="R1964" s="16" t="n"/>
      <c r="S1964" s="16" t="n"/>
      <c r="T1964" s="16" t="n">
        <v>4</v>
      </c>
    </row>
    <row r="1965" s="103">
      <c r="A1965" s="16" t="inlineStr">
        <is>
          <t>B331</t>
        </is>
      </c>
      <c r="B1965" s="16" t="inlineStr">
        <is>
          <t>上海区域</t>
        </is>
      </c>
      <c r="C1965" s="16" t="inlineStr">
        <is>
          <t>CN0Q</t>
        </is>
      </c>
      <c r="D1965" s="16" t="inlineStr">
        <is>
          <t>EE 苏州比斯特购物村</t>
        </is>
      </c>
      <c r="E1965" s="16" t="n">
        <v>4</v>
      </c>
      <c r="F1965" s="16" t="inlineStr">
        <is>
          <t>奥特莱斯</t>
        </is>
      </c>
      <c r="G1965" s="16" t="inlineStr">
        <is>
          <t>EEYWF23E01</t>
        </is>
      </c>
      <c r="H1965" s="16" t="n">
        <v>799</v>
      </c>
      <c r="I1965" s="16" t="n">
        <v>799</v>
      </c>
      <c r="J1965" s="17" t="n">
        <v>45659</v>
      </c>
      <c r="K1965" s="16" t="inlineStr">
        <is>
          <t>(50)Blue</t>
        </is>
      </c>
      <c r="L1965" s="16" t="inlineStr">
        <is>
          <t>营业中</t>
        </is>
      </c>
      <c r="M1965" s="16" t="inlineStr">
        <is>
          <t>EEYWF23E0150160</t>
        </is>
      </c>
      <c r="N1965" s="16">
        <f>LEFT(M1965,12)</f>
        <v/>
      </c>
      <c r="O1965" s="16" t="inlineStr">
        <is>
          <t>EEYWF23E01, (50)Blue, (160)160</t>
        </is>
      </c>
      <c r="P1965" s="16" t="n">
        <v>799</v>
      </c>
      <c r="Q1965" s="16" t="n">
        <v>799</v>
      </c>
      <c r="R1965" s="16" t="n"/>
      <c r="S1965" s="16" t="n"/>
      <c r="T1965" s="16" t="n">
        <v>4</v>
      </c>
    </row>
    <row r="1966" s="103">
      <c r="A1966" s="16" t="inlineStr">
        <is>
          <t>B331</t>
        </is>
      </c>
      <c r="B1966" s="16" t="inlineStr">
        <is>
          <t>上海区域</t>
        </is>
      </c>
      <c r="C1966" s="16" t="inlineStr">
        <is>
          <t>CN0Q</t>
        </is>
      </c>
      <c r="D1966" s="16" t="inlineStr">
        <is>
          <t>EE 苏州比斯特购物村</t>
        </is>
      </c>
      <c r="E1966" s="16" t="n">
        <v>4</v>
      </c>
      <c r="F1966" s="16" t="inlineStr">
        <is>
          <t>奥特莱斯</t>
        </is>
      </c>
      <c r="G1966" s="16" t="inlineStr">
        <is>
          <t>EEYWF23E01</t>
        </is>
      </c>
      <c r="H1966" s="16" t="n">
        <v>799</v>
      </c>
      <c r="I1966" s="16" t="n">
        <v>799</v>
      </c>
      <c r="J1966" s="17" t="n">
        <v>45659</v>
      </c>
      <c r="K1966" s="16" t="inlineStr">
        <is>
          <t>(50)Blue</t>
        </is>
      </c>
      <c r="L1966" s="16" t="inlineStr">
        <is>
          <t>营业中</t>
        </is>
      </c>
      <c r="M1966" s="16" t="inlineStr">
        <is>
          <t>EEYWF23E0150165</t>
        </is>
      </c>
      <c r="N1966" s="16">
        <f>LEFT(M1966,12)</f>
        <v/>
      </c>
      <c r="O1966" s="16" t="inlineStr">
        <is>
          <t>EEYWF23E01, (50)Blue, (165)165</t>
        </is>
      </c>
      <c r="P1966" s="16" t="n">
        <v>799</v>
      </c>
      <c r="Q1966" s="16" t="n">
        <v>799</v>
      </c>
      <c r="R1966" s="16" t="n"/>
      <c r="S1966" s="16" t="n"/>
      <c r="T1966" s="16" t="n">
        <v>8</v>
      </c>
    </row>
    <row r="1967" s="103">
      <c r="A1967" s="16" t="inlineStr">
        <is>
          <t>B331</t>
        </is>
      </c>
      <c r="B1967" s="16" t="inlineStr">
        <is>
          <t>上海区域</t>
        </is>
      </c>
      <c r="C1967" s="16" t="inlineStr">
        <is>
          <t>CN0Q</t>
        </is>
      </c>
      <c r="D1967" s="16" t="inlineStr">
        <is>
          <t>EE 苏州比斯特购物村</t>
        </is>
      </c>
      <c r="E1967" s="16" t="n">
        <v>4</v>
      </c>
      <c r="F1967" s="16" t="inlineStr">
        <is>
          <t>奥特莱斯</t>
        </is>
      </c>
      <c r="G1967" s="16" t="inlineStr">
        <is>
          <t>EEYWF23E01</t>
        </is>
      </c>
      <c r="H1967" s="16" t="n">
        <v>799</v>
      </c>
      <c r="I1967" s="16" t="n">
        <v>799</v>
      </c>
      <c r="J1967" s="17" t="n">
        <v>45659</v>
      </c>
      <c r="K1967" s="16" t="inlineStr">
        <is>
          <t>(50)Blue</t>
        </is>
      </c>
      <c r="L1967" s="16" t="inlineStr">
        <is>
          <t>营业中</t>
        </is>
      </c>
      <c r="M1967" s="16" t="inlineStr">
        <is>
          <t>EEYWF23E0150170</t>
        </is>
      </c>
      <c r="N1967" s="16">
        <f>LEFT(M1967,12)</f>
        <v/>
      </c>
      <c r="O1967" s="16" t="inlineStr">
        <is>
          <t>EEYWF23E01, (50)Blue, (170)170</t>
        </is>
      </c>
      <c r="P1967" s="16" t="n">
        <v>799</v>
      </c>
      <c r="Q1967" s="16" t="n">
        <v>799</v>
      </c>
      <c r="R1967" s="16" t="n"/>
      <c r="S1967" s="16" t="n"/>
      <c r="T1967" s="16" t="n">
        <v>4</v>
      </c>
    </row>
    <row r="1968" s="103">
      <c r="A1968" s="16" t="inlineStr">
        <is>
          <t>B331</t>
        </is>
      </c>
      <c r="B1968" s="16" t="inlineStr">
        <is>
          <t>上海区域</t>
        </is>
      </c>
      <c r="C1968" s="16" t="inlineStr">
        <is>
          <t>CN0Q</t>
        </is>
      </c>
      <c r="D1968" s="16" t="inlineStr">
        <is>
          <t>EE 苏州比斯特购物村</t>
        </is>
      </c>
      <c r="E1968" s="16" t="n">
        <v>4</v>
      </c>
      <c r="F1968" s="16" t="inlineStr">
        <is>
          <t>奥特莱斯</t>
        </is>
      </c>
      <c r="G1968" s="16" t="inlineStr">
        <is>
          <t>EEYWF23E01</t>
        </is>
      </c>
      <c r="H1968" s="16" t="n">
        <v>799</v>
      </c>
      <c r="I1968" s="16" t="n">
        <v>799</v>
      </c>
      <c r="J1968" s="17" t="n">
        <v>45659</v>
      </c>
      <c r="K1968" s="16" t="inlineStr">
        <is>
          <t>(61)Coral</t>
        </is>
      </c>
      <c r="L1968" s="16" t="inlineStr">
        <is>
          <t>营业中</t>
        </is>
      </c>
      <c r="M1968" s="16" t="inlineStr">
        <is>
          <t>EEYWF23E0161160</t>
        </is>
      </c>
      <c r="N1968" s="16">
        <f>LEFT(M1968,12)</f>
        <v/>
      </c>
      <c r="O1968" s="16" t="inlineStr">
        <is>
          <t>EEYWF23E01, (61)Coral, (160)160</t>
        </is>
      </c>
      <c r="P1968" s="16" t="n">
        <v>799</v>
      </c>
      <c r="Q1968" s="16" t="n">
        <v>799</v>
      </c>
      <c r="R1968" s="16" t="n">
        <v>4</v>
      </c>
      <c r="S1968" s="16" t="n"/>
      <c r="T1968" s="16" t="n">
        <v>1</v>
      </c>
    </row>
    <row r="1969" s="103">
      <c r="A1969" s="16" t="inlineStr">
        <is>
          <t>B331</t>
        </is>
      </c>
      <c r="B1969" s="16" t="inlineStr">
        <is>
          <t>上海区域</t>
        </is>
      </c>
      <c r="C1969" s="16" t="inlineStr">
        <is>
          <t>CN0Q</t>
        </is>
      </c>
      <c r="D1969" s="16" t="inlineStr">
        <is>
          <t>EE 苏州比斯特购物村</t>
        </is>
      </c>
      <c r="E1969" s="16" t="n">
        <v>4</v>
      </c>
      <c r="F1969" s="16" t="inlineStr">
        <is>
          <t>奥特莱斯</t>
        </is>
      </c>
      <c r="G1969" s="16" t="inlineStr">
        <is>
          <t>EEYWF23E01</t>
        </is>
      </c>
      <c r="H1969" s="16" t="n">
        <v>799</v>
      </c>
      <c r="I1969" s="16" t="n">
        <v>799</v>
      </c>
      <c r="J1969" s="17" t="n">
        <v>45659</v>
      </c>
      <c r="K1969" s="16" t="inlineStr">
        <is>
          <t>(61)Coral</t>
        </is>
      </c>
      <c r="L1969" s="16" t="inlineStr">
        <is>
          <t>营业中</t>
        </is>
      </c>
      <c r="M1969" s="16" t="inlineStr">
        <is>
          <t>EEYWF23E0161165</t>
        </is>
      </c>
      <c r="N1969" s="16">
        <f>LEFT(M1969,12)</f>
        <v/>
      </c>
      <c r="O1969" s="16" t="inlineStr">
        <is>
          <t>EEYWF23E01, (61)Coral, (165)165</t>
        </is>
      </c>
      <c r="P1969" s="16" t="n">
        <v>799</v>
      </c>
      <c r="Q1969" s="16" t="n">
        <v>799</v>
      </c>
      <c r="R1969" s="16" t="n">
        <v>1</v>
      </c>
      <c r="S1969" s="16" t="n"/>
      <c r="T1969" s="16" t="n">
        <v>2</v>
      </c>
    </row>
    <row r="1970" s="103">
      <c r="A1970" s="16" t="inlineStr">
        <is>
          <t>B331</t>
        </is>
      </c>
      <c r="B1970" s="16" t="inlineStr">
        <is>
          <t>上海区域</t>
        </is>
      </c>
      <c r="C1970" s="16" t="inlineStr">
        <is>
          <t>CN0Q</t>
        </is>
      </c>
      <c r="D1970" s="16" t="inlineStr">
        <is>
          <t>EE 苏州比斯特购物村</t>
        </is>
      </c>
      <c r="E1970" s="16" t="n">
        <v>4</v>
      </c>
      <c r="F1970" s="16" t="inlineStr">
        <is>
          <t>奥特莱斯</t>
        </is>
      </c>
      <c r="G1970" s="16" t="inlineStr">
        <is>
          <t>EEYWF23E01</t>
        </is>
      </c>
      <c r="H1970" s="16" t="n">
        <v>799</v>
      </c>
      <c r="I1970" s="16" t="n">
        <v>799</v>
      </c>
      <c r="J1970" s="17" t="n">
        <v>45659</v>
      </c>
      <c r="K1970" s="16" t="inlineStr">
        <is>
          <t>(61)Coral</t>
        </is>
      </c>
      <c r="L1970" s="16" t="inlineStr">
        <is>
          <t>营业中</t>
        </is>
      </c>
      <c r="M1970" s="16" t="inlineStr">
        <is>
          <t>EEYWF23E0161170</t>
        </is>
      </c>
      <c r="N1970" s="16">
        <f>LEFT(M1970,12)</f>
        <v/>
      </c>
      <c r="O1970" s="16" t="inlineStr">
        <is>
          <t>EEYWF23E01, (61)Coral, (170)170</t>
        </is>
      </c>
      <c r="P1970" s="16" t="n">
        <v>799</v>
      </c>
      <c r="Q1970" s="16" t="n">
        <v>799</v>
      </c>
      <c r="R1970" s="16" t="n">
        <v>2</v>
      </c>
      <c r="S1970" s="16" t="n"/>
      <c r="T1970" s="16" t="n">
        <v>0</v>
      </c>
    </row>
    <row r="1971" s="103">
      <c r="A1971" s="16" t="inlineStr">
        <is>
          <t>B331</t>
        </is>
      </c>
      <c r="B1971" s="16" t="inlineStr">
        <is>
          <t>上海区域</t>
        </is>
      </c>
      <c r="C1971" s="16" t="inlineStr">
        <is>
          <t>CN0Q</t>
        </is>
      </c>
      <c r="D1971" s="16" t="inlineStr">
        <is>
          <t>EE 苏州比斯特购物村</t>
        </is>
      </c>
      <c r="E1971" s="16" t="n">
        <v>4</v>
      </c>
      <c r="F1971" s="16" t="inlineStr">
        <is>
          <t>奥特莱斯</t>
        </is>
      </c>
      <c r="G1971" s="16" t="inlineStr">
        <is>
          <t>EEYWF23E03</t>
        </is>
      </c>
      <c r="H1971" s="16" t="n">
        <v>599</v>
      </c>
      <c r="I1971" s="16" t="n">
        <v>599</v>
      </c>
      <c r="J1971" s="17" t="inlineStr">
        <is>
          <t>########</t>
        </is>
      </c>
      <c r="K1971" s="16" t="inlineStr">
        <is>
          <t>(25)Pink</t>
        </is>
      </c>
      <c r="L1971" s="16" t="inlineStr">
        <is>
          <t>营业中</t>
        </is>
      </c>
      <c r="M1971" s="16" t="inlineStr">
        <is>
          <t>EEYWF23E0325160</t>
        </is>
      </c>
      <c r="N1971" s="16">
        <f>LEFT(M1971,12)</f>
        <v/>
      </c>
      <c r="O1971" s="16" t="inlineStr">
        <is>
          <t>EEYWF23E03, (25)Pink, (160)160</t>
        </is>
      </c>
      <c r="P1971" s="16" t="n">
        <v>599</v>
      </c>
      <c r="Q1971" s="16" t="n">
        <v>599</v>
      </c>
      <c r="R1971" s="16" t="n"/>
      <c r="S1971" s="16" t="n"/>
      <c r="T1971" s="16" t="n">
        <v>4</v>
      </c>
    </row>
    <row r="1972" s="103">
      <c r="A1972" s="16" t="inlineStr">
        <is>
          <t>B331</t>
        </is>
      </c>
      <c r="B1972" s="16" t="inlineStr">
        <is>
          <t>上海区域</t>
        </is>
      </c>
      <c r="C1972" s="16" t="inlineStr">
        <is>
          <t>CN0Q</t>
        </is>
      </c>
      <c r="D1972" s="16" t="inlineStr">
        <is>
          <t>EE 苏州比斯特购物村</t>
        </is>
      </c>
      <c r="E1972" s="16" t="n">
        <v>4</v>
      </c>
      <c r="F1972" s="16" t="inlineStr">
        <is>
          <t>奥特莱斯</t>
        </is>
      </c>
      <c r="G1972" s="16" t="inlineStr">
        <is>
          <t>EEYWF23E03</t>
        </is>
      </c>
      <c r="H1972" s="16" t="n">
        <v>599</v>
      </c>
      <c r="I1972" s="16" t="n">
        <v>599</v>
      </c>
      <c r="J1972" s="17" t="inlineStr">
        <is>
          <t>########</t>
        </is>
      </c>
      <c r="K1972" s="16" t="inlineStr">
        <is>
          <t>(25)Pink</t>
        </is>
      </c>
      <c r="L1972" s="16" t="inlineStr">
        <is>
          <t>营业中</t>
        </is>
      </c>
      <c r="M1972" s="16" t="inlineStr">
        <is>
          <t>EEYWF23E0325165</t>
        </is>
      </c>
      <c r="N1972" s="16">
        <f>LEFT(M1972,12)</f>
        <v/>
      </c>
      <c r="O1972" s="16" t="inlineStr">
        <is>
          <t>EEYWF23E03, (25)Pink, (165)165</t>
        </is>
      </c>
      <c r="P1972" s="16" t="n">
        <v>599</v>
      </c>
      <c r="Q1972" s="16" t="n">
        <v>599</v>
      </c>
      <c r="R1972" s="16" t="n"/>
      <c r="S1972" s="16" t="n"/>
      <c r="T1972" s="16" t="n">
        <v>4</v>
      </c>
    </row>
    <row r="1973" s="103">
      <c r="A1973" s="16" t="inlineStr">
        <is>
          <t>B331</t>
        </is>
      </c>
      <c r="B1973" s="16" t="inlineStr">
        <is>
          <t>上海区域</t>
        </is>
      </c>
      <c r="C1973" s="16" t="inlineStr">
        <is>
          <t>CN0Q</t>
        </is>
      </c>
      <c r="D1973" s="16" t="inlineStr">
        <is>
          <t>EE 苏州比斯特购物村</t>
        </is>
      </c>
      <c r="E1973" s="16" t="n">
        <v>4</v>
      </c>
      <c r="F1973" s="16" t="inlineStr">
        <is>
          <t>奥特莱斯</t>
        </is>
      </c>
      <c r="G1973" s="16" t="inlineStr">
        <is>
          <t>EEYWF23E03</t>
        </is>
      </c>
      <c r="H1973" s="16" t="n">
        <v>599</v>
      </c>
      <c r="I1973" s="16" t="n">
        <v>599</v>
      </c>
      <c r="J1973" s="17" t="inlineStr">
        <is>
          <t>########</t>
        </is>
      </c>
      <c r="K1973" s="16" t="inlineStr">
        <is>
          <t>(25)Pink</t>
        </is>
      </c>
      <c r="L1973" s="16" t="inlineStr">
        <is>
          <t>营业中</t>
        </is>
      </c>
      <c r="M1973" s="16" t="inlineStr">
        <is>
          <t>EEYWF23E0325170</t>
        </is>
      </c>
      <c r="N1973" s="16">
        <f>LEFT(M1973,12)</f>
        <v/>
      </c>
      <c r="O1973" s="16" t="inlineStr">
        <is>
          <t>EEYWF23E03, (25)Pink, (170)170</t>
        </is>
      </c>
      <c r="P1973" s="16" t="n">
        <v>599</v>
      </c>
      <c r="Q1973" s="16" t="n">
        <v>599</v>
      </c>
      <c r="R1973" s="16" t="n"/>
      <c r="S1973" s="16" t="n"/>
      <c r="T1973" s="16" t="n">
        <v>2</v>
      </c>
    </row>
    <row r="1974" s="103">
      <c r="A1974" s="16" t="inlineStr">
        <is>
          <t>B331</t>
        </is>
      </c>
      <c r="B1974" s="16" t="inlineStr">
        <is>
          <t>上海区域</t>
        </is>
      </c>
      <c r="C1974" s="16" t="inlineStr">
        <is>
          <t>CN0Q</t>
        </is>
      </c>
      <c r="D1974" s="16" t="inlineStr">
        <is>
          <t>EE 苏州比斯特购物村</t>
        </is>
      </c>
      <c r="E1974" s="16" t="n">
        <v>4</v>
      </c>
      <c r="F1974" s="16" t="inlineStr">
        <is>
          <t>奥特莱斯</t>
        </is>
      </c>
      <c r="G1974" s="16" t="inlineStr">
        <is>
          <t>EEYWF23E03</t>
        </is>
      </c>
      <c r="H1974" s="16" t="n">
        <v>599</v>
      </c>
      <c r="I1974" s="16" t="n">
        <v>599</v>
      </c>
      <c r="J1974" s="17" t="inlineStr">
        <is>
          <t>########</t>
        </is>
      </c>
      <c r="K1974" s="16" t="inlineStr">
        <is>
          <t>(39)Ivory</t>
        </is>
      </c>
      <c r="L1974" s="16" t="inlineStr">
        <is>
          <t>营业中</t>
        </is>
      </c>
      <c r="M1974" s="16" t="inlineStr">
        <is>
          <t>EEYWF23E0339160</t>
        </is>
      </c>
      <c r="N1974" s="16">
        <f>LEFT(M1974,12)</f>
        <v/>
      </c>
      <c r="O1974" s="16" t="inlineStr">
        <is>
          <t>EEYWF23E03, (39)Ivory, (160)160</t>
        </is>
      </c>
      <c r="P1974" s="16" t="n">
        <v>599</v>
      </c>
      <c r="Q1974" s="16" t="n">
        <v>599</v>
      </c>
      <c r="R1974" s="16" t="n"/>
      <c r="S1974" s="16" t="n"/>
      <c r="T1974" s="16" t="n">
        <v>1</v>
      </c>
    </row>
    <row r="1975" s="103">
      <c r="A1975" s="16" t="inlineStr">
        <is>
          <t>B331</t>
        </is>
      </c>
      <c r="B1975" s="16" t="inlineStr">
        <is>
          <t>上海区域</t>
        </is>
      </c>
      <c r="C1975" s="16" t="inlineStr">
        <is>
          <t>CN0Q</t>
        </is>
      </c>
      <c r="D1975" s="16" t="inlineStr">
        <is>
          <t>EE 苏州比斯特购物村</t>
        </is>
      </c>
      <c r="E1975" s="16" t="n">
        <v>4</v>
      </c>
      <c r="F1975" s="16" t="inlineStr">
        <is>
          <t>奥特莱斯</t>
        </is>
      </c>
      <c r="G1975" s="16" t="inlineStr">
        <is>
          <t>EEYWF23E03</t>
        </is>
      </c>
      <c r="H1975" s="16" t="n">
        <v>599</v>
      </c>
      <c r="I1975" s="16" t="n">
        <v>599</v>
      </c>
      <c r="J1975" s="17" t="inlineStr">
        <is>
          <t>########</t>
        </is>
      </c>
      <c r="K1975" s="16" t="inlineStr">
        <is>
          <t>(39)Ivory</t>
        </is>
      </c>
      <c r="L1975" s="16" t="inlineStr">
        <is>
          <t>营业中</t>
        </is>
      </c>
      <c r="M1975" s="16" t="inlineStr">
        <is>
          <t>EEYWF23E0339165</t>
        </is>
      </c>
      <c r="N1975" s="16">
        <f>LEFT(M1975,12)</f>
        <v/>
      </c>
      <c r="O1975" s="16" t="inlineStr">
        <is>
          <t>EEYWF23E03, (39)Ivory, (165)165</t>
        </is>
      </c>
      <c r="P1975" s="16" t="n">
        <v>599</v>
      </c>
      <c r="Q1975" s="16" t="n">
        <v>599</v>
      </c>
      <c r="R1975" s="16" t="n"/>
      <c r="S1975" s="16" t="n"/>
      <c r="T1975" s="16" t="n">
        <v>8</v>
      </c>
    </row>
    <row r="1976" s="103">
      <c r="A1976" s="16" t="inlineStr">
        <is>
          <t>B331</t>
        </is>
      </c>
      <c r="B1976" s="16" t="inlineStr">
        <is>
          <t>上海区域</t>
        </is>
      </c>
      <c r="C1976" s="16" t="inlineStr">
        <is>
          <t>CN0Q</t>
        </is>
      </c>
      <c r="D1976" s="16" t="inlineStr">
        <is>
          <t>EE 苏州比斯特购物村</t>
        </is>
      </c>
      <c r="E1976" s="16" t="n">
        <v>4</v>
      </c>
      <c r="F1976" s="16" t="inlineStr">
        <is>
          <t>奥特莱斯</t>
        </is>
      </c>
      <c r="G1976" s="16" t="inlineStr">
        <is>
          <t>EEYWF23E03</t>
        </is>
      </c>
      <c r="H1976" s="16" t="n">
        <v>599</v>
      </c>
      <c r="I1976" s="16" t="n">
        <v>599</v>
      </c>
      <c r="J1976" s="17" t="inlineStr">
        <is>
          <t>########</t>
        </is>
      </c>
      <c r="K1976" s="16" t="inlineStr">
        <is>
          <t>(50)Blue</t>
        </is>
      </c>
      <c r="L1976" s="16" t="inlineStr">
        <is>
          <t>营业中</t>
        </is>
      </c>
      <c r="M1976" s="16" t="inlineStr">
        <is>
          <t>EEYWF23E0350160</t>
        </is>
      </c>
      <c r="N1976" s="16">
        <f>LEFT(M1976,12)</f>
        <v/>
      </c>
      <c r="O1976" s="16" t="inlineStr">
        <is>
          <t>EEYWF23E03, (50)Blue, (160)160</t>
        </is>
      </c>
      <c r="P1976" s="16" t="n">
        <v>599</v>
      </c>
      <c r="Q1976" s="16" t="n">
        <v>599</v>
      </c>
      <c r="R1976" s="16" t="n"/>
      <c r="S1976" s="16" t="n"/>
      <c r="T1976" s="16" t="n">
        <v>10</v>
      </c>
    </row>
    <row r="1977" s="103">
      <c r="A1977" s="16" t="inlineStr">
        <is>
          <t>B331</t>
        </is>
      </c>
      <c r="B1977" s="16" t="inlineStr">
        <is>
          <t>上海区域</t>
        </is>
      </c>
      <c r="C1977" s="16" t="inlineStr">
        <is>
          <t>CN0Q</t>
        </is>
      </c>
      <c r="D1977" s="16" t="inlineStr">
        <is>
          <t>EE 苏州比斯特购物村</t>
        </is>
      </c>
      <c r="E1977" s="16" t="n">
        <v>4</v>
      </c>
      <c r="F1977" s="16" t="inlineStr">
        <is>
          <t>奥特莱斯</t>
        </is>
      </c>
      <c r="G1977" s="16" t="inlineStr">
        <is>
          <t>EEYWF23E03</t>
        </is>
      </c>
      <c r="H1977" s="16" t="n">
        <v>599</v>
      </c>
      <c r="I1977" s="16" t="n">
        <v>599</v>
      </c>
      <c r="J1977" s="17" t="inlineStr">
        <is>
          <t>########</t>
        </is>
      </c>
      <c r="K1977" s="16" t="inlineStr">
        <is>
          <t>(50)Blue</t>
        </is>
      </c>
      <c r="L1977" s="16" t="inlineStr">
        <is>
          <t>营业中</t>
        </is>
      </c>
      <c r="M1977" s="16" t="inlineStr">
        <is>
          <t>EEYWF23E0350165</t>
        </is>
      </c>
      <c r="N1977" s="16">
        <f>LEFT(M1977,12)</f>
        <v/>
      </c>
      <c r="O1977" s="16" t="inlineStr">
        <is>
          <t>EEYWF23E03, (50)Blue, (165)165</t>
        </is>
      </c>
      <c r="P1977" s="16" t="n">
        <v>599</v>
      </c>
      <c r="Q1977" s="16" t="n">
        <v>599</v>
      </c>
      <c r="R1977" s="16" t="n"/>
      <c r="S1977" s="16" t="n"/>
      <c r="T1977" s="16" t="n">
        <v>6</v>
      </c>
    </row>
    <row r="1978" s="103">
      <c r="A1978" s="16" t="inlineStr">
        <is>
          <t>B331</t>
        </is>
      </c>
      <c r="B1978" s="16" t="inlineStr">
        <is>
          <t>上海区域</t>
        </is>
      </c>
      <c r="C1978" s="16" t="inlineStr">
        <is>
          <t>CN0Q</t>
        </is>
      </c>
      <c r="D1978" s="16" t="inlineStr">
        <is>
          <t>EE 苏州比斯特购物村</t>
        </is>
      </c>
      <c r="E1978" s="16" t="n">
        <v>4</v>
      </c>
      <c r="F1978" s="16" t="inlineStr">
        <is>
          <t>奥特莱斯</t>
        </is>
      </c>
      <c r="G1978" s="16" t="inlineStr">
        <is>
          <t>EEYWF23E03</t>
        </is>
      </c>
      <c r="H1978" s="16" t="n">
        <v>599</v>
      </c>
      <c r="I1978" s="16" t="n">
        <v>599</v>
      </c>
      <c r="J1978" s="17" t="inlineStr">
        <is>
          <t>########</t>
        </is>
      </c>
      <c r="K1978" s="16" t="inlineStr">
        <is>
          <t>(50)Blue</t>
        </is>
      </c>
      <c r="L1978" s="16" t="inlineStr">
        <is>
          <t>营业中</t>
        </is>
      </c>
      <c r="M1978" s="16" t="inlineStr">
        <is>
          <t>EEYWF23E0350170</t>
        </is>
      </c>
      <c r="N1978" s="16">
        <f>LEFT(M1978,12)</f>
        <v/>
      </c>
      <c r="O1978" s="16" t="inlineStr">
        <is>
          <t>EEYWF23E03, (50)Blue, (170)170</t>
        </is>
      </c>
      <c r="P1978" s="16" t="n">
        <v>599</v>
      </c>
      <c r="Q1978" s="16" t="n">
        <v>599</v>
      </c>
      <c r="R1978" s="16" t="n"/>
      <c r="S1978" s="16" t="n"/>
      <c r="T1978" s="16" t="n">
        <v>3</v>
      </c>
    </row>
    <row r="1979" s="103">
      <c r="A1979" s="16" t="inlineStr">
        <is>
          <t>B331</t>
        </is>
      </c>
      <c r="B1979" s="16" t="inlineStr">
        <is>
          <t>上海区域</t>
        </is>
      </c>
      <c r="C1979" s="16" t="inlineStr">
        <is>
          <t>CN0Q</t>
        </is>
      </c>
      <c r="D1979" s="16" t="inlineStr">
        <is>
          <t>EE 苏州比斯特购物村</t>
        </is>
      </c>
      <c r="E1979" s="16" t="n">
        <v>4</v>
      </c>
      <c r="F1979" s="16" t="inlineStr">
        <is>
          <t>奥特莱斯</t>
        </is>
      </c>
      <c r="G1979" s="16" t="inlineStr">
        <is>
          <t>EEYWF23R31</t>
        </is>
      </c>
      <c r="H1979" s="16" t="n">
        <v>599</v>
      </c>
      <c r="I1979" s="16" t="n">
        <v>599</v>
      </c>
      <c r="J1979" s="17" t="inlineStr">
        <is>
          <t>########</t>
        </is>
      </c>
      <c r="K1979" s="16" t="inlineStr">
        <is>
          <t>(39)Ivory</t>
        </is>
      </c>
      <c r="L1979" s="16" t="inlineStr">
        <is>
          <t>营业中</t>
        </is>
      </c>
      <c r="M1979" s="16" t="inlineStr">
        <is>
          <t>EEYWF23R3139160</t>
        </is>
      </c>
      <c r="N1979" s="16">
        <f>LEFT(M1979,12)</f>
        <v/>
      </c>
      <c r="O1979" s="16" t="inlineStr">
        <is>
          <t>EEYWF23R31, (39)Ivory, (160)160</t>
        </is>
      </c>
      <c r="P1979" s="16" t="n">
        <v>599</v>
      </c>
      <c r="Q1979" s="16" t="n">
        <v>599</v>
      </c>
      <c r="R1979" s="16" t="n"/>
      <c r="S1979" s="16" t="n"/>
      <c r="T1979" s="16" t="n">
        <v>4</v>
      </c>
    </row>
    <row r="1980" s="103">
      <c r="A1980" s="16" t="inlineStr">
        <is>
          <t>B331</t>
        </is>
      </c>
      <c r="B1980" s="16" t="inlineStr">
        <is>
          <t>上海区域</t>
        </is>
      </c>
      <c r="C1980" s="16" t="inlineStr">
        <is>
          <t>CN0Q</t>
        </is>
      </c>
      <c r="D1980" s="16" t="inlineStr">
        <is>
          <t>EE 苏州比斯特购物村</t>
        </is>
      </c>
      <c r="E1980" s="16" t="n">
        <v>4</v>
      </c>
      <c r="F1980" s="16" t="inlineStr">
        <is>
          <t>奥特莱斯</t>
        </is>
      </c>
      <c r="G1980" s="16" t="inlineStr">
        <is>
          <t>EEYWF23R31</t>
        </is>
      </c>
      <c r="H1980" s="16" t="n">
        <v>599</v>
      </c>
      <c r="I1980" s="16" t="n">
        <v>599</v>
      </c>
      <c r="J1980" s="17" t="inlineStr">
        <is>
          <t>########</t>
        </is>
      </c>
      <c r="K1980" s="16" t="inlineStr">
        <is>
          <t>(39)Ivory</t>
        </is>
      </c>
      <c r="L1980" s="16" t="inlineStr">
        <is>
          <t>营业中</t>
        </is>
      </c>
      <c r="M1980" s="16" t="inlineStr">
        <is>
          <t>EEYWF23R3139165</t>
        </is>
      </c>
      <c r="N1980" s="16">
        <f>LEFT(M1980,12)</f>
        <v/>
      </c>
      <c r="O1980" s="16" t="inlineStr">
        <is>
          <t>EEYWF23R31, (39)Ivory, (165)165</t>
        </is>
      </c>
      <c r="P1980" s="16" t="n">
        <v>599</v>
      </c>
      <c r="Q1980" s="16" t="n">
        <v>599</v>
      </c>
      <c r="R1980" s="16" t="n"/>
      <c r="S1980" s="16" t="n"/>
      <c r="T1980" s="16" t="n">
        <v>3</v>
      </c>
    </row>
    <row r="1981" s="103">
      <c r="A1981" s="16" t="inlineStr">
        <is>
          <t>B331</t>
        </is>
      </c>
      <c r="B1981" s="16" t="inlineStr">
        <is>
          <t>上海区域</t>
        </is>
      </c>
      <c r="C1981" s="16" t="inlineStr">
        <is>
          <t>CN0Q</t>
        </is>
      </c>
      <c r="D1981" s="16" t="inlineStr">
        <is>
          <t>EE 苏州比斯特购物村</t>
        </is>
      </c>
      <c r="E1981" s="16" t="n">
        <v>4</v>
      </c>
      <c r="F1981" s="16" t="inlineStr">
        <is>
          <t>奥特莱斯</t>
        </is>
      </c>
      <c r="G1981" s="16" t="inlineStr">
        <is>
          <t>EEYWF23R31</t>
        </is>
      </c>
      <c r="H1981" s="16" t="n">
        <v>599</v>
      </c>
      <c r="I1981" s="16" t="n">
        <v>599</v>
      </c>
      <c r="J1981" s="17" t="inlineStr">
        <is>
          <t>########</t>
        </is>
      </c>
      <c r="K1981" s="16" t="inlineStr">
        <is>
          <t>(39)Ivory</t>
        </is>
      </c>
      <c r="L1981" s="16" t="inlineStr">
        <is>
          <t>营业中</t>
        </is>
      </c>
      <c r="M1981" s="16" t="inlineStr">
        <is>
          <t>EEYWF23R3139170</t>
        </is>
      </c>
      <c r="N1981" s="16">
        <f>LEFT(M1981,12)</f>
        <v/>
      </c>
      <c r="O1981" s="16" t="inlineStr">
        <is>
          <t>EEYWF23R31, (39)Ivory, (170)170</t>
        </is>
      </c>
      <c r="P1981" s="16" t="n">
        <v>599</v>
      </c>
      <c r="Q1981" s="16" t="n">
        <v>599</v>
      </c>
      <c r="R1981" s="16" t="n"/>
      <c r="S1981" s="16" t="n"/>
      <c r="T1981" s="16" t="n">
        <v>1</v>
      </c>
    </row>
    <row r="1982" s="103">
      <c r="A1982" s="16" t="inlineStr">
        <is>
          <t>B331</t>
        </is>
      </c>
      <c r="B1982" s="16" t="inlineStr">
        <is>
          <t>上海区域</t>
        </is>
      </c>
      <c r="C1982" s="16" t="inlineStr">
        <is>
          <t>CN0Q</t>
        </is>
      </c>
      <c r="D1982" s="16" t="inlineStr">
        <is>
          <t>EE 苏州比斯特购物村</t>
        </is>
      </c>
      <c r="E1982" s="16" t="n">
        <v>4</v>
      </c>
      <c r="F1982" s="16" t="inlineStr">
        <is>
          <t>奥特莱斯</t>
        </is>
      </c>
      <c r="G1982" s="16" t="inlineStr">
        <is>
          <t>EEYWF24E03</t>
        </is>
      </c>
      <c r="H1982" s="16" t="n">
        <v>699</v>
      </c>
      <c r="I1982" s="16" t="n">
        <v>699</v>
      </c>
      <c r="J1982" s="17" t="n">
        <v>45721</v>
      </c>
      <c r="K1982" s="16" t="inlineStr">
        <is>
          <t>(35)Beige</t>
        </is>
      </c>
      <c r="L1982" s="16" t="inlineStr">
        <is>
          <t>营业中</t>
        </is>
      </c>
      <c r="M1982" s="16" t="inlineStr">
        <is>
          <t>EEYWF24E0335160</t>
        </is>
      </c>
      <c r="N1982" s="16">
        <f>LEFT(M1982,12)</f>
        <v/>
      </c>
      <c r="O1982" s="16" t="inlineStr">
        <is>
          <t>EEYWF24E03, (35)Beige, (160)160</t>
        </is>
      </c>
      <c r="P1982" s="16" t="n">
        <v>699</v>
      </c>
      <c r="Q1982" s="16" t="n">
        <v>699</v>
      </c>
      <c r="R1982" s="16" t="n"/>
      <c r="S1982" s="16" t="n"/>
      <c r="T1982" s="16" t="n">
        <v>1</v>
      </c>
    </row>
    <row r="1983" s="103">
      <c r="A1983" s="16" t="inlineStr">
        <is>
          <t>B331</t>
        </is>
      </c>
      <c r="B1983" s="16" t="inlineStr">
        <is>
          <t>上海区域</t>
        </is>
      </c>
      <c r="C1983" s="16" t="inlineStr">
        <is>
          <t>CN0Q</t>
        </is>
      </c>
      <c r="D1983" s="16" t="inlineStr">
        <is>
          <t>EE 苏州比斯特购物村</t>
        </is>
      </c>
      <c r="E1983" s="16" t="n">
        <v>4</v>
      </c>
      <c r="F1983" s="16" t="inlineStr">
        <is>
          <t>奥特莱斯</t>
        </is>
      </c>
      <c r="G1983" s="16" t="inlineStr">
        <is>
          <t>EEYWF24E03</t>
        </is>
      </c>
      <c r="H1983" s="16" t="n">
        <v>699</v>
      </c>
      <c r="I1983" s="16" t="n">
        <v>699</v>
      </c>
      <c r="J1983" s="17" t="n">
        <v>45721</v>
      </c>
      <c r="K1983" s="16" t="inlineStr">
        <is>
          <t>(35)Beige</t>
        </is>
      </c>
      <c r="L1983" s="16" t="inlineStr">
        <is>
          <t>营业中</t>
        </is>
      </c>
      <c r="M1983" s="16" t="inlineStr">
        <is>
          <t>EEYWF24E0335165</t>
        </is>
      </c>
      <c r="N1983" s="16">
        <f>LEFT(M1983,12)</f>
        <v/>
      </c>
      <c r="O1983" s="16" t="inlineStr">
        <is>
          <t>EEYWF24E03, (35)Beige, (165)165</t>
        </is>
      </c>
      <c r="P1983" s="16" t="n">
        <v>699</v>
      </c>
      <c r="Q1983" s="16" t="n">
        <v>699</v>
      </c>
      <c r="R1983" s="16" t="n"/>
      <c r="S1983" s="16" t="n"/>
      <c r="T1983" s="16" t="n">
        <v>2</v>
      </c>
    </row>
    <row r="1984" s="103">
      <c r="A1984" s="16" t="inlineStr">
        <is>
          <t>B331</t>
        </is>
      </c>
      <c r="B1984" s="16" t="inlineStr">
        <is>
          <t>上海区域</t>
        </is>
      </c>
      <c r="C1984" s="16" t="inlineStr">
        <is>
          <t>CN0Q</t>
        </is>
      </c>
      <c r="D1984" s="16" t="inlineStr">
        <is>
          <t>EE 苏州比斯特购物村</t>
        </is>
      </c>
      <c r="E1984" s="16" t="n">
        <v>4</v>
      </c>
      <c r="F1984" s="16" t="inlineStr">
        <is>
          <t>奥特莱斯</t>
        </is>
      </c>
      <c r="G1984" s="16" t="inlineStr">
        <is>
          <t>EEYWF24E03</t>
        </is>
      </c>
      <c r="H1984" s="16" t="n">
        <v>699</v>
      </c>
      <c r="I1984" s="16" t="n">
        <v>699</v>
      </c>
      <c r="J1984" s="17" t="n">
        <v>45721</v>
      </c>
      <c r="K1984" s="16" t="inlineStr">
        <is>
          <t>(35)Beige</t>
        </is>
      </c>
      <c r="L1984" s="16" t="inlineStr">
        <is>
          <t>营业中</t>
        </is>
      </c>
      <c r="M1984" s="16" t="inlineStr">
        <is>
          <t>EEYWF24E0335170</t>
        </is>
      </c>
      <c r="N1984" s="16">
        <f>LEFT(M1984,12)</f>
        <v/>
      </c>
      <c r="O1984" s="16" t="inlineStr">
        <is>
          <t>EEYWF24E03, (35)Beige, (170)170</t>
        </is>
      </c>
      <c r="P1984" s="16" t="n">
        <v>699</v>
      </c>
      <c r="Q1984" s="16" t="n">
        <v>699</v>
      </c>
      <c r="R1984" s="16" t="n"/>
      <c r="S1984" s="16" t="n"/>
      <c r="T1984" s="16" t="n">
        <v>1</v>
      </c>
    </row>
    <row r="1985" s="103">
      <c r="A1985" s="16" t="inlineStr">
        <is>
          <t>B331</t>
        </is>
      </c>
      <c r="B1985" s="16" t="inlineStr">
        <is>
          <t>上海区域</t>
        </is>
      </c>
      <c r="C1985" s="16" t="inlineStr">
        <is>
          <t>CN0Q</t>
        </is>
      </c>
      <c r="D1985" s="16" t="inlineStr">
        <is>
          <t>EE 苏州比斯特购物村</t>
        </is>
      </c>
      <c r="E1985" s="16" t="n">
        <v>4</v>
      </c>
      <c r="F1985" s="16" t="inlineStr">
        <is>
          <t>奥特莱斯</t>
        </is>
      </c>
      <c r="G1985" s="16" t="inlineStr">
        <is>
          <t>EEYWF24E03</t>
        </is>
      </c>
      <c r="H1985" s="16" t="n">
        <v>699</v>
      </c>
      <c r="I1985" s="16" t="n">
        <v>699</v>
      </c>
      <c r="J1985" s="17" t="n">
        <v>45721</v>
      </c>
      <c r="K1985" s="16" t="inlineStr">
        <is>
          <t>(39)Ivory</t>
        </is>
      </c>
      <c r="L1985" s="16" t="inlineStr">
        <is>
          <t>营业中</t>
        </is>
      </c>
      <c r="M1985" s="16" t="inlineStr">
        <is>
          <t>EEYWF24E0339160</t>
        </is>
      </c>
      <c r="N1985" s="16">
        <f>LEFT(M1985,12)</f>
        <v/>
      </c>
      <c r="O1985" s="16" t="inlineStr">
        <is>
          <t>EEYWF24E03, (39)Ivory, (160)160</t>
        </is>
      </c>
      <c r="P1985" s="16" t="n">
        <v>699</v>
      </c>
      <c r="Q1985" s="16" t="n">
        <v>699</v>
      </c>
      <c r="R1985" s="16" t="n"/>
      <c r="S1985" s="16" t="n"/>
      <c r="T1985" s="16" t="n">
        <v>1</v>
      </c>
    </row>
    <row r="1986" s="103">
      <c r="A1986" s="16" t="inlineStr">
        <is>
          <t>B331</t>
        </is>
      </c>
      <c r="B1986" s="16" t="inlineStr">
        <is>
          <t>上海区域</t>
        </is>
      </c>
      <c r="C1986" s="16" t="inlineStr">
        <is>
          <t>CN0Q</t>
        </is>
      </c>
      <c r="D1986" s="16" t="inlineStr">
        <is>
          <t>EE 苏州比斯特购物村</t>
        </is>
      </c>
      <c r="E1986" s="16" t="n">
        <v>4</v>
      </c>
      <c r="F1986" s="16" t="inlineStr">
        <is>
          <t>奥特莱斯</t>
        </is>
      </c>
      <c r="G1986" s="16" t="inlineStr">
        <is>
          <t>EEYWF24E03</t>
        </is>
      </c>
      <c r="H1986" s="16" t="n">
        <v>699</v>
      </c>
      <c r="I1986" s="16" t="n">
        <v>699</v>
      </c>
      <c r="J1986" s="17" t="n">
        <v>45721</v>
      </c>
      <c r="K1986" s="16" t="inlineStr">
        <is>
          <t>(39)Ivory</t>
        </is>
      </c>
      <c r="L1986" s="16" t="inlineStr">
        <is>
          <t>营业中</t>
        </is>
      </c>
      <c r="M1986" s="16" t="inlineStr">
        <is>
          <t>EEYWF24E0339165</t>
        </is>
      </c>
      <c r="N1986" s="16">
        <f>LEFT(M1986,12)</f>
        <v/>
      </c>
      <c r="O1986" s="16" t="inlineStr">
        <is>
          <t>EEYWF24E03, (39)Ivory, (165)165</t>
        </is>
      </c>
      <c r="P1986" s="16" t="n">
        <v>699</v>
      </c>
      <c r="Q1986" s="16" t="n">
        <v>699</v>
      </c>
      <c r="R1986" s="16" t="n"/>
      <c r="S1986" s="16" t="n"/>
      <c r="T1986" s="16" t="n">
        <v>3</v>
      </c>
    </row>
    <row r="1987" s="103">
      <c r="A1987" s="16" t="inlineStr">
        <is>
          <t>B331</t>
        </is>
      </c>
      <c r="B1987" s="16" t="inlineStr">
        <is>
          <t>上海区域</t>
        </is>
      </c>
      <c r="C1987" s="16" t="inlineStr">
        <is>
          <t>CN0Q</t>
        </is>
      </c>
      <c r="D1987" s="16" t="inlineStr">
        <is>
          <t>EE 苏州比斯特购物村</t>
        </is>
      </c>
      <c r="E1987" s="16" t="n">
        <v>4</v>
      </c>
      <c r="F1987" s="16" t="inlineStr">
        <is>
          <t>奥特莱斯</t>
        </is>
      </c>
      <c r="G1987" s="16" t="inlineStr">
        <is>
          <t>EEYWF24E03</t>
        </is>
      </c>
      <c r="H1987" s="16" t="n">
        <v>699</v>
      </c>
      <c r="I1987" s="16" t="n">
        <v>699</v>
      </c>
      <c r="J1987" s="17" t="n">
        <v>45721</v>
      </c>
      <c r="K1987" s="16" t="inlineStr">
        <is>
          <t>(39)Ivory</t>
        </is>
      </c>
      <c r="L1987" s="16" t="inlineStr">
        <is>
          <t>营业中</t>
        </is>
      </c>
      <c r="M1987" s="16" t="inlineStr">
        <is>
          <t>EEYWF24E0339170</t>
        </is>
      </c>
      <c r="N1987" s="16">
        <f>LEFT(M1987,12)</f>
        <v/>
      </c>
      <c r="O1987" s="16" t="inlineStr">
        <is>
          <t>EEYWF24E03, (39)Ivory, (170)170</t>
        </is>
      </c>
      <c r="P1987" s="16" t="n">
        <v>699</v>
      </c>
      <c r="Q1987" s="16" t="n">
        <v>699</v>
      </c>
      <c r="R1987" s="16" t="n"/>
      <c r="S1987" s="16" t="n"/>
      <c r="T1987" s="16" t="n">
        <v>3</v>
      </c>
    </row>
    <row r="1988" s="103">
      <c r="A1988" s="16" t="inlineStr">
        <is>
          <t>B331</t>
        </is>
      </c>
      <c r="B1988" s="16" t="inlineStr">
        <is>
          <t>上海区域</t>
        </is>
      </c>
      <c r="C1988" s="16" t="inlineStr">
        <is>
          <t>CN0Q</t>
        </is>
      </c>
      <c r="D1988" s="16" t="inlineStr">
        <is>
          <t>EE 苏州比斯特购物村</t>
        </is>
      </c>
      <c r="E1988" s="16" t="n">
        <v>4</v>
      </c>
      <c r="F1988" s="16" t="inlineStr">
        <is>
          <t>奥特莱斯</t>
        </is>
      </c>
      <c r="G1988" s="16" t="inlineStr">
        <is>
          <t>EEYWF25E01</t>
        </is>
      </c>
      <c r="H1988" s="16" t="n">
        <v>599</v>
      </c>
      <c r="I1988" s="16" t="n">
        <v>599</v>
      </c>
      <c r="J1988" s="17" t="inlineStr">
        <is>
          <t>########</t>
        </is>
      </c>
      <c r="K1988" s="16" t="inlineStr">
        <is>
          <t>(39)Ivory</t>
        </is>
      </c>
      <c r="L1988" s="16" t="inlineStr">
        <is>
          <t>营业中</t>
        </is>
      </c>
      <c r="M1988" s="16" t="inlineStr">
        <is>
          <t>EEYWF25E0139160</t>
        </is>
      </c>
      <c r="N1988" s="16">
        <f>LEFT(M1988,12)</f>
        <v/>
      </c>
      <c r="O1988" s="16" t="inlineStr">
        <is>
          <t>EEYWF25E01, (39)Ivory, (160)160</t>
        </is>
      </c>
      <c r="P1988" s="16" t="n">
        <v>599</v>
      </c>
      <c r="Q1988" s="16" t="n">
        <v>599</v>
      </c>
      <c r="R1988" s="16" t="n">
        <v>1</v>
      </c>
      <c r="S1988" s="16" t="n">
        <v>599</v>
      </c>
      <c r="T1988" s="16" t="n">
        <v>3</v>
      </c>
    </row>
    <row r="1989" s="103">
      <c r="A1989" s="16" t="inlineStr">
        <is>
          <t>B331</t>
        </is>
      </c>
      <c r="B1989" s="16" t="inlineStr">
        <is>
          <t>上海区域</t>
        </is>
      </c>
      <c r="C1989" s="16" t="inlineStr">
        <is>
          <t>CN0Q</t>
        </is>
      </c>
      <c r="D1989" s="16" t="inlineStr">
        <is>
          <t>EE 苏州比斯特购物村</t>
        </is>
      </c>
      <c r="E1989" s="16" t="n">
        <v>4</v>
      </c>
      <c r="F1989" s="16" t="inlineStr">
        <is>
          <t>奥特莱斯</t>
        </is>
      </c>
      <c r="G1989" s="16" t="inlineStr">
        <is>
          <t>EEYWF25E01</t>
        </is>
      </c>
      <c r="H1989" s="16" t="n">
        <v>599</v>
      </c>
      <c r="I1989" s="16" t="n">
        <v>599</v>
      </c>
      <c r="J1989" s="17" t="inlineStr">
        <is>
          <t>########</t>
        </is>
      </c>
      <c r="K1989" s="16" t="inlineStr">
        <is>
          <t>(39)Ivory</t>
        </is>
      </c>
      <c r="L1989" s="16" t="inlineStr">
        <is>
          <t>营业中</t>
        </is>
      </c>
      <c r="M1989" s="16" t="inlineStr">
        <is>
          <t>EEYWF25E0139165</t>
        </is>
      </c>
      <c r="N1989" s="16">
        <f>LEFT(M1989,12)</f>
        <v/>
      </c>
      <c r="O1989" s="16" t="inlineStr">
        <is>
          <t>EEYWF25E01, (39)Ivory, (165)165</t>
        </is>
      </c>
      <c r="P1989" s="16" t="n">
        <v>599</v>
      </c>
      <c r="Q1989" s="16" t="n">
        <v>599</v>
      </c>
      <c r="R1989" s="16" t="n">
        <v>-1</v>
      </c>
      <c r="S1989" s="16" t="n">
        <v>-599</v>
      </c>
      <c r="T1989" s="16" t="n">
        <v>4</v>
      </c>
    </row>
    <row r="1990" s="103">
      <c r="A1990" s="16" t="inlineStr">
        <is>
          <t>B331</t>
        </is>
      </c>
      <c r="B1990" s="16" t="inlineStr">
        <is>
          <t>上海区域</t>
        </is>
      </c>
      <c r="C1990" s="16" t="inlineStr">
        <is>
          <t>CN0Q</t>
        </is>
      </c>
      <c r="D1990" s="16" t="inlineStr">
        <is>
          <t>EE 苏州比斯特购物村</t>
        </is>
      </c>
      <c r="E1990" s="16" t="n">
        <v>4</v>
      </c>
      <c r="F1990" s="16" t="inlineStr">
        <is>
          <t>奥特莱斯</t>
        </is>
      </c>
      <c r="G1990" s="16" t="inlineStr">
        <is>
          <t>EEYWF25E01</t>
        </is>
      </c>
      <c r="H1990" s="16" t="n">
        <v>599</v>
      </c>
      <c r="I1990" s="16" t="n">
        <v>599</v>
      </c>
      <c r="J1990" s="17" t="inlineStr">
        <is>
          <t>########</t>
        </is>
      </c>
      <c r="K1990" s="16" t="inlineStr">
        <is>
          <t>(39)Ivory</t>
        </is>
      </c>
      <c r="L1990" s="16" t="inlineStr">
        <is>
          <t>营业中</t>
        </is>
      </c>
      <c r="M1990" s="16" t="inlineStr">
        <is>
          <t>EEYWF25E0139170</t>
        </is>
      </c>
      <c r="N1990" s="16">
        <f>LEFT(M1990,12)</f>
        <v/>
      </c>
      <c r="O1990" s="16" t="inlineStr">
        <is>
          <t>EEYWF25E01, (39)Ivory, (170)170</t>
        </is>
      </c>
      <c r="P1990" s="16" t="n">
        <v>599</v>
      </c>
      <c r="Q1990" s="16" t="n">
        <v>599</v>
      </c>
      <c r="R1990" s="16" t="n"/>
      <c r="S1990" s="16" t="n"/>
      <c r="T1990" s="16" t="n">
        <v>3</v>
      </c>
    </row>
    <row r="1991" s="103">
      <c r="A1991" s="16" t="inlineStr">
        <is>
          <t>B331</t>
        </is>
      </c>
      <c r="B1991" s="16" t="inlineStr">
        <is>
          <t>上海区域</t>
        </is>
      </c>
      <c r="C1991" s="16" t="inlineStr">
        <is>
          <t>CN0Q</t>
        </is>
      </c>
      <c r="D1991" s="16" t="inlineStr">
        <is>
          <t>EE 苏州比斯特购物村</t>
        </is>
      </c>
      <c r="E1991" s="16" t="n">
        <v>4</v>
      </c>
      <c r="F1991" s="16" t="inlineStr">
        <is>
          <t>奥特莱斯</t>
        </is>
      </c>
      <c r="G1991" s="16" t="inlineStr">
        <is>
          <t>EEYWF25E01</t>
        </is>
      </c>
      <c r="H1991" s="16" t="n">
        <v>599</v>
      </c>
      <c r="I1991" s="16" t="n">
        <v>599</v>
      </c>
      <c r="J1991" s="17" t="inlineStr">
        <is>
          <t>########</t>
        </is>
      </c>
      <c r="K1991" s="16" t="inlineStr">
        <is>
          <t>(50)Blue</t>
        </is>
      </c>
      <c r="L1991" s="16" t="inlineStr">
        <is>
          <t>营业中</t>
        </is>
      </c>
      <c r="M1991" s="16" t="inlineStr">
        <is>
          <t>EEYWF25E0150160</t>
        </is>
      </c>
      <c r="N1991" s="16">
        <f>LEFT(M1991,12)</f>
        <v/>
      </c>
      <c r="O1991" s="16" t="inlineStr">
        <is>
          <t>EEYWF25E01, (50)Blue, (160)160</t>
        </is>
      </c>
      <c r="P1991" s="16" t="n">
        <v>599</v>
      </c>
      <c r="Q1991" s="16" t="n">
        <v>599</v>
      </c>
      <c r="R1991" s="16" t="n"/>
      <c r="S1991" s="16" t="n"/>
      <c r="T1991" s="16" t="n">
        <v>4</v>
      </c>
    </row>
    <row r="1992" s="103">
      <c r="A1992" s="16" t="inlineStr">
        <is>
          <t>B331</t>
        </is>
      </c>
      <c r="B1992" s="16" t="inlineStr">
        <is>
          <t>上海区域</t>
        </is>
      </c>
      <c r="C1992" s="16" t="inlineStr">
        <is>
          <t>CN0Q</t>
        </is>
      </c>
      <c r="D1992" s="16" t="inlineStr">
        <is>
          <t>EE 苏州比斯特购物村</t>
        </is>
      </c>
      <c r="E1992" s="16" t="n">
        <v>4</v>
      </c>
      <c r="F1992" s="16" t="inlineStr">
        <is>
          <t>奥特莱斯</t>
        </is>
      </c>
      <c r="G1992" s="16" t="inlineStr">
        <is>
          <t>EEYWF25E01</t>
        </is>
      </c>
      <c r="H1992" s="16" t="n">
        <v>599</v>
      </c>
      <c r="I1992" s="16" t="n">
        <v>599</v>
      </c>
      <c r="J1992" s="17" t="inlineStr">
        <is>
          <t>########</t>
        </is>
      </c>
      <c r="K1992" s="16" t="inlineStr">
        <is>
          <t>(50)Blue</t>
        </is>
      </c>
      <c r="L1992" s="16" t="inlineStr">
        <is>
          <t>营业中</t>
        </is>
      </c>
      <c r="M1992" s="16" t="inlineStr">
        <is>
          <t>EEYWF25E0150165</t>
        </is>
      </c>
      <c r="N1992" s="16">
        <f>LEFT(M1992,12)</f>
        <v/>
      </c>
      <c r="O1992" s="16" t="inlineStr">
        <is>
          <t>EEYWF25E01, (50)Blue, (165)165</t>
        </is>
      </c>
      <c r="P1992" s="16" t="n">
        <v>599</v>
      </c>
      <c r="Q1992" s="16" t="n">
        <v>599</v>
      </c>
      <c r="R1992" s="16" t="n"/>
      <c r="S1992" s="16" t="n"/>
      <c r="T1992" s="16" t="n">
        <v>3</v>
      </c>
    </row>
    <row r="1993" s="103">
      <c r="A1993" s="16" t="inlineStr">
        <is>
          <t>B331</t>
        </is>
      </c>
      <c r="B1993" s="16" t="inlineStr">
        <is>
          <t>上海区域</t>
        </is>
      </c>
      <c r="C1993" s="16" t="inlineStr">
        <is>
          <t>CN0Q</t>
        </is>
      </c>
      <c r="D1993" s="16" t="inlineStr">
        <is>
          <t>EE 苏州比斯特购物村</t>
        </is>
      </c>
      <c r="E1993" s="16" t="n">
        <v>4</v>
      </c>
      <c r="F1993" s="16" t="inlineStr">
        <is>
          <t>奥特莱斯</t>
        </is>
      </c>
      <c r="G1993" s="16" t="inlineStr">
        <is>
          <t>EEYWF25E01</t>
        </is>
      </c>
      <c r="H1993" s="16" t="n">
        <v>599</v>
      </c>
      <c r="I1993" s="16" t="n">
        <v>599</v>
      </c>
      <c r="J1993" s="17" t="inlineStr">
        <is>
          <t>########</t>
        </is>
      </c>
      <c r="K1993" s="16" t="inlineStr">
        <is>
          <t>(50)Blue</t>
        </is>
      </c>
      <c r="L1993" s="16" t="inlineStr">
        <is>
          <t>营业中</t>
        </is>
      </c>
      <c r="M1993" s="16" t="inlineStr">
        <is>
          <t>EEYWF25E0150170</t>
        </is>
      </c>
      <c r="N1993" s="16">
        <f>LEFT(M1993,12)</f>
        <v/>
      </c>
      <c r="O1993" s="16" t="inlineStr">
        <is>
          <t>EEYWF25E01, (50)Blue, (170)170</t>
        </is>
      </c>
      <c r="P1993" s="16" t="n">
        <v>599</v>
      </c>
      <c r="Q1993" s="16" t="n">
        <v>599</v>
      </c>
      <c r="R1993" s="16" t="n"/>
      <c r="S1993" s="16" t="n"/>
      <c r="T1993" s="16" t="n">
        <v>4</v>
      </c>
    </row>
    <row r="1994" s="103">
      <c r="A1994" s="16" t="inlineStr">
        <is>
          <t>B331</t>
        </is>
      </c>
      <c r="B1994" s="16" t="inlineStr">
        <is>
          <t>上海区域</t>
        </is>
      </c>
      <c r="C1994" s="16" t="inlineStr">
        <is>
          <t>CN0Q</t>
        </is>
      </c>
      <c r="D1994" s="16" t="inlineStr">
        <is>
          <t>EE 苏州比斯特购物村</t>
        </is>
      </c>
      <c r="E1994" s="16" t="n">
        <v>4</v>
      </c>
      <c r="F1994" s="16" t="inlineStr">
        <is>
          <t>奥特莱斯</t>
        </is>
      </c>
      <c r="G1994" s="16" t="inlineStr">
        <is>
          <t>EEYWF25E01</t>
        </is>
      </c>
      <c r="H1994" s="16" t="n">
        <v>599</v>
      </c>
      <c r="I1994" s="16" t="n">
        <v>599</v>
      </c>
      <c r="J1994" s="17" t="inlineStr">
        <is>
          <t>########</t>
        </is>
      </c>
      <c r="K1994" s="16" t="inlineStr">
        <is>
          <t>(59)Navy</t>
        </is>
      </c>
      <c r="L1994" s="16" t="inlineStr">
        <is>
          <t>营业中</t>
        </is>
      </c>
      <c r="M1994" s="16" t="inlineStr">
        <is>
          <t>EEYWF25E0159160</t>
        </is>
      </c>
      <c r="N1994" s="16">
        <f>LEFT(M1994,12)</f>
        <v/>
      </c>
      <c r="O1994" s="16" t="inlineStr">
        <is>
          <t>EEYWF25E01, (59)Navy, (160)160</t>
        </is>
      </c>
      <c r="P1994" s="16" t="n">
        <v>599</v>
      </c>
      <c r="Q1994" s="16" t="n">
        <v>599</v>
      </c>
      <c r="R1994" s="16" t="n"/>
      <c r="S1994" s="16" t="n"/>
      <c r="T1994" s="16" t="n">
        <v>3</v>
      </c>
    </row>
    <row r="1995" s="103">
      <c r="A1995" s="16" t="inlineStr">
        <is>
          <t>B331</t>
        </is>
      </c>
      <c r="B1995" s="16" t="inlineStr">
        <is>
          <t>上海区域</t>
        </is>
      </c>
      <c r="C1995" s="16" t="inlineStr">
        <is>
          <t>CN0Q</t>
        </is>
      </c>
      <c r="D1995" s="16" t="inlineStr">
        <is>
          <t>EE 苏州比斯特购物村</t>
        </is>
      </c>
      <c r="E1995" s="16" t="n">
        <v>4</v>
      </c>
      <c r="F1995" s="16" t="inlineStr">
        <is>
          <t>奥特莱斯</t>
        </is>
      </c>
      <c r="G1995" s="16" t="inlineStr">
        <is>
          <t>EEYWF25E01</t>
        </is>
      </c>
      <c r="H1995" s="16" t="n">
        <v>599</v>
      </c>
      <c r="I1995" s="16" t="n">
        <v>599</v>
      </c>
      <c r="J1995" s="17" t="inlineStr">
        <is>
          <t>########</t>
        </is>
      </c>
      <c r="K1995" s="16" t="inlineStr">
        <is>
          <t>(59)Navy</t>
        </is>
      </c>
      <c r="L1995" s="16" t="inlineStr">
        <is>
          <t>营业中</t>
        </is>
      </c>
      <c r="M1995" s="16" t="inlineStr">
        <is>
          <t>EEYWF25E0159165</t>
        </is>
      </c>
      <c r="N1995" s="16">
        <f>LEFT(M1995,12)</f>
        <v/>
      </c>
      <c r="O1995" s="16" t="inlineStr">
        <is>
          <t>EEYWF25E01, (59)Navy, (165)165</t>
        </is>
      </c>
      <c r="P1995" s="16" t="n">
        <v>599</v>
      </c>
      <c r="Q1995" s="16" t="n">
        <v>599</v>
      </c>
      <c r="R1995" s="16" t="n">
        <v>1</v>
      </c>
      <c r="S1995" s="16" t="n">
        <v>276</v>
      </c>
      <c r="T1995" s="16" t="n">
        <v>1</v>
      </c>
    </row>
    <row r="1996" s="103">
      <c r="A1996" s="16" t="inlineStr">
        <is>
          <t>B331</t>
        </is>
      </c>
      <c r="B1996" s="16" t="inlineStr">
        <is>
          <t>上海区域</t>
        </is>
      </c>
      <c r="C1996" s="16" t="inlineStr">
        <is>
          <t>CN0Q</t>
        </is>
      </c>
      <c r="D1996" s="16" t="inlineStr">
        <is>
          <t>EE 苏州比斯特购物村</t>
        </is>
      </c>
      <c r="E1996" s="16" t="n">
        <v>4</v>
      </c>
      <c r="F1996" s="16" t="inlineStr">
        <is>
          <t>奥特莱斯</t>
        </is>
      </c>
      <c r="G1996" s="16" t="inlineStr">
        <is>
          <t>EEYWF25E01</t>
        </is>
      </c>
      <c r="H1996" s="16" t="n">
        <v>599</v>
      </c>
      <c r="I1996" s="16" t="n">
        <v>599</v>
      </c>
      <c r="J1996" s="17" t="inlineStr">
        <is>
          <t>########</t>
        </is>
      </c>
      <c r="K1996" s="16" t="inlineStr">
        <is>
          <t>(59)Navy</t>
        </is>
      </c>
      <c r="L1996" s="16" t="inlineStr">
        <is>
          <t>营业中</t>
        </is>
      </c>
      <c r="M1996" s="16" t="inlineStr">
        <is>
          <t>EEYWF25E0159170</t>
        </is>
      </c>
      <c r="N1996" s="16">
        <f>LEFT(M1996,12)</f>
        <v/>
      </c>
      <c r="O1996" s="16" t="inlineStr">
        <is>
          <t>EEYWF25E01, (59)Navy, (170)170</t>
        </is>
      </c>
      <c r="P1996" s="16" t="n">
        <v>599</v>
      </c>
      <c r="Q1996" s="16" t="n">
        <v>599</v>
      </c>
      <c r="R1996" s="16" t="n"/>
      <c r="S1996" s="16" t="n"/>
      <c r="T1996" s="16" t="n">
        <v>1</v>
      </c>
    </row>
    <row r="1997" s="103">
      <c r="A1997" s="16" t="inlineStr">
        <is>
          <t>B331</t>
        </is>
      </c>
      <c r="B1997" s="16" t="inlineStr">
        <is>
          <t>上海区域</t>
        </is>
      </c>
      <c r="C1997" s="16" t="inlineStr">
        <is>
          <t>CN0Q</t>
        </is>
      </c>
      <c r="D1997" s="16" t="inlineStr">
        <is>
          <t>EE 苏州比斯特购物村</t>
        </is>
      </c>
      <c r="E1997" s="16" t="n">
        <v>4</v>
      </c>
      <c r="F1997" s="16" t="inlineStr">
        <is>
          <t>奥特莱斯</t>
        </is>
      </c>
      <c r="G1997" s="16" t="inlineStr">
        <is>
          <t>EEYWF25E03</t>
        </is>
      </c>
      <c r="H1997" s="16" t="n">
        <v>799</v>
      </c>
      <c r="I1997" s="16" t="n">
        <v>799</v>
      </c>
      <c r="J1997" s="17" t="inlineStr">
        <is>
          <t>########</t>
        </is>
      </c>
      <c r="K1997" s="16" t="inlineStr">
        <is>
          <t>(25)Pink</t>
        </is>
      </c>
      <c r="L1997" s="16" t="inlineStr">
        <is>
          <t>营业中</t>
        </is>
      </c>
      <c r="M1997" s="16" t="inlineStr">
        <is>
          <t>EEYWF25E0325160</t>
        </is>
      </c>
      <c r="N1997" s="16">
        <f>LEFT(M1997,12)</f>
        <v/>
      </c>
      <c r="O1997" s="16" t="inlineStr">
        <is>
          <t>EEYWF25E03, (25)Pink, (160)160</t>
        </is>
      </c>
      <c r="P1997" s="16" t="n">
        <v>799</v>
      </c>
      <c r="Q1997" s="16" t="n">
        <v>799</v>
      </c>
      <c r="R1997" s="16" t="n"/>
      <c r="S1997" s="16" t="n"/>
      <c r="T1997" s="16" t="n">
        <v>1</v>
      </c>
    </row>
    <row r="1998" s="103">
      <c r="A1998" s="16" t="inlineStr">
        <is>
          <t>B331</t>
        </is>
      </c>
      <c r="B1998" s="16" t="inlineStr">
        <is>
          <t>上海区域</t>
        </is>
      </c>
      <c r="C1998" s="16" t="inlineStr">
        <is>
          <t>CN0Q</t>
        </is>
      </c>
      <c r="D1998" s="16" t="inlineStr">
        <is>
          <t>EE 苏州比斯特购物村</t>
        </is>
      </c>
      <c r="E1998" s="16" t="n">
        <v>4</v>
      </c>
      <c r="F1998" s="16" t="inlineStr">
        <is>
          <t>奥特莱斯</t>
        </is>
      </c>
      <c r="G1998" s="16" t="inlineStr">
        <is>
          <t>EEYWF25E03</t>
        </is>
      </c>
      <c r="H1998" s="16" t="n">
        <v>799</v>
      </c>
      <c r="I1998" s="16" t="n">
        <v>799</v>
      </c>
      <c r="J1998" s="17" t="inlineStr">
        <is>
          <t>########</t>
        </is>
      </c>
      <c r="K1998" s="16" t="inlineStr">
        <is>
          <t>(25)Pink</t>
        </is>
      </c>
      <c r="L1998" s="16" t="inlineStr">
        <is>
          <t>营业中</t>
        </is>
      </c>
      <c r="M1998" s="16" t="inlineStr">
        <is>
          <t>EEYWF25E0325165</t>
        </is>
      </c>
      <c r="N1998" s="16">
        <f>LEFT(M1998,12)</f>
        <v/>
      </c>
      <c r="O1998" s="16" t="inlineStr">
        <is>
          <t>EEYWF25E03, (25)Pink, (165)165</t>
        </is>
      </c>
      <c r="P1998" s="16" t="n">
        <v>799</v>
      </c>
      <c r="Q1998" s="16" t="n">
        <v>799</v>
      </c>
      <c r="R1998" s="16" t="n"/>
      <c r="S1998" s="16" t="n"/>
      <c r="T1998" s="16" t="n">
        <v>3</v>
      </c>
    </row>
    <row r="1999" s="103">
      <c r="A1999" s="16" t="inlineStr">
        <is>
          <t>B331</t>
        </is>
      </c>
      <c r="B1999" s="16" t="inlineStr">
        <is>
          <t>上海区域</t>
        </is>
      </c>
      <c r="C1999" s="16" t="inlineStr">
        <is>
          <t>CN0Q</t>
        </is>
      </c>
      <c r="D1999" s="16" t="inlineStr">
        <is>
          <t>EE 苏州比斯特购物村</t>
        </is>
      </c>
      <c r="E1999" s="16" t="n">
        <v>4</v>
      </c>
      <c r="F1999" s="16" t="inlineStr">
        <is>
          <t>奥特莱斯</t>
        </is>
      </c>
      <c r="G1999" s="16" t="inlineStr">
        <is>
          <t>EEYWF25E03</t>
        </is>
      </c>
      <c r="H1999" s="16" t="n">
        <v>799</v>
      </c>
      <c r="I1999" s="16" t="n">
        <v>799</v>
      </c>
      <c r="J1999" s="17" t="inlineStr">
        <is>
          <t>########</t>
        </is>
      </c>
      <c r="K1999" s="16" t="inlineStr">
        <is>
          <t>(25)Pink</t>
        </is>
      </c>
      <c r="L1999" s="16" t="inlineStr">
        <is>
          <t>营业中</t>
        </is>
      </c>
      <c r="M1999" s="16" t="inlineStr">
        <is>
          <t>EEYWF25E0325170</t>
        </is>
      </c>
      <c r="N1999" s="16">
        <f>LEFT(M1999,12)</f>
        <v/>
      </c>
      <c r="O1999" s="16" t="inlineStr">
        <is>
          <t>EEYWF25E03, (25)Pink, (170)170</t>
        </is>
      </c>
      <c r="P1999" s="16" t="n">
        <v>799</v>
      </c>
      <c r="Q1999" s="16" t="n">
        <v>799</v>
      </c>
      <c r="R1999" s="16" t="n"/>
      <c r="S1999" s="16" t="n"/>
      <c r="T1999" s="16" t="n">
        <v>2</v>
      </c>
    </row>
    <row r="2000" s="103">
      <c r="A2000" s="16" t="inlineStr">
        <is>
          <t>B331</t>
        </is>
      </c>
      <c r="B2000" s="16" t="inlineStr">
        <is>
          <t>上海区域</t>
        </is>
      </c>
      <c r="C2000" s="16" t="inlineStr">
        <is>
          <t>CN0Q</t>
        </is>
      </c>
      <c r="D2000" s="16" t="inlineStr">
        <is>
          <t>EE 苏州比斯特购物村</t>
        </is>
      </c>
      <c r="E2000" s="16" t="n">
        <v>4</v>
      </c>
      <c r="F2000" s="16" t="inlineStr">
        <is>
          <t>奥特莱斯</t>
        </is>
      </c>
      <c r="G2000" s="16" t="inlineStr">
        <is>
          <t>EEYWF25E03</t>
        </is>
      </c>
      <c r="H2000" s="16" t="n">
        <v>799</v>
      </c>
      <c r="I2000" s="16" t="n">
        <v>799</v>
      </c>
      <c r="J2000" s="17" t="inlineStr">
        <is>
          <t>########</t>
        </is>
      </c>
      <c r="K2000" s="16" t="inlineStr">
        <is>
          <t>(39)Ivory</t>
        </is>
      </c>
      <c r="L2000" s="16" t="inlineStr">
        <is>
          <t>营业中</t>
        </is>
      </c>
      <c r="M2000" s="16" t="inlineStr">
        <is>
          <t>EEYWF25E0339160</t>
        </is>
      </c>
      <c r="N2000" s="16">
        <f>LEFT(M2000,12)</f>
        <v/>
      </c>
      <c r="O2000" s="16" t="inlineStr">
        <is>
          <t>EEYWF25E03, (39)Ivory, (160)160</t>
        </is>
      </c>
      <c r="P2000" s="16" t="n">
        <v>799</v>
      </c>
      <c r="Q2000" s="16" t="n">
        <v>799</v>
      </c>
      <c r="R2000" s="16" t="n">
        <v>1</v>
      </c>
      <c r="S2000" s="16" t="n">
        <v>799</v>
      </c>
      <c r="T2000" s="16" t="n">
        <v>0</v>
      </c>
    </row>
    <row r="2001" s="103">
      <c r="A2001" s="16" t="inlineStr">
        <is>
          <t>B331</t>
        </is>
      </c>
      <c r="B2001" s="16" t="inlineStr">
        <is>
          <t>上海区域</t>
        </is>
      </c>
      <c r="C2001" s="16" t="inlineStr">
        <is>
          <t>CN0Q</t>
        </is>
      </c>
      <c r="D2001" s="16" t="inlineStr">
        <is>
          <t>EE 苏州比斯特购物村</t>
        </is>
      </c>
      <c r="E2001" s="16" t="n">
        <v>4</v>
      </c>
      <c r="F2001" s="16" t="inlineStr">
        <is>
          <t>奥特莱斯</t>
        </is>
      </c>
      <c r="G2001" s="16" t="inlineStr">
        <is>
          <t>EEYWF25E03</t>
        </is>
      </c>
      <c r="H2001" s="16" t="n">
        <v>799</v>
      </c>
      <c r="I2001" s="16" t="n">
        <v>799</v>
      </c>
      <c r="J2001" s="17" t="inlineStr">
        <is>
          <t>########</t>
        </is>
      </c>
      <c r="K2001" s="16" t="inlineStr">
        <is>
          <t>(39)Ivory</t>
        </is>
      </c>
      <c r="L2001" s="16" t="inlineStr">
        <is>
          <t>营业中</t>
        </is>
      </c>
      <c r="M2001" s="16" t="inlineStr">
        <is>
          <t>EEYWF25E0339165</t>
        </is>
      </c>
      <c r="N2001" s="16">
        <f>LEFT(M2001,12)</f>
        <v/>
      </c>
      <c r="O2001" s="16" t="inlineStr">
        <is>
          <t>EEYWF25E03, (39)Ivory, (165)165</t>
        </is>
      </c>
      <c r="P2001" s="16" t="n">
        <v>799</v>
      </c>
      <c r="Q2001" s="16" t="n">
        <v>799</v>
      </c>
      <c r="R2001" s="16" t="n">
        <v>-1</v>
      </c>
      <c r="S2001" s="16" t="n">
        <v>-799</v>
      </c>
      <c r="T2001" s="16" t="n">
        <v>6</v>
      </c>
    </row>
    <row r="2002" s="103">
      <c r="A2002" s="16" t="inlineStr">
        <is>
          <t>B331</t>
        </is>
      </c>
      <c r="B2002" s="16" t="inlineStr">
        <is>
          <t>上海区域</t>
        </is>
      </c>
      <c r="C2002" s="16" t="inlineStr">
        <is>
          <t>CN0Q</t>
        </is>
      </c>
      <c r="D2002" s="16" t="inlineStr">
        <is>
          <t>EE 苏州比斯特购物村</t>
        </is>
      </c>
      <c r="E2002" s="16" t="n">
        <v>4</v>
      </c>
      <c r="F2002" s="16" t="inlineStr">
        <is>
          <t>奥特莱斯</t>
        </is>
      </c>
      <c r="G2002" s="16" t="inlineStr">
        <is>
          <t>EEYWF25E03</t>
        </is>
      </c>
      <c r="H2002" s="16" t="n">
        <v>799</v>
      </c>
      <c r="I2002" s="16" t="n">
        <v>799</v>
      </c>
      <c r="J2002" s="17" t="inlineStr">
        <is>
          <t>########</t>
        </is>
      </c>
      <c r="K2002" s="16" t="inlineStr">
        <is>
          <t>(39)Ivory</t>
        </is>
      </c>
      <c r="L2002" s="16" t="inlineStr">
        <is>
          <t>营业中</t>
        </is>
      </c>
      <c r="M2002" s="16" t="inlineStr">
        <is>
          <t>EEYWF25E0339170</t>
        </is>
      </c>
      <c r="N2002" s="16">
        <f>LEFT(M2002,12)</f>
        <v/>
      </c>
      <c r="O2002" s="16" t="inlineStr">
        <is>
          <t>EEYWF25E03, (39)Ivory, (170)170</t>
        </is>
      </c>
      <c r="P2002" s="16" t="n">
        <v>799</v>
      </c>
      <c r="Q2002" s="16" t="n">
        <v>799</v>
      </c>
      <c r="R2002" s="16" t="n"/>
      <c r="S2002" s="16" t="n"/>
      <c r="T2002" s="16" t="n">
        <v>1</v>
      </c>
    </row>
    <row r="2003" s="103">
      <c r="A2003" s="16" t="inlineStr">
        <is>
          <t>B331</t>
        </is>
      </c>
      <c r="B2003" s="16" t="inlineStr">
        <is>
          <t>上海区域</t>
        </is>
      </c>
      <c r="C2003" s="16" t="inlineStr">
        <is>
          <t>CN0Q</t>
        </is>
      </c>
      <c r="D2003" s="16" t="inlineStr">
        <is>
          <t>EE 苏州比斯特购物村</t>
        </is>
      </c>
      <c r="E2003" s="16" t="n">
        <v>4</v>
      </c>
      <c r="F2003" s="16" t="inlineStr">
        <is>
          <t>奥特莱斯</t>
        </is>
      </c>
      <c r="G2003" s="16" t="inlineStr">
        <is>
          <t>EEYWF25E03</t>
        </is>
      </c>
      <c r="H2003" s="16" t="n">
        <v>799</v>
      </c>
      <c r="I2003" s="16" t="n">
        <v>799</v>
      </c>
      <c r="J2003" s="17" t="inlineStr">
        <is>
          <t>########</t>
        </is>
      </c>
      <c r="K2003" s="16" t="inlineStr">
        <is>
          <t>(50)Blue</t>
        </is>
      </c>
      <c r="L2003" s="16" t="inlineStr">
        <is>
          <t>营业中</t>
        </is>
      </c>
      <c r="M2003" s="16" t="inlineStr">
        <is>
          <t>EEYWF25E0350160</t>
        </is>
      </c>
      <c r="N2003" s="16">
        <f>LEFT(M2003,12)</f>
        <v/>
      </c>
      <c r="O2003" s="16" t="inlineStr">
        <is>
          <t>EEYWF25E03, (50)Blue, (160)160</t>
        </is>
      </c>
      <c r="P2003" s="16" t="n">
        <v>799</v>
      </c>
      <c r="Q2003" s="16" t="n">
        <v>799</v>
      </c>
      <c r="R2003" s="16" t="n"/>
      <c r="S2003" s="16" t="n"/>
      <c r="T2003" s="16" t="n">
        <v>3</v>
      </c>
    </row>
    <row r="2004" s="103">
      <c r="A2004" s="16" t="inlineStr">
        <is>
          <t>B331</t>
        </is>
      </c>
      <c r="B2004" s="16" t="inlineStr">
        <is>
          <t>上海区域</t>
        </is>
      </c>
      <c r="C2004" s="16" t="inlineStr">
        <is>
          <t>CN0Q</t>
        </is>
      </c>
      <c r="D2004" s="16" t="inlineStr">
        <is>
          <t>EE 苏州比斯特购物村</t>
        </is>
      </c>
      <c r="E2004" s="16" t="n">
        <v>4</v>
      </c>
      <c r="F2004" s="16" t="inlineStr">
        <is>
          <t>奥特莱斯</t>
        </is>
      </c>
      <c r="G2004" s="16" t="inlineStr">
        <is>
          <t>EEYWF25E03</t>
        </is>
      </c>
      <c r="H2004" s="16" t="n">
        <v>799</v>
      </c>
      <c r="I2004" s="16" t="n">
        <v>799</v>
      </c>
      <c r="J2004" s="17" t="inlineStr">
        <is>
          <t>########</t>
        </is>
      </c>
      <c r="K2004" s="16" t="inlineStr">
        <is>
          <t>(50)Blue</t>
        </is>
      </c>
      <c r="L2004" s="16" t="inlineStr">
        <is>
          <t>营业中</t>
        </is>
      </c>
      <c r="M2004" s="16" t="inlineStr">
        <is>
          <t>EEYWF25E0350165</t>
        </is>
      </c>
      <c r="N2004" s="16">
        <f>LEFT(M2004,12)</f>
        <v/>
      </c>
      <c r="O2004" s="16" t="inlineStr">
        <is>
          <t>EEYWF25E03, (50)Blue, (165)165</t>
        </is>
      </c>
      <c r="P2004" s="16" t="n">
        <v>799</v>
      </c>
      <c r="Q2004" s="16" t="n">
        <v>799</v>
      </c>
      <c r="R2004" s="16" t="n"/>
      <c r="S2004" s="16" t="n"/>
      <c r="T2004" s="16" t="n">
        <v>3</v>
      </c>
    </row>
    <row r="2005" s="103">
      <c r="A2005" s="16" t="inlineStr">
        <is>
          <t>B331</t>
        </is>
      </c>
      <c r="B2005" s="16" t="inlineStr">
        <is>
          <t>上海区域</t>
        </is>
      </c>
      <c r="C2005" s="16" t="inlineStr">
        <is>
          <t>CN0Q</t>
        </is>
      </c>
      <c r="D2005" s="16" t="inlineStr">
        <is>
          <t>EE 苏州比斯特购物村</t>
        </is>
      </c>
      <c r="E2005" s="16" t="n">
        <v>4</v>
      </c>
      <c r="F2005" s="16" t="inlineStr">
        <is>
          <t>奥特莱斯</t>
        </is>
      </c>
      <c r="G2005" s="16" t="inlineStr">
        <is>
          <t>EEYWF25E03</t>
        </is>
      </c>
      <c r="H2005" s="16" t="n">
        <v>799</v>
      </c>
      <c r="I2005" s="16" t="n">
        <v>799</v>
      </c>
      <c r="J2005" s="17" t="inlineStr">
        <is>
          <t>########</t>
        </is>
      </c>
      <c r="K2005" s="16" t="inlineStr">
        <is>
          <t>(50)Blue</t>
        </is>
      </c>
      <c r="L2005" s="16" t="inlineStr">
        <is>
          <t>营业中</t>
        </is>
      </c>
      <c r="M2005" s="16" t="inlineStr">
        <is>
          <t>EEYWF25E0350170</t>
        </is>
      </c>
      <c r="N2005" s="16">
        <f>LEFT(M2005,12)</f>
        <v/>
      </c>
      <c r="O2005" s="16" t="inlineStr">
        <is>
          <t>EEYWF25E03, (50)Blue, (170)170</t>
        </is>
      </c>
      <c r="P2005" s="16" t="n">
        <v>799</v>
      </c>
      <c r="Q2005" s="16" t="n">
        <v>799</v>
      </c>
      <c r="R2005" s="16" t="n"/>
      <c r="S2005" s="16" t="n"/>
      <c r="T2005" s="16" t="n">
        <v>1</v>
      </c>
    </row>
    <row r="2006" s="103">
      <c r="A2006" s="16" t="inlineStr">
        <is>
          <t>B331</t>
        </is>
      </c>
      <c r="B2006" s="16" t="inlineStr">
        <is>
          <t>上海区域</t>
        </is>
      </c>
      <c r="C2006" s="16" t="inlineStr">
        <is>
          <t>CN0Q</t>
        </is>
      </c>
      <c r="D2006" s="16" t="inlineStr">
        <is>
          <t>EE 苏州比斯特购物村</t>
        </is>
      </c>
      <c r="E2006" s="16" t="n">
        <v>4</v>
      </c>
      <c r="F2006" s="16" t="inlineStr">
        <is>
          <t>奥特莱斯</t>
        </is>
      </c>
      <c r="G2006" s="16" t="inlineStr">
        <is>
          <t>EEYWF25E03</t>
        </is>
      </c>
      <c r="H2006" s="16" t="n">
        <v>799</v>
      </c>
      <c r="I2006" s="16" t="n">
        <v>799</v>
      </c>
      <c r="J2006" s="17" t="inlineStr">
        <is>
          <t>########</t>
        </is>
      </c>
      <c r="K2006" s="16" t="inlineStr">
        <is>
          <t>(59)Navy</t>
        </is>
      </c>
      <c r="L2006" s="16" t="inlineStr">
        <is>
          <t>营业中</t>
        </is>
      </c>
      <c r="M2006" s="16" t="inlineStr">
        <is>
          <t>EEYWF25E0359160</t>
        </is>
      </c>
      <c r="N2006" s="16">
        <f>LEFT(M2006,12)</f>
        <v/>
      </c>
      <c r="O2006" s="16" t="inlineStr">
        <is>
          <t>EEYWF25E03, (59)Navy, (160)160</t>
        </is>
      </c>
      <c r="P2006" s="16" t="n">
        <v>799</v>
      </c>
      <c r="Q2006" s="16" t="n">
        <v>799</v>
      </c>
      <c r="R2006" s="16" t="n">
        <v>3</v>
      </c>
      <c r="S2006" s="16" t="n">
        <v>361</v>
      </c>
      <c r="T2006" s="16" t="n">
        <v>0</v>
      </c>
    </row>
    <row r="2007" s="103">
      <c r="A2007" s="16" t="inlineStr">
        <is>
          <t>B331</t>
        </is>
      </c>
      <c r="B2007" s="16" t="inlineStr">
        <is>
          <t>上海区域</t>
        </is>
      </c>
      <c r="C2007" s="16" t="inlineStr">
        <is>
          <t>CN0Q</t>
        </is>
      </c>
      <c r="D2007" s="16" t="inlineStr">
        <is>
          <t>EE 苏州比斯特购物村</t>
        </is>
      </c>
      <c r="E2007" s="16" t="n">
        <v>4</v>
      </c>
      <c r="F2007" s="16" t="inlineStr">
        <is>
          <t>奥特莱斯</t>
        </is>
      </c>
      <c r="G2007" s="16" t="inlineStr">
        <is>
          <t>EEYWF25E03</t>
        </is>
      </c>
      <c r="H2007" s="16" t="n">
        <v>799</v>
      </c>
      <c r="I2007" s="16" t="n">
        <v>799</v>
      </c>
      <c r="J2007" s="17" t="inlineStr">
        <is>
          <t>########</t>
        </is>
      </c>
      <c r="K2007" s="16" t="inlineStr">
        <is>
          <t>(59)Navy</t>
        </is>
      </c>
      <c r="L2007" s="16" t="inlineStr">
        <is>
          <t>营业中</t>
        </is>
      </c>
      <c r="M2007" s="16" t="inlineStr">
        <is>
          <t>EEYWF25E0359165</t>
        </is>
      </c>
      <c r="N2007" s="16">
        <f>LEFT(M2007,12)</f>
        <v/>
      </c>
      <c r="O2007" s="16" t="inlineStr">
        <is>
          <t>EEYWF25E03, (59)Navy, (165)165</t>
        </is>
      </c>
      <c r="P2007" s="16" t="n">
        <v>799</v>
      </c>
      <c r="Q2007" s="16" t="n">
        <v>799</v>
      </c>
      <c r="R2007" s="16" t="n">
        <v>4</v>
      </c>
      <c r="S2007" s="16" t="n">
        <v>739</v>
      </c>
      <c r="T2007" s="16" t="n">
        <v>1</v>
      </c>
    </row>
    <row r="2008" s="103">
      <c r="A2008" s="16" t="inlineStr">
        <is>
          <t>B331</t>
        </is>
      </c>
      <c r="B2008" s="16" t="inlineStr">
        <is>
          <t>上海区域</t>
        </is>
      </c>
      <c r="C2008" s="16" t="inlineStr">
        <is>
          <t>CN0Q</t>
        </is>
      </c>
      <c r="D2008" s="16" t="inlineStr">
        <is>
          <t>EE 苏州比斯特购物村</t>
        </is>
      </c>
      <c r="E2008" s="16" t="n">
        <v>4</v>
      </c>
      <c r="F2008" s="16" t="inlineStr">
        <is>
          <t>奥特莱斯</t>
        </is>
      </c>
      <c r="G2008" s="16" t="inlineStr">
        <is>
          <t>EEYWF25E03</t>
        </is>
      </c>
      <c r="H2008" s="16" t="n">
        <v>799</v>
      </c>
      <c r="I2008" s="16" t="n">
        <v>799</v>
      </c>
      <c r="J2008" s="17" t="inlineStr">
        <is>
          <t>########</t>
        </is>
      </c>
      <c r="K2008" s="16" t="inlineStr">
        <is>
          <t>(59)Navy</t>
        </is>
      </c>
      <c r="L2008" s="16" t="inlineStr">
        <is>
          <t>营业中</t>
        </is>
      </c>
      <c r="M2008" s="16" t="inlineStr">
        <is>
          <t>EEYWF25E0359170</t>
        </is>
      </c>
      <c r="N2008" s="16">
        <f>LEFT(M2008,12)</f>
        <v/>
      </c>
      <c r="O2008" s="16" t="inlineStr">
        <is>
          <t>EEYWF25E03, (59)Navy, (170)170</t>
        </is>
      </c>
      <c r="P2008" s="16" t="n">
        <v>799</v>
      </c>
      <c r="Q2008" s="16" t="n">
        <v>799</v>
      </c>
      <c r="R2008" s="16" t="n"/>
      <c r="S2008" s="16" t="n"/>
      <c r="T2008" s="16" t="n">
        <v>2</v>
      </c>
    </row>
    <row r="2009" s="103">
      <c r="A2009" s="16" t="inlineStr">
        <is>
          <t>B331</t>
        </is>
      </c>
      <c r="B2009" s="16" t="inlineStr">
        <is>
          <t>上海区域</t>
        </is>
      </c>
      <c r="C2009" s="16" t="inlineStr">
        <is>
          <t>CN0Q</t>
        </is>
      </c>
      <c r="D2009" s="16" t="inlineStr">
        <is>
          <t>EE 苏州比斯特购物村</t>
        </is>
      </c>
      <c r="E2009" s="16" t="n">
        <v>4</v>
      </c>
      <c r="F2009" s="16" t="inlineStr">
        <is>
          <t>奥特莱斯</t>
        </is>
      </c>
      <c r="G2009" s="16" t="inlineStr">
        <is>
          <t>EEYWF37E01</t>
        </is>
      </c>
      <c r="H2009" s="16" t="n">
        <v>899</v>
      </c>
      <c r="I2009" s="16" t="n">
        <v>799</v>
      </c>
      <c r="J2009" s="17" t="inlineStr">
        <is>
          <t>########</t>
        </is>
      </c>
      <c r="K2009" s="16" t="inlineStr">
        <is>
          <t>(39)Ivory</t>
        </is>
      </c>
      <c r="L2009" s="16" t="inlineStr">
        <is>
          <t>营业中</t>
        </is>
      </c>
      <c r="M2009" s="16" t="inlineStr">
        <is>
          <t>EEYWF37E0139160</t>
        </is>
      </c>
      <c r="N2009" s="16">
        <f>LEFT(M2009,12)</f>
        <v/>
      </c>
      <c r="O2009" s="16" t="inlineStr">
        <is>
          <t>EEYWF37E01, (39)Ivory, (160)160</t>
        </is>
      </c>
      <c r="P2009" s="16" t="n">
        <v>899</v>
      </c>
      <c r="Q2009" s="16" t="n">
        <v>799</v>
      </c>
      <c r="R2009" s="16" t="n"/>
      <c r="S2009" s="16" t="n"/>
      <c r="T2009" s="16" t="n">
        <v>3</v>
      </c>
    </row>
    <row r="2010" s="103">
      <c r="A2010" s="16" t="inlineStr">
        <is>
          <t>B331</t>
        </is>
      </c>
      <c r="B2010" s="16" t="inlineStr">
        <is>
          <t>上海区域</t>
        </is>
      </c>
      <c r="C2010" s="16" t="inlineStr">
        <is>
          <t>CN0Q</t>
        </is>
      </c>
      <c r="D2010" s="16" t="inlineStr">
        <is>
          <t>EE 苏州比斯特购物村</t>
        </is>
      </c>
      <c r="E2010" s="16" t="n">
        <v>4</v>
      </c>
      <c r="F2010" s="16" t="inlineStr">
        <is>
          <t>奥特莱斯</t>
        </is>
      </c>
      <c r="G2010" s="16" t="inlineStr">
        <is>
          <t>EEYWF37E01</t>
        </is>
      </c>
      <c r="H2010" s="16" t="n">
        <v>899</v>
      </c>
      <c r="I2010" s="16" t="n">
        <v>799</v>
      </c>
      <c r="J2010" s="17" t="inlineStr">
        <is>
          <t>########</t>
        </is>
      </c>
      <c r="K2010" s="16" t="inlineStr">
        <is>
          <t>(39)Ivory</t>
        </is>
      </c>
      <c r="L2010" s="16" t="inlineStr">
        <is>
          <t>营业中</t>
        </is>
      </c>
      <c r="M2010" s="16" t="inlineStr">
        <is>
          <t>EEYWF37E0139165</t>
        </is>
      </c>
      <c r="N2010" s="16">
        <f>LEFT(M2010,12)</f>
        <v/>
      </c>
      <c r="O2010" s="16" t="inlineStr">
        <is>
          <t>EEYWF37E01, (39)Ivory, (165)165</t>
        </is>
      </c>
      <c r="P2010" s="16" t="n">
        <v>899</v>
      </c>
      <c r="Q2010" s="16" t="n">
        <v>799</v>
      </c>
      <c r="R2010" s="16" t="n"/>
      <c r="S2010" s="16" t="n"/>
      <c r="T2010" s="16" t="n">
        <v>4</v>
      </c>
    </row>
    <row r="2011" s="103">
      <c r="A2011" s="16" t="inlineStr">
        <is>
          <t>B331</t>
        </is>
      </c>
      <c r="B2011" s="16" t="inlineStr">
        <is>
          <t>上海区域</t>
        </is>
      </c>
      <c r="C2011" s="16" t="inlineStr">
        <is>
          <t>CN0Q</t>
        </is>
      </c>
      <c r="D2011" s="16" t="inlineStr">
        <is>
          <t>EE 苏州比斯特购物村</t>
        </is>
      </c>
      <c r="E2011" s="16" t="n">
        <v>4</v>
      </c>
      <c r="F2011" s="16" t="inlineStr">
        <is>
          <t>奥特莱斯</t>
        </is>
      </c>
      <c r="G2011" s="16" t="inlineStr">
        <is>
          <t>EEYWF37E01</t>
        </is>
      </c>
      <c r="H2011" s="16" t="n">
        <v>899</v>
      </c>
      <c r="I2011" s="16" t="n">
        <v>799</v>
      </c>
      <c r="J2011" s="17" t="inlineStr">
        <is>
          <t>########</t>
        </is>
      </c>
      <c r="K2011" s="16" t="inlineStr">
        <is>
          <t>(50)Blue</t>
        </is>
      </c>
      <c r="L2011" s="16" t="inlineStr">
        <is>
          <t>营业中</t>
        </is>
      </c>
      <c r="M2011" s="16" t="inlineStr">
        <is>
          <t>EEYWF37E0150160</t>
        </is>
      </c>
      <c r="N2011" s="16">
        <f>LEFT(M2011,12)</f>
        <v/>
      </c>
      <c r="O2011" s="16" t="inlineStr">
        <is>
          <t>EEYWF37E01, (50)Blue, (160)160</t>
        </is>
      </c>
      <c r="P2011" s="16" t="n">
        <v>899</v>
      </c>
      <c r="Q2011" s="16" t="n">
        <v>799</v>
      </c>
      <c r="R2011" s="16" t="n"/>
      <c r="S2011" s="16" t="n"/>
      <c r="T2011" s="16" t="n">
        <v>7</v>
      </c>
    </row>
    <row r="2012" s="103">
      <c r="A2012" s="16" t="inlineStr">
        <is>
          <t>B331</t>
        </is>
      </c>
      <c r="B2012" s="16" t="inlineStr">
        <is>
          <t>上海区域</t>
        </is>
      </c>
      <c r="C2012" s="16" t="inlineStr">
        <is>
          <t>CN0Q</t>
        </is>
      </c>
      <c r="D2012" s="16" t="inlineStr">
        <is>
          <t>EE 苏州比斯特购物村</t>
        </is>
      </c>
      <c r="E2012" s="16" t="n">
        <v>4</v>
      </c>
      <c r="F2012" s="16" t="inlineStr">
        <is>
          <t>奥特莱斯</t>
        </is>
      </c>
      <c r="G2012" s="16" t="inlineStr">
        <is>
          <t>EEYWF37E01</t>
        </is>
      </c>
      <c r="H2012" s="16" t="n">
        <v>899</v>
      </c>
      <c r="I2012" s="16" t="n">
        <v>799</v>
      </c>
      <c r="J2012" s="17" t="inlineStr">
        <is>
          <t>########</t>
        </is>
      </c>
      <c r="K2012" s="16" t="inlineStr">
        <is>
          <t>(50)Blue</t>
        </is>
      </c>
      <c r="L2012" s="16" t="inlineStr">
        <is>
          <t>营业中</t>
        </is>
      </c>
      <c r="M2012" s="16" t="inlineStr">
        <is>
          <t>EEYWF37E0150165</t>
        </is>
      </c>
      <c r="N2012" s="16">
        <f>LEFT(M2012,12)</f>
        <v/>
      </c>
      <c r="O2012" s="16" t="inlineStr">
        <is>
          <t>EEYWF37E01, (50)Blue, (165)165</t>
        </is>
      </c>
      <c r="P2012" s="16" t="n">
        <v>899</v>
      </c>
      <c r="Q2012" s="16" t="n">
        <v>799</v>
      </c>
      <c r="R2012" s="16" t="n"/>
      <c r="S2012" s="16" t="n"/>
      <c r="T2012" s="16" t="n">
        <v>3</v>
      </c>
    </row>
    <row r="2013" s="103">
      <c r="A2013" s="16" t="inlineStr">
        <is>
          <t>B331</t>
        </is>
      </c>
      <c r="B2013" s="16" t="inlineStr">
        <is>
          <t>上海区域</t>
        </is>
      </c>
      <c r="C2013" s="16" t="inlineStr">
        <is>
          <t>CN0Q</t>
        </is>
      </c>
      <c r="D2013" s="16" t="inlineStr">
        <is>
          <t>EE 苏州比斯特购物村</t>
        </is>
      </c>
      <c r="E2013" s="16" t="n">
        <v>4</v>
      </c>
      <c r="F2013" s="16" t="inlineStr">
        <is>
          <t>奥特莱斯</t>
        </is>
      </c>
      <c r="G2013" s="16" t="inlineStr">
        <is>
          <t>EEYWF37E01</t>
        </is>
      </c>
      <c r="H2013" s="16" t="n">
        <v>899</v>
      </c>
      <c r="I2013" s="16" t="n">
        <v>799</v>
      </c>
      <c r="J2013" s="17" t="inlineStr">
        <is>
          <t>########</t>
        </is>
      </c>
      <c r="K2013" s="16" t="inlineStr">
        <is>
          <t>(50)Blue</t>
        </is>
      </c>
      <c r="L2013" s="16" t="inlineStr">
        <is>
          <t>营业中</t>
        </is>
      </c>
      <c r="M2013" s="16" t="inlineStr">
        <is>
          <t>EEYWF37E0150170</t>
        </is>
      </c>
      <c r="N2013" s="16">
        <f>LEFT(M2013,12)</f>
        <v/>
      </c>
      <c r="O2013" s="16" t="inlineStr">
        <is>
          <t>EEYWF37E01, (50)Blue, (170)170</t>
        </is>
      </c>
      <c r="P2013" s="16" t="n">
        <v>899</v>
      </c>
      <c r="Q2013" s="16" t="n">
        <v>799</v>
      </c>
      <c r="R2013" s="16" t="n"/>
      <c r="S2013" s="16" t="n"/>
      <c r="T2013" s="16" t="n">
        <v>2</v>
      </c>
    </row>
    <row r="2014" s="103">
      <c r="A2014" s="16" t="inlineStr">
        <is>
          <t>B331</t>
        </is>
      </c>
      <c r="B2014" s="16" t="inlineStr">
        <is>
          <t>上海区域</t>
        </is>
      </c>
      <c r="C2014" s="16" t="inlineStr">
        <is>
          <t>CN0Q</t>
        </is>
      </c>
      <c r="D2014" s="16" t="inlineStr">
        <is>
          <t>EE 苏州比斯特购物村</t>
        </is>
      </c>
      <c r="E2014" s="16" t="n">
        <v>4</v>
      </c>
      <c r="F2014" s="16" t="inlineStr">
        <is>
          <t>奥特莱斯</t>
        </is>
      </c>
      <c r="G2014" s="16" t="inlineStr">
        <is>
          <t>EEYWF37E01</t>
        </is>
      </c>
      <c r="H2014" s="16" t="n">
        <v>899</v>
      </c>
      <c r="I2014" s="16" t="n">
        <v>799</v>
      </c>
      <c r="J2014" s="17" t="inlineStr">
        <is>
          <t>########</t>
        </is>
      </c>
      <c r="K2014" s="16" t="inlineStr">
        <is>
          <t>(88)Lavender</t>
        </is>
      </c>
      <c r="L2014" s="16" t="inlineStr">
        <is>
          <t>营业中</t>
        </is>
      </c>
      <c r="M2014" s="16" t="inlineStr">
        <is>
          <t>EEYWF37E0188160</t>
        </is>
      </c>
      <c r="N2014" s="16">
        <f>LEFT(M2014,12)</f>
        <v/>
      </c>
      <c r="O2014" s="16" t="inlineStr">
        <is>
          <t>EEYWF37E01, (88)Lavender, (160)160</t>
        </is>
      </c>
      <c r="P2014" s="16" t="n">
        <v>899</v>
      </c>
      <c r="Q2014" s="16" t="n">
        <v>799</v>
      </c>
      <c r="R2014" s="16" t="n"/>
      <c r="S2014" s="16" t="n"/>
      <c r="T2014" s="16" t="n">
        <v>2</v>
      </c>
    </row>
    <row r="2015" s="103">
      <c r="A2015" s="16" t="inlineStr">
        <is>
          <t>B331</t>
        </is>
      </c>
      <c r="B2015" s="16" t="inlineStr">
        <is>
          <t>上海区域</t>
        </is>
      </c>
      <c r="C2015" s="16" t="inlineStr">
        <is>
          <t>CN0Q</t>
        </is>
      </c>
      <c r="D2015" s="16" t="inlineStr">
        <is>
          <t>EE 苏州比斯特购物村</t>
        </is>
      </c>
      <c r="E2015" s="16" t="n">
        <v>4</v>
      </c>
      <c r="F2015" s="16" t="inlineStr">
        <is>
          <t>奥特莱斯</t>
        </is>
      </c>
      <c r="G2015" s="16" t="inlineStr">
        <is>
          <t>EEYWF37E01</t>
        </is>
      </c>
      <c r="H2015" s="16" t="n">
        <v>899</v>
      </c>
      <c r="I2015" s="16" t="n">
        <v>799</v>
      </c>
      <c r="J2015" s="17" t="inlineStr">
        <is>
          <t>########</t>
        </is>
      </c>
      <c r="K2015" s="16" t="inlineStr">
        <is>
          <t>(88)Lavender</t>
        </is>
      </c>
      <c r="L2015" s="16" t="inlineStr">
        <is>
          <t>营业中</t>
        </is>
      </c>
      <c r="M2015" s="16" t="inlineStr">
        <is>
          <t>EEYWF37E0188165</t>
        </is>
      </c>
      <c r="N2015" s="16">
        <f>LEFT(M2015,12)</f>
        <v/>
      </c>
      <c r="O2015" s="16" t="inlineStr">
        <is>
          <t>EEYWF37E01, (88)Lavender, (165)165</t>
        </is>
      </c>
      <c r="P2015" s="16" t="n">
        <v>899</v>
      </c>
      <c r="Q2015" s="16" t="n">
        <v>799</v>
      </c>
      <c r="R2015" s="16" t="n"/>
      <c r="S2015" s="16" t="n"/>
      <c r="T2015" s="16" t="n">
        <v>2</v>
      </c>
    </row>
    <row r="2016" s="103">
      <c r="A2016" s="16" t="inlineStr">
        <is>
          <t>B331</t>
        </is>
      </c>
      <c r="B2016" s="16" t="inlineStr">
        <is>
          <t>上海区域</t>
        </is>
      </c>
      <c r="C2016" s="16" t="inlineStr">
        <is>
          <t>CN0Q</t>
        </is>
      </c>
      <c r="D2016" s="16" t="inlineStr">
        <is>
          <t>EE 苏州比斯特购物村</t>
        </is>
      </c>
      <c r="E2016" s="16" t="n">
        <v>4</v>
      </c>
      <c r="F2016" s="16" t="inlineStr">
        <is>
          <t>奥特莱斯</t>
        </is>
      </c>
      <c r="G2016" s="16" t="inlineStr">
        <is>
          <t>EEYWF37E01</t>
        </is>
      </c>
      <c r="H2016" s="16" t="n">
        <v>899</v>
      </c>
      <c r="I2016" s="16" t="n">
        <v>799</v>
      </c>
      <c r="J2016" s="17" t="inlineStr">
        <is>
          <t>########</t>
        </is>
      </c>
      <c r="K2016" s="16" t="inlineStr">
        <is>
          <t>(88)Lavender</t>
        </is>
      </c>
      <c r="L2016" s="16" t="inlineStr">
        <is>
          <t>营业中</t>
        </is>
      </c>
      <c r="M2016" s="16" t="inlineStr">
        <is>
          <t>EEYWF37E0188170</t>
        </is>
      </c>
      <c r="N2016" s="16">
        <f>LEFT(M2016,12)</f>
        <v/>
      </c>
      <c r="O2016" s="16" t="inlineStr">
        <is>
          <t>EEYWF37E01, (88)Lavender, (170)170</t>
        </is>
      </c>
      <c r="P2016" s="16" t="n">
        <v>899</v>
      </c>
      <c r="Q2016" s="16" t="n">
        <v>799</v>
      </c>
      <c r="R2016" s="16" t="n"/>
      <c r="S2016" s="16" t="n"/>
      <c r="T2016" s="16" t="n">
        <v>1</v>
      </c>
    </row>
    <row r="2017" s="103">
      <c r="A2017" s="16" t="inlineStr">
        <is>
          <t>B331</t>
        </is>
      </c>
      <c r="B2017" s="16" t="inlineStr">
        <is>
          <t>上海区域</t>
        </is>
      </c>
      <c r="C2017" s="16" t="inlineStr">
        <is>
          <t>CN0Q</t>
        </is>
      </c>
      <c r="D2017" s="16" t="inlineStr">
        <is>
          <t>EE 苏州比斯特购物村</t>
        </is>
      </c>
      <c r="E2017" s="16" t="n">
        <v>4</v>
      </c>
      <c r="F2017" s="16" t="inlineStr">
        <is>
          <t>奥特莱斯</t>
        </is>
      </c>
      <c r="G2017" s="16" t="inlineStr">
        <is>
          <t>EEYWG11E02</t>
        </is>
      </c>
      <c r="H2017" s="16" t="n">
        <v>699</v>
      </c>
      <c r="I2017" s="16" t="n">
        <v>699</v>
      </c>
      <c r="J2017" s="17" t="inlineStr">
        <is>
          <t>########</t>
        </is>
      </c>
      <c r="K2017" s="16" t="inlineStr">
        <is>
          <t>(30)Yellow</t>
        </is>
      </c>
      <c r="L2017" s="16" t="inlineStr">
        <is>
          <t>营业中</t>
        </is>
      </c>
      <c r="M2017" s="16" t="inlineStr">
        <is>
          <t>EEYWG11E0230165</t>
        </is>
      </c>
      <c r="N2017" s="16">
        <f>LEFT(M2017,12)</f>
        <v/>
      </c>
      <c r="O2017" s="16" t="inlineStr">
        <is>
          <t>EEYWG11E02, (30)Yellow, (165)165</t>
        </is>
      </c>
      <c r="P2017" s="16" t="n">
        <v>699</v>
      </c>
      <c r="Q2017" s="16" t="n">
        <v>699</v>
      </c>
      <c r="R2017" s="16" t="n">
        <v>2</v>
      </c>
      <c r="S2017" s="16" t="n">
        <v>667</v>
      </c>
      <c r="T2017" s="16" t="n">
        <v>1</v>
      </c>
    </row>
    <row r="2018" s="103">
      <c r="A2018" s="16" t="inlineStr">
        <is>
          <t>B331</t>
        </is>
      </c>
      <c r="B2018" s="16" t="inlineStr">
        <is>
          <t>上海区域</t>
        </is>
      </c>
      <c r="C2018" s="16" t="inlineStr">
        <is>
          <t>CN0Q</t>
        </is>
      </c>
      <c r="D2018" s="16" t="inlineStr">
        <is>
          <t>EE 苏州比斯特购物村</t>
        </is>
      </c>
      <c r="E2018" s="16" t="n">
        <v>4</v>
      </c>
      <c r="F2018" s="16" t="inlineStr">
        <is>
          <t>奥特莱斯</t>
        </is>
      </c>
      <c r="G2018" s="16" t="inlineStr">
        <is>
          <t>EEYWG11E02</t>
        </is>
      </c>
      <c r="H2018" s="16" t="n">
        <v>699</v>
      </c>
      <c r="I2018" s="16" t="n">
        <v>699</v>
      </c>
      <c r="J2018" s="17" t="inlineStr">
        <is>
          <t>########</t>
        </is>
      </c>
      <c r="K2018" s="16" t="inlineStr">
        <is>
          <t>(30)Yellow</t>
        </is>
      </c>
      <c r="L2018" s="16" t="inlineStr">
        <is>
          <t>营业中</t>
        </is>
      </c>
      <c r="M2018" s="16" t="inlineStr">
        <is>
          <t>EEYWG11E0230170</t>
        </is>
      </c>
      <c r="N2018" s="16">
        <f>LEFT(M2018,12)</f>
        <v/>
      </c>
      <c r="O2018" s="16" t="inlineStr">
        <is>
          <t>EEYWG11E02, (30)Yellow, (170)170</t>
        </is>
      </c>
      <c r="P2018" s="16" t="n">
        <v>699</v>
      </c>
      <c r="Q2018" s="16" t="n">
        <v>699</v>
      </c>
      <c r="R2018" s="16" t="n"/>
      <c r="S2018" s="16" t="n"/>
      <c r="T2018" s="16" t="n">
        <v>2</v>
      </c>
    </row>
    <row r="2019" s="103">
      <c r="A2019" s="16" t="inlineStr">
        <is>
          <t>B331</t>
        </is>
      </c>
      <c r="B2019" s="16" t="inlineStr">
        <is>
          <t>上海区域</t>
        </is>
      </c>
      <c r="C2019" s="16" t="inlineStr">
        <is>
          <t>CN0Q</t>
        </is>
      </c>
      <c r="D2019" s="16" t="inlineStr">
        <is>
          <t>EE 苏州比斯特购物村</t>
        </is>
      </c>
      <c r="E2019" s="16" t="n">
        <v>4</v>
      </c>
      <c r="F2019" s="16" t="inlineStr">
        <is>
          <t>奥特莱斯</t>
        </is>
      </c>
      <c r="G2019" s="16" t="inlineStr">
        <is>
          <t>EEYWG12E1G</t>
        </is>
      </c>
      <c r="H2019" s="16" t="n">
        <v>799</v>
      </c>
      <c r="I2019" s="16" t="n">
        <v>799</v>
      </c>
      <c r="J2019" s="17" t="n">
        <v>46027</v>
      </c>
      <c r="K2019" s="16" t="inlineStr">
        <is>
          <t>(10)White</t>
        </is>
      </c>
      <c r="L2019" s="16" t="inlineStr">
        <is>
          <t>营业中</t>
        </is>
      </c>
      <c r="M2019" s="16" t="inlineStr">
        <is>
          <t>EEYWG12E1G10170</t>
        </is>
      </c>
      <c r="N2019" s="16">
        <f>LEFT(M2019,12)</f>
        <v/>
      </c>
      <c r="O2019" s="16" t="inlineStr">
        <is>
          <t>EEYWG12E1G, (10)White, (170)170</t>
        </is>
      </c>
      <c r="P2019" s="16" t="n">
        <v>799</v>
      </c>
      <c r="Q2019" s="16" t="n">
        <v>799</v>
      </c>
      <c r="R2019" s="16" t="n"/>
      <c r="S2019" s="16" t="n"/>
      <c r="T2019" s="16" t="n">
        <v>3</v>
      </c>
    </row>
    <row r="2020" s="103">
      <c r="A2020" s="16" t="inlineStr">
        <is>
          <t>B331</t>
        </is>
      </c>
      <c r="B2020" s="16" t="inlineStr">
        <is>
          <t>上海区域</t>
        </is>
      </c>
      <c r="C2020" s="16" t="inlineStr">
        <is>
          <t>CN0Q</t>
        </is>
      </c>
      <c r="D2020" s="16" t="inlineStr">
        <is>
          <t>EE 苏州比斯特购物村</t>
        </is>
      </c>
      <c r="E2020" s="16" t="n">
        <v>4</v>
      </c>
      <c r="F2020" s="16" t="inlineStr">
        <is>
          <t>奥特莱斯</t>
        </is>
      </c>
      <c r="G2020" s="16" t="inlineStr">
        <is>
          <t>EEYWG12E1G</t>
        </is>
      </c>
      <c r="H2020" s="16" t="n">
        <v>799</v>
      </c>
      <c r="I2020" s="16" t="n">
        <v>799</v>
      </c>
      <c r="J2020" s="17" t="n">
        <v>46027</v>
      </c>
      <c r="K2020" s="16" t="inlineStr">
        <is>
          <t>(10)White</t>
        </is>
      </c>
      <c r="L2020" s="16" t="inlineStr">
        <is>
          <t>营业中</t>
        </is>
      </c>
      <c r="M2020" s="16" t="inlineStr">
        <is>
          <t>EEYWG12E1G10175</t>
        </is>
      </c>
      <c r="N2020" s="16">
        <f>LEFT(M2020,12)</f>
        <v/>
      </c>
      <c r="O2020" s="16" t="inlineStr">
        <is>
          <t>EEYWG12E1G, (10)White, (175)175</t>
        </is>
      </c>
      <c r="P2020" s="16" t="n">
        <v>799</v>
      </c>
      <c r="Q2020" s="16" t="n">
        <v>799</v>
      </c>
      <c r="R2020" s="16" t="n"/>
      <c r="S2020" s="16" t="n"/>
      <c r="T2020" s="16" t="n">
        <v>3</v>
      </c>
    </row>
    <row r="2021" s="103">
      <c r="A2021" s="16" t="inlineStr">
        <is>
          <t>B331</t>
        </is>
      </c>
      <c r="B2021" s="16" t="inlineStr">
        <is>
          <t>上海区域</t>
        </is>
      </c>
      <c r="C2021" s="16" t="inlineStr">
        <is>
          <t>CN0Q</t>
        </is>
      </c>
      <c r="D2021" s="16" t="inlineStr">
        <is>
          <t>EE 苏州比斯特购物村</t>
        </is>
      </c>
      <c r="E2021" s="16" t="n">
        <v>4</v>
      </c>
      <c r="F2021" s="16" t="inlineStr">
        <is>
          <t>奥特莱斯</t>
        </is>
      </c>
      <c r="G2021" s="16" t="inlineStr">
        <is>
          <t>EEYWG12E1G</t>
        </is>
      </c>
      <c r="H2021" s="16" t="n">
        <v>799</v>
      </c>
      <c r="I2021" s="16" t="n">
        <v>799</v>
      </c>
      <c r="J2021" s="17" t="n">
        <v>46027</v>
      </c>
      <c r="K2021" s="16" t="inlineStr">
        <is>
          <t>(10)White</t>
        </is>
      </c>
      <c r="L2021" s="16" t="inlineStr">
        <is>
          <t>营业中</t>
        </is>
      </c>
      <c r="M2021" s="16" t="inlineStr">
        <is>
          <t>EEYWG12E1G10180</t>
        </is>
      </c>
      <c r="N2021" s="16">
        <f>LEFT(M2021,12)</f>
        <v/>
      </c>
      <c r="O2021" s="16" t="inlineStr">
        <is>
          <t>EEYWG12E1G, (10)White, (180)180</t>
        </is>
      </c>
      <c r="P2021" s="16" t="n">
        <v>799</v>
      </c>
      <c r="Q2021" s="16" t="n">
        <v>799</v>
      </c>
      <c r="R2021" s="16" t="n"/>
      <c r="S2021" s="16" t="n"/>
      <c r="T2021" s="16" t="n">
        <v>3</v>
      </c>
    </row>
    <row r="2022" s="103">
      <c r="A2022" s="16" t="inlineStr">
        <is>
          <t>B331</t>
        </is>
      </c>
      <c r="B2022" s="16" t="inlineStr">
        <is>
          <t>上海区域</t>
        </is>
      </c>
      <c r="C2022" s="16" t="inlineStr">
        <is>
          <t>CN0Q</t>
        </is>
      </c>
      <c r="D2022" s="16" t="inlineStr">
        <is>
          <t>EE 苏州比斯特购物村</t>
        </is>
      </c>
      <c r="E2022" s="16" t="n">
        <v>4</v>
      </c>
      <c r="F2022" s="16" t="inlineStr">
        <is>
          <t>奥特莱斯</t>
        </is>
      </c>
      <c r="G2022" s="16" t="inlineStr">
        <is>
          <t>EEYWG12E1G</t>
        </is>
      </c>
      <c r="H2022" s="16" t="n">
        <v>799</v>
      </c>
      <c r="I2022" s="16" t="n">
        <v>799</v>
      </c>
      <c r="J2022" s="17" t="n">
        <v>46027</v>
      </c>
      <c r="K2022" s="16" t="inlineStr">
        <is>
          <t>(10)White</t>
        </is>
      </c>
      <c r="L2022" s="16" t="inlineStr">
        <is>
          <t>营业中</t>
        </is>
      </c>
      <c r="M2022" s="16" t="inlineStr">
        <is>
          <t>EEYWG12E1G10185</t>
        </is>
      </c>
      <c r="N2022" s="16">
        <f>LEFT(M2022,12)</f>
        <v/>
      </c>
      <c r="O2022" s="16" t="inlineStr">
        <is>
          <t>EEYWG12E1G, (10)White, (185)185</t>
        </is>
      </c>
      <c r="P2022" s="16" t="n">
        <v>799</v>
      </c>
      <c r="Q2022" s="16" t="n">
        <v>799</v>
      </c>
      <c r="R2022" s="16" t="n"/>
      <c r="S2022" s="16" t="n"/>
      <c r="T2022" s="16" t="n">
        <v>1</v>
      </c>
    </row>
    <row r="2023" s="103">
      <c r="A2023" s="16" t="inlineStr">
        <is>
          <t>B331</t>
        </is>
      </c>
      <c r="B2023" s="16" t="inlineStr">
        <is>
          <t>上海区域</t>
        </is>
      </c>
      <c r="C2023" s="16" t="inlineStr">
        <is>
          <t>CN0Q</t>
        </is>
      </c>
      <c r="D2023" s="16" t="inlineStr">
        <is>
          <t>EE 苏州比斯特购物村</t>
        </is>
      </c>
      <c r="E2023" s="16" t="n">
        <v>4</v>
      </c>
      <c r="F2023" s="16" t="inlineStr">
        <is>
          <t>奥特莱斯</t>
        </is>
      </c>
      <c r="G2023" s="16" t="inlineStr">
        <is>
          <t>EEYWG12E1G</t>
        </is>
      </c>
      <c r="H2023" s="16" t="n">
        <v>799</v>
      </c>
      <c r="I2023" s="16" t="n">
        <v>799</v>
      </c>
      <c r="J2023" s="17" t="n">
        <v>46027</v>
      </c>
      <c r="K2023" s="16" t="inlineStr">
        <is>
          <t>(25)Pink</t>
        </is>
      </c>
      <c r="L2023" s="16" t="inlineStr">
        <is>
          <t>营业中</t>
        </is>
      </c>
      <c r="M2023" s="16" t="inlineStr">
        <is>
          <t>EEYWG12E1G25170</t>
        </is>
      </c>
      <c r="N2023" s="16">
        <f>LEFT(M2023,12)</f>
        <v/>
      </c>
      <c r="O2023" s="16" t="inlineStr">
        <is>
          <t>EEYWG12E1G, (25)Pink, (170)170</t>
        </is>
      </c>
      <c r="P2023" s="16" t="n">
        <v>799</v>
      </c>
      <c r="Q2023" s="16" t="n">
        <v>799</v>
      </c>
      <c r="R2023" s="16" t="n"/>
      <c r="S2023" s="16" t="n"/>
      <c r="T2023" s="16" t="n">
        <v>2</v>
      </c>
    </row>
    <row r="2024" s="103">
      <c r="A2024" s="16" t="inlineStr">
        <is>
          <t>B331</t>
        </is>
      </c>
      <c r="B2024" s="16" t="inlineStr">
        <is>
          <t>上海区域</t>
        </is>
      </c>
      <c r="C2024" s="16" t="inlineStr">
        <is>
          <t>CN0Q</t>
        </is>
      </c>
      <c r="D2024" s="16" t="inlineStr">
        <is>
          <t>EE 苏州比斯特购物村</t>
        </is>
      </c>
      <c r="E2024" s="16" t="n">
        <v>4</v>
      </c>
      <c r="F2024" s="16" t="inlineStr">
        <is>
          <t>奥特莱斯</t>
        </is>
      </c>
      <c r="G2024" s="16" t="inlineStr">
        <is>
          <t>EEYWG12E1G</t>
        </is>
      </c>
      <c r="H2024" s="16" t="n">
        <v>799</v>
      </c>
      <c r="I2024" s="16" t="n">
        <v>799</v>
      </c>
      <c r="J2024" s="17" t="n">
        <v>46027</v>
      </c>
      <c r="K2024" s="16" t="inlineStr">
        <is>
          <t>(25)Pink</t>
        </is>
      </c>
      <c r="L2024" s="16" t="inlineStr">
        <is>
          <t>营业中</t>
        </is>
      </c>
      <c r="M2024" s="16" t="inlineStr">
        <is>
          <t>EEYWG12E1G25175</t>
        </is>
      </c>
      <c r="N2024" s="16">
        <f>LEFT(M2024,12)</f>
        <v/>
      </c>
      <c r="O2024" s="16" t="inlineStr">
        <is>
          <t>EEYWG12E1G, (25)Pink, (175)175</t>
        </is>
      </c>
      <c r="P2024" s="16" t="n">
        <v>799</v>
      </c>
      <c r="Q2024" s="16" t="n">
        <v>799</v>
      </c>
      <c r="R2024" s="16" t="n"/>
      <c r="S2024" s="16" t="n"/>
      <c r="T2024" s="16" t="n">
        <v>3</v>
      </c>
    </row>
    <row r="2025" s="103">
      <c r="A2025" s="16" t="inlineStr">
        <is>
          <t>B331</t>
        </is>
      </c>
      <c r="B2025" s="16" t="inlineStr">
        <is>
          <t>上海区域</t>
        </is>
      </c>
      <c r="C2025" s="16" t="inlineStr">
        <is>
          <t>CN0Q</t>
        </is>
      </c>
      <c r="D2025" s="16" t="inlineStr">
        <is>
          <t>EE 苏州比斯特购物村</t>
        </is>
      </c>
      <c r="E2025" s="16" t="n">
        <v>4</v>
      </c>
      <c r="F2025" s="16" t="inlineStr">
        <is>
          <t>奥特莱斯</t>
        </is>
      </c>
      <c r="G2025" s="16" t="inlineStr">
        <is>
          <t>EEYWG12E1G</t>
        </is>
      </c>
      <c r="H2025" s="16" t="n">
        <v>799</v>
      </c>
      <c r="I2025" s="16" t="n">
        <v>799</v>
      </c>
      <c r="J2025" s="17" t="n">
        <v>46027</v>
      </c>
      <c r="K2025" s="16" t="inlineStr">
        <is>
          <t>(25)Pink</t>
        </is>
      </c>
      <c r="L2025" s="16" t="inlineStr">
        <is>
          <t>营业中</t>
        </is>
      </c>
      <c r="M2025" s="16" t="inlineStr">
        <is>
          <t>EEYWG12E1G25180</t>
        </is>
      </c>
      <c r="N2025" s="16">
        <f>LEFT(M2025,12)</f>
        <v/>
      </c>
      <c r="O2025" s="16" t="inlineStr">
        <is>
          <t>EEYWG12E1G, (25)Pink, (180)180</t>
        </is>
      </c>
      <c r="P2025" s="16" t="n">
        <v>799</v>
      </c>
      <c r="Q2025" s="16" t="n">
        <v>799</v>
      </c>
      <c r="R2025" s="16" t="n"/>
      <c r="S2025" s="16" t="n"/>
      <c r="T2025" s="16" t="n">
        <v>3</v>
      </c>
    </row>
    <row r="2026" s="103">
      <c r="A2026" s="16" t="inlineStr">
        <is>
          <t>B331</t>
        </is>
      </c>
      <c r="B2026" s="16" t="inlineStr">
        <is>
          <t>上海区域</t>
        </is>
      </c>
      <c r="C2026" s="16" t="inlineStr">
        <is>
          <t>CN0Q</t>
        </is>
      </c>
      <c r="D2026" s="16" t="inlineStr">
        <is>
          <t>EE 苏州比斯特购物村</t>
        </is>
      </c>
      <c r="E2026" s="16" t="n">
        <v>4</v>
      </c>
      <c r="F2026" s="16" t="inlineStr">
        <is>
          <t>奥特莱斯</t>
        </is>
      </c>
      <c r="G2026" s="16" t="inlineStr">
        <is>
          <t>EEYWG12E1G</t>
        </is>
      </c>
      <c r="H2026" s="16" t="n">
        <v>799</v>
      </c>
      <c r="I2026" s="16" t="n">
        <v>799</v>
      </c>
      <c r="J2026" s="17" t="n">
        <v>46027</v>
      </c>
      <c r="K2026" s="16" t="inlineStr">
        <is>
          <t>(25)Pink</t>
        </is>
      </c>
      <c r="L2026" s="16" t="inlineStr">
        <is>
          <t>营业中</t>
        </is>
      </c>
      <c r="M2026" s="16" t="inlineStr">
        <is>
          <t>EEYWG12E1G25185</t>
        </is>
      </c>
      <c r="N2026" s="16">
        <f>LEFT(M2026,12)</f>
        <v/>
      </c>
      <c r="O2026" s="16" t="inlineStr">
        <is>
          <t>EEYWG12E1G, (25)Pink, (185)185</t>
        </is>
      </c>
      <c r="P2026" s="16" t="n">
        <v>799</v>
      </c>
      <c r="Q2026" s="16" t="n">
        <v>799</v>
      </c>
      <c r="R2026" s="16" t="n"/>
      <c r="S2026" s="16" t="n"/>
      <c r="T2026" s="16" t="n">
        <v>1</v>
      </c>
    </row>
    <row r="2027" s="103">
      <c r="A2027" s="16" t="inlineStr">
        <is>
          <t>B331</t>
        </is>
      </c>
      <c r="B2027" s="16" t="inlineStr">
        <is>
          <t>上海区域</t>
        </is>
      </c>
      <c r="C2027" s="16" t="inlineStr">
        <is>
          <t>CN0Q</t>
        </is>
      </c>
      <c r="D2027" s="16" t="inlineStr">
        <is>
          <t>EE 苏州比斯特购物村</t>
        </is>
      </c>
      <c r="E2027" s="16" t="n">
        <v>4</v>
      </c>
      <c r="F2027" s="16" t="inlineStr">
        <is>
          <t>奥特莱斯</t>
        </is>
      </c>
      <c r="G2027" s="16" t="inlineStr">
        <is>
          <t>EEYWG12E1G</t>
        </is>
      </c>
      <c r="H2027" s="16" t="n">
        <v>799</v>
      </c>
      <c r="I2027" s="16" t="n">
        <v>799</v>
      </c>
      <c r="J2027" s="17" t="n">
        <v>46027</v>
      </c>
      <c r="K2027" s="16" t="inlineStr">
        <is>
          <t>(50)Blue</t>
        </is>
      </c>
      <c r="L2027" s="16" t="inlineStr">
        <is>
          <t>营业中</t>
        </is>
      </c>
      <c r="M2027" s="16" t="inlineStr">
        <is>
          <t>EEYWG12E1G50170</t>
        </is>
      </c>
      <c r="N2027" s="16">
        <f>LEFT(M2027,12)</f>
        <v/>
      </c>
      <c r="O2027" s="16" t="inlineStr">
        <is>
          <t>EEYWG12E1G, (50)Blue, (170)170</t>
        </is>
      </c>
      <c r="P2027" s="16" t="n">
        <v>799</v>
      </c>
      <c r="Q2027" s="16" t="n">
        <v>799</v>
      </c>
      <c r="R2027" s="16" t="n"/>
      <c r="S2027" s="16" t="n"/>
      <c r="T2027" s="16" t="n">
        <v>3</v>
      </c>
    </row>
    <row r="2028" s="103">
      <c r="A2028" s="16" t="inlineStr">
        <is>
          <t>B331</t>
        </is>
      </c>
      <c r="B2028" s="16" t="inlineStr">
        <is>
          <t>上海区域</t>
        </is>
      </c>
      <c r="C2028" s="16" t="inlineStr">
        <is>
          <t>CN0Q</t>
        </is>
      </c>
      <c r="D2028" s="16" t="inlineStr">
        <is>
          <t>EE 苏州比斯特购物村</t>
        </is>
      </c>
      <c r="E2028" s="16" t="n">
        <v>4</v>
      </c>
      <c r="F2028" s="16" t="inlineStr">
        <is>
          <t>奥特莱斯</t>
        </is>
      </c>
      <c r="G2028" s="16" t="inlineStr">
        <is>
          <t>EEYWG12E1G</t>
        </is>
      </c>
      <c r="H2028" s="16" t="n">
        <v>799</v>
      </c>
      <c r="I2028" s="16" t="n">
        <v>799</v>
      </c>
      <c r="J2028" s="17" t="n">
        <v>46027</v>
      </c>
      <c r="K2028" s="16" t="inlineStr">
        <is>
          <t>(50)Blue</t>
        </is>
      </c>
      <c r="L2028" s="16" t="inlineStr">
        <is>
          <t>营业中</t>
        </is>
      </c>
      <c r="M2028" s="16" t="inlineStr">
        <is>
          <t>EEYWG12E1G50175</t>
        </is>
      </c>
      <c r="N2028" s="16">
        <f>LEFT(M2028,12)</f>
        <v/>
      </c>
      <c r="O2028" s="16" t="inlineStr">
        <is>
          <t>EEYWG12E1G, (50)Blue, (175)175</t>
        </is>
      </c>
      <c r="P2028" s="16" t="n">
        <v>799</v>
      </c>
      <c r="Q2028" s="16" t="n">
        <v>799</v>
      </c>
      <c r="R2028" s="16" t="n"/>
      <c r="S2028" s="16" t="n"/>
      <c r="T2028" s="16" t="n">
        <v>3</v>
      </c>
    </row>
    <row r="2029" s="103">
      <c r="A2029" s="16" t="inlineStr">
        <is>
          <t>B331</t>
        </is>
      </c>
      <c r="B2029" s="16" t="inlineStr">
        <is>
          <t>上海区域</t>
        </is>
      </c>
      <c r="C2029" s="16" t="inlineStr">
        <is>
          <t>CN0Q</t>
        </is>
      </c>
      <c r="D2029" s="16" t="inlineStr">
        <is>
          <t>EE 苏州比斯特购物村</t>
        </is>
      </c>
      <c r="E2029" s="16" t="n">
        <v>4</v>
      </c>
      <c r="F2029" s="16" t="inlineStr">
        <is>
          <t>奥特莱斯</t>
        </is>
      </c>
      <c r="G2029" s="16" t="inlineStr">
        <is>
          <t>EEYWG12E1G</t>
        </is>
      </c>
      <c r="H2029" s="16" t="n">
        <v>799</v>
      </c>
      <c r="I2029" s="16" t="n">
        <v>799</v>
      </c>
      <c r="J2029" s="17" t="n">
        <v>46027</v>
      </c>
      <c r="K2029" s="16" t="inlineStr">
        <is>
          <t>(50)Blue</t>
        </is>
      </c>
      <c r="L2029" s="16" t="inlineStr">
        <is>
          <t>营业中</t>
        </is>
      </c>
      <c r="M2029" s="16" t="inlineStr">
        <is>
          <t>EEYWG12E1G50180</t>
        </is>
      </c>
      <c r="N2029" s="16">
        <f>LEFT(M2029,12)</f>
        <v/>
      </c>
      <c r="O2029" s="16" t="inlineStr">
        <is>
          <t>EEYWG12E1G, (50)Blue, (180)180</t>
        </is>
      </c>
      <c r="P2029" s="16" t="n">
        <v>799</v>
      </c>
      <c r="Q2029" s="16" t="n">
        <v>799</v>
      </c>
      <c r="R2029" s="16" t="n"/>
      <c r="S2029" s="16" t="n"/>
      <c r="T2029" s="16" t="n">
        <v>3</v>
      </c>
    </row>
    <row r="2030" s="103">
      <c r="A2030" s="16" t="inlineStr">
        <is>
          <t>B331</t>
        </is>
      </c>
      <c r="B2030" s="16" t="inlineStr">
        <is>
          <t>上海区域</t>
        </is>
      </c>
      <c r="C2030" s="16" t="inlineStr">
        <is>
          <t>CN0Q</t>
        </is>
      </c>
      <c r="D2030" s="16" t="inlineStr">
        <is>
          <t>EE 苏州比斯特购物村</t>
        </is>
      </c>
      <c r="E2030" s="16" t="n">
        <v>4</v>
      </c>
      <c r="F2030" s="16" t="inlineStr">
        <is>
          <t>奥特莱斯</t>
        </is>
      </c>
      <c r="G2030" s="16" t="inlineStr">
        <is>
          <t>EEYWG12E1G</t>
        </is>
      </c>
      <c r="H2030" s="16" t="n">
        <v>799</v>
      </c>
      <c r="I2030" s="16" t="n">
        <v>799</v>
      </c>
      <c r="J2030" s="17" t="n">
        <v>46027</v>
      </c>
      <c r="K2030" s="16" t="inlineStr">
        <is>
          <t>(50)Blue</t>
        </is>
      </c>
      <c r="L2030" s="16" t="inlineStr">
        <is>
          <t>营业中</t>
        </is>
      </c>
      <c r="M2030" s="16" t="inlineStr">
        <is>
          <t>EEYWG12E1G50185</t>
        </is>
      </c>
      <c r="N2030" s="16">
        <f>LEFT(M2030,12)</f>
        <v/>
      </c>
      <c r="O2030" s="16" t="inlineStr">
        <is>
          <t>EEYWG12E1G, (50)Blue, (185)185</t>
        </is>
      </c>
      <c r="P2030" s="16" t="n">
        <v>799</v>
      </c>
      <c r="Q2030" s="16" t="n">
        <v>799</v>
      </c>
      <c r="R2030" s="16" t="n"/>
      <c r="S2030" s="16" t="n"/>
      <c r="T2030" s="16" t="n">
        <v>1</v>
      </c>
    </row>
    <row r="2031" s="103">
      <c r="A2031" s="16" t="inlineStr">
        <is>
          <t>B331</t>
        </is>
      </c>
      <c r="B2031" s="16" t="inlineStr">
        <is>
          <t>上海区域</t>
        </is>
      </c>
      <c r="C2031" s="16" t="inlineStr">
        <is>
          <t>CN0Q</t>
        </is>
      </c>
      <c r="D2031" s="16" t="inlineStr">
        <is>
          <t>EE 苏州比斯特购物村</t>
        </is>
      </c>
      <c r="E2031" s="16" t="n">
        <v>4</v>
      </c>
      <c r="F2031" s="16" t="inlineStr">
        <is>
          <t>奥特莱斯</t>
        </is>
      </c>
      <c r="G2031" s="16" t="inlineStr">
        <is>
          <t>EEYWG12E1G</t>
        </is>
      </c>
      <c r="H2031" s="16" t="n">
        <v>799</v>
      </c>
      <c r="I2031" s="16" t="n">
        <v>799</v>
      </c>
      <c r="J2031" s="17" t="n">
        <v>46027</v>
      </c>
      <c r="K2031" s="16" t="inlineStr">
        <is>
          <t>(59)Navy</t>
        </is>
      </c>
      <c r="L2031" s="16" t="inlineStr">
        <is>
          <t>营业中</t>
        </is>
      </c>
      <c r="M2031" s="16" t="inlineStr">
        <is>
          <t>EEYWG12E1G59170</t>
        </is>
      </c>
      <c r="N2031" s="16">
        <f>LEFT(M2031,12)</f>
        <v/>
      </c>
      <c r="O2031" s="16" t="inlineStr">
        <is>
          <t>EEYWG12E1G, (59)Navy, (170)170</t>
        </is>
      </c>
      <c r="P2031" s="16" t="n">
        <v>799</v>
      </c>
      <c r="Q2031" s="16" t="n">
        <v>799</v>
      </c>
      <c r="R2031" s="16" t="n"/>
      <c r="S2031" s="16" t="n"/>
      <c r="T2031" s="16" t="n">
        <v>3</v>
      </c>
    </row>
    <row r="2032" s="103">
      <c r="A2032" s="16" t="inlineStr">
        <is>
          <t>B331</t>
        </is>
      </c>
      <c r="B2032" s="16" t="inlineStr">
        <is>
          <t>上海区域</t>
        </is>
      </c>
      <c r="C2032" s="16" t="inlineStr">
        <is>
          <t>CN0Q</t>
        </is>
      </c>
      <c r="D2032" s="16" t="inlineStr">
        <is>
          <t>EE 苏州比斯特购物村</t>
        </is>
      </c>
      <c r="E2032" s="16" t="n">
        <v>4</v>
      </c>
      <c r="F2032" s="16" t="inlineStr">
        <is>
          <t>奥特莱斯</t>
        </is>
      </c>
      <c r="G2032" s="16" t="inlineStr">
        <is>
          <t>EEYWG12E1G</t>
        </is>
      </c>
      <c r="H2032" s="16" t="n">
        <v>799</v>
      </c>
      <c r="I2032" s="16" t="n">
        <v>799</v>
      </c>
      <c r="J2032" s="17" t="n">
        <v>46027</v>
      </c>
      <c r="K2032" s="16" t="inlineStr">
        <is>
          <t>(59)Navy</t>
        </is>
      </c>
      <c r="L2032" s="16" t="inlineStr">
        <is>
          <t>营业中</t>
        </is>
      </c>
      <c r="M2032" s="16" t="inlineStr">
        <is>
          <t>EEYWG12E1G59175</t>
        </is>
      </c>
      <c r="N2032" s="16">
        <f>LEFT(M2032,12)</f>
        <v/>
      </c>
      <c r="O2032" s="16" t="inlineStr">
        <is>
          <t>EEYWG12E1G, (59)Navy, (175)175</t>
        </is>
      </c>
      <c r="P2032" s="16" t="n">
        <v>799</v>
      </c>
      <c r="Q2032" s="16" t="n">
        <v>799</v>
      </c>
      <c r="R2032" s="16" t="n"/>
      <c r="S2032" s="16" t="n"/>
      <c r="T2032" s="16" t="n">
        <v>3</v>
      </c>
    </row>
    <row r="2033" s="103">
      <c r="A2033" s="16" t="inlineStr">
        <is>
          <t>B331</t>
        </is>
      </c>
      <c r="B2033" s="16" t="inlineStr">
        <is>
          <t>上海区域</t>
        </is>
      </c>
      <c r="C2033" s="16" t="inlineStr">
        <is>
          <t>CN0Q</t>
        </is>
      </c>
      <c r="D2033" s="16" t="inlineStr">
        <is>
          <t>EE 苏州比斯特购物村</t>
        </is>
      </c>
      <c r="E2033" s="16" t="n">
        <v>4</v>
      </c>
      <c r="F2033" s="16" t="inlineStr">
        <is>
          <t>奥特莱斯</t>
        </is>
      </c>
      <c r="G2033" s="16" t="inlineStr">
        <is>
          <t>EEYWG12E1G</t>
        </is>
      </c>
      <c r="H2033" s="16" t="n">
        <v>799</v>
      </c>
      <c r="I2033" s="16" t="n">
        <v>799</v>
      </c>
      <c r="J2033" s="17" t="n">
        <v>46027</v>
      </c>
      <c r="K2033" s="16" t="inlineStr">
        <is>
          <t>(59)Navy</t>
        </is>
      </c>
      <c r="L2033" s="16" t="inlineStr">
        <is>
          <t>营业中</t>
        </is>
      </c>
      <c r="M2033" s="16" t="inlineStr">
        <is>
          <t>EEYWG12E1G59180</t>
        </is>
      </c>
      <c r="N2033" s="16">
        <f>LEFT(M2033,12)</f>
        <v/>
      </c>
      <c r="O2033" s="16" t="inlineStr">
        <is>
          <t>EEYWG12E1G, (59)Navy, (180)180</t>
        </is>
      </c>
      <c r="P2033" s="16" t="n">
        <v>799</v>
      </c>
      <c r="Q2033" s="16" t="n">
        <v>799</v>
      </c>
      <c r="R2033" s="16" t="n"/>
      <c r="S2033" s="16" t="n"/>
      <c r="T2033" s="16" t="n">
        <v>3</v>
      </c>
    </row>
    <row r="2034" s="103">
      <c r="A2034" s="16" t="inlineStr">
        <is>
          <t>B331</t>
        </is>
      </c>
      <c r="B2034" s="16" t="inlineStr">
        <is>
          <t>上海区域</t>
        </is>
      </c>
      <c r="C2034" s="16" t="inlineStr">
        <is>
          <t>CN0Q</t>
        </is>
      </c>
      <c r="D2034" s="16" t="inlineStr">
        <is>
          <t>EE 苏州比斯特购物村</t>
        </is>
      </c>
      <c r="E2034" s="16" t="n">
        <v>4</v>
      </c>
      <c r="F2034" s="16" t="inlineStr">
        <is>
          <t>奥特莱斯</t>
        </is>
      </c>
      <c r="G2034" s="16" t="inlineStr">
        <is>
          <t>EEYWG12E1G</t>
        </is>
      </c>
      <c r="H2034" s="16" t="n">
        <v>799</v>
      </c>
      <c r="I2034" s="16" t="n">
        <v>799</v>
      </c>
      <c r="J2034" s="17" t="n">
        <v>46027</v>
      </c>
      <c r="K2034" s="16" t="inlineStr">
        <is>
          <t>(59)Navy</t>
        </is>
      </c>
      <c r="L2034" s="16" t="inlineStr">
        <is>
          <t>营业中</t>
        </is>
      </c>
      <c r="M2034" s="16" t="inlineStr">
        <is>
          <t>EEYWG12E1G59185</t>
        </is>
      </c>
      <c r="N2034" s="16">
        <f>LEFT(M2034,12)</f>
        <v/>
      </c>
      <c r="O2034" s="16" t="inlineStr">
        <is>
          <t>EEYWG12E1G, (59)Navy, (185)185</t>
        </is>
      </c>
      <c r="P2034" s="16" t="n">
        <v>799</v>
      </c>
      <c r="Q2034" s="16" t="n">
        <v>799</v>
      </c>
      <c r="R2034" s="16" t="n"/>
      <c r="S2034" s="16" t="n"/>
      <c r="T2034" s="16" t="n">
        <v>1</v>
      </c>
    </row>
    <row r="2035" s="103">
      <c r="A2035" s="16" t="inlineStr">
        <is>
          <t>B331</t>
        </is>
      </c>
      <c r="B2035" s="16" t="inlineStr">
        <is>
          <t>上海区域</t>
        </is>
      </c>
      <c r="C2035" s="16" t="inlineStr">
        <is>
          <t>CN0Q</t>
        </is>
      </c>
      <c r="D2035" s="16" t="inlineStr">
        <is>
          <t>EE 苏州比斯特购物村</t>
        </is>
      </c>
      <c r="E2035" s="16" t="n">
        <v>4</v>
      </c>
      <c r="F2035" s="16" t="inlineStr">
        <is>
          <t>奥特莱斯</t>
        </is>
      </c>
      <c r="G2035" s="16" t="inlineStr">
        <is>
          <t>EEYWG23E01</t>
        </is>
      </c>
      <c r="H2035" s="16" t="n">
        <v>799</v>
      </c>
      <c r="I2035" s="16" t="n">
        <v>799</v>
      </c>
      <c r="J2035" s="17" t="inlineStr">
        <is>
          <t>########</t>
        </is>
      </c>
      <c r="K2035" s="16" t="inlineStr">
        <is>
          <t>(26)L/Pink</t>
        </is>
      </c>
      <c r="L2035" s="16" t="inlineStr">
        <is>
          <t>营业中</t>
        </is>
      </c>
      <c r="M2035" s="16" t="inlineStr">
        <is>
          <t>EEYWG23E0126160</t>
        </is>
      </c>
      <c r="N2035" s="16">
        <f>LEFT(M2035,12)</f>
        <v/>
      </c>
      <c r="O2035" s="16" t="inlineStr">
        <is>
          <t>EEYWG23E01, (26)L/Pink, (160)160</t>
        </is>
      </c>
      <c r="P2035" s="16" t="n">
        <v>799</v>
      </c>
      <c r="Q2035" s="16" t="n">
        <v>799</v>
      </c>
      <c r="R2035" s="16" t="n">
        <v>6</v>
      </c>
      <c r="S2035" s="18" t="n">
        <v>1739</v>
      </c>
      <c r="T2035" s="16" t="n">
        <v>6</v>
      </c>
    </row>
    <row r="2036" s="103">
      <c r="A2036" s="16" t="inlineStr">
        <is>
          <t>B331</t>
        </is>
      </c>
      <c r="B2036" s="16" t="inlineStr">
        <is>
          <t>上海区域</t>
        </is>
      </c>
      <c r="C2036" s="16" t="inlineStr">
        <is>
          <t>CN0Q</t>
        </is>
      </c>
      <c r="D2036" s="16" t="inlineStr">
        <is>
          <t>EE 苏州比斯特购物村</t>
        </is>
      </c>
      <c r="E2036" s="16" t="n">
        <v>4</v>
      </c>
      <c r="F2036" s="16" t="inlineStr">
        <is>
          <t>奥特莱斯</t>
        </is>
      </c>
      <c r="G2036" s="16" t="inlineStr">
        <is>
          <t>EEYWG23E01</t>
        </is>
      </c>
      <c r="H2036" s="16" t="n">
        <v>799</v>
      </c>
      <c r="I2036" s="16" t="n">
        <v>799</v>
      </c>
      <c r="J2036" s="17" t="inlineStr">
        <is>
          <t>########</t>
        </is>
      </c>
      <c r="K2036" s="16" t="inlineStr">
        <is>
          <t>(26)L/Pink</t>
        </is>
      </c>
      <c r="L2036" s="16" t="inlineStr">
        <is>
          <t>营业中</t>
        </is>
      </c>
      <c r="M2036" s="16" t="inlineStr">
        <is>
          <t>EEYWG23E0126165</t>
        </is>
      </c>
      <c r="N2036" s="16">
        <f>LEFT(M2036,12)</f>
        <v/>
      </c>
      <c r="O2036" s="16" t="inlineStr">
        <is>
          <t>EEYWG23E01, (26)L/Pink, (165)165</t>
        </is>
      </c>
      <c r="P2036" s="16" t="n">
        <v>799</v>
      </c>
      <c r="Q2036" s="16" t="n">
        <v>799</v>
      </c>
      <c r="R2036" s="16" t="n">
        <v>3</v>
      </c>
      <c r="S2036" s="18" t="n">
        <v>1522</v>
      </c>
      <c r="T2036" s="16" t="n">
        <v>3</v>
      </c>
    </row>
    <row r="2037" s="103">
      <c r="A2037" s="16" t="inlineStr">
        <is>
          <t>B331</t>
        </is>
      </c>
      <c r="B2037" s="16" t="inlineStr">
        <is>
          <t>上海区域</t>
        </is>
      </c>
      <c r="C2037" s="16" t="inlineStr">
        <is>
          <t>CN0Q</t>
        </is>
      </c>
      <c r="D2037" s="16" t="inlineStr">
        <is>
          <t>EE 苏州比斯特购物村</t>
        </is>
      </c>
      <c r="E2037" s="16" t="n">
        <v>4</v>
      </c>
      <c r="F2037" s="16" t="inlineStr">
        <is>
          <t>奥特莱斯</t>
        </is>
      </c>
      <c r="G2037" s="16" t="inlineStr">
        <is>
          <t>EEYWG23E01</t>
        </is>
      </c>
      <c r="H2037" s="16" t="n">
        <v>799</v>
      </c>
      <c r="I2037" s="16" t="n">
        <v>799</v>
      </c>
      <c r="J2037" s="17" t="inlineStr">
        <is>
          <t>########</t>
        </is>
      </c>
      <c r="K2037" s="16" t="inlineStr">
        <is>
          <t>(26)L/Pink</t>
        </is>
      </c>
      <c r="L2037" s="16" t="inlineStr">
        <is>
          <t>营业中</t>
        </is>
      </c>
      <c r="M2037" s="16" t="inlineStr">
        <is>
          <t>EEYWG23E0126170</t>
        </is>
      </c>
      <c r="N2037" s="16">
        <f>LEFT(M2037,12)</f>
        <v/>
      </c>
      <c r="O2037" s="16" t="inlineStr">
        <is>
          <t>EEYWG23E01, (26)L/Pink, (170)170</t>
        </is>
      </c>
      <c r="P2037" s="16" t="n">
        <v>799</v>
      </c>
      <c r="Q2037" s="16" t="n">
        <v>799</v>
      </c>
      <c r="R2037" s="16" t="n">
        <v>1</v>
      </c>
      <c r="S2037" s="16" t="n"/>
      <c r="T2037" s="16" t="n">
        <v>3</v>
      </c>
    </row>
    <row r="2038" s="103">
      <c r="A2038" s="16" t="inlineStr">
        <is>
          <t>B331</t>
        </is>
      </c>
      <c r="B2038" s="16" t="inlineStr">
        <is>
          <t>上海区域</t>
        </is>
      </c>
      <c r="C2038" s="16" t="inlineStr">
        <is>
          <t>CN0Q</t>
        </is>
      </c>
      <c r="D2038" s="16" t="inlineStr">
        <is>
          <t>EE 苏州比斯特购物村</t>
        </is>
      </c>
      <c r="E2038" s="16" t="n">
        <v>4</v>
      </c>
      <c r="F2038" s="16" t="inlineStr">
        <is>
          <t>奥特莱斯</t>
        </is>
      </c>
      <c r="G2038" s="16" t="inlineStr">
        <is>
          <t>EEYWG23E01</t>
        </is>
      </c>
      <c r="H2038" s="16" t="n">
        <v>799</v>
      </c>
      <c r="I2038" s="16" t="n">
        <v>799</v>
      </c>
      <c r="J2038" s="17" t="inlineStr">
        <is>
          <t>########</t>
        </is>
      </c>
      <c r="K2038" s="16" t="inlineStr">
        <is>
          <t>(36)L/Beige</t>
        </is>
      </c>
      <c r="L2038" s="16" t="inlineStr">
        <is>
          <t>营业中</t>
        </is>
      </c>
      <c r="M2038" s="16" t="inlineStr">
        <is>
          <t>EEYWG23E0136160</t>
        </is>
      </c>
      <c r="N2038" s="16">
        <f>LEFT(M2038,12)</f>
        <v/>
      </c>
      <c r="O2038" s="16" t="inlineStr">
        <is>
          <t>EEYWG23E01, (36)L/Beige, (160)160</t>
        </is>
      </c>
      <c r="P2038" s="16" t="n">
        <v>799</v>
      </c>
      <c r="Q2038" s="16" t="n">
        <v>799</v>
      </c>
      <c r="R2038" s="16" t="n">
        <v>3</v>
      </c>
      <c r="S2038" s="18" t="n">
        <v>1879</v>
      </c>
      <c r="T2038" s="16" t="n">
        <v>0</v>
      </c>
    </row>
    <row r="2039" s="103">
      <c r="A2039" s="16" t="inlineStr">
        <is>
          <t>B331</t>
        </is>
      </c>
      <c r="B2039" s="16" t="inlineStr">
        <is>
          <t>上海区域</t>
        </is>
      </c>
      <c r="C2039" s="16" t="inlineStr">
        <is>
          <t>CN0Q</t>
        </is>
      </c>
      <c r="D2039" s="16" t="inlineStr">
        <is>
          <t>EE 苏州比斯特购物村</t>
        </is>
      </c>
      <c r="E2039" s="16" t="n">
        <v>4</v>
      </c>
      <c r="F2039" s="16" t="inlineStr">
        <is>
          <t>奥特莱斯</t>
        </is>
      </c>
      <c r="G2039" s="16" t="inlineStr">
        <is>
          <t>EEYWG23E01</t>
        </is>
      </c>
      <c r="H2039" s="16" t="n">
        <v>799</v>
      </c>
      <c r="I2039" s="16" t="n">
        <v>799</v>
      </c>
      <c r="J2039" s="17" t="inlineStr">
        <is>
          <t>########</t>
        </is>
      </c>
      <c r="K2039" s="16" t="inlineStr">
        <is>
          <t>(36)L/Beige</t>
        </is>
      </c>
      <c r="L2039" s="16" t="inlineStr">
        <is>
          <t>营业中</t>
        </is>
      </c>
      <c r="M2039" s="16" t="inlineStr">
        <is>
          <t>EEYWG23E0136165</t>
        </is>
      </c>
      <c r="N2039" s="16">
        <f>LEFT(M2039,12)</f>
        <v/>
      </c>
      <c r="O2039" s="16" t="inlineStr">
        <is>
          <t>EEYWG23E01, (36)L/Beige, (165)165</t>
        </is>
      </c>
      <c r="P2039" s="16" t="n">
        <v>799</v>
      </c>
      <c r="Q2039" s="16" t="n">
        <v>799</v>
      </c>
      <c r="R2039" s="16" t="n">
        <v>3</v>
      </c>
      <c r="S2039" s="16" t="n">
        <v>468</v>
      </c>
      <c r="T2039" s="16" t="n">
        <v>0</v>
      </c>
    </row>
    <row r="2040" s="103">
      <c r="A2040" s="16" t="inlineStr">
        <is>
          <t>B331</t>
        </is>
      </c>
      <c r="B2040" s="16" t="inlineStr">
        <is>
          <t>上海区域</t>
        </is>
      </c>
      <c r="C2040" s="16" t="inlineStr">
        <is>
          <t>CN0Q</t>
        </is>
      </c>
      <c r="D2040" s="16" t="inlineStr">
        <is>
          <t>EE 苏州比斯特购物村</t>
        </is>
      </c>
      <c r="E2040" s="16" t="n">
        <v>4</v>
      </c>
      <c r="F2040" s="16" t="inlineStr">
        <is>
          <t>奥特莱斯</t>
        </is>
      </c>
      <c r="G2040" s="16" t="inlineStr">
        <is>
          <t>EEYWG23E01</t>
        </is>
      </c>
      <c r="H2040" s="16" t="n">
        <v>799</v>
      </c>
      <c r="I2040" s="16" t="n">
        <v>799</v>
      </c>
      <c r="J2040" s="17" t="inlineStr">
        <is>
          <t>########</t>
        </is>
      </c>
      <c r="K2040" s="16" t="inlineStr">
        <is>
          <t>(36)L/Beige</t>
        </is>
      </c>
      <c r="L2040" s="16" t="inlineStr">
        <is>
          <t>营业中</t>
        </is>
      </c>
      <c r="M2040" s="16" t="inlineStr">
        <is>
          <t>EEYWG23E0136170</t>
        </is>
      </c>
      <c r="N2040" s="16">
        <f>LEFT(M2040,12)</f>
        <v/>
      </c>
      <c r="O2040" s="16" t="inlineStr">
        <is>
          <t>EEYWG23E01, (36)L/Beige, (170)170</t>
        </is>
      </c>
      <c r="P2040" s="16" t="n">
        <v>799</v>
      </c>
      <c r="Q2040" s="16" t="n">
        <v>799</v>
      </c>
      <c r="R2040" s="16" t="n">
        <v>3</v>
      </c>
      <c r="S2040" s="18" t="n">
        <v>1533</v>
      </c>
      <c r="T2040" s="16" t="n">
        <v>1</v>
      </c>
    </row>
    <row r="2041" s="103">
      <c r="A2041" s="16" t="inlineStr">
        <is>
          <t>B331</t>
        </is>
      </c>
      <c r="B2041" s="16" t="inlineStr">
        <is>
          <t>上海区域</t>
        </is>
      </c>
      <c r="C2041" s="16" t="inlineStr">
        <is>
          <t>CN0Q</t>
        </is>
      </c>
      <c r="D2041" s="16" t="inlineStr">
        <is>
          <t>EE 苏州比斯特购物村</t>
        </is>
      </c>
      <c r="E2041" s="16" t="n">
        <v>4</v>
      </c>
      <c r="F2041" s="16" t="inlineStr">
        <is>
          <t>奥特莱斯</t>
        </is>
      </c>
      <c r="G2041" s="16" t="inlineStr">
        <is>
          <t>EEYWG23E01</t>
        </is>
      </c>
      <c r="H2041" s="16" t="n">
        <v>799</v>
      </c>
      <c r="I2041" s="16" t="n">
        <v>799</v>
      </c>
      <c r="J2041" s="17" t="inlineStr">
        <is>
          <t>########</t>
        </is>
      </c>
      <c r="K2041" s="16" t="inlineStr">
        <is>
          <t>(39)Ivory</t>
        </is>
      </c>
      <c r="L2041" s="16" t="inlineStr">
        <is>
          <t>营业中</t>
        </is>
      </c>
      <c r="M2041" s="16" t="inlineStr">
        <is>
          <t>EEYWG23E0139160</t>
        </is>
      </c>
      <c r="N2041" s="16">
        <f>LEFT(M2041,12)</f>
        <v/>
      </c>
      <c r="O2041" s="16" t="inlineStr">
        <is>
          <t>EEYWG23E01, (39)Ivory, (160)160</t>
        </is>
      </c>
      <c r="P2041" s="16" t="n">
        <v>799</v>
      </c>
      <c r="Q2041" s="16" t="n">
        <v>799</v>
      </c>
      <c r="R2041" s="16" t="n">
        <v>12</v>
      </c>
      <c r="S2041" s="18" t="n">
        <v>3390</v>
      </c>
      <c r="T2041" s="16" t="n">
        <v>20</v>
      </c>
    </row>
    <row r="2042" s="103">
      <c r="A2042" s="16" t="inlineStr">
        <is>
          <t>B331</t>
        </is>
      </c>
      <c r="B2042" s="16" t="inlineStr">
        <is>
          <t>上海区域</t>
        </is>
      </c>
      <c r="C2042" s="16" t="inlineStr">
        <is>
          <t>CN0Q</t>
        </is>
      </c>
      <c r="D2042" s="16" t="inlineStr">
        <is>
          <t>EE 苏州比斯特购物村</t>
        </is>
      </c>
      <c r="E2042" s="16" t="n">
        <v>4</v>
      </c>
      <c r="F2042" s="16" t="inlineStr">
        <is>
          <t>奥特莱斯</t>
        </is>
      </c>
      <c r="G2042" s="16" t="inlineStr">
        <is>
          <t>EEYWG23E01</t>
        </is>
      </c>
      <c r="H2042" s="16" t="n">
        <v>799</v>
      </c>
      <c r="I2042" s="16" t="n">
        <v>799</v>
      </c>
      <c r="J2042" s="17" t="inlineStr">
        <is>
          <t>########</t>
        </is>
      </c>
      <c r="K2042" s="16" t="inlineStr">
        <is>
          <t>(39)Ivory</t>
        </is>
      </c>
      <c r="L2042" s="16" t="inlineStr">
        <is>
          <t>营业中</t>
        </is>
      </c>
      <c r="M2042" s="16" t="inlineStr">
        <is>
          <t>EEYWG23E0139165</t>
        </is>
      </c>
      <c r="N2042" s="16">
        <f>LEFT(M2042,12)</f>
        <v/>
      </c>
      <c r="O2042" s="16" t="inlineStr">
        <is>
          <t>EEYWG23E01, (39)Ivory, (165)165</t>
        </is>
      </c>
      <c r="P2042" s="16" t="n">
        <v>799</v>
      </c>
      <c r="Q2042" s="16" t="n">
        <v>799</v>
      </c>
      <c r="R2042" s="16" t="n">
        <v>4</v>
      </c>
      <c r="S2042" s="18" t="n">
        <v>1260</v>
      </c>
      <c r="T2042" s="16" t="n">
        <v>11</v>
      </c>
    </row>
    <row r="2043" s="103">
      <c r="A2043" s="16" t="inlineStr">
        <is>
          <t>B331</t>
        </is>
      </c>
      <c r="B2043" s="16" t="inlineStr">
        <is>
          <t>上海区域</t>
        </is>
      </c>
      <c r="C2043" s="16" t="inlineStr">
        <is>
          <t>CN0Q</t>
        </is>
      </c>
      <c r="D2043" s="16" t="inlineStr">
        <is>
          <t>EE 苏州比斯特购物村</t>
        </is>
      </c>
      <c r="E2043" s="16" t="n">
        <v>4</v>
      </c>
      <c r="F2043" s="16" t="inlineStr">
        <is>
          <t>奥特莱斯</t>
        </is>
      </c>
      <c r="G2043" s="16" t="inlineStr">
        <is>
          <t>EEYWG23E01</t>
        </is>
      </c>
      <c r="H2043" s="16" t="n">
        <v>799</v>
      </c>
      <c r="I2043" s="16" t="n">
        <v>799</v>
      </c>
      <c r="J2043" s="17" t="inlineStr">
        <is>
          <t>########</t>
        </is>
      </c>
      <c r="K2043" s="16" t="inlineStr">
        <is>
          <t>(39)Ivory</t>
        </is>
      </c>
      <c r="L2043" s="16" t="inlineStr">
        <is>
          <t>营业中</t>
        </is>
      </c>
      <c r="M2043" s="16" t="inlineStr">
        <is>
          <t>EEYWG23E0139170</t>
        </is>
      </c>
      <c r="N2043" s="16">
        <f>LEFT(M2043,12)</f>
        <v/>
      </c>
      <c r="O2043" s="16" t="inlineStr">
        <is>
          <t>EEYWG23E01, (39)Ivory, (170)170</t>
        </is>
      </c>
      <c r="P2043" s="16" t="n">
        <v>799</v>
      </c>
      <c r="Q2043" s="16" t="n">
        <v>799</v>
      </c>
      <c r="R2043" s="16" t="n">
        <v>2</v>
      </c>
      <c r="S2043" s="16" t="n">
        <v>512</v>
      </c>
      <c r="T2043" s="16" t="n">
        <v>2</v>
      </c>
    </row>
    <row r="2044" s="103">
      <c r="A2044" s="16" t="inlineStr">
        <is>
          <t>B331</t>
        </is>
      </c>
      <c r="B2044" s="16" t="inlineStr">
        <is>
          <t>上海区域</t>
        </is>
      </c>
      <c r="C2044" s="16" t="inlineStr">
        <is>
          <t>CN0Q</t>
        </is>
      </c>
      <c r="D2044" s="16" t="inlineStr">
        <is>
          <t>EE 苏州比斯特购物村</t>
        </is>
      </c>
      <c r="E2044" s="16" t="n">
        <v>4</v>
      </c>
      <c r="F2044" s="16" t="inlineStr">
        <is>
          <t>奥特莱斯</t>
        </is>
      </c>
      <c r="G2044" s="16" t="inlineStr">
        <is>
          <t>EEYWG23E01</t>
        </is>
      </c>
      <c r="H2044" s="16" t="n">
        <v>799</v>
      </c>
      <c r="I2044" s="16" t="n">
        <v>799</v>
      </c>
      <c r="J2044" s="17" t="inlineStr">
        <is>
          <t>########</t>
        </is>
      </c>
      <c r="K2044" s="16" t="inlineStr">
        <is>
          <t>(51)L/Blue</t>
        </is>
      </c>
      <c r="L2044" s="16" t="inlineStr">
        <is>
          <t>营业中</t>
        </is>
      </c>
      <c r="M2044" s="16" t="inlineStr">
        <is>
          <t>EEYWG23E0151160</t>
        </is>
      </c>
      <c r="N2044" s="16">
        <f>LEFT(M2044,12)</f>
        <v/>
      </c>
      <c r="O2044" s="16" t="inlineStr">
        <is>
          <t>EEYWG23E01, (51)L/Blue, (160)160</t>
        </is>
      </c>
      <c r="P2044" s="16" t="n">
        <v>799</v>
      </c>
      <c r="Q2044" s="16" t="n">
        <v>799</v>
      </c>
      <c r="R2044" s="16" t="n">
        <v>4</v>
      </c>
      <c r="S2044" s="18" t="n">
        <v>2184</v>
      </c>
      <c r="T2044" s="16" t="n">
        <v>1</v>
      </c>
    </row>
    <row r="2045" s="103">
      <c r="A2045" s="16" t="inlineStr">
        <is>
          <t>B331</t>
        </is>
      </c>
      <c r="B2045" s="16" t="inlineStr">
        <is>
          <t>上海区域</t>
        </is>
      </c>
      <c r="C2045" s="16" t="inlineStr">
        <is>
          <t>CN0Q</t>
        </is>
      </c>
      <c r="D2045" s="16" t="inlineStr">
        <is>
          <t>EE 苏州比斯特购物村</t>
        </is>
      </c>
      <c r="E2045" s="16" t="n">
        <v>4</v>
      </c>
      <c r="F2045" s="16" t="inlineStr">
        <is>
          <t>奥特莱斯</t>
        </is>
      </c>
      <c r="G2045" s="16" t="inlineStr">
        <is>
          <t>EEYWG23E01</t>
        </is>
      </c>
      <c r="H2045" s="16" t="n">
        <v>799</v>
      </c>
      <c r="I2045" s="16" t="n">
        <v>799</v>
      </c>
      <c r="J2045" s="17" t="inlineStr">
        <is>
          <t>########</t>
        </is>
      </c>
      <c r="K2045" s="16" t="inlineStr">
        <is>
          <t>(51)L/Blue</t>
        </is>
      </c>
      <c r="L2045" s="16" t="inlineStr">
        <is>
          <t>营业中</t>
        </is>
      </c>
      <c r="M2045" s="16" t="inlineStr">
        <is>
          <t>EEYWG23E0151165</t>
        </is>
      </c>
      <c r="N2045" s="16">
        <f>LEFT(M2045,12)</f>
        <v/>
      </c>
      <c r="O2045" s="16" t="inlineStr">
        <is>
          <t>EEYWG23E01, (51)L/Blue, (165)165</t>
        </is>
      </c>
      <c r="P2045" s="16" t="n">
        <v>799</v>
      </c>
      <c r="Q2045" s="16" t="n">
        <v>799</v>
      </c>
      <c r="R2045" s="16" t="n">
        <v>6</v>
      </c>
      <c r="S2045" s="18" t="n">
        <v>2005</v>
      </c>
      <c r="T2045" s="16" t="n">
        <v>3</v>
      </c>
    </row>
    <row r="2046" s="103">
      <c r="A2046" s="16" t="inlineStr">
        <is>
          <t>B331</t>
        </is>
      </c>
      <c r="B2046" s="16" t="inlineStr">
        <is>
          <t>上海区域</t>
        </is>
      </c>
      <c r="C2046" s="16" t="inlineStr">
        <is>
          <t>CN0Q</t>
        </is>
      </c>
      <c r="D2046" s="16" t="inlineStr">
        <is>
          <t>EE 苏州比斯特购物村</t>
        </is>
      </c>
      <c r="E2046" s="16" t="n">
        <v>4</v>
      </c>
      <c r="F2046" s="16" t="inlineStr">
        <is>
          <t>奥特莱斯</t>
        </is>
      </c>
      <c r="G2046" s="16" t="inlineStr">
        <is>
          <t>EEYWG23E01</t>
        </is>
      </c>
      <c r="H2046" s="16" t="n">
        <v>799</v>
      </c>
      <c r="I2046" s="16" t="n">
        <v>799</v>
      </c>
      <c r="J2046" s="17" t="inlineStr">
        <is>
          <t>########</t>
        </is>
      </c>
      <c r="K2046" s="16" t="inlineStr">
        <is>
          <t>(51)L/Blue</t>
        </is>
      </c>
      <c r="L2046" s="16" t="inlineStr">
        <is>
          <t>营业中</t>
        </is>
      </c>
      <c r="M2046" s="16" t="inlineStr">
        <is>
          <t>EEYWG23E0151170</t>
        </is>
      </c>
      <c r="N2046" s="16">
        <f>LEFT(M2046,12)</f>
        <v/>
      </c>
      <c r="O2046" s="16" t="inlineStr">
        <is>
          <t>EEYWG23E01, (51)L/Blue, (170)170</t>
        </is>
      </c>
      <c r="P2046" s="16" t="n">
        <v>799</v>
      </c>
      <c r="Q2046" s="16" t="n">
        <v>799</v>
      </c>
      <c r="R2046" s="16" t="n"/>
      <c r="S2046" s="16" t="n"/>
      <c r="T2046" s="16" t="n">
        <v>2</v>
      </c>
    </row>
    <row r="2047" s="103">
      <c r="A2047" s="16" t="inlineStr">
        <is>
          <t>B331</t>
        </is>
      </c>
      <c r="B2047" s="16" t="inlineStr">
        <is>
          <t>上海区域</t>
        </is>
      </c>
      <c r="C2047" s="16" t="inlineStr">
        <is>
          <t>CN0Q</t>
        </is>
      </c>
      <c r="D2047" s="16" t="inlineStr">
        <is>
          <t>EE 苏州比斯特购物村</t>
        </is>
      </c>
      <c r="E2047" s="16" t="n">
        <v>4</v>
      </c>
      <c r="F2047" s="16" t="inlineStr">
        <is>
          <t>奥特莱斯</t>
        </is>
      </c>
      <c r="G2047" s="16" t="inlineStr">
        <is>
          <t>EEYWG23E01</t>
        </is>
      </c>
      <c r="H2047" s="16" t="n">
        <v>799</v>
      </c>
      <c r="I2047" s="16" t="n">
        <v>799</v>
      </c>
      <c r="J2047" s="17" t="inlineStr">
        <is>
          <t>########</t>
        </is>
      </c>
      <c r="K2047" s="16" t="inlineStr">
        <is>
          <t>(88)Lavender</t>
        </is>
      </c>
      <c r="L2047" s="16" t="inlineStr">
        <is>
          <t>营业中</t>
        </is>
      </c>
      <c r="M2047" s="16" t="inlineStr">
        <is>
          <t>EEYWG23E0188160</t>
        </is>
      </c>
      <c r="N2047" s="16">
        <f>LEFT(M2047,12)</f>
        <v/>
      </c>
      <c r="O2047" s="16" t="inlineStr">
        <is>
          <t>EEYWG23E01, (88)Lavender, (160)160</t>
        </is>
      </c>
      <c r="P2047" s="16" t="n">
        <v>799</v>
      </c>
      <c r="Q2047" s="16" t="n">
        <v>799</v>
      </c>
      <c r="R2047" s="16" t="n">
        <v>3</v>
      </c>
      <c r="S2047" s="18" t="n">
        <v>1571</v>
      </c>
      <c r="T2047" s="16" t="n">
        <v>17</v>
      </c>
    </row>
    <row r="2048" s="103">
      <c r="A2048" s="16" t="inlineStr">
        <is>
          <t>B331</t>
        </is>
      </c>
      <c r="B2048" s="16" t="inlineStr">
        <is>
          <t>上海区域</t>
        </is>
      </c>
      <c r="C2048" s="16" t="inlineStr">
        <is>
          <t>CN0Q</t>
        </is>
      </c>
      <c r="D2048" s="16" t="inlineStr">
        <is>
          <t>EE 苏州比斯特购物村</t>
        </is>
      </c>
      <c r="E2048" s="16" t="n">
        <v>4</v>
      </c>
      <c r="F2048" s="16" t="inlineStr">
        <is>
          <t>奥特莱斯</t>
        </is>
      </c>
      <c r="G2048" s="16" t="inlineStr">
        <is>
          <t>EEYWG23E01</t>
        </is>
      </c>
      <c r="H2048" s="16" t="n">
        <v>799</v>
      </c>
      <c r="I2048" s="16" t="n">
        <v>799</v>
      </c>
      <c r="J2048" s="17" t="inlineStr">
        <is>
          <t>########</t>
        </is>
      </c>
      <c r="K2048" s="16" t="inlineStr">
        <is>
          <t>(88)Lavender</t>
        </is>
      </c>
      <c r="L2048" s="16" t="inlineStr">
        <is>
          <t>营业中</t>
        </is>
      </c>
      <c r="M2048" s="16" t="inlineStr">
        <is>
          <t>EEYWG23E0188165</t>
        </is>
      </c>
      <c r="N2048" s="16">
        <f>LEFT(M2048,12)</f>
        <v/>
      </c>
      <c r="O2048" s="16" t="inlineStr">
        <is>
          <t>EEYWG23E01, (88)Lavender, (165)165</t>
        </is>
      </c>
      <c r="P2048" s="16" t="n">
        <v>799</v>
      </c>
      <c r="Q2048" s="16" t="n">
        <v>799</v>
      </c>
      <c r="R2048" s="16" t="n">
        <v>3</v>
      </c>
      <c r="S2048" s="18" t="n">
        <v>1072</v>
      </c>
      <c r="T2048" s="16" t="n">
        <v>14</v>
      </c>
    </row>
    <row r="2049" s="103">
      <c r="A2049" s="16" t="inlineStr">
        <is>
          <t>B331</t>
        </is>
      </c>
      <c r="B2049" s="16" t="inlineStr">
        <is>
          <t>上海区域</t>
        </is>
      </c>
      <c r="C2049" s="16" t="inlineStr">
        <is>
          <t>CN0Q</t>
        </is>
      </c>
      <c r="D2049" s="16" t="inlineStr">
        <is>
          <t>EE 苏州比斯特购物村</t>
        </is>
      </c>
      <c r="E2049" s="16" t="n">
        <v>4</v>
      </c>
      <c r="F2049" s="16" t="inlineStr">
        <is>
          <t>奥特莱斯</t>
        </is>
      </c>
      <c r="G2049" s="16" t="inlineStr">
        <is>
          <t>EEYWG23E01</t>
        </is>
      </c>
      <c r="H2049" s="16" t="n">
        <v>799</v>
      </c>
      <c r="I2049" s="16" t="n">
        <v>799</v>
      </c>
      <c r="J2049" s="17" t="inlineStr">
        <is>
          <t>########</t>
        </is>
      </c>
      <c r="K2049" s="16" t="inlineStr">
        <is>
          <t>(88)Lavender</t>
        </is>
      </c>
      <c r="L2049" s="16" t="inlineStr">
        <is>
          <t>营业中</t>
        </is>
      </c>
      <c r="M2049" s="16" t="inlineStr">
        <is>
          <t>EEYWG23E0188170</t>
        </is>
      </c>
      <c r="N2049" s="16">
        <f>LEFT(M2049,12)</f>
        <v/>
      </c>
      <c r="O2049" s="16" t="inlineStr">
        <is>
          <t>EEYWG23E01, (88)Lavender, (170)170</t>
        </is>
      </c>
      <c r="P2049" s="16" t="n">
        <v>799</v>
      </c>
      <c r="Q2049" s="16" t="n">
        <v>799</v>
      </c>
      <c r="R2049" s="16" t="n">
        <v>1</v>
      </c>
      <c r="S2049" s="16" t="n">
        <v>240</v>
      </c>
      <c r="T2049" s="16" t="n">
        <v>4</v>
      </c>
    </row>
    <row r="2050" s="103">
      <c r="A2050" s="16" t="inlineStr">
        <is>
          <t>B331</t>
        </is>
      </c>
      <c r="B2050" s="16" t="inlineStr">
        <is>
          <t>上海区域</t>
        </is>
      </c>
      <c r="C2050" s="16" t="inlineStr">
        <is>
          <t>CN0Q</t>
        </is>
      </c>
      <c r="D2050" s="16" t="inlineStr">
        <is>
          <t>EE 苏州比斯特购物村</t>
        </is>
      </c>
      <c r="E2050" s="16" t="n">
        <v>4</v>
      </c>
      <c r="F2050" s="16" t="inlineStr">
        <is>
          <t>奥特莱斯</t>
        </is>
      </c>
      <c r="G2050" s="16" t="inlineStr">
        <is>
          <t>EEYWG23E02</t>
        </is>
      </c>
      <c r="H2050" s="16" t="n">
        <v>799</v>
      </c>
      <c r="I2050" s="16" t="n">
        <v>599</v>
      </c>
      <c r="J2050" s="17" t="inlineStr">
        <is>
          <t>########</t>
        </is>
      </c>
      <c r="K2050" s="16" t="inlineStr">
        <is>
          <t>(30)Yellow</t>
        </is>
      </c>
      <c r="L2050" s="16" t="inlineStr">
        <is>
          <t>营业中</t>
        </is>
      </c>
      <c r="M2050" s="16" t="inlineStr">
        <is>
          <t>EEYWG23E0230165</t>
        </is>
      </c>
      <c r="N2050" s="16">
        <f>LEFT(M2050,12)</f>
        <v/>
      </c>
      <c r="O2050" s="16" t="inlineStr">
        <is>
          <t>EEYWG23E02, (30)Yellow, (165)165</t>
        </is>
      </c>
      <c r="P2050" s="16" t="n">
        <v>799</v>
      </c>
      <c r="Q2050" s="16" t="n">
        <v>599</v>
      </c>
      <c r="R2050" s="16" t="n"/>
      <c r="S2050" s="16" t="n"/>
      <c r="T2050" s="16" t="n">
        <v>1</v>
      </c>
    </row>
    <row r="2051" s="103">
      <c r="A2051" s="16" t="inlineStr">
        <is>
          <t>B331</t>
        </is>
      </c>
      <c r="B2051" s="16" t="inlineStr">
        <is>
          <t>上海区域</t>
        </is>
      </c>
      <c r="C2051" s="16" t="inlineStr">
        <is>
          <t>CN0Q</t>
        </is>
      </c>
      <c r="D2051" s="16" t="inlineStr">
        <is>
          <t>EE 苏州比斯特购物村</t>
        </is>
      </c>
      <c r="E2051" s="16" t="n">
        <v>4</v>
      </c>
      <c r="F2051" s="16" t="inlineStr">
        <is>
          <t>奥特莱斯</t>
        </is>
      </c>
      <c r="G2051" s="16" t="inlineStr">
        <is>
          <t>EEYWG23E02</t>
        </is>
      </c>
      <c r="H2051" s="16" t="n">
        <v>799</v>
      </c>
      <c r="I2051" s="16" t="n">
        <v>599</v>
      </c>
      <c r="J2051" s="17" t="inlineStr">
        <is>
          <t>########</t>
        </is>
      </c>
      <c r="K2051" s="16" t="inlineStr">
        <is>
          <t>(42)M/GREEN</t>
        </is>
      </c>
      <c r="L2051" s="16" t="inlineStr">
        <is>
          <t>营业中</t>
        </is>
      </c>
      <c r="M2051" s="16" t="inlineStr">
        <is>
          <t>EEYWG23E0242160</t>
        </is>
      </c>
      <c r="N2051" s="16">
        <f>LEFT(M2051,12)</f>
        <v/>
      </c>
      <c r="O2051" s="16" t="inlineStr">
        <is>
          <t>EEYWG23E02, (42)M/GREEN, (160)160</t>
        </is>
      </c>
      <c r="P2051" s="16" t="n">
        <v>799</v>
      </c>
      <c r="Q2051" s="16" t="n">
        <v>599</v>
      </c>
      <c r="R2051" s="16" t="n"/>
      <c r="S2051" s="16" t="n"/>
      <c r="T2051" s="16" t="n">
        <v>2</v>
      </c>
    </row>
    <row r="2052" s="103">
      <c r="A2052" s="16" t="inlineStr">
        <is>
          <t>B331</t>
        </is>
      </c>
      <c r="B2052" s="16" t="inlineStr">
        <is>
          <t>上海区域</t>
        </is>
      </c>
      <c r="C2052" s="16" t="inlineStr">
        <is>
          <t>CN0Q</t>
        </is>
      </c>
      <c r="D2052" s="16" t="inlineStr">
        <is>
          <t>EE 苏州比斯特购物村</t>
        </is>
      </c>
      <c r="E2052" s="16" t="n">
        <v>4</v>
      </c>
      <c r="F2052" s="16" t="inlineStr">
        <is>
          <t>奥特莱斯</t>
        </is>
      </c>
      <c r="G2052" s="16" t="inlineStr">
        <is>
          <t>EEYWG23E02</t>
        </is>
      </c>
      <c r="H2052" s="16" t="n">
        <v>799</v>
      </c>
      <c r="I2052" s="16" t="n">
        <v>599</v>
      </c>
      <c r="J2052" s="17" t="inlineStr">
        <is>
          <t>########</t>
        </is>
      </c>
      <c r="K2052" s="16" t="inlineStr">
        <is>
          <t>(42)M/GREEN</t>
        </is>
      </c>
      <c r="L2052" s="16" t="inlineStr">
        <is>
          <t>营业中</t>
        </is>
      </c>
      <c r="M2052" s="16" t="inlineStr">
        <is>
          <t>EEYWG23E0242165</t>
        </is>
      </c>
      <c r="N2052" s="16">
        <f>LEFT(M2052,12)</f>
        <v/>
      </c>
      <c r="O2052" s="16" t="inlineStr">
        <is>
          <t>EEYWG23E02, (42)M/GREEN, (165)165</t>
        </is>
      </c>
      <c r="P2052" s="16" t="n">
        <v>799</v>
      </c>
      <c r="Q2052" s="16" t="n">
        <v>599</v>
      </c>
      <c r="R2052" s="16" t="n"/>
      <c r="S2052" s="16" t="n"/>
      <c r="T2052" s="16" t="n">
        <v>2</v>
      </c>
    </row>
    <row r="2053" s="103">
      <c r="A2053" s="16" t="inlineStr">
        <is>
          <t>B331</t>
        </is>
      </c>
      <c r="B2053" s="16" t="inlineStr">
        <is>
          <t>上海区域</t>
        </is>
      </c>
      <c r="C2053" s="16" t="inlineStr">
        <is>
          <t>CN0Q</t>
        </is>
      </c>
      <c r="D2053" s="16" t="inlineStr">
        <is>
          <t>EE 苏州比斯特购物村</t>
        </is>
      </c>
      <c r="E2053" s="16" t="n">
        <v>4</v>
      </c>
      <c r="F2053" s="16" t="inlineStr">
        <is>
          <t>奥特莱斯</t>
        </is>
      </c>
      <c r="G2053" s="16" t="inlineStr">
        <is>
          <t>EEYWG23E02</t>
        </is>
      </c>
      <c r="H2053" s="16" t="n">
        <v>799</v>
      </c>
      <c r="I2053" s="16" t="n">
        <v>599</v>
      </c>
      <c r="J2053" s="17" t="inlineStr">
        <is>
          <t>########</t>
        </is>
      </c>
      <c r="K2053" s="16" t="inlineStr">
        <is>
          <t>(42)M/GREEN</t>
        </is>
      </c>
      <c r="L2053" s="16" t="inlineStr">
        <is>
          <t>营业中</t>
        </is>
      </c>
      <c r="M2053" s="16" t="inlineStr">
        <is>
          <t>EEYWG23E0242170</t>
        </is>
      </c>
      <c r="N2053" s="16">
        <f>LEFT(M2053,12)</f>
        <v/>
      </c>
      <c r="O2053" s="16" t="inlineStr">
        <is>
          <t>EEYWG23E02, (42)M/GREEN, (170)170</t>
        </is>
      </c>
      <c r="P2053" s="16" t="n">
        <v>799</v>
      </c>
      <c r="Q2053" s="16" t="n">
        <v>599</v>
      </c>
      <c r="R2053" s="16" t="n"/>
      <c r="S2053" s="16" t="n"/>
      <c r="T2053" s="16" t="n">
        <v>2</v>
      </c>
    </row>
    <row r="2054" s="103">
      <c r="A2054" s="16" t="inlineStr">
        <is>
          <t>B331</t>
        </is>
      </c>
      <c r="B2054" s="16" t="inlineStr">
        <is>
          <t>上海区域</t>
        </is>
      </c>
      <c r="C2054" s="16" t="inlineStr">
        <is>
          <t>CN0Q</t>
        </is>
      </c>
      <c r="D2054" s="16" t="inlineStr">
        <is>
          <t>EE 苏州比斯特购物村</t>
        </is>
      </c>
      <c r="E2054" s="16" t="n">
        <v>4</v>
      </c>
      <c r="F2054" s="16" t="inlineStr">
        <is>
          <t>奥特莱斯</t>
        </is>
      </c>
      <c r="G2054" s="16" t="inlineStr">
        <is>
          <t>EEYWG23E02</t>
        </is>
      </c>
      <c r="H2054" s="16" t="n">
        <v>799</v>
      </c>
      <c r="I2054" s="16" t="n">
        <v>599</v>
      </c>
      <c r="J2054" s="17" t="inlineStr">
        <is>
          <t>########</t>
        </is>
      </c>
      <c r="K2054" s="16" t="inlineStr">
        <is>
          <t>(50)Blue</t>
        </is>
      </c>
      <c r="L2054" s="16" t="inlineStr">
        <is>
          <t>营业中</t>
        </is>
      </c>
      <c r="M2054" s="16" t="inlineStr">
        <is>
          <t>EEYWG23E0250160</t>
        </is>
      </c>
      <c r="N2054" s="16">
        <f>LEFT(M2054,12)</f>
        <v/>
      </c>
      <c r="O2054" s="16" t="inlineStr">
        <is>
          <t>EEYWG23E02, (50)Blue, (160)160</t>
        </is>
      </c>
      <c r="P2054" s="16" t="n">
        <v>799</v>
      </c>
      <c r="Q2054" s="16" t="n">
        <v>599</v>
      </c>
      <c r="R2054" s="16" t="n"/>
      <c r="S2054" s="16" t="n"/>
      <c r="T2054" s="16" t="n">
        <v>3</v>
      </c>
    </row>
    <row r="2055" s="103">
      <c r="A2055" s="16" t="inlineStr">
        <is>
          <t>B331</t>
        </is>
      </c>
      <c r="B2055" s="16" t="inlineStr">
        <is>
          <t>上海区域</t>
        </is>
      </c>
      <c r="C2055" s="16" t="inlineStr">
        <is>
          <t>CN0Q</t>
        </is>
      </c>
      <c r="D2055" s="16" t="inlineStr">
        <is>
          <t>EE 苏州比斯特购物村</t>
        </is>
      </c>
      <c r="E2055" s="16" t="n">
        <v>4</v>
      </c>
      <c r="F2055" s="16" t="inlineStr">
        <is>
          <t>奥特莱斯</t>
        </is>
      </c>
      <c r="G2055" s="16" t="inlineStr">
        <is>
          <t>EEYWG23E02</t>
        </is>
      </c>
      <c r="H2055" s="16" t="n">
        <v>799</v>
      </c>
      <c r="I2055" s="16" t="n">
        <v>599</v>
      </c>
      <c r="J2055" s="17" t="inlineStr">
        <is>
          <t>########</t>
        </is>
      </c>
      <c r="K2055" s="16" t="inlineStr">
        <is>
          <t>(50)Blue</t>
        </is>
      </c>
      <c r="L2055" s="16" t="inlineStr">
        <is>
          <t>营业中</t>
        </is>
      </c>
      <c r="M2055" s="16" t="inlineStr">
        <is>
          <t>EEYWG23E0250165</t>
        </is>
      </c>
      <c r="N2055" s="16">
        <f>LEFT(M2055,12)</f>
        <v/>
      </c>
      <c r="O2055" s="16" t="inlineStr">
        <is>
          <t>EEYWG23E02, (50)Blue, (165)165</t>
        </is>
      </c>
      <c r="P2055" s="16" t="n">
        <v>799</v>
      </c>
      <c r="Q2055" s="16" t="n">
        <v>599</v>
      </c>
      <c r="R2055" s="16" t="n"/>
      <c r="S2055" s="16" t="n"/>
      <c r="T2055" s="16" t="n">
        <v>3</v>
      </c>
    </row>
    <row r="2056" s="103">
      <c r="A2056" s="16" t="inlineStr">
        <is>
          <t>B331</t>
        </is>
      </c>
      <c r="B2056" s="16" t="inlineStr">
        <is>
          <t>上海区域</t>
        </is>
      </c>
      <c r="C2056" s="16" t="inlineStr">
        <is>
          <t>CN0Q</t>
        </is>
      </c>
      <c r="D2056" s="16" t="inlineStr">
        <is>
          <t>EE 苏州比斯特购物村</t>
        </is>
      </c>
      <c r="E2056" s="16" t="n">
        <v>4</v>
      </c>
      <c r="F2056" s="16" t="inlineStr">
        <is>
          <t>奥特莱斯</t>
        </is>
      </c>
      <c r="G2056" s="16" t="inlineStr">
        <is>
          <t>EEYWG23E02</t>
        </is>
      </c>
      <c r="H2056" s="16" t="n">
        <v>799</v>
      </c>
      <c r="I2056" s="16" t="n">
        <v>599</v>
      </c>
      <c r="J2056" s="17" t="inlineStr">
        <is>
          <t>########</t>
        </is>
      </c>
      <c r="K2056" s="16" t="inlineStr">
        <is>
          <t>(50)Blue</t>
        </is>
      </c>
      <c r="L2056" s="16" t="inlineStr">
        <is>
          <t>营业中</t>
        </is>
      </c>
      <c r="M2056" s="16" t="inlineStr">
        <is>
          <t>EEYWG23E0250170</t>
        </is>
      </c>
      <c r="N2056" s="16">
        <f>LEFT(M2056,12)</f>
        <v/>
      </c>
      <c r="O2056" s="16" t="inlineStr">
        <is>
          <t>EEYWG23E02, (50)Blue, (170)170</t>
        </is>
      </c>
      <c r="P2056" s="16" t="n">
        <v>799</v>
      </c>
      <c r="Q2056" s="16" t="n">
        <v>599</v>
      </c>
      <c r="R2056" s="16" t="n"/>
      <c r="S2056" s="16" t="n"/>
      <c r="T2056" s="16" t="n">
        <v>2</v>
      </c>
    </row>
    <row r="2057" s="103">
      <c r="A2057" s="16" t="inlineStr">
        <is>
          <t>B331</t>
        </is>
      </c>
      <c r="B2057" s="16" t="inlineStr">
        <is>
          <t>上海区域</t>
        </is>
      </c>
      <c r="C2057" s="16" t="inlineStr">
        <is>
          <t>CN0Q</t>
        </is>
      </c>
      <c r="D2057" s="16" t="inlineStr">
        <is>
          <t>EE 苏州比斯特购物村</t>
        </is>
      </c>
      <c r="E2057" s="16" t="n">
        <v>4</v>
      </c>
      <c r="F2057" s="16" t="inlineStr">
        <is>
          <t>奥特莱斯</t>
        </is>
      </c>
      <c r="G2057" s="16" t="inlineStr">
        <is>
          <t>EEYWG23E02</t>
        </is>
      </c>
      <c r="H2057" s="16" t="n">
        <v>799</v>
      </c>
      <c r="I2057" s="16" t="n">
        <v>599</v>
      </c>
      <c r="J2057" s="17" t="inlineStr">
        <is>
          <t>########</t>
        </is>
      </c>
      <c r="K2057" s="16" t="inlineStr">
        <is>
          <t>(88)Lavender</t>
        </is>
      </c>
      <c r="L2057" s="16" t="inlineStr">
        <is>
          <t>营业中</t>
        </is>
      </c>
      <c r="M2057" s="16" t="inlineStr">
        <is>
          <t>EEYWG23E0288160</t>
        </is>
      </c>
      <c r="N2057" s="16">
        <f>LEFT(M2057,12)</f>
        <v/>
      </c>
      <c r="O2057" s="16" t="inlineStr">
        <is>
          <t>EEYWG23E02, (88)Lavender, (160)160</t>
        </is>
      </c>
      <c r="P2057" s="16" t="n">
        <v>799</v>
      </c>
      <c r="Q2057" s="16" t="n">
        <v>599</v>
      </c>
      <c r="R2057" s="16" t="n"/>
      <c r="S2057" s="16" t="n"/>
      <c r="T2057" s="16" t="n">
        <v>2</v>
      </c>
    </row>
    <row r="2058" s="103">
      <c r="A2058" s="16" t="inlineStr">
        <is>
          <t>B331</t>
        </is>
      </c>
      <c r="B2058" s="16" t="inlineStr">
        <is>
          <t>上海区域</t>
        </is>
      </c>
      <c r="C2058" s="16" t="inlineStr">
        <is>
          <t>CN0Q</t>
        </is>
      </c>
      <c r="D2058" s="16" t="inlineStr">
        <is>
          <t>EE 苏州比斯特购物村</t>
        </is>
      </c>
      <c r="E2058" s="16" t="n">
        <v>4</v>
      </c>
      <c r="F2058" s="16" t="inlineStr">
        <is>
          <t>奥特莱斯</t>
        </is>
      </c>
      <c r="G2058" s="16" t="inlineStr">
        <is>
          <t>EEYWG23E02</t>
        </is>
      </c>
      <c r="H2058" s="16" t="n">
        <v>799</v>
      </c>
      <c r="I2058" s="16" t="n">
        <v>599</v>
      </c>
      <c r="J2058" s="17" t="inlineStr">
        <is>
          <t>########</t>
        </is>
      </c>
      <c r="K2058" s="16" t="inlineStr">
        <is>
          <t>(88)Lavender</t>
        </is>
      </c>
      <c r="L2058" s="16" t="inlineStr">
        <is>
          <t>营业中</t>
        </is>
      </c>
      <c r="M2058" s="16" t="inlineStr">
        <is>
          <t>EEYWG23E0288165</t>
        </is>
      </c>
      <c r="N2058" s="16">
        <f>LEFT(M2058,12)</f>
        <v/>
      </c>
      <c r="O2058" s="16" t="inlineStr">
        <is>
          <t>EEYWG23E02, (88)Lavender, (165)165</t>
        </is>
      </c>
      <c r="P2058" s="16" t="n">
        <v>799</v>
      </c>
      <c r="Q2058" s="16" t="n">
        <v>599</v>
      </c>
      <c r="R2058" s="16" t="n"/>
      <c r="S2058" s="16" t="n"/>
      <c r="T2058" s="16" t="n">
        <v>2</v>
      </c>
    </row>
    <row r="2059" s="103">
      <c r="A2059" s="16" t="inlineStr">
        <is>
          <t>B331</t>
        </is>
      </c>
      <c r="B2059" s="16" t="inlineStr">
        <is>
          <t>上海区域</t>
        </is>
      </c>
      <c r="C2059" s="16" t="inlineStr">
        <is>
          <t>CN0Q</t>
        </is>
      </c>
      <c r="D2059" s="16" t="inlineStr">
        <is>
          <t>EE 苏州比斯特购物村</t>
        </is>
      </c>
      <c r="E2059" s="16" t="n">
        <v>4</v>
      </c>
      <c r="F2059" s="16" t="inlineStr">
        <is>
          <t>奥特莱斯</t>
        </is>
      </c>
      <c r="G2059" s="16" t="inlineStr">
        <is>
          <t>EEYWG23E02</t>
        </is>
      </c>
      <c r="H2059" s="16" t="n">
        <v>799</v>
      </c>
      <c r="I2059" s="16" t="n">
        <v>599</v>
      </c>
      <c r="J2059" s="17" t="inlineStr">
        <is>
          <t>########</t>
        </is>
      </c>
      <c r="K2059" s="16" t="inlineStr">
        <is>
          <t>(88)Lavender</t>
        </is>
      </c>
      <c r="L2059" s="16" t="inlineStr">
        <is>
          <t>营业中</t>
        </is>
      </c>
      <c r="M2059" s="16" t="inlineStr">
        <is>
          <t>EEYWG23E0288170</t>
        </is>
      </c>
      <c r="N2059" s="16">
        <f>LEFT(M2059,12)</f>
        <v/>
      </c>
      <c r="O2059" s="16" t="inlineStr">
        <is>
          <t>EEYWG23E02, (88)Lavender, (170)170</t>
        </is>
      </c>
      <c r="P2059" s="16" t="n">
        <v>799</v>
      </c>
      <c r="Q2059" s="16" t="n">
        <v>599</v>
      </c>
      <c r="R2059" s="16" t="n"/>
      <c r="S2059" s="16" t="n"/>
      <c r="T2059" s="16" t="n">
        <v>2</v>
      </c>
    </row>
    <row r="2060" s="103">
      <c r="A2060" s="16" t="inlineStr">
        <is>
          <t>B331</t>
        </is>
      </c>
      <c r="B2060" s="16" t="inlineStr">
        <is>
          <t>上海区域</t>
        </is>
      </c>
      <c r="C2060" s="16" t="inlineStr">
        <is>
          <t>CN0Q</t>
        </is>
      </c>
      <c r="D2060" s="16" t="inlineStr">
        <is>
          <t>EE 苏州比斯特购物村</t>
        </is>
      </c>
      <c r="E2060" s="16" t="n">
        <v>4</v>
      </c>
      <c r="F2060" s="16" t="inlineStr">
        <is>
          <t>奥特莱斯</t>
        </is>
      </c>
      <c r="G2060" s="16" t="inlineStr">
        <is>
          <t>EEYWG23R31</t>
        </is>
      </c>
      <c r="H2060" s="16" t="n">
        <v>699</v>
      </c>
      <c r="I2060" s="16" t="n">
        <v>699</v>
      </c>
      <c r="J2060" s="17" t="n">
        <v>46087</v>
      </c>
      <c r="K2060" s="16" t="inlineStr">
        <is>
          <t>(26)L/Pink</t>
        </is>
      </c>
      <c r="L2060" s="16" t="inlineStr">
        <is>
          <t>营业中</t>
        </is>
      </c>
      <c r="M2060" s="16" t="inlineStr">
        <is>
          <t>EEYWG23R3126160</t>
        </is>
      </c>
      <c r="N2060" s="16">
        <f>LEFT(M2060,12)</f>
        <v/>
      </c>
      <c r="O2060" s="16" t="inlineStr">
        <is>
          <t>EEYWG23R31, (26)L/Pink, (160)160</t>
        </is>
      </c>
      <c r="P2060" s="16" t="n">
        <v>699</v>
      </c>
      <c r="Q2060" s="16" t="n">
        <v>699</v>
      </c>
      <c r="R2060" s="16" t="n"/>
      <c r="S2060" s="16" t="n"/>
      <c r="T2060" s="16" t="n">
        <v>2</v>
      </c>
    </row>
    <row r="2061" s="103">
      <c r="A2061" s="16" t="inlineStr">
        <is>
          <t>B331</t>
        </is>
      </c>
      <c r="B2061" s="16" t="inlineStr">
        <is>
          <t>上海区域</t>
        </is>
      </c>
      <c r="C2061" s="16" t="inlineStr">
        <is>
          <t>CN0Q</t>
        </is>
      </c>
      <c r="D2061" s="16" t="inlineStr">
        <is>
          <t>EE 苏州比斯特购物村</t>
        </is>
      </c>
      <c r="E2061" s="16" t="n">
        <v>4</v>
      </c>
      <c r="F2061" s="16" t="inlineStr">
        <is>
          <t>奥特莱斯</t>
        </is>
      </c>
      <c r="G2061" s="16" t="inlineStr">
        <is>
          <t>EEYWG23R31</t>
        </is>
      </c>
      <c r="H2061" s="16" t="n">
        <v>699</v>
      </c>
      <c r="I2061" s="16" t="n">
        <v>699</v>
      </c>
      <c r="J2061" s="17" t="n">
        <v>46087</v>
      </c>
      <c r="K2061" s="16" t="inlineStr">
        <is>
          <t>(26)L/Pink</t>
        </is>
      </c>
      <c r="L2061" s="16" t="inlineStr">
        <is>
          <t>营业中</t>
        </is>
      </c>
      <c r="M2061" s="16" t="inlineStr">
        <is>
          <t>EEYWG23R3126165</t>
        </is>
      </c>
      <c r="N2061" s="16">
        <f>LEFT(M2061,12)</f>
        <v/>
      </c>
      <c r="O2061" s="16" t="inlineStr">
        <is>
          <t>EEYWG23R31, (26)L/Pink, (165)165</t>
        </is>
      </c>
      <c r="P2061" s="16" t="n">
        <v>699</v>
      </c>
      <c r="Q2061" s="16" t="n">
        <v>699</v>
      </c>
      <c r="R2061" s="16" t="n"/>
      <c r="S2061" s="16" t="n"/>
      <c r="T2061" s="16" t="n">
        <v>2</v>
      </c>
    </row>
    <row r="2062" s="103">
      <c r="A2062" s="16" t="inlineStr">
        <is>
          <t>B331</t>
        </is>
      </c>
      <c r="B2062" s="16" t="inlineStr">
        <is>
          <t>上海区域</t>
        </is>
      </c>
      <c r="C2062" s="16" t="inlineStr">
        <is>
          <t>CN0Q</t>
        </is>
      </c>
      <c r="D2062" s="16" t="inlineStr">
        <is>
          <t>EE 苏州比斯特购物村</t>
        </is>
      </c>
      <c r="E2062" s="16" t="n">
        <v>4</v>
      </c>
      <c r="F2062" s="16" t="inlineStr">
        <is>
          <t>奥特莱斯</t>
        </is>
      </c>
      <c r="G2062" s="16" t="inlineStr">
        <is>
          <t>EEYWG23R31</t>
        </is>
      </c>
      <c r="H2062" s="16" t="n">
        <v>699</v>
      </c>
      <c r="I2062" s="16" t="n">
        <v>699</v>
      </c>
      <c r="J2062" s="17" t="n">
        <v>46087</v>
      </c>
      <c r="K2062" s="16" t="inlineStr">
        <is>
          <t>(26)L/Pink</t>
        </is>
      </c>
      <c r="L2062" s="16" t="inlineStr">
        <is>
          <t>营业中</t>
        </is>
      </c>
      <c r="M2062" s="16" t="inlineStr">
        <is>
          <t>EEYWG23R3126170</t>
        </is>
      </c>
      <c r="N2062" s="16">
        <f>LEFT(M2062,12)</f>
        <v/>
      </c>
      <c r="O2062" s="16" t="inlineStr">
        <is>
          <t>EEYWG23R31, (26)L/Pink, (170)170</t>
        </is>
      </c>
      <c r="P2062" s="16" t="n">
        <v>699</v>
      </c>
      <c r="Q2062" s="16" t="n">
        <v>699</v>
      </c>
      <c r="R2062" s="16" t="n"/>
      <c r="S2062" s="16" t="n"/>
      <c r="T2062" s="16" t="n">
        <v>1</v>
      </c>
    </row>
    <row r="2063" s="103">
      <c r="A2063" s="16" t="inlineStr">
        <is>
          <t>B331</t>
        </is>
      </c>
      <c r="B2063" s="16" t="inlineStr">
        <is>
          <t>上海区域</t>
        </is>
      </c>
      <c r="C2063" s="16" t="inlineStr">
        <is>
          <t>CN0Q</t>
        </is>
      </c>
      <c r="D2063" s="16" t="inlineStr">
        <is>
          <t>EE 苏州比斯特购物村</t>
        </is>
      </c>
      <c r="E2063" s="16" t="n">
        <v>4</v>
      </c>
      <c r="F2063" s="16" t="inlineStr">
        <is>
          <t>奥特莱斯</t>
        </is>
      </c>
      <c r="G2063" s="16" t="inlineStr">
        <is>
          <t>EEYWG24E01</t>
        </is>
      </c>
      <c r="H2063" s="16" t="n">
        <v>799</v>
      </c>
      <c r="I2063" s="16" t="n">
        <v>799</v>
      </c>
      <c r="J2063" s="17" t="inlineStr">
        <is>
          <t>########</t>
        </is>
      </c>
      <c r="K2063" s="16" t="inlineStr">
        <is>
          <t>(30)Yellow</t>
        </is>
      </c>
      <c r="L2063" s="16" t="inlineStr">
        <is>
          <t>营业中</t>
        </is>
      </c>
      <c r="M2063" s="16" t="inlineStr">
        <is>
          <t>EEYWG24E0130160</t>
        </is>
      </c>
      <c r="N2063" s="16">
        <f>LEFT(M2063,12)</f>
        <v/>
      </c>
      <c r="O2063" s="16" t="inlineStr">
        <is>
          <t>EEYWG24E01, (30)Yellow, (160)160</t>
        </is>
      </c>
      <c r="P2063" s="16" t="n">
        <v>799</v>
      </c>
      <c r="Q2063" s="16" t="n">
        <v>799</v>
      </c>
      <c r="R2063" s="16" t="n">
        <v>24</v>
      </c>
      <c r="S2063" s="18" t="n">
        <v>7864</v>
      </c>
      <c r="T2063" s="16" t="n">
        <v>7</v>
      </c>
    </row>
    <row r="2064" s="103">
      <c r="A2064" s="16" t="inlineStr">
        <is>
          <t>B331</t>
        </is>
      </c>
      <c r="B2064" s="16" t="inlineStr">
        <is>
          <t>上海区域</t>
        </is>
      </c>
      <c r="C2064" s="16" t="inlineStr">
        <is>
          <t>CN0Q</t>
        </is>
      </c>
      <c r="D2064" s="16" t="inlineStr">
        <is>
          <t>EE 苏州比斯特购物村</t>
        </is>
      </c>
      <c r="E2064" s="16" t="n">
        <v>4</v>
      </c>
      <c r="F2064" s="16" t="inlineStr">
        <is>
          <t>奥特莱斯</t>
        </is>
      </c>
      <c r="G2064" s="16" t="inlineStr">
        <is>
          <t>EEYWG24E01</t>
        </is>
      </c>
      <c r="H2064" s="16" t="n">
        <v>799</v>
      </c>
      <c r="I2064" s="16" t="n">
        <v>799</v>
      </c>
      <c r="J2064" s="17" t="inlineStr">
        <is>
          <t>########</t>
        </is>
      </c>
      <c r="K2064" s="16" t="inlineStr">
        <is>
          <t>(30)Yellow</t>
        </is>
      </c>
      <c r="L2064" s="16" t="inlineStr">
        <is>
          <t>营业中</t>
        </is>
      </c>
      <c r="M2064" s="16" t="inlineStr">
        <is>
          <t>EEYWG24E0130165</t>
        </is>
      </c>
      <c r="N2064" s="16">
        <f>LEFT(M2064,12)</f>
        <v/>
      </c>
      <c r="O2064" s="16" t="inlineStr">
        <is>
          <t>EEYWG24E01, (30)Yellow, (165)165</t>
        </is>
      </c>
      <c r="P2064" s="16" t="n">
        <v>799</v>
      </c>
      <c r="Q2064" s="16" t="n">
        <v>799</v>
      </c>
      <c r="R2064" s="16" t="n">
        <v>22</v>
      </c>
      <c r="S2064" s="18" t="n">
        <v>8269</v>
      </c>
      <c r="T2064" s="16" t="n">
        <v>6</v>
      </c>
    </row>
    <row r="2065" s="103">
      <c r="A2065" s="16" t="inlineStr">
        <is>
          <t>B331</t>
        </is>
      </c>
      <c r="B2065" s="16" t="inlineStr">
        <is>
          <t>上海区域</t>
        </is>
      </c>
      <c r="C2065" s="16" t="inlineStr">
        <is>
          <t>CN0Q</t>
        </is>
      </c>
      <c r="D2065" s="16" t="inlineStr">
        <is>
          <t>EE 苏州比斯特购物村</t>
        </is>
      </c>
      <c r="E2065" s="16" t="n">
        <v>4</v>
      </c>
      <c r="F2065" s="16" t="inlineStr">
        <is>
          <t>奥特莱斯</t>
        </is>
      </c>
      <c r="G2065" s="16" t="inlineStr">
        <is>
          <t>EEYWG24E01</t>
        </is>
      </c>
      <c r="H2065" s="16" t="n">
        <v>799</v>
      </c>
      <c r="I2065" s="16" t="n">
        <v>799</v>
      </c>
      <c r="J2065" s="17" t="inlineStr">
        <is>
          <t>########</t>
        </is>
      </c>
      <c r="K2065" s="16" t="inlineStr">
        <is>
          <t>(30)Yellow</t>
        </is>
      </c>
      <c r="L2065" s="16" t="inlineStr">
        <is>
          <t>营业中</t>
        </is>
      </c>
      <c r="M2065" s="16" t="inlineStr">
        <is>
          <t>EEYWG24E0130170</t>
        </is>
      </c>
      <c r="N2065" s="16">
        <f>LEFT(M2065,12)</f>
        <v/>
      </c>
      <c r="O2065" s="16" t="inlineStr">
        <is>
          <t>EEYWG24E01, (30)Yellow, (170)170</t>
        </is>
      </c>
      <c r="P2065" s="16" t="n">
        <v>799</v>
      </c>
      <c r="Q2065" s="16" t="n">
        <v>799</v>
      </c>
      <c r="R2065" s="16" t="n">
        <v>12</v>
      </c>
      <c r="S2065" s="18" t="n">
        <v>4408</v>
      </c>
      <c r="T2065" s="16" t="n">
        <v>1</v>
      </c>
    </row>
    <row r="2066" s="103">
      <c r="A2066" s="16" t="inlineStr">
        <is>
          <t>B331</t>
        </is>
      </c>
      <c r="B2066" s="16" t="inlineStr">
        <is>
          <t>上海区域</t>
        </is>
      </c>
      <c r="C2066" s="16" t="inlineStr">
        <is>
          <t>CN0Q</t>
        </is>
      </c>
      <c r="D2066" s="16" t="inlineStr">
        <is>
          <t>EE 苏州比斯特购物村</t>
        </is>
      </c>
      <c r="E2066" s="16" t="n">
        <v>4</v>
      </c>
      <c r="F2066" s="16" t="inlineStr">
        <is>
          <t>奥特莱斯</t>
        </is>
      </c>
      <c r="G2066" s="16" t="inlineStr">
        <is>
          <t>EEYWG24E01</t>
        </is>
      </c>
      <c r="H2066" s="16" t="n">
        <v>799</v>
      </c>
      <c r="I2066" s="16" t="n">
        <v>799</v>
      </c>
      <c r="J2066" s="17" t="inlineStr">
        <is>
          <t>########</t>
        </is>
      </c>
      <c r="K2066" s="16" t="inlineStr">
        <is>
          <t>(39)Ivory</t>
        </is>
      </c>
      <c r="L2066" s="16" t="inlineStr">
        <is>
          <t>营业中</t>
        </is>
      </c>
      <c r="M2066" s="16" t="inlineStr">
        <is>
          <t>EEYWG24E0139160</t>
        </is>
      </c>
      <c r="N2066" s="16">
        <f>LEFT(M2066,12)</f>
        <v/>
      </c>
      <c r="O2066" s="16" t="inlineStr">
        <is>
          <t>EEYWG24E01, (39)Ivory, (160)160</t>
        </is>
      </c>
      <c r="P2066" s="16" t="n">
        <v>799</v>
      </c>
      <c r="Q2066" s="16" t="n">
        <v>799</v>
      </c>
      <c r="R2066" s="16" t="n">
        <v>34</v>
      </c>
      <c r="S2066" s="18" t="n">
        <v>12815</v>
      </c>
      <c r="T2066" s="16" t="n">
        <v>7</v>
      </c>
    </row>
    <row r="2067" s="103">
      <c r="A2067" s="16" t="inlineStr">
        <is>
          <t>B331</t>
        </is>
      </c>
      <c r="B2067" s="16" t="inlineStr">
        <is>
          <t>上海区域</t>
        </is>
      </c>
      <c r="C2067" s="16" t="inlineStr">
        <is>
          <t>CN0Q</t>
        </is>
      </c>
      <c r="D2067" s="16" t="inlineStr">
        <is>
          <t>EE 苏州比斯特购物村</t>
        </is>
      </c>
      <c r="E2067" s="16" t="n">
        <v>4</v>
      </c>
      <c r="F2067" s="16" t="inlineStr">
        <is>
          <t>奥特莱斯</t>
        </is>
      </c>
      <c r="G2067" s="16" t="inlineStr">
        <is>
          <t>EEYWG24E01</t>
        </is>
      </c>
      <c r="H2067" s="16" t="n">
        <v>799</v>
      </c>
      <c r="I2067" s="16" t="n">
        <v>799</v>
      </c>
      <c r="J2067" s="17" t="inlineStr">
        <is>
          <t>########</t>
        </is>
      </c>
      <c r="K2067" s="16" t="inlineStr">
        <is>
          <t>(39)Ivory</t>
        </is>
      </c>
      <c r="L2067" s="16" t="inlineStr">
        <is>
          <t>营业中</t>
        </is>
      </c>
      <c r="M2067" s="16" t="inlineStr">
        <is>
          <t>EEYWG24E0139165</t>
        </is>
      </c>
      <c r="N2067" s="16">
        <f>LEFT(M2067,12)</f>
        <v/>
      </c>
      <c r="O2067" s="16" t="inlineStr">
        <is>
          <t>EEYWG24E01, (39)Ivory, (165)165</t>
        </is>
      </c>
      <c r="P2067" s="16" t="n">
        <v>799</v>
      </c>
      <c r="Q2067" s="16" t="n">
        <v>799</v>
      </c>
      <c r="R2067" s="16" t="n">
        <v>30</v>
      </c>
      <c r="S2067" s="18" t="n">
        <v>9101</v>
      </c>
      <c r="T2067" s="16" t="n">
        <v>2</v>
      </c>
    </row>
    <row r="2068" s="103">
      <c r="A2068" s="16" t="inlineStr">
        <is>
          <t>B331</t>
        </is>
      </c>
      <c r="B2068" s="16" t="inlineStr">
        <is>
          <t>上海区域</t>
        </is>
      </c>
      <c r="C2068" s="16" t="inlineStr">
        <is>
          <t>CN0Q</t>
        </is>
      </c>
      <c r="D2068" s="16" t="inlineStr">
        <is>
          <t>EE 苏州比斯特购物村</t>
        </is>
      </c>
      <c r="E2068" s="16" t="n">
        <v>4</v>
      </c>
      <c r="F2068" s="16" t="inlineStr">
        <is>
          <t>奥特莱斯</t>
        </is>
      </c>
      <c r="G2068" s="16" t="inlineStr">
        <is>
          <t>EEYWG24E01</t>
        </is>
      </c>
      <c r="H2068" s="16" t="n">
        <v>799</v>
      </c>
      <c r="I2068" s="16" t="n">
        <v>799</v>
      </c>
      <c r="J2068" s="17" t="inlineStr">
        <is>
          <t>########</t>
        </is>
      </c>
      <c r="K2068" s="16" t="inlineStr">
        <is>
          <t>(39)Ivory</t>
        </is>
      </c>
      <c r="L2068" s="16" t="inlineStr">
        <is>
          <t>营业中</t>
        </is>
      </c>
      <c r="M2068" s="16" t="inlineStr">
        <is>
          <t>EEYWG24E0139170</t>
        </is>
      </c>
      <c r="N2068" s="16">
        <f>LEFT(M2068,12)</f>
        <v/>
      </c>
      <c r="O2068" s="16" t="inlineStr">
        <is>
          <t>EEYWG24E01, (39)Ivory, (170)170</t>
        </is>
      </c>
      <c r="P2068" s="16" t="n">
        <v>799</v>
      </c>
      <c r="Q2068" s="16" t="n">
        <v>799</v>
      </c>
      <c r="R2068" s="16" t="n">
        <v>4</v>
      </c>
      <c r="S2068" s="16" t="n">
        <v>506</v>
      </c>
      <c r="T2068" s="16" t="n">
        <v>5</v>
      </c>
    </row>
    <row r="2069" s="103">
      <c r="A2069" s="16" t="inlineStr">
        <is>
          <t>B331</t>
        </is>
      </c>
      <c r="B2069" s="16" t="inlineStr">
        <is>
          <t>上海区域</t>
        </is>
      </c>
      <c r="C2069" s="16" t="inlineStr">
        <is>
          <t>CN0Q</t>
        </is>
      </c>
      <c r="D2069" s="16" t="inlineStr">
        <is>
          <t>EE 苏州比斯特购物村</t>
        </is>
      </c>
      <c r="E2069" s="16" t="n">
        <v>4</v>
      </c>
      <c r="F2069" s="16" t="inlineStr">
        <is>
          <t>奥特莱斯</t>
        </is>
      </c>
      <c r="G2069" s="16" t="inlineStr">
        <is>
          <t>EEYWG24E01</t>
        </is>
      </c>
      <c r="H2069" s="16" t="n">
        <v>799</v>
      </c>
      <c r="I2069" s="16" t="n">
        <v>799</v>
      </c>
      <c r="J2069" s="17" t="inlineStr">
        <is>
          <t>########</t>
        </is>
      </c>
      <c r="K2069" s="16" t="inlineStr">
        <is>
          <t>(42)M/GREEN</t>
        </is>
      </c>
      <c r="L2069" s="16" t="inlineStr">
        <is>
          <t>营业中</t>
        </is>
      </c>
      <c r="M2069" s="16" t="inlineStr">
        <is>
          <t>EEYWG24E0142160</t>
        </is>
      </c>
      <c r="N2069" s="16">
        <f>LEFT(M2069,12)</f>
        <v/>
      </c>
      <c r="O2069" s="16" t="inlineStr">
        <is>
          <t>EEYWG24E01, (42)M/GREEN, (160)160</t>
        </is>
      </c>
      <c r="P2069" s="16" t="n">
        <v>799</v>
      </c>
      <c r="Q2069" s="16" t="n">
        <v>799</v>
      </c>
      <c r="R2069" s="16" t="n">
        <v>29</v>
      </c>
      <c r="S2069" s="18" t="n">
        <v>10140</v>
      </c>
      <c r="T2069" s="16" t="n">
        <v>10</v>
      </c>
    </row>
    <row r="2070" s="103">
      <c r="A2070" s="16" t="inlineStr">
        <is>
          <t>B331</t>
        </is>
      </c>
      <c r="B2070" s="16" t="inlineStr">
        <is>
          <t>上海区域</t>
        </is>
      </c>
      <c r="C2070" s="16" t="inlineStr">
        <is>
          <t>CN0Q</t>
        </is>
      </c>
      <c r="D2070" s="16" t="inlineStr">
        <is>
          <t>EE 苏州比斯特购物村</t>
        </is>
      </c>
      <c r="E2070" s="16" t="n">
        <v>4</v>
      </c>
      <c r="F2070" s="16" t="inlineStr">
        <is>
          <t>奥特莱斯</t>
        </is>
      </c>
      <c r="G2070" s="16" t="inlineStr">
        <is>
          <t>EEYWG24E01</t>
        </is>
      </c>
      <c r="H2070" s="16" t="n">
        <v>799</v>
      </c>
      <c r="I2070" s="16" t="n">
        <v>799</v>
      </c>
      <c r="J2070" s="17" t="inlineStr">
        <is>
          <t>########</t>
        </is>
      </c>
      <c r="K2070" s="16" t="inlineStr">
        <is>
          <t>(42)M/GREEN</t>
        </is>
      </c>
      <c r="L2070" s="16" t="inlineStr">
        <is>
          <t>营业中</t>
        </is>
      </c>
      <c r="M2070" s="16" t="inlineStr">
        <is>
          <t>EEYWG24E0142165</t>
        </is>
      </c>
      <c r="N2070" s="16">
        <f>LEFT(M2070,12)</f>
        <v/>
      </c>
      <c r="O2070" s="16" t="inlineStr">
        <is>
          <t>EEYWG24E01, (42)M/GREEN, (165)165</t>
        </is>
      </c>
      <c r="P2070" s="16" t="n">
        <v>799</v>
      </c>
      <c r="Q2070" s="16" t="n">
        <v>799</v>
      </c>
      <c r="R2070" s="16" t="n">
        <v>15</v>
      </c>
      <c r="S2070" s="18" t="n">
        <v>7299</v>
      </c>
      <c r="T2070" s="16" t="n">
        <v>15</v>
      </c>
    </row>
    <row r="2071" s="103">
      <c r="A2071" s="16" t="inlineStr">
        <is>
          <t>B331</t>
        </is>
      </c>
      <c r="B2071" s="16" t="inlineStr">
        <is>
          <t>上海区域</t>
        </is>
      </c>
      <c r="C2071" s="16" t="inlineStr">
        <is>
          <t>CN0Q</t>
        </is>
      </c>
      <c r="D2071" s="16" t="inlineStr">
        <is>
          <t>EE 苏州比斯特购物村</t>
        </is>
      </c>
      <c r="E2071" s="16" t="n">
        <v>4</v>
      </c>
      <c r="F2071" s="16" t="inlineStr">
        <is>
          <t>奥特莱斯</t>
        </is>
      </c>
      <c r="G2071" s="16" t="inlineStr">
        <is>
          <t>EEYWG24E01</t>
        </is>
      </c>
      <c r="H2071" s="16" t="n">
        <v>799</v>
      </c>
      <c r="I2071" s="16" t="n">
        <v>799</v>
      </c>
      <c r="J2071" s="17" t="inlineStr">
        <is>
          <t>########</t>
        </is>
      </c>
      <c r="K2071" s="16" t="inlineStr">
        <is>
          <t>(42)M/GREEN</t>
        </is>
      </c>
      <c r="L2071" s="16" t="inlineStr">
        <is>
          <t>营业中</t>
        </is>
      </c>
      <c r="M2071" s="16" t="inlineStr">
        <is>
          <t>EEYWG24E0142170</t>
        </is>
      </c>
      <c r="N2071" s="16">
        <f>LEFT(M2071,12)</f>
        <v/>
      </c>
      <c r="O2071" s="16" t="inlineStr">
        <is>
          <t>EEYWG24E01, (42)M/GREEN, (170)170</t>
        </is>
      </c>
      <c r="P2071" s="16" t="n">
        <v>799</v>
      </c>
      <c r="Q2071" s="16" t="n">
        <v>799</v>
      </c>
      <c r="R2071" s="16" t="n">
        <v>4</v>
      </c>
      <c r="S2071" s="16" t="n">
        <v>785</v>
      </c>
      <c r="T2071" s="16" t="n">
        <v>3</v>
      </c>
    </row>
    <row r="2072" s="103">
      <c r="A2072" s="16" t="inlineStr">
        <is>
          <t>B331</t>
        </is>
      </c>
      <c r="B2072" s="16" t="inlineStr">
        <is>
          <t>上海区域</t>
        </is>
      </c>
      <c r="C2072" s="16" t="inlineStr">
        <is>
          <t>CN0Q</t>
        </is>
      </c>
      <c r="D2072" s="16" t="inlineStr">
        <is>
          <t>EE 苏州比斯特购物村</t>
        </is>
      </c>
      <c r="E2072" s="16" t="n">
        <v>4</v>
      </c>
      <c r="F2072" s="16" t="inlineStr">
        <is>
          <t>奥特莱斯</t>
        </is>
      </c>
      <c r="G2072" s="16" t="inlineStr">
        <is>
          <t>EEYWG24E01</t>
        </is>
      </c>
      <c r="H2072" s="16" t="n">
        <v>799</v>
      </c>
      <c r="I2072" s="16" t="n">
        <v>799</v>
      </c>
      <c r="J2072" s="17" t="inlineStr">
        <is>
          <t>########</t>
        </is>
      </c>
      <c r="K2072" s="16" t="inlineStr">
        <is>
          <t>(50)Blue</t>
        </is>
      </c>
      <c r="L2072" s="16" t="inlineStr">
        <is>
          <t>营业中</t>
        </is>
      </c>
      <c r="M2072" s="16" t="inlineStr">
        <is>
          <t>EEYWG24E0150160</t>
        </is>
      </c>
      <c r="N2072" s="16">
        <f>LEFT(M2072,12)</f>
        <v/>
      </c>
      <c r="O2072" s="16" t="inlineStr">
        <is>
          <t>EEYWG24E01, (50)Blue, (160)160</t>
        </is>
      </c>
      <c r="P2072" s="16" t="n">
        <v>799</v>
      </c>
      <c r="Q2072" s="16" t="n">
        <v>799</v>
      </c>
      <c r="R2072" s="16" t="n">
        <v>8</v>
      </c>
      <c r="S2072" s="18" t="n">
        <v>2896</v>
      </c>
      <c r="T2072" s="16" t="n">
        <v>21</v>
      </c>
    </row>
    <row r="2073" s="103">
      <c r="A2073" s="16" t="inlineStr">
        <is>
          <t>B331</t>
        </is>
      </c>
      <c r="B2073" s="16" t="inlineStr">
        <is>
          <t>上海区域</t>
        </is>
      </c>
      <c r="C2073" s="16" t="inlineStr">
        <is>
          <t>CN0Q</t>
        </is>
      </c>
      <c r="D2073" s="16" t="inlineStr">
        <is>
          <t>EE 苏州比斯特购物村</t>
        </is>
      </c>
      <c r="E2073" s="16" t="n">
        <v>4</v>
      </c>
      <c r="F2073" s="16" t="inlineStr">
        <is>
          <t>奥特莱斯</t>
        </is>
      </c>
      <c r="G2073" s="16" t="inlineStr">
        <is>
          <t>EEYWG24E01</t>
        </is>
      </c>
      <c r="H2073" s="16" t="n">
        <v>799</v>
      </c>
      <c r="I2073" s="16" t="n">
        <v>799</v>
      </c>
      <c r="J2073" s="17" t="inlineStr">
        <is>
          <t>########</t>
        </is>
      </c>
      <c r="K2073" s="16" t="inlineStr">
        <is>
          <t>(50)Blue</t>
        </is>
      </c>
      <c r="L2073" s="16" t="inlineStr">
        <is>
          <t>营业中</t>
        </is>
      </c>
      <c r="M2073" s="16" t="inlineStr">
        <is>
          <t>EEYWG24E0150165</t>
        </is>
      </c>
      <c r="N2073" s="16">
        <f>LEFT(M2073,12)</f>
        <v/>
      </c>
      <c r="O2073" s="16" t="inlineStr">
        <is>
          <t>EEYWG24E01, (50)Blue, (165)165</t>
        </is>
      </c>
      <c r="P2073" s="16" t="n">
        <v>799</v>
      </c>
      <c r="Q2073" s="16" t="n">
        <v>799</v>
      </c>
      <c r="R2073" s="16" t="n">
        <v>7</v>
      </c>
      <c r="S2073" s="18" t="n">
        <v>2629</v>
      </c>
      <c r="T2073" s="16" t="n">
        <v>15</v>
      </c>
    </row>
    <row r="2074" s="103">
      <c r="A2074" s="16" t="inlineStr">
        <is>
          <t>B331</t>
        </is>
      </c>
      <c r="B2074" s="16" t="inlineStr">
        <is>
          <t>上海区域</t>
        </is>
      </c>
      <c r="C2074" s="16" t="inlineStr">
        <is>
          <t>CN0Q</t>
        </is>
      </c>
      <c r="D2074" s="16" t="inlineStr">
        <is>
          <t>EE 苏州比斯特购物村</t>
        </is>
      </c>
      <c r="E2074" s="16" t="n">
        <v>4</v>
      </c>
      <c r="F2074" s="16" t="inlineStr">
        <is>
          <t>奥特莱斯</t>
        </is>
      </c>
      <c r="G2074" s="16" t="inlineStr">
        <is>
          <t>EEYWG24E01</t>
        </is>
      </c>
      <c r="H2074" s="16" t="n">
        <v>799</v>
      </c>
      <c r="I2074" s="16" t="n">
        <v>799</v>
      </c>
      <c r="J2074" s="17" t="inlineStr">
        <is>
          <t>########</t>
        </is>
      </c>
      <c r="K2074" s="16" t="inlineStr">
        <is>
          <t>(50)Blue</t>
        </is>
      </c>
      <c r="L2074" s="16" t="inlineStr">
        <is>
          <t>营业中</t>
        </is>
      </c>
      <c r="M2074" s="16" t="inlineStr">
        <is>
          <t>EEYWG24E0150170</t>
        </is>
      </c>
      <c r="N2074" s="16">
        <f>LEFT(M2074,12)</f>
        <v/>
      </c>
      <c r="O2074" s="16" t="inlineStr">
        <is>
          <t>EEYWG24E01, (50)Blue, (170)170</t>
        </is>
      </c>
      <c r="P2074" s="16" t="n">
        <v>799</v>
      </c>
      <c r="Q2074" s="16" t="n">
        <v>799</v>
      </c>
      <c r="R2074" s="16" t="n">
        <v>5</v>
      </c>
      <c r="S2074" s="18" t="n">
        <v>1783</v>
      </c>
      <c r="T2074" s="16" t="n">
        <v>3</v>
      </c>
    </row>
    <row r="2075" s="103">
      <c r="A2075" s="16" t="inlineStr">
        <is>
          <t>B331</t>
        </is>
      </c>
      <c r="B2075" s="16" t="inlineStr">
        <is>
          <t>上海区域</t>
        </is>
      </c>
      <c r="C2075" s="16" t="inlineStr">
        <is>
          <t>CN0Q</t>
        </is>
      </c>
      <c r="D2075" s="16" t="inlineStr">
        <is>
          <t>EE 苏州比斯特购物村</t>
        </is>
      </c>
      <c r="E2075" s="16" t="n">
        <v>4</v>
      </c>
      <c r="F2075" s="16" t="inlineStr">
        <is>
          <t>奥特莱斯</t>
        </is>
      </c>
      <c r="G2075" s="16" t="inlineStr">
        <is>
          <t>EEYWG24E01</t>
        </is>
      </c>
      <c r="H2075" s="16" t="n">
        <v>799</v>
      </c>
      <c r="I2075" s="16" t="n">
        <v>799</v>
      </c>
      <c r="J2075" s="17" t="inlineStr">
        <is>
          <t>########</t>
        </is>
      </c>
      <c r="K2075" s="16" t="inlineStr">
        <is>
          <t>(70)Violet</t>
        </is>
      </c>
      <c r="L2075" s="16" t="inlineStr">
        <is>
          <t>营业中</t>
        </is>
      </c>
      <c r="M2075" s="16" t="inlineStr">
        <is>
          <t>EEYWG24E0170160</t>
        </is>
      </c>
      <c r="N2075" s="16">
        <f>LEFT(M2075,12)</f>
        <v/>
      </c>
      <c r="O2075" s="16" t="inlineStr">
        <is>
          <t>EEYWG24E01, (70)Violet, (160)160</t>
        </is>
      </c>
      <c r="P2075" s="16" t="n">
        <v>799</v>
      </c>
      <c r="Q2075" s="16" t="n">
        <v>799</v>
      </c>
      <c r="R2075" s="16" t="n">
        <v>15</v>
      </c>
      <c r="S2075" s="18" t="n">
        <v>4129</v>
      </c>
      <c r="T2075" s="16" t="n">
        <v>28</v>
      </c>
    </row>
    <row r="2076" s="103">
      <c r="A2076" s="16" t="inlineStr">
        <is>
          <t>B331</t>
        </is>
      </c>
      <c r="B2076" s="16" t="inlineStr">
        <is>
          <t>上海区域</t>
        </is>
      </c>
      <c r="C2076" s="16" t="inlineStr">
        <is>
          <t>CN0Q</t>
        </is>
      </c>
      <c r="D2076" s="16" t="inlineStr">
        <is>
          <t>EE 苏州比斯特购物村</t>
        </is>
      </c>
      <c r="E2076" s="16" t="n">
        <v>4</v>
      </c>
      <c r="F2076" s="16" t="inlineStr">
        <is>
          <t>奥特莱斯</t>
        </is>
      </c>
      <c r="G2076" s="16" t="inlineStr">
        <is>
          <t>EEYWG24E01</t>
        </is>
      </c>
      <c r="H2076" s="16" t="n">
        <v>799</v>
      </c>
      <c r="I2076" s="16" t="n">
        <v>799</v>
      </c>
      <c r="J2076" s="17" t="inlineStr">
        <is>
          <t>########</t>
        </is>
      </c>
      <c r="K2076" s="16" t="inlineStr">
        <is>
          <t>(70)Violet</t>
        </is>
      </c>
      <c r="L2076" s="16" t="inlineStr">
        <is>
          <t>营业中</t>
        </is>
      </c>
      <c r="M2076" s="16" t="inlineStr">
        <is>
          <t>EEYWG24E0170165</t>
        </is>
      </c>
      <c r="N2076" s="16">
        <f>LEFT(M2076,12)</f>
        <v/>
      </c>
      <c r="O2076" s="16" t="inlineStr">
        <is>
          <t>EEYWG24E01, (70)Violet, (165)165</t>
        </is>
      </c>
      <c r="P2076" s="16" t="n">
        <v>799</v>
      </c>
      <c r="Q2076" s="16" t="n">
        <v>799</v>
      </c>
      <c r="R2076" s="16" t="n">
        <v>3</v>
      </c>
      <c r="S2076" s="16" t="n">
        <v>240</v>
      </c>
      <c r="T2076" s="16" t="n">
        <v>15</v>
      </c>
    </row>
    <row r="2077" s="103">
      <c r="A2077" s="16" t="inlineStr">
        <is>
          <t>B331</t>
        </is>
      </c>
      <c r="B2077" s="16" t="inlineStr">
        <is>
          <t>上海区域</t>
        </is>
      </c>
      <c r="C2077" s="16" t="inlineStr">
        <is>
          <t>CN0Q</t>
        </is>
      </c>
      <c r="D2077" s="16" t="inlineStr">
        <is>
          <t>EE 苏州比斯特购物村</t>
        </is>
      </c>
      <c r="E2077" s="16" t="n">
        <v>4</v>
      </c>
      <c r="F2077" s="16" t="inlineStr">
        <is>
          <t>奥特莱斯</t>
        </is>
      </c>
      <c r="G2077" s="16" t="inlineStr">
        <is>
          <t>EEYWG24E01</t>
        </is>
      </c>
      <c r="H2077" s="16" t="n">
        <v>799</v>
      </c>
      <c r="I2077" s="16" t="n">
        <v>799</v>
      </c>
      <c r="J2077" s="17" t="inlineStr">
        <is>
          <t>########</t>
        </is>
      </c>
      <c r="K2077" s="16" t="inlineStr">
        <is>
          <t>(70)Violet</t>
        </is>
      </c>
      <c r="L2077" s="16" t="inlineStr">
        <is>
          <t>营业中</t>
        </is>
      </c>
      <c r="M2077" s="16" t="inlineStr">
        <is>
          <t>EEYWG24E0170170</t>
        </is>
      </c>
      <c r="N2077" s="16">
        <f>LEFT(M2077,12)</f>
        <v/>
      </c>
      <c r="O2077" s="16" t="inlineStr">
        <is>
          <t>EEYWG24E01, (70)Violet, (170)170</t>
        </is>
      </c>
      <c r="P2077" s="16" t="n">
        <v>799</v>
      </c>
      <c r="Q2077" s="16" t="n">
        <v>799</v>
      </c>
      <c r="R2077" s="16" t="n">
        <v>3</v>
      </c>
      <c r="S2077" s="16" t="n">
        <v>479</v>
      </c>
      <c r="T2077" s="16" t="n">
        <v>13</v>
      </c>
    </row>
    <row r="2078" s="103">
      <c r="A2078" s="16" t="inlineStr">
        <is>
          <t>B331</t>
        </is>
      </c>
      <c r="B2078" s="16" t="inlineStr">
        <is>
          <t>上海区域</t>
        </is>
      </c>
      <c r="C2078" s="16" t="inlineStr">
        <is>
          <t>CN0Q</t>
        </is>
      </c>
      <c r="D2078" s="16" t="inlineStr">
        <is>
          <t>EE 苏州比斯特购物村</t>
        </is>
      </c>
      <c r="E2078" s="16" t="n">
        <v>4</v>
      </c>
      <c r="F2078" s="16" t="inlineStr">
        <is>
          <t>奥特莱斯</t>
        </is>
      </c>
      <c r="G2078" s="16" t="inlineStr">
        <is>
          <t>EEYWG24E01</t>
        </is>
      </c>
      <c r="H2078" s="16" t="n">
        <v>799</v>
      </c>
      <c r="I2078" s="16" t="n">
        <v>799</v>
      </c>
      <c r="J2078" s="17" t="inlineStr">
        <is>
          <t>########</t>
        </is>
      </c>
      <c r="K2078" s="16" t="inlineStr">
        <is>
          <t>(88)Lavender</t>
        </is>
      </c>
      <c r="L2078" s="16" t="inlineStr">
        <is>
          <t>营业中</t>
        </is>
      </c>
      <c r="M2078" s="16" t="inlineStr">
        <is>
          <t>EEYWG24E0188160</t>
        </is>
      </c>
      <c r="N2078" s="16">
        <f>LEFT(M2078,12)</f>
        <v/>
      </c>
      <c r="O2078" s="16" t="inlineStr">
        <is>
          <t>EEYWG24E01, (88)Lavender, (160)160</t>
        </is>
      </c>
      <c r="P2078" s="16" t="n">
        <v>799</v>
      </c>
      <c r="Q2078" s="16" t="n">
        <v>799</v>
      </c>
      <c r="R2078" s="16" t="n">
        <v>2</v>
      </c>
      <c r="S2078" s="16" t="n">
        <v>508</v>
      </c>
      <c r="T2078" s="16" t="n">
        <v>2</v>
      </c>
    </row>
    <row r="2079" s="103">
      <c r="A2079" s="16" t="inlineStr">
        <is>
          <t>B331</t>
        </is>
      </c>
      <c r="B2079" s="16" t="inlineStr">
        <is>
          <t>上海区域</t>
        </is>
      </c>
      <c r="C2079" s="16" t="inlineStr">
        <is>
          <t>CN0Q</t>
        </is>
      </c>
      <c r="D2079" s="16" t="inlineStr">
        <is>
          <t>EE 苏州比斯特购物村</t>
        </is>
      </c>
      <c r="E2079" s="16" t="n">
        <v>4</v>
      </c>
      <c r="F2079" s="16" t="inlineStr">
        <is>
          <t>奥特莱斯</t>
        </is>
      </c>
      <c r="G2079" s="16" t="inlineStr">
        <is>
          <t>EEYWG24E01</t>
        </is>
      </c>
      <c r="H2079" s="16" t="n">
        <v>799</v>
      </c>
      <c r="I2079" s="16" t="n">
        <v>799</v>
      </c>
      <c r="J2079" s="17" t="inlineStr">
        <is>
          <t>########</t>
        </is>
      </c>
      <c r="K2079" s="16" t="inlineStr">
        <is>
          <t>(88)Lavender</t>
        </is>
      </c>
      <c r="L2079" s="16" t="inlineStr">
        <is>
          <t>营业中</t>
        </is>
      </c>
      <c r="M2079" s="16" t="inlineStr">
        <is>
          <t>EEYWG24E0188165</t>
        </is>
      </c>
      <c r="N2079" s="16">
        <f>LEFT(M2079,12)</f>
        <v/>
      </c>
      <c r="O2079" s="16" t="inlineStr">
        <is>
          <t>EEYWG24E01, (88)Lavender, (165)165</t>
        </is>
      </c>
      <c r="P2079" s="16" t="n">
        <v>799</v>
      </c>
      <c r="Q2079" s="16" t="n">
        <v>799</v>
      </c>
      <c r="R2079" s="16" t="n">
        <v>1</v>
      </c>
      <c r="S2079" s="16" t="n"/>
      <c r="T2079" s="16" t="n">
        <v>3</v>
      </c>
    </row>
    <row r="2080" s="103">
      <c r="A2080" s="16" t="inlineStr">
        <is>
          <t>B331</t>
        </is>
      </c>
      <c r="B2080" s="16" t="inlineStr">
        <is>
          <t>上海区域</t>
        </is>
      </c>
      <c r="C2080" s="16" t="inlineStr">
        <is>
          <t>CN0Q</t>
        </is>
      </c>
      <c r="D2080" s="16" t="inlineStr">
        <is>
          <t>EE 苏州比斯特购物村</t>
        </is>
      </c>
      <c r="E2080" s="16" t="n">
        <v>4</v>
      </c>
      <c r="F2080" s="16" t="inlineStr">
        <is>
          <t>奥特莱斯</t>
        </is>
      </c>
      <c r="G2080" s="16" t="inlineStr">
        <is>
          <t>EEYWG24E01</t>
        </is>
      </c>
      <c r="H2080" s="16" t="n">
        <v>799</v>
      </c>
      <c r="I2080" s="16" t="n">
        <v>799</v>
      </c>
      <c r="J2080" s="17" t="inlineStr">
        <is>
          <t>########</t>
        </is>
      </c>
      <c r="K2080" s="16" t="inlineStr">
        <is>
          <t>(88)Lavender</t>
        </is>
      </c>
      <c r="L2080" s="16" t="inlineStr">
        <is>
          <t>营业中</t>
        </is>
      </c>
      <c r="M2080" s="16" t="inlineStr">
        <is>
          <t>EEYWG24E0188170</t>
        </is>
      </c>
      <c r="N2080" s="16">
        <f>LEFT(M2080,12)</f>
        <v/>
      </c>
      <c r="O2080" s="16" t="inlineStr">
        <is>
          <t>EEYWG24E01, (88)Lavender, (170)170</t>
        </is>
      </c>
      <c r="P2080" s="16" t="n">
        <v>799</v>
      </c>
      <c r="Q2080" s="16" t="n">
        <v>799</v>
      </c>
      <c r="R2080" s="16" t="n">
        <v>4</v>
      </c>
      <c r="S2080" s="16" t="n">
        <v>992</v>
      </c>
      <c r="T2080" s="16" t="n">
        <v>0</v>
      </c>
    </row>
    <row r="2081" s="103">
      <c r="A2081" s="16" t="inlineStr">
        <is>
          <t>B331</t>
        </is>
      </c>
      <c r="B2081" s="16" t="inlineStr">
        <is>
          <t>上海区域</t>
        </is>
      </c>
      <c r="C2081" s="16" t="inlineStr">
        <is>
          <t>CN0Q</t>
        </is>
      </c>
      <c r="D2081" s="16" t="inlineStr">
        <is>
          <t>EE 苏州比斯特购物村</t>
        </is>
      </c>
      <c r="E2081" s="16" t="n">
        <v>4</v>
      </c>
      <c r="F2081" s="16" t="inlineStr">
        <is>
          <t>奥特莱斯</t>
        </is>
      </c>
      <c r="G2081" s="16" t="inlineStr">
        <is>
          <t>EEYWG24E02</t>
        </is>
      </c>
      <c r="H2081" s="16" t="n">
        <v>699</v>
      </c>
      <c r="I2081" s="16" t="n">
        <v>699</v>
      </c>
      <c r="J2081" s="17" t="n">
        <v>46087</v>
      </c>
      <c r="K2081" s="16" t="inlineStr">
        <is>
          <t>(20)Red</t>
        </is>
      </c>
      <c r="L2081" s="16" t="inlineStr">
        <is>
          <t>营业中</t>
        </is>
      </c>
      <c r="M2081" s="16" t="inlineStr">
        <is>
          <t>EEYWG24E0220160</t>
        </is>
      </c>
      <c r="N2081" s="16">
        <f>LEFT(M2081,12)</f>
        <v/>
      </c>
      <c r="O2081" s="16" t="inlineStr">
        <is>
          <t>EEYWG24E02, (20)Red, (160)160</t>
        </is>
      </c>
      <c r="P2081" s="16" t="n">
        <v>699</v>
      </c>
      <c r="Q2081" s="16" t="n">
        <v>699</v>
      </c>
      <c r="R2081" s="16" t="n">
        <v>2</v>
      </c>
      <c r="S2081" s="16" t="n">
        <v>886</v>
      </c>
      <c r="T2081" s="16" t="n">
        <v>0</v>
      </c>
    </row>
    <row r="2082" s="103">
      <c r="A2082" s="16" t="inlineStr">
        <is>
          <t>B331</t>
        </is>
      </c>
      <c r="B2082" s="16" t="inlineStr">
        <is>
          <t>上海区域</t>
        </is>
      </c>
      <c r="C2082" s="16" t="inlineStr">
        <is>
          <t>CN0Q</t>
        </is>
      </c>
      <c r="D2082" s="16" t="inlineStr">
        <is>
          <t>EE 苏州比斯特购物村</t>
        </is>
      </c>
      <c r="E2082" s="16" t="n">
        <v>4</v>
      </c>
      <c r="F2082" s="16" t="inlineStr">
        <is>
          <t>奥特莱斯</t>
        </is>
      </c>
      <c r="G2082" s="16" t="inlineStr">
        <is>
          <t>EEYWG24E02</t>
        </is>
      </c>
      <c r="H2082" s="16" t="n">
        <v>699</v>
      </c>
      <c r="I2082" s="16" t="n">
        <v>699</v>
      </c>
      <c r="J2082" s="17" t="n">
        <v>46087</v>
      </c>
      <c r="K2082" s="16" t="inlineStr">
        <is>
          <t>(20)Red</t>
        </is>
      </c>
      <c r="L2082" s="16" t="inlineStr">
        <is>
          <t>营业中</t>
        </is>
      </c>
      <c r="M2082" s="16" t="inlineStr">
        <is>
          <t>EEYWG24E0220165</t>
        </is>
      </c>
      <c r="N2082" s="16">
        <f>LEFT(M2082,12)</f>
        <v/>
      </c>
      <c r="O2082" s="16" t="inlineStr">
        <is>
          <t>EEYWG24E02, (20)Red, (165)165</t>
        </is>
      </c>
      <c r="P2082" s="16" t="n">
        <v>699</v>
      </c>
      <c r="Q2082" s="16" t="n">
        <v>699</v>
      </c>
      <c r="R2082" s="16" t="n">
        <v>2</v>
      </c>
      <c r="S2082" s="16" t="n">
        <v>891</v>
      </c>
      <c r="T2082" s="16" t="n">
        <v>0</v>
      </c>
    </row>
    <row r="2083" s="103">
      <c r="A2083" s="16" t="inlineStr">
        <is>
          <t>B331</t>
        </is>
      </c>
      <c r="B2083" s="16" t="inlineStr">
        <is>
          <t>上海区域</t>
        </is>
      </c>
      <c r="C2083" s="16" t="inlineStr">
        <is>
          <t>CN0Q</t>
        </is>
      </c>
      <c r="D2083" s="16" t="inlineStr">
        <is>
          <t>EE 苏州比斯特购物村</t>
        </is>
      </c>
      <c r="E2083" s="16" t="n">
        <v>4</v>
      </c>
      <c r="F2083" s="16" t="inlineStr">
        <is>
          <t>奥特莱斯</t>
        </is>
      </c>
      <c r="G2083" s="16" t="inlineStr">
        <is>
          <t>EEYWG24E02</t>
        </is>
      </c>
      <c r="H2083" s="16" t="n">
        <v>699</v>
      </c>
      <c r="I2083" s="16" t="n">
        <v>699</v>
      </c>
      <c r="J2083" s="17" t="n">
        <v>46087</v>
      </c>
      <c r="K2083" s="16" t="inlineStr">
        <is>
          <t>(20)Red</t>
        </is>
      </c>
      <c r="L2083" s="16" t="inlineStr">
        <is>
          <t>营业中</t>
        </is>
      </c>
      <c r="M2083" s="16" t="inlineStr">
        <is>
          <t>EEYWG24E0220170</t>
        </is>
      </c>
      <c r="N2083" s="16">
        <f>LEFT(M2083,12)</f>
        <v/>
      </c>
      <c r="O2083" s="16" t="inlineStr">
        <is>
          <t>EEYWG24E02, (20)Red, (170)170</t>
        </is>
      </c>
      <c r="P2083" s="16" t="n">
        <v>699</v>
      </c>
      <c r="Q2083" s="16" t="n">
        <v>699</v>
      </c>
      <c r="R2083" s="16" t="n"/>
      <c r="S2083" s="16" t="n"/>
      <c r="T2083" s="16" t="n">
        <v>2</v>
      </c>
    </row>
    <row r="2084" s="103">
      <c r="A2084" s="16" t="inlineStr">
        <is>
          <t>B331</t>
        </is>
      </c>
      <c r="B2084" s="16" t="inlineStr">
        <is>
          <t>上海区域</t>
        </is>
      </c>
      <c r="C2084" s="16" t="inlineStr">
        <is>
          <t>CN0Q</t>
        </is>
      </c>
      <c r="D2084" s="16" t="inlineStr">
        <is>
          <t>EE 苏州比斯特购物村</t>
        </is>
      </c>
      <c r="E2084" s="16" t="n">
        <v>4</v>
      </c>
      <c r="F2084" s="16" t="inlineStr">
        <is>
          <t>奥特莱斯</t>
        </is>
      </c>
      <c r="G2084" s="16" t="inlineStr">
        <is>
          <t>EEYWG24E02</t>
        </is>
      </c>
      <c r="H2084" s="16" t="n">
        <v>699</v>
      </c>
      <c r="I2084" s="16" t="n">
        <v>699</v>
      </c>
      <c r="J2084" s="17" t="n">
        <v>46087</v>
      </c>
      <c r="K2084" s="16" t="inlineStr">
        <is>
          <t>(51)L/Blue</t>
        </is>
      </c>
      <c r="L2084" s="16" t="inlineStr">
        <is>
          <t>营业中</t>
        </is>
      </c>
      <c r="M2084" s="16" t="inlineStr">
        <is>
          <t>EEYWG24E0251160</t>
        </is>
      </c>
      <c r="N2084" s="16">
        <f>LEFT(M2084,12)</f>
        <v/>
      </c>
      <c r="O2084" s="16" t="inlineStr">
        <is>
          <t>EEYWG24E02, (51)L/Blue, (160)160</t>
        </is>
      </c>
      <c r="P2084" s="16" t="n">
        <v>699</v>
      </c>
      <c r="Q2084" s="16" t="n">
        <v>699</v>
      </c>
      <c r="R2084" s="16" t="n">
        <v>1</v>
      </c>
      <c r="S2084" s="16" t="n">
        <v>489</v>
      </c>
      <c r="T2084" s="16" t="n">
        <v>3</v>
      </c>
    </row>
    <row r="2085" s="103">
      <c r="A2085" s="16" t="inlineStr">
        <is>
          <t>B331</t>
        </is>
      </c>
      <c r="B2085" s="16" t="inlineStr">
        <is>
          <t>上海区域</t>
        </is>
      </c>
      <c r="C2085" s="16" t="inlineStr">
        <is>
          <t>CN0Q</t>
        </is>
      </c>
      <c r="D2085" s="16" t="inlineStr">
        <is>
          <t>EE 苏州比斯特购物村</t>
        </is>
      </c>
      <c r="E2085" s="16" t="n">
        <v>4</v>
      </c>
      <c r="F2085" s="16" t="inlineStr">
        <is>
          <t>奥特莱斯</t>
        </is>
      </c>
      <c r="G2085" s="16" t="inlineStr">
        <is>
          <t>EEYWG24E02</t>
        </is>
      </c>
      <c r="H2085" s="16" t="n">
        <v>699</v>
      </c>
      <c r="I2085" s="16" t="n">
        <v>699</v>
      </c>
      <c r="J2085" s="17" t="n">
        <v>46087</v>
      </c>
      <c r="K2085" s="16" t="inlineStr">
        <is>
          <t>(51)L/Blue</t>
        </is>
      </c>
      <c r="L2085" s="16" t="inlineStr">
        <is>
          <t>营业中</t>
        </is>
      </c>
      <c r="M2085" s="16" t="inlineStr">
        <is>
          <t>EEYWG24E0251165</t>
        </is>
      </c>
      <c r="N2085" s="16">
        <f>LEFT(M2085,12)</f>
        <v/>
      </c>
      <c r="O2085" s="16" t="inlineStr">
        <is>
          <t>EEYWG24E02, (51)L/Blue, (165)165</t>
        </is>
      </c>
      <c r="P2085" s="16" t="n">
        <v>699</v>
      </c>
      <c r="Q2085" s="16" t="n">
        <v>699</v>
      </c>
      <c r="R2085" s="16" t="n">
        <v>2</v>
      </c>
      <c r="S2085" s="16" t="n">
        <v>443</v>
      </c>
      <c r="T2085" s="16" t="n">
        <v>4</v>
      </c>
    </row>
    <row r="2086" s="103">
      <c r="A2086" s="16" t="inlineStr">
        <is>
          <t>B331</t>
        </is>
      </c>
      <c r="B2086" s="16" t="inlineStr">
        <is>
          <t>上海区域</t>
        </is>
      </c>
      <c r="C2086" s="16" t="inlineStr">
        <is>
          <t>CN0Q</t>
        </is>
      </c>
      <c r="D2086" s="16" t="inlineStr">
        <is>
          <t>EE 苏州比斯特购物村</t>
        </is>
      </c>
      <c r="E2086" s="16" t="n">
        <v>4</v>
      </c>
      <c r="F2086" s="16" t="inlineStr">
        <is>
          <t>奥特莱斯</t>
        </is>
      </c>
      <c r="G2086" s="16" t="inlineStr">
        <is>
          <t>EEYWG24E02</t>
        </is>
      </c>
      <c r="H2086" s="16" t="n">
        <v>699</v>
      </c>
      <c r="I2086" s="16" t="n">
        <v>699</v>
      </c>
      <c r="J2086" s="17" t="n">
        <v>46087</v>
      </c>
      <c r="K2086" s="16" t="inlineStr">
        <is>
          <t>(51)L/Blue</t>
        </is>
      </c>
      <c r="L2086" s="16" t="inlineStr">
        <is>
          <t>营业中</t>
        </is>
      </c>
      <c r="M2086" s="16" t="inlineStr">
        <is>
          <t>EEYWG24E0251170</t>
        </is>
      </c>
      <c r="N2086" s="16">
        <f>LEFT(M2086,12)</f>
        <v/>
      </c>
      <c r="O2086" s="16" t="inlineStr">
        <is>
          <t>EEYWG24E02, (51)L/Blue, (170)170</t>
        </is>
      </c>
      <c r="P2086" s="16" t="n">
        <v>699</v>
      </c>
      <c r="Q2086" s="16" t="n">
        <v>699</v>
      </c>
      <c r="R2086" s="16" t="n">
        <v>1</v>
      </c>
      <c r="S2086" s="16" t="n">
        <v>489</v>
      </c>
      <c r="T2086" s="16" t="n">
        <v>1</v>
      </c>
    </row>
    <row r="2087" s="103">
      <c r="A2087" s="16" t="inlineStr">
        <is>
          <t>B331</t>
        </is>
      </c>
      <c r="B2087" s="16" t="inlineStr">
        <is>
          <t>上海区域</t>
        </is>
      </c>
      <c r="C2087" s="16" t="inlineStr">
        <is>
          <t>CN0Q</t>
        </is>
      </c>
      <c r="D2087" s="16" t="inlineStr">
        <is>
          <t>EE 苏州比斯特购物村</t>
        </is>
      </c>
      <c r="E2087" s="16" t="n">
        <v>4</v>
      </c>
      <c r="F2087" s="16" t="inlineStr">
        <is>
          <t>奥特莱斯</t>
        </is>
      </c>
      <c r="G2087" s="16" t="inlineStr">
        <is>
          <t>EEYWG24E03</t>
        </is>
      </c>
      <c r="H2087" s="16" t="n">
        <v>699</v>
      </c>
      <c r="I2087" s="16" t="n">
        <v>699</v>
      </c>
      <c r="J2087" s="17" t="inlineStr">
        <is>
          <t>########</t>
        </is>
      </c>
      <c r="K2087" s="16" t="inlineStr">
        <is>
          <t>(39)Ivory</t>
        </is>
      </c>
      <c r="L2087" s="16" t="inlineStr">
        <is>
          <t>营业中</t>
        </is>
      </c>
      <c r="M2087" s="16" t="inlineStr">
        <is>
          <t>EEYWG24E0339160</t>
        </is>
      </c>
      <c r="N2087" s="16">
        <f>LEFT(M2087,12)</f>
        <v/>
      </c>
      <c r="O2087" s="16" t="inlineStr">
        <is>
          <t>EEYWG24E03, (39)Ivory, (160)160</t>
        </is>
      </c>
      <c r="P2087" s="16" t="n">
        <v>699</v>
      </c>
      <c r="Q2087" s="16" t="n">
        <v>699</v>
      </c>
      <c r="R2087" s="16" t="n"/>
      <c r="S2087" s="16" t="n"/>
      <c r="T2087" s="16" t="n">
        <v>2</v>
      </c>
    </row>
    <row r="2088" s="103">
      <c r="A2088" s="16" t="inlineStr">
        <is>
          <t>B331</t>
        </is>
      </c>
      <c r="B2088" s="16" t="inlineStr">
        <is>
          <t>上海区域</t>
        </is>
      </c>
      <c r="C2088" s="16" t="inlineStr">
        <is>
          <t>CN0Q</t>
        </is>
      </c>
      <c r="D2088" s="16" t="inlineStr">
        <is>
          <t>EE 苏州比斯特购物村</t>
        </is>
      </c>
      <c r="E2088" s="16" t="n">
        <v>4</v>
      </c>
      <c r="F2088" s="16" t="inlineStr">
        <is>
          <t>奥特莱斯</t>
        </is>
      </c>
      <c r="G2088" s="16" t="inlineStr">
        <is>
          <t>EEYWG24E03</t>
        </is>
      </c>
      <c r="H2088" s="16" t="n">
        <v>699</v>
      </c>
      <c r="I2088" s="16" t="n">
        <v>699</v>
      </c>
      <c r="J2088" s="17" t="inlineStr">
        <is>
          <t>########</t>
        </is>
      </c>
      <c r="K2088" s="16" t="inlineStr">
        <is>
          <t>(39)Ivory</t>
        </is>
      </c>
      <c r="L2088" s="16" t="inlineStr">
        <is>
          <t>营业中</t>
        </is>
      </c>
      <c r="M2088" s="16" t="inlineStr">
        <is>
          <t>EEYWG24E0339165</t>
        </is>
      </c>
      <c r="N2088" s="16">
        <f>LEFT(M2088,12)</f>
        <v/>
      </c>
      <c r="O2088" s="16" t="inlineStr">
        <is>
          <t>EEYWG24E03, (39)Ivory, (165)165</t>
        </is>
      </c>
      <c r="P2088" s="16" t="n">
        <v>699</v>
      </c>
      <c r="Q2088" s="16" t="n">
        <v>699</v>
      </c>
      <c r="R2088" s="16" t="n"/>
      <c r="S2088" s="16" t="n"/>
      <c r="T2088" s="16" t="n">
        <v>2</v>
      </c>
    </row>
    <row r="2089" s="103">
      <c r="A2089" s="16" t="inlineStr">
        <is>
          <t>B331</t>
        </is>
      </c>
      <c r="B2089" s="16" t="inlineStr">
        <is>
          <t>上海区域</t>
        </is>
      </c>
      <c r="C2089" s="16" t="inlineStr">
        <is>
          <t>CN0Q</t>
        </is>
      </c>
      <c r="D2089" s="16" t="inlineStr">
        <is>
          <t>EE 苏州比斯特购物村</t>
        </is>
      </c>
      <c r="E2089" s="16" t="n">
        <v>4</v>
      </c>
      <c r="F2089" s="16" t="inlineStr">
        <is>
          <t>奥特莱斯</t>
        </is>
      </c>
      <c r="G2089" s="16" t="inlineStr">
        <is>
          <t>EEYWG24E03</t>
        </is>
      </c>
      <c r="H2089" s="16" t="n">
        <v>699</v>
      </c>
      <c r="I2089" s="16" t="n">
        <v>699</v>
      </c>
      <c r="J2089" s="17" t="inlineStr">
        <is>
          <t>########</t>
        </is>
      </c>
      <c r="K2089" s="16" t="inlineStr">
        <is>
          <t>(39)Ivory</t>
        </is>
      </c>
      <c r="L2089" s="16" t="inlineStr">
        <is>
          <t>营业中</t>
        </is>
      </c>
      <c r="M2089" s="16" t="inlineStr">
        <is>
          <t>EEYWG24E0339170</t>
        </is>
      </c>
      <c r="N2089" s="16">
        <f>LEFT(M2089,12)</f>
        <v/>
      </c>
      <c r="O2089" s="16" t="inlineStr">
        <is>
          <t>EEYWG24E03, (39)Ivory, (170)170</t>
        </is>
      </c>
      <c r="P2089" s="16" t="n">
        <v>699</v>
      </c>
      <c r="Q2089" s="16" t="n">
        <v>699</v>
      </c>
      <c r="R2089" s="16" t="n"/>
      <c r="S2089" s="16" t="n"/>
      <c r="T2089" s="16" t="n">
        <v>2</v>
      </c>
    </row>
    <row r="2090" s="103">
      <c r="A2090" s="16" t="inlineStr">
        <is>
          <t>B331</t>
        </is>
      </c>
      <c r="B2090" s="16" t="inlineStr">
        <is>
          <t>上海区域</t>
        </is>
      </c>
      <c r="C2090" s="16" t="inlineStr">
        <is>
          <t>CN0Q</t>
        </is>
      </c>
      <c r="D2090" s="16" t="inlineStr">
        <is>
          <t>EE 苏州比斯特购物村</t>
        </is>
      </c>
      <c r="E2090" s="16" t="n">
        <v>4</v>
      </c>
      <c r="F2090" s="16" t="inlineStr">
        <is>
          <t>奥特莱斯</t>
        </is>
      </c>
      <c r="G2090" s="16" t="inlineStr">
        <is>
          <t>EEYWG24E03</t>
        </is>
      </c>
      <c r="H2090" s="16" t="n">
        <v>699</v>
      </c>
      <c r="I2090" s="16" t="n">
        <v>699</v>
      </c>
      <c r="J2090" s="17" t="inlineStr">
        <is>
          <t>########</t>
        </is>
      </c>
      <c r="K2090" s="16" t="inlineStr">
        <is>
          <t>(50)Blue</t>
        </is>
      </c>
      <c r="L2090" s="16" t="inlineStr">
        <is>
          <t>营业中</t>
        </is>
      </c>
      <c r="M2090" s="16" t="inlineStr">
        <is>
          <t>EEYWG24E0350160</t>
        </is>
      </c>
      <c r="N2090" s="16">
        <f>LEFT(M2090,12)</f>
        <v/>
      </c>
      <c r="O2090" s="16" t="inlineStr">
        <is>
          <t>EEYWG24E03, (50)Blue, (160)160</t>
        </is>
      </c>
      <c r="P2090" s="16" t="n">
        <v>699</v>
      </c>
      <c r="Q2090" s="16" t="n">
        <v>699</v>
      </c>
      <c r="R2090" s="16" t="n"/>
      <c r="S2090" s="16" t="n"/>
      <c r="T2090" s="16" t="n">
        <v>2</v>
      </c>
    </row>
    <row r="2091" s="103">
      <c r="A2091" s="16" t="inlineStr">
        <is>
          <t>B331</t>
        </is>
      </c>
      <c r="B2091" s="16" t="inlineStr">
        <is>
          <t>上海区域</t>
        </is>
      </c>
      <c r="C2091" s="16" t="inlineStr">
        <is>
          <t>CN0Q</t>
        </is>
      </c>
      <c r="D2091" s="16" t="inlineStr">
        <is>
          <t>EE 苏州比斯特购物村</t>
        </is>
      </c>
      <c r="E2091" s="16" t="n">
        <v>4</v>
      </c>
      <c r="F2091" s="16" t="inlineStr">
        <is>
          <t>奥特莱斯</t>
        </is>
      </c>
      <c r="G2091" s="16" t="inlineStr">
        <is>
          <t>EEYWG24E03</t>
        </is>
      </c>
      <c r="H2091" s="16" t="n">
        <v>699</v>
      </c>
      <c r="I2091" s="16" t="n">
        <v>699</v>
      </c>
      <c r="J2091" s="17" t="inlineStr">
        <is>
          <t>########</t>
        </is>
      </c>
      <c r="K2091" s="16" t="inlineStr">
        <is>
          <t>(50)Blue</t>
        </is>
      </c>
      <c r="L2091" s="16" t="inlineStr">
        <is>
          <t>营业中</t>
        </is>
      </c>
      <c r="M2091" s="16" t="inlineStr">
        <is>
          <t>EEYWG24E0350165</t>
        </is>
      </c>
      <c r="N2091" s="16">
        <f>LEFT(M2091,12)</f>
        <v/>
      </c>
      <c r="O2091" s="16" t="inlineStr">
        <is>
          <t>EEYWG24E03, (50)Blue, (165)165</t>
        </is>
      </c>
      <c r="P2091" s="16" t="n">
        <v>699</v>
      </c>
      <c r="Q2091" s="16" t="n">
        <v>699</v>
      </c>
      <c r="R2091" s="16" t="n"/>
      <c r="S2091" s="16" t="n"/>
      <c r="T2091" s="16" t="n">
        <v>2</v>
      </c>
    </row>
    <row r="2092" s="103">
      <c r="A2092" s="16" t="inlineStr">
        <is>
          <t>B331</t>
        </is>
      </c>
      <c r="B2092" s="16" t="inlineStr">
        <is>
          <t>上海区域</t>
        </is>
      </c>
      <c r="C2092" s="16" t="inlineStr">
        <is>
          <t>CN0Q</t>
        </is>
      </c>
      <c r="D2092" s="16" t="inlineStr">
        <is>
          <t>EE 苏州比斯特购物村</t>
        </is>
      </c>
      <c r="E2092" s="16" t="n">
        <v>4</v>
      </c>
      <c r="F2092" s="16" t="inlineStr">
        <is>
          <t>奥特莱斯</t>
        </is>
      </c>
      <c r="G2092" s="16" t="inlineStr">
        <is>
          <t>EEYWG24E03</t>
        </is>
      </c>
      <c r="H2092" s="16" t="n">
        <v>699</v>
      </c>
      <c r="I2092" s="16" t="n">
        <v>699</v>
      </c>
      <c r="J2092" s="17" t="inlineStr">
        <is>
          <t>########</t>
        </is>
      </c>
      <c r="K2092" s="16" t="inlineStr">
        <is>
          <t>(50)Blue</t>
        </is>
      </c>
      <c r="L2092" s="16" t="inlineStr">
        <is>
          <t>营业中</t>
        </is>
      </c>
      <c r="M2092" s="16" t="inlineStr">
        <is>
          <t>EEYWG24E0350170</t>
        </is>
      </c>
      <c r="N2092" s="16">
        <f>LEFT(M2092,12)</f>
        <v/>
      </c>
      <c r="O2092" s="16" t="inlineStr">
        <is>
          <t>EEYWG24E03, (50)Blue, (170)170</t>
        </is>
      </c>
      <c r="P2092" s="16" t="n">
        <v>699</v>
      </c>
      <c r="Q2092" s="16" t="n">
        <v>699</v>
      </c>
      <c r="R2092" s="16" t="n"/>
      <c r="S2092" s="16" t="n"/>
      <c r="T2092" s="16" t="n">
        <v>2</v>
      </c>
    </row>
    <row r="2093" s="103">
      <c r="A2093" s="16" t="inlineStr">
        <is>
          <t>B331</t>
        </is>
      </c>
      <c r="B2093" s="16" t="inlineStr">
        <is>
          <t>上海区域</t>
        </is>
      </c>
      <c r="C2093" s="16" t="inlineStr">
        <is>
          <t>CN0Q</t>
        </is>
      </c>
      <c r="D2093" s="16" t="inlineStr">
        <is>
          <t>EE 苏州比斯特购物村</t>
        </is>
      </c>
      <c r="E2093" s="16" t="n">
        <v>4</v>
      </c>
      <c r="F2093" s="16" t="inlineStr">
        <is>
          <t>奥特莱斯</t>
        </is>
      </c>
      <c r="G2093" s="16" t="inlineStr">
        <is>
          <t>EEYWG25E01</t>
        </is>
      </c>
      <c r="H2093" s="16" t="n">
        <v>699</v>
      </c>
      <c r="I2093" s="16" t="n">
        <v>699</v>
      </c>
      <c r="J2093" s="17" t="inlineStr">
        <is>
          <t>########</t>
        </is>
      </c>
      <c r="K2093" s="16" t="inlineStr">
        <is>
          <t>(25)Pink</t>
        </is>
      </c>
      <c r="L2093" s="16" t="inlineStr">
        <is>
          <t>营业中</t>
        </is>
      </c>
      <c r="M2093" s="16" t="inlineStr">
        <is>
          <t>EEYWG25E0125160</t>
        </is>
      </c>
      <c r="N2093" s="16">
        <f>LEFT(M2093,12)</f>
        <v/>
      </c>
      <c r="O2093" s="16" t="inlineStr">
        <is>
          <t>EEYWG25E01, (25)Pink, (160)160</t>
        </is>
      </c>
      <c r="P2093" s="16" t="n">
        <v>699</v>
      </c>
      <c r="Q2093" s="16" t="n">
        <v>699</v>
      </c>
      <c r="R2093" s="16" t="n">
        <v>2</v>
      </c>
      <c r="S2093" s="16" t="n">
        <v>935</v>
      </c>
      <c r="T2093" s="16" t="n">
        <v>2</v>
      </c>
    </row>
    <row r="2094" s="103">
      <c r="A2094" s="16" t="inlineStr">
        <is>
          <t>B331</t>
        </is>
      </c>
      <c r="B2094" s="16" t="inlineStr">
        <is>
          <t>上海区域</t>
        </is>
      </c>
      <c r="C2094" s="16" t="inlineStr">
        <is>
          <t>CN0Q</t>
        </is>
      </c>
      <c r="D2094" s="16" t="inlineStr">
        <is>
          <t>EE 苏州比斯特购物村</t>
        </is>
      </c>
      <c r="E2094" s="16" t="n">
        <v>4</v>
      </c>
      <c r="F2094" s="16" t="inlineStr">
        <is>
          <t>奥特莱斯</t>
        </is>
      </c>
      <c r="G2094" s="16" t="inlineStr">
        <is>
          <t>EEYWG25E01</t>
        </is>
      </c>
      <c r="H2094" s="16" t="n">
        <v>699</v>
      </c>
      <c r="I2094" s="16" t="n">
        <v>699</v>
      </c>
      <c r="J2094" s="17" t="inlineStr">
        <is>
          <t>########</t>
        </is>
      </c>
      <c r="K2094" s="16" t="inlineStr">
        <is>
          <t>(25)Pink</t>
        </is>
      </c>
      <c r="L2094" s="16" t="inlineStr">
        <is>
          <t>营业中</t>
        </is>
      </c>
      <c r="M2094" s="16" t="inlineStr">
        <is>
          <t>EEYWG25E0125165</t>
        </is>
      </c>
      <c r="N2094" s="16">
        <f>LEFT(M2094,12)</f>
        <v/>
      </c>
      <c r="O2094" s="16" t="inlineStr">
        <is>
          <t>EEYWG25E01, (25)Pink, (165)165</t>
        </is>
      </c>
      <c r="P2094" s="16" t="n">
        <v>699</v>
      </c>
      <c r="Q2094" s="16" t="n">
        <v>699</v>
      </c>
      <c r="R2094" s="16" t="n"/>
      <c r="S2094" s="16" t="n"/>
      <c r="T2094" s="16" t="n">
        <v>3</v>
      </c>
    </row>
    <row r="2095" s="103">
      <c r="A2095" s="16" t="inlineStr">
        <is>
          <t>B331</t>
        </is>
      </c>
      <c r="B2095" s="16" t="inlineStr">
        <is>
          <t>上海区域</t>
        </is>
      </c>
      <c r="C2095" s="16" t="inlineStr">
        <is>
          <t>CN0Q</t>
        </is>
      </c>
      <c r="D2095" s="16" t="inlineStr">
        <is>
          <t>EE 苏州比斯特购物村</t>
        </is>
      </c>
      <c r="E2095" s="16" t="n">
        <v>4</v>
      </c>
      <c r="F2095" s="16" t="inlineStr">
        <is>
          <t>奥特莱斯</t>
        </is>
      </c>
      <c r="G2095" s="16" t="inlineStr">
        <is>
          <t>EEYWG25E01</t>
        </is>
      </c>
      <c r="H2095" s="16" t="n">
        <v>699</v>
      </c>
      <c r="I2095" s="16" t="n">
        <v>699</v>
      </c>
      <c r="J2095" s="17" t="inlineStr">
        <is>
          <t>########</t>
        </is>
      </c>
      <c r="K2095" s="16" t="inlineStr">
        <is>
          <t>(25)Pink</t>
        </is>
      </c>
      <c r="L2095" s="16" t="inlineStr">
        <is>
          <t>营业中</t>
        </is>
      </c>
      <c r="M2095" s="16" t="inlineStr">
        <is>
          <t>EEYWG25E0125170</t>
        </is>
      </c>
      <c r="N2095" s="16">
        <f>LEFT(M2095,12)</f>
        <v/>
      </c>
      <c r="O2095" s="16" t="inlineStr">
        <is>
          <t>EEYWG25E01, (25)Pink, (170)170</t>
        </is>
      </c>
      <c r="P2095" s="16" t="n">
        <v>699</v>
      </c>
      <c r="Q2095" s="16" t="n">
        <v>699</v>
      </c>
      <c r="R2095" s="16" t="n">
        <v>2</v>
      </c>
      <c r="S2095" s="16" t="n">
        <v>489</v>
      </c>
      <c r="T2095" s="16" t="n">
        <v>2</v>
      </c>
    </row>
    <row r="2096" s="103">
      <c r="A2096" s="16" t="inlineStr">
        <is>
          <t>B331</t>
        </is>
      </c>
      <c r="B2096" s="16" t="inlineStr">
        <is>
          <t>上海区域</t>
        </is>
      </c>
      <c r="C2096" s="16" t="inlineStr">
        <is>
          <t>CN0Q</t>
        </is>
      </c>
      <c r="D2096" s="16" t="inlineStr">
        <is>
          <t>EE 苏州比斯特购物村</t>
        </is>
      </c>
      <c r="E2096" s="16" t="n">
        <v>4</v>
      </c>
      <c r="F2096" s="16" t="inlineStr">
        <is>
          <t>奥特莱斯</t>
        </is>
      </c>
      <c r="G2096" s="16" t="inlineStr">
        <is>
          <t>EEYWG25E01</t>
        </is>
      </c>
      <c r="H2096" s="16" t="n">
        <v>699</v>
      </c>
      <c r="I2096" s="16" t="n">
        <v>699</v>
      </c>
      <c r="J2096" s="17" t="inlineStr">
        <is>
          <t>########</t>
        </is>
      </c>
      <c r="K2096" s="16" t="inlineStr">
        <is>
          <t>(39)Ivory</t>
        </is>
      </c>
      <c r="L2096" s="16" t="inlineStr">
        <is>
          <t>营业中</t>
        </is>
      </c>
      <c r="M2096" s="16" t="inlineStr">
        <is>
          <t>EEYWG25E0139160</t>
        </is>
      </c>
      <c r="N2096" s="16">
        <f>LEFT(M2096,12)</f>
        <v/>
      </c>
      <c r="O2096" s="16" t="inlineStr">
        <is>
          <t>EEYWG25E01, (39)Ivory, (160)160</t>
        </is>
      </c>
      <c r="P2096" s="16" t="n">
        <v>699</v>
      </c>
      <c r="Q2096" s="16" t="n">
        <v>699</v>
      </c>
      <c r="R2096" s="16" t="n">
        <v>6</v>
      </c>
      <c r="S2096" s="18" t="n">
        <v>1927</v>
      </c>
      <c r="T2096" s="16" t="n">
        <v>6</v>
      </c>
    </row>
    <row r="2097" s="103">
      <c r="A2097" s="16" t="inlineStr">
        <is>
          <t>B331</t>
        </is>
      </c>
      <c r="B2097" s="16" t="inlineStr">
        <is>
          <t>上海区域</t>
        </is>
      </c>
      <c r="C2097" s="16" t="inlineStr">
        <is>
          <t>CN0Q</t>
        </is>
      </c>
      <c r="D2097" s="16" t="inlineStr">
        <is>
          <t>EE 苏州比斯特购物村</t>
        </is>
      </c>
      <c r="E2097" s="16" t="n">
        <v>4</v>
      </c>
      <c r="F2097" s="16" t="inlineStr">
        <is>
          <t>奥特莱斯</t>
        </is>
      </c>
      <c r="G2097" s="16" t="inlineStr">
        <is>
          <t>EEYWG25E01</t>
        </is>
      </c>
      <c r="H2097" s="16" t="n">
        <v>699</v>
      </c>
      <c r="I2097" s="16" t="n">
        <v>699</v>
      </c>
      <c r="J2097" s="17" t="inlineStr">
        <is>
          <t>########</t>
        </is>
      </c>
      <c r="K2097" s="16" t="inlineStr">
        <is>
          <t>(39)Ivory</t>
        </is>
      </c>
      <c r="L2097" s="16" t="inlineStr">
        <is>
          <t>营业中</t>
        </is>
      </c>
      <c r="M2097" s="16" t="inlineStr">
        <is>
          <t>EEYWG25E0139165</t>
        </is>
      </c>
      <c r="N2097" s="16">
        <f>LEFT(M2097,12)</f>
        <v/>
      </c>
      <c r="O2097" s="16" t="inlineStr">
        <is>
          <t>EEYWG25E01, (39)Ivory, (165)165</t>
        </is>
      </c>
      <c r="P2097" s="16" t="n">
        <v>699</v>
      </c>
      <c r="Q2097" s="16" t="n">
        <v>699</v>
      </c>
      <c r="R2097" s="16" t="n">
        <v>4</v>
      </c>
      <c r="S2097" s="18" t="n">
        <v>1603</v>
      </c>
      <c r="T2097" s="16" t="n">
        <v>4</v>
      </c>
    </row>
    <row r="2098" s="103">
      <c r="A2098" s="16" t="inlineStr">
        <is>
          <t>B331</t>
        </is>
      </c>
      <c r="B2098" s="16" t="inlineStr">
        <is>
          <t>上海区域</t>
        </is>
      </c>
      <c r="C2098" s="16" t="inlineStr">
        <is>
          <t>CN0Q</t>
        </is>
      </c>
      <c r="D2098" s="16" t="inlineStr">
        <is>
          <t>EE 苏州比斯特购物村</t>
        </is>
      </c>
      <c r="E2098" s="16" t="n">
        <v>4</v>
      </c>
      <c r="F2098" s="16" t="inlineStr">
        <is>
          <t>奥特莱斯</t>
        </is>
      </c>
      <c r="G2098" s="16" t="inlineStr">
        <is>
          <t>EEYWG25E01</t>
        </is>
      </c>
      <c r="H2098" s="16" t="n">
        <v>699</v>
      </c>
      <c r="I2098" s="16" t="n">
        <v>699</v>
      </c>
      <c r="J2098" s="17" t="inlineStr">
        <is>
          <t>########</t>
        </is>
      </c>
      <c r="K2098" s="16" t="inlineStr">
        <is>
          <t>(39)Ivory</t>
        </is>
      </c>
      <c r="L2098" s="16" t="inlineStr">
        <is>
          <t>营业中</t>
        </is>
      </c>
      <c r="M2098" s="16" t="inlineStr">
        <is>
          <t>EEYWG25E0139170</t>
        </is>
      </c>
      <c r="N2098" s="16">
        <f>LEFT(M2098,12)</f>
        <v/>
      </c>
      <c r="O2098" s="16" t="inlineStr">
        <is>
          <t>EEYWG25E01, (39)Ivory, (170)170</t>
        </is>
      </c>
      <c r="P2098" s="16" t="n">
        <v>699</v>
      </c>
      <c r="Q2098" s="16" t="n">
        <v>699</v>
      </c>
      <c r="R2098" s="16" t="n">
        <v>1</v>
      </c>
      <c r="S2098" s="16" t="n">
        <v>443</v>
      </c>
      <c r="T2098" s="16" t="n">
        <v>3</v>
      </c>
    </row>
    <row r="2099" s="103">
      <c r="A2099" s="16" t="inlineStr">
        <is>
          <t>B331</t>
        </is>
      </c>
      <c r="B2099" s="16" t="inlineStr">
        <is>
          <t>上海区域</t>
        </is>
      </c>
      <c r="C2099" s="16" t="inlineStr">
        <is>
          <t>CN0Q</t>
        </is>
      </c>
      <c r="D2099" s="16" t="inlineStr">
        <is>
          <t>EE 苏州比斯特购物村</t>
        </is>
      </c>
      <c r="E2099" s="16" t="n">
        <v>4</v>
      </c>
      <c r="F2099" s="16" t="inlineStr">
        <is>
          <t>奥特莱斯</t>
        </is>
      </c>
      <c r="G2099" s="16" t="inlineStr">
        <is>
          <t>EEYWG25E01</t>
        </is>
      </c>
      <c r="H2099" s="16" t="n">
        <v>699</v>
      </c>
      <c r="I2099" s="16" t="n">
        <v>699</v>
      </c>
      <c r="J2099" s="17" t="inlineStr">
        <is>
          <t>########</t>
        </is>
      </c>
      <c r="K2099" s="16" t="inlineStr">
        <is>
          <t>(50)Blue</t>
        </is>
      </c>
      <c r="L2099" s="16" t="inlineStr">
        <is>
          <t>营业中</t>
        </is>
      </c>
      <c r="M2099" s="16" t="inlineStr">
        <is>
          <t>EEYWG25E0150160</t>
        </is>
      </c>
      <c r="N2099" s="16">
        <f>LEFT(M2099,12)</f>
        <v/>
      </c>
      <c r="O2099" s="16" t="inlineStr">
        <is>
          <t>EEYWG25E01, (50)Blue, (160)160</t>
        </is>
      </c>
      <c r="P2099" s="16" t="n">
        <v>699</v>
      </c>
      <c r="Q2099" s="16" t="n">
        <v>699</v>
      </c>
      <c r="R2099" s="16" t="n">
        <v>4</v>
      </c>
      <c r="S2099" s="18" t="n">
        <v>1821</v>
      </c>
      <c r="T2099" s="16" t="n">
        <v>4</v>
      </c>
    </row>
    <row r="2100" s="103">
      <c r="A2100" s="16" t="inlineStr">
        <is>
          <t>B331</t>
        </is>
      </c>
      <c r="B2100" s="16" t="inlineStr">
        <is>
          <t>上海区域</t>
        </is>
      </c>
      <c r="C2100" s="16" t="inlineStr">
        <is>
          <t>CN0Q</t>
        </is>
      </c>
      <c r="D2100" s="16" t="inlineStr">
        <is>
          <t>EE 苏州比斯特购物村</t>
        </is>
      </c>
      <c r="E2100" s="16" t="n">
        <v>4</v>
      </c>
      <c r="F2100" s="16" t="inlineStr">
        <is>
          <t>奥特莱斯</t>
        </is>
      </c>
      <c r="G2100" s="16" t="inlineStr">
        <is>
          <t>EEYWG25E01</t>
        </is>
      </c>
      <c r="H2100" s="16" t="n">
        <v>699</v>
      </c>
      <c r="I2100" s="16" t="n">
        <v>699</v>
      </c>
      <c r="J2100" s="17" t="inlineStr">
        <is>
          <t>########</t>
        </is>
      </c>
      <c r="K2100" s="16" t="inlineStr">
        <is>
          <t>(50)Blue</t>
        </is>
      </c>
      <c r="L2100" s="16" t="inlineStr">
        <is>
          <t>营业中</t>
        </is>
      </c>
      <c r="M2100" s="16" t="inlineStr">
        <is>
          <t>EEYWG25E0150165</t>
        </is>
      </c>
      <c r="N2100" s="16">
        <f>LEFT(M2100,12)</f>
        <v/>
      </c>
      <c r="O2100" s="16" t="inlineStr">
        <is>
          <t>EEYWG25E01, (50)Blue, (165)165</t>
        </is>
      </c>
      <c r="P2100" s="16" t="n">
        <v>699</v>
      </c>
      <c r="Q2100" s="16" t="n">
        <v>699</v>
      </c>
      <c r="R2100" s="16" t="n">
        <v>5</v>
      </c>
      <c r="S2100" s="18" t="n">
        <v>2274</v>
      </c>
      <c r="T2100" s="16" t="n">
        <v>5</v>
      </c>
    </row>
    <row r="2101" s="103">
      <c r="A2101" s="16" t="inlineStr">
        <is>
          <t>B331</t>
        </is>
      </c>
      <c r="B2101" s="16" t="inlineStr">
        <is>
          <t>上海区域</t>
        </is>
      </c>
      <c r="C2101" s="16" t="inlineStr">
        <is>
          <t>CN0Q</t>
        </is>
      </c>
      <c r="D2101" s="16" t="inlineStr">
        <is>
          <t>EE 苏州比斯特购物村</t>
        </is>
      </c>
      <c r="E2101" s="16" t="n">
        <v>4</v>
      </c>
      <c r="F2101" s="16" t="inlineStr">
        <is>
          <t>奥特莱斯</t>
        </is>
      </c>
      <c r="G2101" s="16" t="inlineStr">
        <is>
          <t>EEYWG25E01</t>
        </is>
      </c>
      <c r="H2101" s="16" t="n">
        <v>699</v>
      </c>
      <c r="I2101" s="16" t="n">
        <v>699</v>
      </c>
      <c r="J2101" s="17" t="inlineStr">
        <is>
          <t>########</t>
        </is>
      </c>
      <c r="K2101" s="16" t="inlineStr">
        <is>
          <t>(50)Blue</t>
        </is>
      </c>
      <c r="L2101" s="16" t="inlineStr">
        <is>
          <t>营业中</t>
        </is>
      </c>
      <c r="M2101" s="16" t="inlineStr">
        <is>
          <t>EEYWG25E0150170</t>
        </is>
      </c>
      <c r="N2101" s="16">
        <f>LEFT(M2101,12)</f>
        <v/>
      </c>
      <c r="O2101" s="16" t="inlineStr">
        <is>
          <t>EEYWG25E01, (50)Blue, (170)170</t>
        </is>
      </c>
      <c r="P2101" s="16" t="n">
        <v>699</v>
      </c>
      <c r="Q2101" s="16" t="n">
        <v>699</v>
      </c>
      <c r="R2101" s="16" t="n">
        <v>1</v>
      </c>
      <c r="S2101" s="16" t="n"/>
      <c r="T2101" s="16" t="n">
        <v>3</v>
      </c>
    </row>
    <row r="2102" s="103">
      <c r="A2102" s="16" t="inlineStr">
        <is>
          <t>B331</t>
        </is>
      </c>
      <c r="B2102" s="16" t="inlineStr">
        <is>
          <t>上海区域</t>
        </is>
      </c>
      <c r="C2102" s="16" t="inlineStr">
        <is>
          <t>CN0Q</t>
        </is>
      </c>
      <c r="D2102" s="16" t="inlineStr">
        <is>
          <t>EE 苏州比斯特购物村</t>
        </is>
      </c>
      <c r="E2102" s="16" t="n">
        <v>4</v>
      </c>
      <c r="F2102" s="16" t="inlineStr">
        <is>
          <t>奥特莱斯</t>
        </is>
      </c>
      <c r="G2102" s="16" t="inlineStr">
        <is>
          <t>EEYWG25E01</t>
        </is>
      </c>
      <c r="H2102" s="16" t="n">
        <v>699</v>
      </c>
      <c r="I2102" s="16" t="n">
        <v>699</v>
      </c>
      <c r="J2102" s="17" t="inlineStr">
        <is>
          <t>########</t>
        </is>
      </c>
      <c r="K2102" s="16" t="inlineStr">
        <is>
          <t>(59)Navy</t>
        </is>
      </c>
      <c r="L2102" s="16" t="inlineStr">
        <is>
          <t>营业中</t>
        </is>
      </c>
      <c r="M2102" s="16" t="inlineStr">
        <is>
          <t>EEYWG25E0159160</t>
        </is>
      </c>
      <c r="N2102" s="16">
        <f>LEFT(M2102,12)</f>
        <v/>
      </c>
      <c r="O2102" s="16" t="inlineStr">
        <is>
          <t>EEYWG25E01, (59)Navy, (160)160</t>
        </is>
      </c>
      <c r="P2102" s="16" t="n">
        <v>699</v>
      </c>
      <c r="Q2102" s="16" t="n">
        <v>699</v>
      </c>
      <c r="R2102" s="16" t="n">
        <v>6</v>
      </c>
      <c r="S2102" s="18" t="n">
        <v>1819</v>
      </c>
      <c r="T2102" s="16" t="n">
        <v>6</v>
      </c>
    </row>
    <row r="2103" s="103">
      <c r="A2103" s="16" t="inlineStr">
        <is>
          <t>B331</t>
        </is>
      </c>
      <c r="B2103" s="16" t="inlineStr">
        <is>
          <t>上海区域</t>
        </is>
      </c>
      <c r="C2103" s="16" t="inlineStr">
        <is>
          <t>CN0Q</t>
        </is>
      </c>
      <c r="D2103" s="16" t="inlineStr">
        <is>
          <t>EE 苏州比斯特购物村</t>
        </is>
      </c>
      <c r="E2103" s="16" t="n">
        <v>4</v>
      </c>
      <c r="F2103" s="16" t="inlineStr">
        <is>
          <t>奥特莱斯</t>
        </is>
      </c>
      <c r="G2103" s="16" t="inlineStr">
        <is>
          <t>EEYWG25E01</t>
        </is>
      </c>
      <c r="H2103" s="16" t="n">
        <v>699</v>
      </c>
      <c r="I2103" s="16" t="n">
        <v>699</v>
      </c>
      <c r="J2103" s="17" t="inlineStr">
        <is>
          <t>########</t>
        </is>
      </c>
      <c r="K2103" s="16" t="inlineStr">
        <is>
          <t>(59)Navy</t>
        </is>
      </c>
      <c r="L2103" s="16" t="inlineStr">
        <is>
          <t>营业中</t>
        </is>
      </c>
      <c r="M2103" s="16" t="inlineStr">
        <is>
          <t>EEYWG25E0159165</t>
        </is>
      </c>
      <c r="N2103" s="16">
        <f>LEFT(M2103,12)</f>
        <v/>
      </c>
      <c r="O2103" s="16" t="inlineStr">
        <is>
          <t>EEYWG25E01, (59)Navy, (165)165</t>
        </is>
      </c>
      <c r="P2103" s="16" t="n">
        <v>699</v>
      </c>
      <c r="Q2103" s="16" t="n">
        <v>699</v>
      </c>
      <c r="R2103" s="16" t="n">
        <v>3</v>
      </c>
      <c r="S2103" s="18" t="n">
        <v>1402</v>
      </c>
      <c r="T2103" s="16" t="n">
        <v>3</v>
      </c>
    </row>
    <row r="2104" s="103">
      <c r="A2104" s="16" t="inlineStr">
        <is>
          <t>B331</t>
        </is>
      </c>
      <c r="B2104" s="16" t="inlineStr">
        <is>
          <t>上海区域</t>
        </is>
      </c>
      <c r="C2104" s="16" t="inlineStr">
        <is>
          <t>CN0Q</t>
        </is>
      </c>
      <c r="D2104" s="16" t="inlineStr">
        <is>
          <t>EE 苏州比斯特购物村</t>
        </is>
      </c>
      <c r="E2104" s="16" t="n">
        <v>4</v>
      </c>
      <c r="F2104" s="16" t="inlineStr">
        <is>
          <t>奥特莱斯</t>
        </is>
      </c>
      <c r="G2104" s="16" t="inlineStr">
        <is>
          <t>EEYWG25E01</t>
        </is>
      </c>
      <c r="H2104" s="16" t="n">
        <v>699</v>
      </c>
      <c r="I2104" s="16" t="n">
        <v>699</v>
      </c>
      <c r="J2104" s="17" t="inlineStr">
        <is>
          <t>########</t>
        </is>
      </c>
      <c r="K2104" s="16" t="inlineStr">
        <is>
          <t>(59)Navy</t>
        </is>
      </c>
      <c r="L2104" s="16" t="inlineStr">
        <is>
          <t>营业中</t>
        </is>
      </c>
      <c r="M2104" s="16" t="inlineStr">
        <is>
          <t>EEYWG25E0159170</t>
        </is>
      </c>
      <c r="N2104" s="16">
        <f>LEFT(M2104,12)</f>
        <v/>
      </c>
      <c r="O2104" s="16" t="inlineStr">
        <is>
          <t>EEYWG25E01, (59)Navy, (170)170</t>
        </is>
      </c>
      <c r="P2104" s="16" t="n">
        <v>699</v>
      </c>
      <c r="Q2104" s="16" t="n">
        <v>699</v>
      </c>
      <c r="R2104" s="16" t="n">
        <v>1</v>
      </c>
      <c r="S2104" s="16" t="n">
        <v>0</v>
      </c>
      <c r="T2104" s="16" t="n">
        <v>3</v>
      </c>
    </row>
    <row r="2105" s="103">
      <c r="A2105" s="16" t="inlineStr">
        <is>
          <t>B331</t>
        </is>
      </c>
      <c r="B2105" s="16" t="inlineStr">
        <is>
          <t>上海区域</t>
        </is>
      </c>
      <c r="C2105" s="16" t="inlineStr">
        <is>
          <t>CN0Q</t>
        </is>
      </c>
      <c r="D2105" s="16" t="inlineStr">
        <is>
          <t>EE 苏州比斯特购物村</t>
        </is>
      </c>
      <c r="E2105" s="16" t="n">
        <v>4</v>
      </c>
      <c r="F2105" s="16" t="inlineStr">
        <is>
          <t>奥特莱斯</t>
        </is>
      </c>
      <c r="G2105" s="16" t="inlineStr">
        <is>
          <t>EEYWG25E02</t>
        </is>
      </c>
      <c r="H2105" s="16" t="n">
        <v>699</v>
      </c>
      <c r="I2105" s="16" t="n">
        <v>699</v>
      </c>
      <c r="J2105" s="17" t="inlineStr">
        <is>
          <t>########</t>
        </is>
      </c>
      <c r="K2105" s="16" t="inlineStr">
        <is>
          <t>(36)L/Beige</t>
        </is>
      </c>
      <c r="L2105" s="16" t="inlineStr">
        <is>
          <t>营业中</t>
        </is>
      </c>
      <c r="M2105" s="16" t="inlineStr">
        <is>
          <t>EEYWG25E0236160</t>
        </is>
      </c>
      <c r="N2105" s="16">
        <f>LEFT(M2105,12)</f>
        <v/>
      </c>
      <c r="O2105" s="16" t="inlineStr">
        <is>
          <t>EEYWG25E02, (36)L/Beige, (160)160</t>
        </is>
      </c>
      <c r="P2105" s="16" t="n">
        <v>699</v>
      </c>
      <c r="Q2105" s="16" t="n">
        <v>699</v>
      </c>
      <c r="R2105" s="16" t="n">
        <v>2</v>
      </c>
      <c r="S2105" s="16" t="n"/>
      <c r="T2105" s="16" t="n">
        <v>4</v>
      </c>
    </row>
    <row r="2106" s="103">
      <c r="A2106" s="16" t="inlineStr">
        <is>
          <t>B331</t>
        </is>
      </c>
      <c r="B2106" s="16" t="inlineStr">
        <is>
          <t>上海区域</t>
        </is>
      </c>
      <c r="C2106" s="16" t="inlineStr">
        <is>
          <t>CN0Q</t>
        </is>
      </c>
      <c r="D2106" s="16" t="inlineStr">
        <is>
          <t>EE 苏州比斯特购物村</t>
        </is>
      </c>
      <c r="E2106" s="16" t="n">
        <v>4</v>
      </c>
      <c r="F2106" s="16" t="inlineStr">
        <is>
          <t>奥特莱斯</t>
        </is>
      </c>
      <c r="G2106" s="16" t="inlineStr">
        <is>
          <t>EEYWG25E02</t>
        </is>
      </c>
      <c r="H2106" s="16" t="n">
        <v>699</v>
      </c>
      <c r="I2106" s="16" t="n">
        <v>699</v>
      </c>
      <c r="J2106" s="17" t="inlineStr">
        <is>
          <t>########</t>
        </is>
      </c>
      <c r="K2106" s="16" t="inlineStr">
        <is>
          <t>(36)L/Beige</t>
        </is>
      </c>
      <c r="L2106" s="16" t="inlineStr">
        <is>
          <t>营业中</t>
        </is>
      </c>
      <c r="M2106" s="16" t="inlineStr">
        <is>
          <t>EEYWG25E0236165</t>
        </is>
      </c>
      <c r="N2106" s="16">
        <f>LEFT(M2106,12)</f>
        <v/>
      </c>
      <c r="O2106" s="16" t="inlineStr">
        <is>
          <t>EEYWG25E02, (36)L/Beige, (165)165</t>
        </is>
      </c>
      <c r="P2106" s="16" t="n">
        <v>699</v>
      </c>
      <c r="Q2106" s="16" t="n">
        <v>699</v>
      </c>
      <c r="R2106" s="16" t="n">
        <v>5</v>
      </c>
      <c r="S2106" s="18" t="n">
        <v>1409</v>
      </c>
      <c r="T2106" s="16" t="n">
        <v>5</v>
      </c>
    </row>
    <row r="2107" s="103">
      <c r="A2107" s="16" t="inlineStr">
        <is>
          <t>B331</t>
        </is>
      </c>
      <c r="B2107" s="16" t="inlineStr">
        <is>
          <t>上海区域</t>
        </is>
      </c>
      <c r="C2107" s="16" t="inlineStr">
        <is>
          <t>CN0Q</t>
        </is>
      </c>
      <c r="D2107" s="16" t="inlineStr">
        <is>
          <t>EE 苏州比斯特购物村</t>
        </is>
      </c>
      <c r="E2107" s="16" t="n">
        <v>4</v>
      </c>
      <c r="F2107" s="16" t="inlineStr">
        <is>
          <t>奥特莱斯</t>
        </is>
      </c>
      <c r="G2107" s="16" t="inlineStr">
        <is>
          <t>EEYWG25E02</t>
        </is>
      </c>
      <c r="H2107" s="16" t="n">
        <v>699</v>
      </c>
      <c r="I2107" s="16" t="n">
        <v>699</v>
      </c>
      <c r="J2107" s="17" t="inlineStr">
        <is>
          <t>########</t>
        </is>
      </c>
      <c r="K2107" s="16" t="inlineStr">
        <is>
          <t>(36)L/Beige</t>
        </is>
      </c>
      <c r="L2107" s="16" t="inlineStr">
        <is>
          <t>营业中</t>
        </is>
      </c>
      <c r="M2107" s="16" t="inlineStr">
        <is>
          <t>EEYWG25E0236170</t>
        </is>
      </c>
      <c r="N2107" s="16">
        <f>LEFT(M2107,12)</f>
        <v/>
      </c>
      <c r="O2107" s="16" t="inlineStr">
        <is>
          <t>EEYWG25E02, (36)L/Beige, (170)170</t>
        </is>
      </c>
      <c r="P2107" s="16" t="n">
        <v>699</v>
      </c>
      <c r="Q2107" s="16" t="n">
        <v>699</v>
      </c>
      <c r="R2107" s="16" t="n">
        <v>1</v>
      </c>
      <c r="S2107" s="16" t="n"/>
      <c r="T2107" s="16" t="n">
        <v>3</v>
      </c>
    </row>
    <row r="2108" s="103">
      <c r="A2108" s="16" t="inlineStr">
        <is>
          <t>B331</t>
        </is>
      </c>
      <c r="B2108" s="16" t="inlineStr">
        <is>
          <t>上海区域</t>
        </is>
      </c>
      <c r="C2108" s="16" t="inlineStr">
        <is>
          <t>CN0Q</t>
        </is>
      </c>
      <c r="D2108" s="16" t="inlineStr">
        <is>
          <t>EE 苏州比斯特购物村</t>
        </is>
      </c>
      <c r="E2108" s="16" t="n">
        <v>4</v>
      </c>
      <c r="F2108" s="16" t="inlineStr">
        <is>
          <t>奥特莱斯</t>
        </is>
      </c>
      <c r="G2108" s="16" t="inlineStr">
        <is>
          <t>EEYWG25E02</t>
        </is>
      </c>
      <c r="H2108" s="16" t="n">
        <v>699</v>
      </c>
      <c r="I2108" s="16" t="n">
        <v>699</v>
      </c>
      <c r="J2108" s="17" t="inlineStr">
        <is>
          <t>########</t>
        </is>
      </c>
      <c r="K2108" s="16" t="inlineStr">
        <is>
          <t>(51)L/Blue</t>
        </is>
      </c>
      <c r="L2108" s="16" t="inlineStr">
        <is>
          <t>营业中</t>
        </is>
      </c>
      <c r="M2108" s="16" t="inlineStr">
        <is>
          <t>EEYWG25E0251160</t>
        </is>
      </c>
      <c r="N2108" s="16">
        <f>LEFT(M2108,12)</f>
        <v/>
      </c>
      <c r="O2108" s="16" t="inlineStr">
        <is>
          <t>EEYWG25E02, (51)L/Blue, (160)160</t>
        </is>
      </c>
      <c r="P2108" s="16" t="n">
        <v>699</v>
      </c>
      <c r="Q2108" s="16" t="n">
        <v>699</v>
      </c>
      <c r="R2108" s="16" t="n">
        <v>2</v>
      </c>
      <c r="S2108" s="16" t="n">
        <v>489</v>
      </c>
      <c r="T2108" s="16" t="n">
        <v>3</v>
      </c>
    </row>
    <row r="2109" s="103">
      <c r="A2109" s="16" t="inlineStr">
        <is>
          <t>B331</t>
        </is>
      </c>
      <c r="B2109" s="16" t="inlineStr">
        <is>
          <t>上海区域</t>
        </is>
      </c>
      <c r="C2109" s="16" t="inlineStr">
        <is>
          <t>CN0Q</t>
        </is>
      </c>
      <c r="D2109" s="16" t="inlineStr">
        <is>
          <t>EE 苏州比斯特购物村</t>
        </is>
      </c>
      <c r="E2109" s="16" t="n">
        <v>4</v>
      </c>
      <c r="F2109" s="16" t="inlineStr">
        <is>
          <t>奥特莱斯</t>
        </is>
      </c>
      <c r="G2109" s="16" t="inlineStr">
        <is>
          <t>EEYWG25E02</t>
        </is>
      </c>
      <c r="H2109" s="16" t="n">
        <v>699</v>
      </c>
      <c r="I2109" s="16" t="n">
        <v>699</v>
      </c>
      <c r="J2109" s="17" t="inlineStr">
        <is>
          <t>########</t>
        </is>
      </c>
      <c r="K2109" s="16" t="inlineStr">
        <is>
          <t>(51)L/Blue</t>
        </is>
      </c>
      <c r="L2109" s="16" t="inlineStr">
        <is>
          <t>营业中</t>
        </is>
      </c>
      <c r="M2109" s="16" t="inlineStr">
        <is>
          <t>EEYWG25E0251165</t>
        </is>
      </c>
      <c r="N2109" s="16">
        <f>LEFT(M2109,12)</f>
        <v/>
      </c>
      <c r="O2109" s="16" t="inlineStr">
        <is>
          <t>EEYWG25E02, (51)L/Blue, (165)165</t>
        </is>
      </c>
      <c r="P2109" s="16" t="n">
        <v>699</v>
      </c>
      <c r="Q2109" s="16" t="n">
        <v>699</v>
      </c>
      <c r="R2109" s="16" t="n"/>
      <c r="S2109" s="16" t="n"/>
      <c r="T2109" s="16" t="n">
        <v>5</v>
      </c>
    </row>
    <row r="2110" s="103">
      <c r="A2110" s="16" t="inlineStr">
        <is>
          <t>B331</t>
        </is>
      </c>
      <c r="B2110" s="16" t="inlineStr">
        <is>
          <t>上海区域</t>
        </is>
      </c>
      <c r="C2110" s="16" t="inlineStr">
        <is>
          <t>CN0Q</t>
        </is>
      </c>
      <c r="D2110" s="16" t="inlineStr">
        <is>
          <t>EE 苏州比斯特购物村</t>
        </is>
      </c>
      <c r="E2110" s="16" t="n">
        <v>4</v>
      </c>
      <c r="F2110" s="16" t="inlineStr">
        <is>
          <t>奥特莱斯</t>
        </is>
      </c>
      <c r="G2110" s="16" t="inlineStr">
        <is>
          <t>EEYWG25E02</t>
        </is>
      </c>
      <c r="H2110" s="16" t="n">
        <v>699</v>
      </c>
      <c r="I2110" s="16" t="n">
        <v>699</v>
      </c>
      <c r="J2110" s="17" t="inlineStr">
        <is>
          <t>########</t>
        </is>
      </c>
      <c r="K2110" s="16" t="inlineStr">
        <is>
          <t>(51)L/Blue</t>
        </is>
      </c>
      <c r="L2110" s="16" t="inlineStr">
        <is>
          <t>营业中</t>
        </is>
      </c>
      <c r="M2110" s="16" t="inlineStr">
        <is>
          <t>EEYWG25E0251170</t>
        </is>
      </c>
      <c r="N2110" s="16">
        <f>LEFT(M2110,12)</f>
        <v/>
      </c>
      <c r="O2110" s="16" t="inlineStr">
        <is>
          <t>EEYWG25E02, (51)L/Blue, (170)170</t>
        </is>
      </c>
      <c r="P2110" s="16" t="n">
        <v>699</v>
      </c>
      <c r="Q2110" s="16" t="n">
        <v>699</v>
      </c>
      <c r="R2110" s="16" t="n">
        <v>1</v>
      </c>
      <c r="S2110" s="16" t="n"/>
      <c r="T2110" s="16" t="n">
        <v>1</v>
      </c>
    </row>
    <row r="2111" s="103">
      <c r="A2111" s="16" t="inlineStr">
        <is>
          <t>B331</t>
        </is>
      </c>
      <c r="B2111" s="16" t="inlineStr">
        <is>
          <t>上海区域</t>
        </is>
      </c>
      <c r="C2111" s="16" t="inlineStr">
        <is>
          <t>CN0Q</t>
        </is>
      </c>
      <c r="D2111" s="16" t="inlineStr">
        <is>
          <t>EE 苏州比斯特购物村</t>
        </is>
      </c>
      <c r="E2111" s="16" t="n">
        <v>4</v>
      </c>
      <c r="F2111" s="16" t="inlineStr">
        <is>
          <t>奥特莱斯</t>
        </is>
      </c>
      <c r="G2111" s="16" t="inlineStr">
        <is>
          <t>EEYWG25E03</t>
        </is>
      </c>
      <c r="H2111" s="16" t="n">
        <v>599</v>
      </c>
      <c r="I2111" s="16" t="n">
        <v>599</v>
      </c>
      <c r="J2111" s="17" t="inlineStr">
        <is>
          <t>########</t>
        </is>
      </c>
      <c r="K2111" s="16" t="inlineStr">
        <is>
          <t>(30)Yellow</t>
        </is>
      </c>
      <c r="L2111" s="16" t="inlineStr">
        <is>
          <t>营业中</t>
        </is>
      </c>
      <c r="M2111" s="16" t="inlineStr">
        <is>
          <t>EEYWG25E0330160</t>
        </is>
      </c>
      <c r="N2111" s="16">
        <f>LEFT(M2111,12)</f>
        <v/>
      </c>
      <c r="O2111" s="16" t="inlineStr">
        <is>
          <t>EEYWG25E03, (30)Yellow, (160)160</t>
        </is>
      </c>
      <c r="P2111" s="16" t="n">
        <v>599</v>
      </c>
      <c r="Q2111" s="16" t="n">
        <v>599</v>
      </c>
      <c r="R2111" s="16" t="n">
        <v>9</v>
      </c>
      <c r="S2111" s="18" t="n">
        <v>1556</v>
      </c>
      <c r="T2111" s="16" t="n">
        <v>9</v>
      </c>
    </row>
    <row r="2112" s="103">
      <c r="A2112" s="16" t="inlineStr">
        <is>
          <t>B331</t>
        </is>
      </c>
      <c r="B2112" s="16" t="inlineStr">
        <is>
          <t>上海区域</t>
        </is>
      </c>
      <c r="C2112" s="16" t="inlineStr">
        <is>
          <t>CN0Q</t>
        </is>
      </c>
      <c r="D2112" s="16" t="inlineStr">
        <is>
          <t>EE 苏州比斯特购物村</t>
        </is>
      </c>
      <c r="E2112" s="16" t="n">
        <v>4</v>
      </c>
      <c r="F2112" s="16" t="inlineStr">
        <is>
          <t>奥特莱斯</t>
        </is>
      </c>
      <c r="G2112" s="16" t="inlineStr">
        <is>
          <t>EEYWG25E03</t>
        </is>
      </c>
      <c r="H2112" s="16" t="n">
        <v>599</v>
      </c>
      <c r="I2112" s="16" t="n">
        <v>599</v>
      </c>
      <c r="J2112" s="17" t="inlineStr">
        <is>
          <t>########</t>
        </is>
      </c>
      <c r="K2112" s="16" t="inlineStr">
        <is>
          <t>(30)Yellow</t>
        </is>
      </c>
      <c r="L2112" s="16" t="inlineStr">
        <is>
          <t>营业中</t>
        </is>
      </c>
      <c r="M2112" s="16" t="inlineStr">
        <is>
          <t>EEYWG25E0330165</t>
        </is>
      </c>
      <c r="N2112" s="16">
        <f>LEFT(M2112,12)</f>
        <v/>
      </c>
      <c r="O2112" s="16" t="inlineStr">
        <is>
          <t>EEYWG25E03, (30)Yellow, (165)165</t>
        </is>
      </c>
      <c r="P2112" s="16" t="n">
        <v>599</v>
      </c>
      <c r="Q2112" s="16" t="n">
        <v>599</v>
      </c>
      <c r="R2112" s="16" t="n">
        <v>6</v>
      </c>
      <c r="S2112" s="18" t="n">
        <v>1572</v>
      </c>
      <c r="T2112" s="16" t="n">
        <v>3</v>
      </c>
    </row>
    <row r="2113" s="103">
      <c r="A2113" s="16" t="inlineStr">
        <is>
          <t>B331</t>
        </is>
      </c>
      <c r="B2113" s="16" t="inlineStr">
        <is>
          <t>上海区域</t>
        </is>
      </c>
      <c r="C2113" s="16" t="inlineStr">
        <is>
          <t>CN0Q</t>
        </is>
      </c>
      <c r="D2113" s="16" t="inlineStr">
        <is>
          <t>EE 苏州比斯特购物村</t>
        </is>
      </c>
      <c r="E2113" s="16" t="n">
        <v>4</v>
      </c>
      <c r="F2113" s="16" t="inlineStr">
        <is>
          <t>奥特莱斯</t>
        </is>
      </c>
      <c r="G2113" s="16" t="inlineStr">
        <is>
          <t>EEYWG25E03</t>
        </is>
      </c>
      <c r="H2113" s="16" t="n">
        <v>599</v>
      </c>
      <c r="I2113" s="16" t="n">
        <v>599</v>
      </c>
      <c r="J2113" s="17" t="inlineStr">
        <is>
          <t>########</t>
        </is>
      </c>
      <c r="K2113" s="16" t="inlineStr">
        <is>
          <t>(30)Yellow</t>
        </is>
      </c>
      <c r="L2113" s="16" t="inlineStr">
        <is>
          <t>营业中</t>
        </is>
      </c>
      <c r="M2113" s="16" t="inlineStr">
        <is>
          <t>EEYWG25E0330170</t>
        </is>
      </c>
      <c r="N2113" s="16">
        <f>LEFT(M2113,12)</f>
        <v/>
      </c>
      <c r="O2113" s="16" t="inlineStr">
        <is>
          <t>EEYWG25E03, (30)Yellow, (170)170</t>
        </is>
      </c>
      <c r="P2113" s="16" t="n">
        <v>599</v>
      </c>
      <c r="Q2113" s="16" t="n">
        <v>599</v>
      </c>
      <c r="R2113" s="16" t="n"/>
      <c r="S2113" s="16" t="n"/>
      <c r="T2113" s="16" t="n">
        <v>2</v>
      </c>
    </row>
    <row r="2114" s="103">
      <c r="A2114" s="16" t="inlineStr">
        <is>
          <t>B331</t>
        </is>
      </c>
      <c r="B2114" s="16" t="inlineStr">
        <is>
          <t>上海区域</t>
        </is>
      </c>
      <c r="C2114" s="16" t="inlineStr">
        <is>
          <t>CN0Q</t>
        </is>
      </c>
      <c r="D2114" s="16" t="inlineStr">
        <is>
          <t>EE 苏州比斯特购物村</t>
        </is>
      </c>
      <c r="E2114" s="16" t="n">
        <v>4</v>
      </c>
      <c r="F2114" s="16" t="inlineStr">
        <is>
          <t>奥特莱斯</t>
        </is>
      </c>
      <c r="G2114" s="16" t="inlineStr">
        <is>
          <t>EEYWG25E03</t>
        </is>
      </c>
      <c r="H2114" s="16" t="n">
        <v>599</v>
      </c>
      <c r="I2114" s="16" t="n">
        <v>599</v>
      </c>
      <c r="J2114" s="17" t="inlineStr">
        <is>
          <t>########</t>
        </is>
      </c>
      <c r="K2114" s="16" t="inlineStr">
        <is>
          <t>(37)D/Beige</t>
        </is>
      </c>
      <c r="L2114" s="16" t="inlineStr">
        <is>
          <t>营业中</t>
        </is>
      </c>
      <c r="M2114" s="16" t="inlineStr">
        <is>
          <t>EEYWG25E0337160</t>
        </is>
      </c>
      <c r="N2114" s="16">
        <f>LEFT(M2114,12)</f>
        <v/>
      </c>
      <c r="O2114" s="16" t="inlineStr">
        <is>
          <t>EEYWG25E03, (37)D/Beige, (160)160</t>
        </is>
      </c>
      <c r="P2114" s="16" t="n">
        <v>599</v>
      </c>
      <c r="Q2114" s="16" t="n">
        <v>599</v>
      </c>
      <c r="R2114" s="16" t="n">
        <v>17</v>
      </c>
      <c r="S2114" s="18" t="n">
        <v>4034</v>
      </c>
      <c r="T2114" s="16" t="n">
        <v>11</v>
      </c>
    </row>
    <row r="2115" s="103">
      <c r="A2115" s="16" t="inlineStr">
        <is>
          <t>B331</t>
        </is>
      </c>
      <c r="B2115" s="16" t="inlineStr">
        <is>
          <t>上海区域</t>
        </is>
      </c>
      <c r="C2115" s="16" t="inlineStr">
        <is>
          <t>CN0Q</t>
        </is>
      </c>
      <c r="D2115" s="16" t="inlineStr">
        <is>
          <t>EE 苏州比斯特购物村</t>
        </is>
      </c>
      <c r="E2115" s="16" t="n">
        <v>4</v>
      </c>
      <c r="F2115" s="16" t="inlineStr">
        <is>
          <t>奥特莱斯</t>
        </is>
      </c>
      <c r="G2115" s="16" t="inlineStr">
        <is>
          <t>EEYWG25E03</t>
        </is>
      </c>
      <c r="H2115" s="16" t="n">
        <v>599</v>
      </c>
      <c r="I2115" s="16" t="n">
        <v>599</v>
      </c>
      <c r="J2115" s="17" t="inlineStr">
        <is>
          <t>########</t>
        </is>
      </c>
      <c r="K2115" s="16" t="inlineStr">
        <is>
          <t>(37)D/Beige</t>
        </is>
      </c>
      <c r="L2115" s="16" t="inlineStr">
        <is>
          <t>营业中</t>
        </is>
      </c>
      <c r="M2115" s="16" t="inlineStr">
        <is>
          <t>EEYWG25E0337165</t>
        </is>
      </c>
      <c r="N2115" s="16">
        <f>LEFT(M2115,12)</f>
        <v/>
      </c>
      <c r="O2115" s="16" t="inlineStr">
        <is>
          <t>EEYWG25E03, (37)D/Beige, (165)165</t>
        </is>
      </c>
      <c r="P2115" s="16" t="n">
        <v>599</v>
      </c>
      <c r="Q2115" s="16" t="n">
        <v>599</v>
      </c>
      <c r="R2115" s="16" t="n">
        <v>12</v>
      </c>
      <c r="S2115" s="18" t="n">
        <v>2899</v>
      </c>
      <c r="T2115" s="16" t="n">
        <v>6</v>
      </c>
    </row>
    <row r="2116" s="103">
      <c r="A2116" s="16" t="inlineStr">
        <is>
          <t>B331</t>
        </is>
      </c>
      <c r="B2116" s="16" t="inlineStr">
        <is>
          <t>上海区域</t>
        </is>
      </c>
      <c r="C2116" s="16" t="inlineStr">
        <is>
          <t>CN0Q</t>
        </is>
      </c>
      <c r="D2116" s="16" t="inlineStr">
        <is>
          <t>EE 苏州比斯特购物村</t>
        </is>
      </c>
      <c r="E2116" s="16" t="n">
        <v>4</v>
      </c>
      <c r="F2116" s="16" t="inlineStr">
        <is>
          <t>奥特莱斯</t>
        </is>
      </c>
      <c r="G2116" s="16" t="inlineStr">
        <is>
          <t>EEYWG25E03</t>
        </is>
      </c>
      <c r="H2116" s="16" t="n">
        <v>599</v>
      </c>
      <c r="I2116" s="16" t="n">
        <v>599</v>
      </c>
      <c r="J2116" s="17" t="inlineStr">
        <is>
          <t>########</t>
        </is>
      </c>
      <c r="K2116" s="16" t="inlineStr">
        <is>
          <t>(37)D/Beige</t>
        </is>
      </c>
      <c r="L2116" s="16" t="inlineStr">
        <is>
          <t>营业中</t>
        </is>
      </c>
      <c r="M2116" s="16" t="inlineStr">
        <is>
          <t>EEYWG25E0337170</t>
        </is>
      </c>
      <c r="N2116" s="16">
        <f>LEFT(M2116,12)</f>
        <v/>
      </c>
      <c r="O2116" s="16" t="inlineStr">
        <is>
          <t>EEYWG25E03, (37)D/Beige, (170)170</t>
        </is>
      </c>
      <c r="P2116" s="16" t="n">
        <v>599</v>
      </c>
      <c r="Q2116" s="16" t="n">
        <v>599</v>
      </c>
      <c r="R2116" s="16" t="n">
        <v>6</v>
      </c>
      <c r="S2116" s="18" t="n">
        <v>1360</v>
      </c>
      <c r="T2116" s="16" t="n">
        <v>6</v>
      </c>
    </row>
    <row r="2117" s="103">
      <c r="A2117" s="16" t="inlineStr">
        <is>
          <t>B331</t>
        </is>
      </c>
      <c r="B2117" s="16" t="inlineStr">
        <is>
          <t>上海区域</t>
        </is>
      </c>
      <c r="C2117" s="16" t="inlineStr">
        <is>
          <t>CN0Q</t>
        </is>
      </c>
      <c r="D2117" s="16" t="inlineStr">
        <is>
          <t>EE 苏州比斯特购物村</t>
        </is>
      </c>
      <c r="E2117" s="16" t="n">
        <v>4</v>
      </c>
      <c r="F2117" s="16" t="inlineStr">
        <is>
          <t>奥特莱斯</t>
        </is>
      </c>
      <c r="G2117" s="16" t="inlineStr">
        <is>
          <t>EEYWG25E03</t>
        </is>
      </c>
      <c r="H2117" s="16" t="n">
        <v>599</v>
      </c>
      <c r="I2117" s="16" t="n">
        <v>599</v>
      </c>
      <c r="J2117" s="17" t="inlineStr">
        <is>
          <t>########</t>
        </is>
      </c>
      <c r="K2117" s="16" t="inlineStr">
        <is>
          <t>(39)Ivory</t>
        </is>
      </c>
      <c r="L2117" s="16" t="inlineStr">
        <is>
          <t>营业中</t>
        </is>
      </c>
      <c r="M2117" s="16" t="inlineStr">
        <is>
          <t>EEYWG25E0339160</t>
        </is>
      </c>
      <c r="N2117" s="16">
        <f>LEFT(M2117,12)</f>
        <v/>
      </c>
      <c r="O2117" s="16" t="inlineStr">
        <is>
          <t>EEYWG25E03, (39)Ivory, (160)160</t>
        </is>
      </c>
      <c r="P2117" s="16" t="n">
        <v>599</v>
      </c>
      <c r="Q2117" s="16" t="n">
        <v>599</v>
      </c>
      <c r="R2117" s="16" t="n">
        <v>9</v>
      </c>
      <c r="S2117" s="18" t="n">
        <v>3150</v>
      </c>
      <c r="T2117" s="16" t="n">
        <v>4</v>
      </c>
    </row>
    <row r="2118" s="103">
      <c r="A2118" s="16" t="inlineStr">
        <is>
          <t>B331</t>
        </is>
      </c>
      <c r="B2118" s="16" t="inlineStr">
        <is>
          <t>上海区域</t>
        </is>
      </c>
      <c r="C2118" s="16" t="inlineStr">
        <is>
          <t>CN0Q</t>
        </is>
      </c>
      <c r="D2118" s="16" t="inlineStr">
        <is>
          <t>EE 苏州比斯特购物村</t>
        </is>
      </c>
      <c r="E2118" s="16" t="n">
        <v>4</v>
      </c>
      <c r="F2118" s="16" t="inlineStr">
        <is>
          <t>奥特莱斯</t>
        </is>
      </c>
      <c r="G2118" s="16" t="inlineStr">
        <is>
          <t>EEYWG25E03</t>
        </is>
      </c>
      <c r="H2118" s="16" t="n">
        <v>599</v>
      </c>
      <c r="I2118" s="16" t="n">
        <v>599</v>
      </c>
      <c r="J2118" s="17" t="inlineStr">
        <is>
          <t>########</t>
        </is>
      </c>
      <c r="K2118" s="16" t="inlineStr">
        <is>
          <t>(39)Ivory</t>
        </is>
      </c>
      <c r="L2118" s="16" t="inlineStr">
        <is>
          <t>营业中</t>
        </is>
      </c>
      <c r="M2118" s="16" t="inlineStr">
        <is>
          <t>EEYWG25E0339165</t>
        </is>
      </c>
      <c r="N2118" s="16">
        <f>LEFT(M2118,12)</f>
        <v/>
      </c>
      <c r="O2118" s="16" t="inlineStr">
        <is>
          <t>EEYWG25E03, (39)Ivory, (165)165</t>
        </is>
      </c>
      <c r="P2118" s="16" t="n">
        <v>599</v>
      </c>
      <c r="Q2118" s="16" t="n">
        <v>599</v>
      </c>
      <c r="R2118" s="16" t="n">
        <v>5</v>
      </c>
      <c r="S2118" s="18" t="n">
        <v>1644</v>
      </c>
      <c r="T2118" s="16" t="n">
        <v>3</v>
      </c>
    </row>
    <row r="2119" s="103">
      <c r="A2119" s="16" t="inlineStr">
        <is>
          <t>B331</t>
        </is>
      </c>
      <c r="B2119" s="16" t="inlineStr">
        <is>
          <t>上海区域</t>
        </is>
      </c>
      <c r="C2119" s="16" t="inlineStr">
        <is>
          <t>CN0Q</t>
        </is>
      </c>
      <c r="D2119" s="16" t="inlineStr">
        <is>
          <t>EE 苏州比斯特购物村</t>
        </is>
      </c>
      <c r="E2119" s="16" t="n">
        <v>4</v>
      </c>
      <c r="F2119" s="16" t="inlineStr">
        <is>
          <t>奥特莱斯</t>
        </is>
      </c>
      <c r="G2119" s="16" t="inlineStr">
        <is>
          <t>EEYWG25E03</t>
        </is>
      </c>
      <c r="H2119" s="16" t="n">
        <v>599</v>
      </c>
      <c r="I2119" s="16" t="n">
        <v>599</v>
      </c>
      <c r="J2119" s="17" t="inlineStr">
        <is>
          <t>########</t>
        </is>
      </c>
      <c r="K2119" s="16" t="inlineStr">
        <is>
          <t>(39)Ivory</t>
        </is>
      </c>
      <c r="L2119" s="16" t="inlineStr">
        <is>
          <t>营业中</t>
        </is>
      </c>
      <c r="M2119" s="16" t="inlineStr">
        <is>
          <t>EEYWG25E0339170</t>
        </is>
      </c>
      <c r="N2119" s="16">
        <f>LEFT(M2119,12)</f>
        <v/>
      </c>
      <c r="O2119" s="16" t="inlineStr">
        <is>
          <t>EEYWG25E03, (39)Ivory, (170)170</t>
        </is>
      </c>
      <c r="P2119" s="16" t="n">
        <v>599</v>
      </c>
      <c r="Q2119" s="16" t="n">
        <v>599</v>
      </c>
      <c r="R2119" s="16" t="n">
        <v>3</v>
      </c>
      <c r="S2119" s="16" t="n">
        <v>805</v>
      </c>
      <c r="T2119" s="16" t="n">
        <v>1</v>
      </c>
    </row>
    <row r="2120" s="103">
      <c r="A2120" s="16" t="inlineStr">
        <is>
          <t>B331</t>
        </is>
      </c>
      <c r="B2120" s="16" t="inlineStr">
        <is>
          <t>上海区域</t>
        </is>
      </c>
      <c r="C2120" s="16" t="inlineStr">
        <is>
          <t>CN0Q</t>
        </is>
      </c>
      <c r="D2120" s="16" t="inlineStr">
        <is>
          <t>EE 苏州比斯特购物村</t>
        </is>
      </c>
      <c r="E2120" s="16" t="n">
        <v>4</v>
      </c>
      <c r="F2120" s="16" t="inlineStr">
        <is>
          <t>奥特莱斯</t>
        </is>
      </c>
      <c r="G2120" s="16" t="inlineStr">
        <is>
          <t>EEYWG25E03</t>
        </is>
      </c>
      <c r="H2120" s="16" t="n">
        <v>599</v>
      </c>
      <c r="I2120" s="16" t="n">
        <v>599</v>
      </c>
      <c r="J2120" s="17" t="inlineStr">
        <is>
          <t>########</t>
        </is>
      </c>
      <c r="K2120" s="16" t="inlineStr">
        <is>
          <t>(50)Blue</t>
        </is>
      </c>
      <c r="L2120" s="16" t="inlineStr">
        <is>
          <t>营业中</t>
        </is>
      </c>
      <c r="M2120" s="16" t="inlineStr">
        <is>
          <t>EEYWG25E0350160</t>
        </is>
      </c>
      <c r="N2120" s="16">
        <f>LEFT(M2120,12)</f>
        <v/>
      </c>
      <c r="O2120" s="16" t="inlineStr">
        <is>
          <t>EEYWG25E03, (50)Blue, (160)160</t>
        </is>
      </c>
      <c r="P2120" s="16" t="n">
        <v>599</v>
      </c>
      <c r="Q2120" s="16" t="n">
        <v>599</v>
      </c>
      <c r="R2120" s="16" t="n">
        <v>5</v>
      </c>
      <c r="S2120" s="16" t="n">
        <v>812</v>
      </c>
      <c r="T2120" s="16" t="n">
        <v>6</v>
      </c>
    </row>
    <row r="2121" s="103">
      <c r="A2121" s="16" t="inlineStr">
        <is>
          <t>B331</t>
        </is>
      </c>
      <c r="B2121" s="16" t="inlineStr">
        <is>
          <t>上海区域</t>
        </is>
      </c>
      <c r="C2121" s="16" t="inlineStr">
        <is>
          <t>CN0Q</t>
        </is>
      </c>
      <c r="D2121" s="16" t="inlineStr">
        <is>
          <t>EE 苏州比斯特购物村</t>
        </is>
      </c>
      <c r="E2121" s="16" t="n">
        <v>4</v>
      </c>
      <c r="F2121" s="16" t="inlineStr">
        <is>
          <t>奥特莱斯</t>
        </is>
      </c>
      <c r="G2121" s="16" t="inlineStr">
        <is>
          <t>EEYWG25E03</t>
        </is>
      </c>
      <c r="H2121" s="16" t="n">
        <v>599</v>
      </c>
      <c r="I2121" s="16" t="n">
        <v>599</v>
      </c>
      <c r="J2121" s="17" t="inlineStr">
        <is>
          <t>########</t>
        </is>
      </c>
      <c r="K2121" s="16" t="inlineStr">
        <is>
          <t>(50)Blue</t>
        </is>
      </c>
      <c r="L2121" s="16" t="inlineStr">
        <is>
          <t>营业中</t>
        </is>
      </c>
      <c r="M2121" s="16" t="inlineStr">
        <is>
          <t>EEYWG25E0350165</t>
        </is>
      </c>
      <c r="N2121" s="16">
        <f>LEFT(M2121,12)</f>
        <v/>
      </c>
      <c r="O2121" s="16" t="inlineStr">
        <is>
          <t>EEYWG25E03, (50)Blue, (165)165</t>
        </is>
      </c>
      <c r="P2121" s="16" t="n">
        <v>599</v>
      </c>
      <c r="Q2121" s="16" t="n">
        <v>599</v>
      </c>
      <c r="R2121" s="16" t="n">
        <v>2</v>
      </c>
      <c r="S2121" s="16" t="n">
        <v>419</v>
      </c>
      <c r="T2121" s="16" t="n">
        <v>4</v>
      </c>
    </row>
    <row r="2122" s="103">
      <c r="A2122" s="16" t="inlineStr">
        <is>
          <t>B331</t>
        </is>
      </c>
      <c r="B2122" s="16" t="inlineStr">
        <is>
          <t>上海区域</t>
        </is>
      </c>
      <c r="C2122" s="16" t="inlineStr">
        <is>
          <t>CN0Q</t>
        </is>
      </c>
      <c r="D2122" s="16" t="inlineStr">
        <is>
          <t>EE 苏州比斯特购物村</t>
        </is>
      </c>
      <c r="E2122" s="16" t="n">
        <v>4</v>
      </c>
      <c r="F2122" s="16" t="inlineStr">
        <is>
          <t>奥特莱斯</t>
        </is>
      </c>
      <c r="G2122" s="16" t="inlineStr">
        <is>
          <t>EEYWG25E03</t>
        </is>
      </c>
      <c r="H2122" s="16" t="n">
        <v>599</v>
      </c>
      <c r="I2122" s="16" t="n">
        <v>599</v>
      </c>
      <c r="J2122" s="17" t="inlineStr">
        <is>
          <t>########</t>
        </is>
      </c>
      <c r="K2122" s="16" t="inlineStr">
        <is>
          <t>(50)Blue</t>
        </is>
      </c>
      <c r="L2122" s="16" t="inlineStr">
        <is>
          <t>营业中</t>
        </is>
      </c>
      <c r="M2122" s="16" t="inlineStr">
        <is>
          <t>EEYWG25E0350170</t>
        </is>
      </c>
      <c r="N2122" s="16">
        <f>LEFT(M2122,12)</f>
        <v/>
      </c>
      <c r="O2122" s="16" t="inlineStr">
        <is>
          <t>EEYWG25E03, (50)Blue, (170)170</t>
        </is>
      </c>
      <c r="P2122" s="16" t="n">
        <v>599</v>
      </c>
      <c r="Q2122" s="16" t="n">
        <v>599</v>
      </c>
      <c r="R2122" s="16" t="n">
        <v>1</v>
      </c>
      <c r="S2122" s="16" t="n">
        <v>387</v>
      </c>
      <c r="T2122" s="16" t="n">
        <v>2</v>
      </c>
    </row>
    <row r="2123" s="103">
      <c r="A2123" s="16" t="inlineStr">
        <is>
          <t>B331</t>
        </is>
      </c>
      <c r="B2123" s="16" t="inlineStr">
        <is>
          <t>上海区域</t>
        </is>
      </c>
      <c r="C2123" s="16" t="inlineStr">
        <is>
          <t>CN0Q</t>
        </is>
      </c>
      <c r="D2123" s="16" t="inlineStr">
        <is>
          <t>EE 苏州比斯特购物村</t>
        </is>
      </c>
      <c r="E2123" s="16" t="n">
        <v>4</v>
      </c>
      <c r="F2123" s="16" t="inlineStr">
        <is>
          <t>奥特莱斯</t>
        </is>
      </c>
      <c r="G2123" s="16" t="inlineStr">
        <is>
          <t>EEYWG25E1G</t>
        </is>
      </c>
      <c r="H2123" s="16" t="n">
        <v>899</v>
      </c>
      <c r="I2123" s="16" t="n">
        <v>899</v>
      </c>
      <c r="J2123" s="17" t="inlineStr">
        <is>
          <t>########</t>
        </is>
      </c>
      <c r="K2123" s="16" t="inlineStr">
        <is>
          <t>(35)Beige</t>
        </is>
      </c>
      <c r="L2123" s="16" t="inlineStr">
        <is>
          <t>营业中</t>
        </is>
      </c>
      <c r="M2123" s="16" t="inlineStr">
        <is>
          <t>EEYWG25E1G35170</t>
        </is>
      </c>
      <c r="N2123" s="16">
        <f>LEFT(M2123,12)</f>
        <v/>
      </c>
      <c r="O2123" s="16" t="inlineStr">
        <is>
          <t>EEYWG25E1G, (35)Beige, (170)170</t>
        </is>
      </c>
      <c r="P2123" s="16" t="n">
        <v>899</v>
      </c>
      <c r="Q2123" s="16" t="n">
        <v>899</v>
      </c>
      <c r="R2123" s="16" t="n">
        <v>2</v>
      </c>
      <c r="S2123" s="16" t="n"/>
      <c r="T2123" s="16" t="n">
        <v>1</v>
      </c>
    </row>
    <row r="2124" s="103">
      <c r="A2124" s="16" t="inlineStr">
        <is>
          <t>B331</t>
        </is>
      </c>
      <c r="B2124" s="16" t="inlineStr">
        <is>
          <t>上海区域</t>
        </is>
      </c>
      <c r="C2124" s="16" t="inlineStr">
        <is>
          <t>CN0Q</t>
        </is>
      </c>
      <c r="D2124" s="16" t="inlineStr">
        <is>
          <t>EE 苏州比斯特购物村</t>
        </is>
      </c>
      <c r="E2124" s="16" t="n">
        <v>4</v>
      </c>
      <c r="F2124" s="16" t="inlineStr">
        <is>
          <t>奥特莱斯</t>
        </is>
      </c>
      <c r="G2124" s="16" t="inlineStr">
        <is>
          <t>EEYWG25E1G</t>
        </is>
      </c>
      <c r="H2124" s="16" t="n">
        <v>899</v>
      </c>
      <c r="I2124" s="16" t="n">
        <v>899</v>
      </c>
      <c r="J2124" s="17" t="inlineStr">
        <is>
          <t>########</t>
        </is>
      </c>
      <c r="K2124" s="16" t="inlineStr">
        <is>
          <t>(35)Beige</t>
        </is>
      </c>
      <c r="L2124" s="16" t="inlineStr">
        <is>
          <t>营业中</t>
        </is>
      </c>
      <c r="M2124" s="16" t="inlineStr">
        <is>
          <t>EEYWG25E1G35175</t>
        </is>
      </c>
      <c r="N2124" s="16">
        <f>LEFT(M2124,12)</f>
        <v/>
      </c>
      <c r="O2124" s="16" t="inlineStr">
        <is>
          <t>EEYWG25E1G, (35)Beige, (175)175</t>
        </is>
      </c>
      <c r="P2124" s="16" t="n">
        <v>899</v>
      </c>
      <c r="Q2124" s="16" t="n">
        <v>899</v>
      </c>
      <c r="R2124" s="16" t="n">
        <v>3</v>
      </c>
      <c r="S2124" s="16" t="n">
        <v>581</v>
      </c>
      <c r="T2124" s="16" t="n">
        <v>6</v>
      </c>
    </row>
    <row r="2125" s="103">
      <c r="A2125" s="16" t="inlineStr">
        <is>
          <t>B331</t>
        </is>
      </c>
      <c r="B2125" s="16" t="inlineStr">
        <is>
          <t>上海区域</t>
        </is>
      </c>
      <c r="C2125" s="16" t="inlineStr">
        <is>
          <t>CN0Q</t>
        </is>
      </c>
      <c r="D2125" s="16" t="inlineStr">
        <is>
          <t>EE 苏州比斯特购物村</t>
        </is>
      </c>
      <c r="E2125" s="16" t="n">
        <v>4</v>
      </c>
      <c r="F2125" s="16" t="inlineStr">
        <is>
          <t>奥特莱斯</t>
        </is>
      </c>
      <c r="G2125" s="16" t="inlineStr">
        <is>
          <t>EEYWG25E1G</t>
        </is>
      </c>
      <c r="H2125" s="16" t="n">
        <v>899</v>
      </c>
      <c r="I2125" s="16" t="n">
        <v>899</v>
      </c>
      <c r="J2125" s="17" t="inlineStr">
        <is>
          <t>########</t>
        </is>
      </c>
      <c r="K2125" s="16" t="inlineStr">
        <is>
          <t>(35)Beige</t>
        </is>
      </c>
      <c r="L2125" s="16" t="inlineStr">
        <is>
          <t>营业中</t>
        </is>
      </c>
      <c r="M2125" s="16" t="inlineStr">
        <is>
          <t>EEYWG25E1G35180</t>
        </is>
      </c>
      <c r="N2125" s="16">
        <f>LEFT(M2125,12)</f>
        <v/>
      </c>
      <c r="O2125" s="16" t="inlineStr">
        <is>
          <t>EEYWG25E1G, (35)Beige, (180)180</t>
        </is>
      </c>
      <c r="P2125" s="16" t="n">
        <v>899</v>
      </c>
      <c r="Q2125" s="16" t="n">
        <v>899</v>
      </c>
      <c r="R2125" s="16" t="n">
        <v>6</v>
      </c>
      <c r="S2125" s="18" t="n">
        <v>2303</v>
      </c>
      <c r="T2125" s="16" t="n">
        <v>2</v>
      </c>
    </row>
    <row r="2126" s="103">
      <c r="A2126" s="16" t="inlineStr">
        <is>
          <t>B331</t>
        </is>
      </c>
      <c r="B2126" s="16" t="inlineStr">
        <is>
          <t>上海区域</t>
        </is>
      </c>
      <c r="C2126" s="16" t="inlineStr">
        <is>
          <t>CN0Q</t>
        </is>
      </c>
      <c r="D2126" s="16" t="inlineStr">
        <is>
          <t>EE 苏州比斯特购物村</t>
        </is>
      </c>
      <c r="E2126" s="16" t="n">
        <v>4</v>
      </c>
      <c r="F2126" s="16" t="inlineStr">
        <is>
          <t>奥特莱斯</t>
        </is>
      </c>
      <c r="G2126" s="16" t="inlineStr">
        <is>
          <t>EEYWG25E1G</t>
        </is>
      </c>
      <c r="H2126" s="16" t="n">
        <v>899</v>
      </c>
      <c r="I2126" s="16" t="n">
        <v>899</v>
      </c>
      <c r="J2126" s="17" t="inlineStr">
        <is>
          <t>########</t>
        </is>
      </c>
      <c r="K2126" s="16" t="inlineStr">
        <is>
          <t>(35)Beige</t>
        </is>
      </c>
      <c r="L2126" s="16" t="inlineStr">
        <is>
          <t>营业中</t>
        </is>
      </c>
      <c r="M2126" s="16" t="inlineStr">
        <is>
          <t>EEYWG25E1G35185</t>
        </is>
      </c>
      <c r="N2126" s="16">
        <f>LEFT(M2126,12)</f>
        <v/>
      </c>
      <c r="O2126" s="16" t="inlineStr">
        <is>
          <t>EEYWG25E1G, (35)Beige, (185)185</t>
        </is>
      </c>
      <c r="P2126" s="16" t="n">
        <v>899</v>
      </c>
      <c r="Q2126" s="16" t="n">
        <v>899</v>
      </c>
      <c r="R2126" s="16" t="n">
        <v>1</v>
      </c>
      <c r="S2126" s="16" t="n">
        <v>573</v>
      </c>
      <c r="T2126" s="16" t="n">
        <v>1</v>
      </c>
    </row>
    <row r="2127" s="103">
      <c r="A2127" s="16" t="inlineStr">
        <is>
          <t>B331</t>
        </is>
      </c>
      <c r="B2127" s="16" t="inlineStr">
        <is>
          <t>上海区域</t>
        </is>
      </c>
      <c r="C2127" s="16" t="inlineStr">
        <is>
          <t>CN0Q</t>
        </is>
      </c>
      <c r="D2127" s="16" t="inlineStr">
        <is>
          <t>EE 苏州比斯特购物村</t>
        </is>
      </c>
      <c r="E2127" s="16" t="n">
        <v>4</v>
      </c>
      <c r="F2127" s="16" t="inlineStr">
        <is>
          <t>奥特莱斯</t>
        </is>
      </c>
      <c r="G2127" s="16" t="inlineStr">
        <is>
          <t>EEYWG25E1G</t>
        </is>
      </c>
      <c r="H2127" s="16" t="n">
        <v>899</v>
      </c>
      <c r="I2127" s="16" t="n">
        <v>899</v>
      </c>
      <c r="J2127" s="17" t="inlineStr">
        <is>
          <t>########</t>
        </is>
      </c>
      <c r="K2127" s="16" t="inlineStr">
        <is>
          <t>(50)Blue</t>
        </is>
      </c>
      <c r="L2127" s="16" t="inlineStr">
        <is>
          <t>营业中</t>
        </is>
      </c>
      <c r="M2127" s="16" t="inlineStr">
        <is>
          <t>EEYWG25E1G50170</t>
        </is>
      </c>
      <c r="N2127" s="16">
        <f>LEFT(M2127,12)</f>
        <v/>
      </c>
      <c r="O2127" s="16" t="inlineStr">
        <is>
          <t>EEYWG25E1G, (50)Blue, (170)170</t>
        </is>
      </c>
      <c r="P2127" s="16" t="n">
        <v>899</v>
      </c>
      <c r="Q2127" s="16" t="n">
        <v>899</v>
      </c>
      <c r="R2127" s="16" t="n">
        <v>2</v>
      </c>
      <c r="S2127" s="18" t="n">
        <v>1199</v>
      </c>
      <c r="T2127" s="16" t="n">
        <v>1</v>
      </c>
    </row>
    <row r="2128" s="103">
      <c r="A2128" s="16" t="inlineStr">
        <is>
          <t>B331</t>
        </is>
      </c>
      <c r="B2128" s="16" t="inlineStr">
        <is>
          <t>上海区域</t>
        </is>
      </c>
      <c r="C2128" s="16" t="inlineStr">
        <is>
          <t>CN0Q</t>
        </is>
      </c>
      <c r="D2128" s="16" t="inlineStr">
        <is>
          <t>EE 苏州比斯特购物村</t>
        </is>
      </c>
      <c r="E2128" s="16" t="n">
        <v>4</v>
      </c>
      <c r="F2128" s="16" t="inlineStr">
        <is>
          <t>奥特莱斯</t>
        </is>
      </c>
      <c r="G2128" s="16" t="inlineStr">
        <is>
          <t>EEYWG25E1G</t>
        </is>
      </c>
      <c r="H2128" s="16" t="n">
        <v>899</v>
      </c>
      <c r="I2128" s="16" t="n">
        <v>899</v>
      </c>
      <c r="J2128" s="17" t="inlineStr">
        <is>
          <t>########</t>
        </is>
      </c>
      <c r="K2128" s="16" t="inlineStr">
        <is>
          <t>(50)Blue</t>
        </is>
      </c>
      <c r="L2128" s="16" t="inlineStr">
        <is>
          <t>营业中</t>
        </is>
      </c>
      <c r="M2128" s="16" t="inlineStr">
        <is>
          <t>EEYWG25E1G50175</t>
        </is>
      </c>
      <c r="N2128" s="16">
        <f>LEFT(M2128,12)</f>
        <v/>
      </c>
      <c r="O2128" s="16" t="inlineStr">
        <is>
          <t>EEYWG25E1G, (50)Blue, (175)175</t>
        </is>
      </c>
      <c r="P2128" s="16" t="n">
        <v>899</v>
      </c>
      <c r="Q2128" s="16" t="n">
        <v>899</v>
      </c>
      <c r="R2128" s="16" t="n">
        <v>1</v>
      </c>
      <c r="S2128" s="16" t="n"/>
      <c r="T2128" s="16" t="n">
        <v>4</v>
      </c>
    </row>
    <row r="2129" s="103">
      <c r="A2129" s="16" t="inlineStr">
        <is>
          <t>B331</t>
        </is>
      </c>
      <c r="B2129" s="16" t="inlineStr">
        <is>
          <t>上海区域</t>
        </is>
      </c>
      <c r="C2129" s="16" t="inlineStr">
        <is>
          <t>CN0Q</t>
        </is>
      </c>
      <c r="D2129" s="16" t="inlineStr">
        <is>
          <t>EE 苏州比斯特购物村</t>
        </is>
      </c>
      <c r="E2129" s="16" t="n">
        <v>4</v>
      </c>
      <c r="F2129" s="16" t="inlineStr">
        <is>
          <t>奥特莱斯</t>
        </is>
      </c>
      <c r="G2129" s="16" t="inlineStr">
        <is>
          <t>EEYWG25E1G</t>
        </is>
      </c>
      <c r="H2129" s="16" t="n">
        <v>899</v>
      </c>
      <c r="I2129" s="16" t="n">
        <v>899</v>
      </c>
      <c r="J2129" s="17" t="inlineStr">
        <is>
          <t>########</t>
        </is>
      </c>
      <c r="K2129" s="16" t="inlineStr">
        <is>
          <t>(50)Blue</t>
        </is>
      </c>
      <c r="L2129" s="16" t="inlineStr">
        <is>
          <t>营业中</t>
        </is>
      </c>
      <c r="M2129" s="16" t="inlineStr">
        <is>
          <t>EEYWG25E1G50180</t>
        </is>
      </c>
      <c r="N2129" s="16">
        <f>LEFT(M2129,12)</f>
        <v/>
      </c>
      <c r="O2129" s="16" t="inlineStr">
        <is>
          <t>EEYWG25E1G, (50)Blue, (180)180</t>
        </is>
      </c>
      <c r="P2129" s="16" t="n">
        <v>899</v>
      </c>
      <c r="Q2129" s="16" t="n">
        <v>899</v>
      </c>
      <c r="R2129" s="16" t="n">
        <v>1</v>
      </c>
      <c r="S2129" s="16" t="n">
        <v>568</v>
      </c>
      <c r="T2129" s="16" t="n">
        <v>3</v>
      </c>
    </row>
    <row r="2130" s="103">
      <c r="A2130" s="16" t="inlineStr">
        <is>
          <t>B331</t>
        </is>
      </c>
      <c r="B2130" s="16" t="inlineStr">
        <is>
          <t>上海区域</t>
        </is>
      </c>
      <c r="C2130" s="16" t="inlineStr">
        <is>
          <t>CN0Q</t>
        </is>
      </c>
      <c r="D2130" s="16" t="inlineStr">
        <is>
          <t>EE 苏州比斯特购物村</t>
        </is>
      </c>
      <c r="E2130" s="16" t="n">
        <v>4</v>
      </c>
      <c r="F2130" s="16" t="inlineStr">
        <is>
          <t>奥特莱斯</t>
        </is>
      </c>
      <c r="G2130" s="16" t="inlineStr">
        <is>
          <t>EEYWG25E1G</t>
        </is>
      </c>
      <c r="H2130" s="16" t="n">
        <v>899</v>
      </c>
      <c r="I2130" s="16" t="n">
        <v>899</v>
      </c>
      <c r="J2130" s="17" t="inlineStr">
        <is>
          <t>########</t>
        </is>
      </c>
      <c r="K2130" s="16" t="inlineStr">
        <is>
          <t>(50)Blue</t>
        </is>
      </c>
      <c r="L2130" s="16" t="inlineStr">
        <is>
          <t>营业中</t>
        </is>
      </c>
      <c r="M2130" s="16" t="inlineStr">
        <is>
          <t>EEYWG25E1G50185</t>
        </is>
      </c>
      <c r="N2130" s="16">
        <f>LEFT(M2130,12)</f>
        <v/>
      </c>
      <c r="O2130" s="16" t="inlineStr">
        <is>
          <t>EEYWG25E1G, (50)Blue, (185)185</t>
        </is>
      </c>
      <c r="P2130" s="16" t="n">
        <v>899</v>
      </c>
      <c r="Q2130" s="16" t="n">
        <v>899</v>
      </c>
      <c r="R2130" s="16" t="n">
        <v>1</v>
      </c>
      <c r="S2130" s="16" t="n"/>
      <c r="T2130" s="16" t="n">
        <v>0</v>
      </c>
    </row>
    <row r="2131" s="103">
      <c r="A2131" s="16" t="inlineStr">
        <is>
          <t>B331</t>
        </is>
      </c>
      <c r="B2131" s="16" t="inlineStr">
        <is>
          <t>上海区域</t>
        </is>
      </c>
      <c r="C2131" s="16" t="inlineStr">
        <is>
          <t>CN0Q</t>
        </is>
      </c>
      <c r="D2131" s="16" t="inlineStr">
        <is>
          <t>EE 苏州比斯特购物村</t>
        </is>
      </c>
      <c r="E2131" s="16" t="n">
        <v>4</v>
      </c>
      <c r="F2131" s="16" t="inlineStr">
        <is>
          <t>奥特莱斯</t>
        </is>
      </c>
      <c r="G2131" s="16" t="inlineStr">
        <is>
          <t>EEYWG25E1G</t>
        </is>
      </c>
      <c r="H2131" s="16" t="n">
        <v>899</v>
      </c>
      <c r="I2131" s="16" t="n">
        <v>899</v>
      </c>
      <c r="J2131" s="17" t="inlineStr">
        <is>
          <t>########</t>
        </is>
      </c>
      <c r="K2131" s="16" t="inlineStr">
        <is>
          <t>(59)Navy</t>
        </is>
      </c>
      <c r="L2131" s="16" t="inlineStr">
        <is>
          <t>营业中</t>
        </is>
      </c>
      <c r="M2131" s="16" t="inlineStr">
        <is>
          <t>EEYWG25E1G59170</t>
        </is>
      </c>
      <c r="N2131" s="16">
        <f>LEFT(M2131,12)</f>
        <v/>
      </c>
      <c r="O2131" s="16" t="inlineStr">
        <is>
          <t>EEYWG25E1G, (59)Navy, (170)170</t>
        </is>
      </c>
      <c r="P2131" s="16" t="n">
        <v>899</v>
      </c>
      <c r="Q2131" s="16" t="n">
        <v>899</v>
      </c>
      <c r="R2131" s="16" t="n">
        <v>3</v>
      </c>
      <c r="S2131" s="18" t="n">
        <v>1148</v>
      </c>
      <c r="T2131" s="16" t="n">
        <v>4</v>
      </c>
    </row>
    <row r="2132" s="103">
      <c r="A2132" s="16" t="inlineStr">
        <is>
          <t>B331</t>
        </is>
      </c>
      <c r="B2132" s="16" t="inlineStr">
        <is>
          <t>上海区域</t>
        </is>
      </c>
      <c r="C2132" s="16" t="inlineStr">
        <is>
          <t>CN0Q</t>
        </is>
      </c>
      <c r="D2132" s="16" t="inlineStr">
        <is>
          <t>EE 苏州比斯特购物村</t>
        </is>
      </c>
      <c r="E2132" s="16" t="n">
        <v>4</v>
      </c>
      <c r="F2132" s="16" t="inlineStr">
        <is>
          <t>奥特莱斯</t>
        </is>
      </c>
      <c r="G2132" s="16" t="inlineStr">
        <is>
          <t>EEYWG25E1G</t>
        </is>
      </c>
      <c r="H2132" s="16" t="n">
        <v>899</v>
      </c>
      <c r="I2132" s="16" t="n">
        <v>899</v>
      </c>
      <c r="J2132" s="17" t="inlineStr">
        <is>
          <t>########</t>
        </is>
      </c>
      <c r="K2132" s="16" t="inlineStr">
        <is>
          <t>(59)Navy</t>
        </is>
      </c>
      <c r="L2132" s="16" t="inlineStr">
        <is>
          <t>营业中</t>
        </is>
      </c>
      <c r="M2132" s="16" t="inlineStr">
        <is>
          <t>EEYWG25E1G59175</t>
        </is>
      </c>
      <c r="N2132" s="16">
        <f>LEFT(M2132,12)</f>
        <v/>
      </c>
      <c r="O2132" s="16" t="inlineStr">
        <is>
          <t>EEYWG25E1G, (59)Navy, (175)175</t>
        </is>
      </c>
      <c r="P2132" s="16" t="n">
        <v>899</v>
      </c>
      <c r="Q2132" s="16" t="n">
        <v>899</v>
      </c>
      <c r="R2132" s="16" t="n">
        <v>1</v>
      </c>
      <c r="S2132" s="16" t="n">
        <v>579</v>
      </c>
      <c r="T2132" s="16" t="n">
        <v>5</v>
      </c>
    </row>
    <row r="2133" s="103">
      <c r="A2133" s="16" t="inlineStr">
        <is>
          <t>B331</t>
        </is>
      </c>
      <c r="B2133" s="16" t="inlineStr">
        <is>
          <t>上海区域</t>
        </is>
      </c>
      <c r="C2133" s="16" t="inlineStr">
        <is>
          <t>CN0Q</t>
        </is>
      </c>
      <c r="D2133" s="16" t="inlineStr">
        <is>
          <t>EE 苏州比斯特购物村</t>
        </is>
      </c>
      <c r="E2133" s="16" t="n">
        <v>4</v>
      </c>
      <c r="F2133" s="16" t="inlineStr">
        <is>
          <t>奥特莱斯</t>
        </is>
      </c>
      <c r="G2133" s="16" t="inlineStr">
        <is>
          <t>EEYWG25E1G</t>
        </is>
      </c>
      <c r="H2133" s="16" t="n">
        <v>899</v>
      </c>
      <c r="I2133" s="16" t="n">
        <v>899</v>
      </c>
      <c r="J2133" s="17" t="inlineStr">
        <is>
          <t>########</t>
        </is>
      </c>
      <c r="K2133" s="16" t="inlineStr">
        <is>
          <t>(59)Navy</t>
        </is>
      </c>
      <c r="L2133" s="16" t="inlineStr">
        <is>
          <t>营业中</t>
        </is>
      </c>
      <c r="M2133" s="16" t="inlineStr">
        <is>
          <t>EEYWG25E1G59180</t>
        </is>
      </c>
      <c r="N2133" s="16">
        <f>LEFT(M2133,12)</f>
        <v/>
      </c>
      <c r="O2133" s="16" t="inlineStr">
        <is>
          <t>EEYWG25E1G, (59)Navy, (180)180</t>
        </is>
      </c>
      <c r="P2133" s="16" t="n">
        <v>899</v>
      </c>
      <c r="Q2133" s="16" t="n">
        <v>899</v>
      </c>
      <c r="R2133" s="16" t="n">
        <v>2</v>
      </c>
      <c r="S2133" s="18" t="n">
        <v>1146</v>
      </c>
      <c r="T2133" s="16" t="n">
        <v>4</v>
      </c>
    </row>
    <row r="2134" s="103">
      <c r="A2134" s="16" t="inlineStr">
        <is>
          <t>B331</t>
        </is>
      </c>
      <c r="B2134" s="16" t="inlineStr">
        <is>
          <t>上海区域</t>
        </is>
      </c>
      <c r="C2134" s="16" t="inlineStr">
        <is>
          <t>CN0Q</t>
        </is>
      </c>
      <c r="D2134" s="16" t="inlineStr">
        <is>
          <t>EE 苏州比斯特购物村</t>
        </is>
      </c>
      <c r="E2134" s="16" t="n">
        <v>4</v>
      </c>
      <c r="F2134" s="16" t="inlineStr">
        <is>
          <t>奥特莱斯</t>
        </is>
      </c>
      <c r="G2134" s="16" t="inlineStr">
        <is>
          <t>EEYWG25E1G</t>
        </is>
      </c>
      <c r="H2134" s="16" t="n">
        <v>899</v>
      </c>
      <c r="I2134" s="16" t="n">
        <v>899</v>
      </c>
      <c r="J2134" s="17" t="inlineStr">
        <is>
          <t>########</t>
        </is>
      </c>
      <c r="K2134" s="16" t="inlineStr">
        <is>
          <t>(59)Navy</t>
        </is>
      </c>
      <c r="L2134" s="16" t="inlineStr">
        <is>
          <t>营业中</t>
        </is>
      </c>
      <c r="M2134" s="16" t="inlineStr">
        <is>
          <t>EEYWG25E1G59185</t>
        </is>
      </c>
      <c r="N2134" s="16">
        <f>LEFT(M2134,12)</f>
        <v/>
      </c>
      <c r="O2134" s="16" t="inlineStr">
        <is>
          <t>EEYWG25E1G, (59)Navy, (185)185</t>
        </is>
      </c>
      <c r="P2134" s="16" t="n">
        <v>899</v>
      </c>
      <c r="Q2134" s="16" t="n">
        <v>899</v>
      </c>
      <c r="R2134" s="16" t="n">
        <v>3</v>
      </c>
      <c r="S2134" s="18" t="n">
        <v>1259</v>
      </c>
      <c r="T2134" s="16" t="n">
        <v>4</v>
      </c>
    </row>
    <row r="2135" s="103">
      <c r="A2135" s="16" t="inlineStr">
        <is>
          <t>B331</t>
        </is>
      </c>
      <c r="B2135" s="16" t="inlineStr">
        <is>
          <t>上海区域</t>
        </is>
      </c>
      <c r="C2135" s="16" t="inlineStr">
        <is>
          <t>CN0Q</t>
        </is>
      </c>
      <c r="D2135" s="16" t="inlineStr">
        <is>
          <t>EE 苏州比斯特购物村</t>
        </is>
      </c>
      <c r="E2135" s="16" t="n">
        <v>4</v>
      </c>
      <c r="F2135" s="16" t="inlineStr">
        <is>
          <t>奥特莱斯</t>
        </is>
      </c>
      <c r="G2135" s="16" t="inlineStr">
        <is>
          <t>EEYWG25E1G</t>
        </is>
      </c>
      <c r="H2135" s="16" t="n">
        <v>899</v>
      </c>
      <c r="I2135" s="16" t="n">
        <v>899</v>
      </c>
      <c r="J2135" s="17" t="inlineStr">
        <is>
          <t>########</t>
        </is>
      </c>
      <c r="K2135" s="16" t="inlineStr">
        <is>
          <t>(84)Mint</t>
        </is>
      </c>
      <c r="L2135" s="16" t="inlineStr">
        <is>
          <t>营业中</t>
        </is>
      </c>
      <c r="M2135" s="16" t="inlineStr">
        <is>
          <t>EEYWG25E1G84170</t>
        </is>
      </c>
      <c r="N2135" s="16">
        <f>LEFT(M2135,12)</f>
        <v/>
      </c>
      <c r="O2135" s="16" t="inlineStr">
        <is>
          <t>EEYWG25E1G, (84)Mint, (170)170</t>
        </is>
      </c>
      <c r="P2135" s="16" t="n">
        <v>899</v>
      </c>
      <c r="Q2135" s="16" t="n">
        <v>899</v>
      </c>
      <c r="R2135" s="16" t="n">
        <v>2</v>
      </c>
      <c r="S2135" s="16" t="n">
        <v>590</v>
      </c>
      <c r="T2135" s="16" t="n">
        <v>1</v>
      </c>
    </row>
    <row r="2136" s="103">
      <c r="A2136" s="16" t="inlineStr">
        <is>
          <t>B331</t>
        </is>
      </c>
      <c r="B2136" s="16" t="inlineStr">
        <is>
          <t>上海区域</t>
        </is>
      </c>
      <c r="C2136" s="16" t="inlineStr">
        <is>
          <t>CN0Q</t>
        </is>
      </c>
      <c r="D2136" s="16" t="inlineStr">
        <is>
          <t>EE 苏州比斯特购物村</t>
        </is>
      </c>
      <c r="E2136" s="16" t="n">
        <v>4</v>
      </c>
      <c r="F2136" s="16" t="inlineStr">
        <is>
          <t>奥特莱斯</t>
        </is>
      </c>
      <c r="G2136" s="16" t="inlineStr">
        <is>
          <t>EEYWG25E1G</t>
        </is>
      </c>
      <c r="H2136" s="16" t="n">
        <v>899</v>
      </c>
      <c r="I2136" s="16" t="n">
        <v>899</v>
      </c>
      <c r="J2136" s="17" t="inlineStr">
        <is>
          <t>########</t>
        </is>
      </c>
      <c r="K2136" s="16" t="inlineStr">
        <is>
          <t>(84)Mint</t>
        </is>
      </c>
      <c r="L2136" s="16" t="inlineStr">
        <is>
          <t>营业中</t>
        </is>
      </c>
      <c r="M2136" s="16" t="inlineStr">
        <is>
          <t>EEYWG25E1G84175</t>
        </is>
      </c>
      <c r="N2136" s="16">
        <f>LEFT(M2136,12)</f>
        <v/>
      </c>
      <c r="O2136" s="16" t="inlineStr">
        <is>
          <t>EEYWG25E1G, (84)Mint, (175)175</t>
        </is>
      </c>
      <c r="P2136" s="16" t="n">
        <v>899</v>
      </c>
      <c r="Q2136" s="16" t="n">
        <v>899</v>
      </c>
      <c r="R2136" s="16" t="n">
        <v>5</v>
      </c>
      <c r="S2136" s="18" t="n">
        <v>2344</v>
      </c>
      <c r="T2136" s="16" t="n">
        <v>1</v>
      </c>
    </row>
    <row r="2137" s="103">
      <c r="A2137" s="16" t="inlineStr">
        <is>
          <t>B331</t>
        </is>
      </c>
      <c r="B2137" s="16" t="inlineStr">
        <is>
          <t>上海区域</t>
        </is>
      </c>
      <c r="C2137" s="16" t="inlineStr">
        <is>
          <t>CN0Q</t>
        </is>
      </c>
      <c r="D2137" s="16" t="inlineStr">
        <is>
          <t>EE 苏州比斯特购物村</t>
        </is>
      </c>
      <c r="E2137" s="16" t="n">
        <v>4</v>
      </c>
      <c r="F2137" s="16" t="inlineStr">
        <is>
          <t>奥特莱斯</t>
        </is>
      </c>
      <c r="G2137" s="16" t="inlineStr">
        <is>
          <t>EEYWG25E1G</t>
        </is>
      </c>
      <c r="H2137" s="16" t="n">
        <v>899</v>
      </c>
      <c r="I2137" s="16" t="n">
        <v>899</v>
      </c>
      <c r="J2137" s="17" t="inlineStr">
        <is>
          <t>########</t>
        </is>
      </c>
      <c r="K2137" s="16" t="inlineStr">
        <is>
          <t>(84)Mint</t>
        </is>
      </c>
      <c r="L2137" s="16" t="inlineStr">
        <is>
          <t>营业中</t>
        </is>
      </c>
      <c r="M2137" s="16" t="inlineStr">
        <is>
          <t>EEYWG25E1G84180</t>
        </is>
      </c>
      <c r="N2137" s="16">
        <f>LEFT(M2137,12)</f>
        <v/>
      </c>
      <c r="O2137" s="16" t="inlineStr">
        <is>
          <t>EEYWG25E1G, (84)Mint, (180)180</t>
        </is>
      </c>
      <c r="P2137" s="16" t="n">
        <v>899</v>
      </c>
      <c r="Q2137" s="16" t="n">
        <v>899</v>
      </c>
      <c r="R2137" s="16" t="n">
        <v>2</v>
      </c>
      <c r="S2137" s="16" t="n">
        <v>270</v>
      </c>
      <c r="T2137" s="16" t="n">
        <v>5</v>
      </c>
    </row>
    <row r="2138" s="103">
      <c r="A2138" s="16" t="inlineStr">
        <is>
          <t>B331</t>
        </is>
      </c>
      <c r="B2138" s="16" t="inlineStr">
        <is>
          <t>上海区域</t>
        </is>
      </c>
      <c r="C2138" s="16" t="inlineStr">
        <is>
          <t>CN0Q</t>
        </is>
      </c>
      <c r="D2138" s="16" t="inlineStr">
        <is>
          <t>EE 苏州比斯特购物村</t>
        </is>
      </c>
      <c r="E2138" s="16" t="n">
        <v>4</v>
      </c>
      <c r="F2138" s="16" t="inlineStr">
        <is>
          <t>奥特莱斯</t>
        </is>
      </c>
      <c r="G2138" s="16" t="inlineStr">
        <is>
          <t>EEYWG25E1G</t>
        </is>
      </c>
      <c r="H2138" s="16" t="n">
        <v>899</v>
      </c>
      <c r="I2138" s="16" t="n">
        <v>899</v>
      </c>
      <c r="J2138" s="17" t="inlineStr">
        <is>
          <t>########</t>
        </is>
      </c>
      <c r="K2138" s="16" t="inlineStr">
        <is>
          <t>(84)Mint</t>
        </is>
      </c>
      <c r="L2138" s="16" t="inlineStr">
        <is>
          <t>营业中</t>
        </is>
      </c>
      <c r="M2138" s="16" t="inlineStr">
        <is>
          <t>EEYWG25E1G84185</t>
        </is>
      </c>
      <c r="N2138" s="16">
        <f>LEFT(M2138,12)</f>
        <v/>
      </c>
      <c r="O2138" s="16" t="inlineStr">
        <is>
          <t>EEYWG25E1G, (84)Mint, (185)185</t>
        </is>
      </c>
      <c r="P2138" s="16" t="n">
        <v>899</v>
      </c>
      <c r="Q2138" s="16" t="n">
        <v>899</v>
      </c>
      <c r="R2138" s="16" t="n"/>
      <c r="S2138" s="16" t="n"/>
      <c r="T2138" s="16" t="n">
        <v>2</v>
      </c>
    </row>
    <row r="2139" s="103">
      <c r="A2139" s="16" t="inlineStr">
        <is>
          <t>B331</t>
        </is>
      </c>
      <c r="B2139" s="16" t="inlineStr">
        <is>
          <t>上海区域</t>
        </is>
      </c>
      <c r="C2139" s="16" t="inlineStr">
        <is>
          <t>CN0Q</t>
        </is>
      </c>
      <c r="D2139" s="16" t="inlineStr">
        <is>
          <t>EE 苏州比斯特购物村</t>
        </is>
      </c>
      <c r="E2139" s="16" t="n">
        <v>4</v>
      </c>
      <c r="F2139" s="16" t="inlineStr">
        <is>
          <t>奥特莱斯</t>
        </is>
      </c>
      <c r="G2139" s="16" t="inlineStr">
        <is>
          <t>EEYWG25E2G</t>
        </is>
      </c>
      <c r="H2139" s="16" t="n">
        <v>899</v>
      </c>
      <c r="I2139" s="16" t="n">
        <v>899</v>
      </c>
      <c r="J2139" s="17" t="inlineStr">
        <is>
          <t>########</t>
        </is>
      </c>
      <c r="K2139" s="16" t="inlineStr">
        <is>
          <t>(10)White</t>
        </is>
      </c>
      <c r="L2139" s="16" t="inlineStr">
        <is>
          <t>营业中</t>
        </is>
      </c>
      <c r="M2139" s="16" t="inlineStr">
        <is>
          <t>EEYWG25E2G10170</t>
        </is>
      </c>
      <c r="N2139" s="16">
        <f>LEFT(M2139,12)</f>
        <v/>
      </c>
      <c r="O2139" s="16" t="inlineStr">
        <is>
          <t>EEYWG25E2G, (10)White, (170)170</t>
        </is>
      </c>
      <c r="P2139" s="16" t="n">
        <v>899</v>
      </c>
      <c r="Q2139" s="16" t="n">
        <v>899</v>
      </c>
      <c r="R2139" s="16" t="n">
        <v>1</v>
      </c>
      <c r="S2139" s="16" t="n">
        <v>569</v>
      </c>
      <c r="T2139" s="16" t="n">
        <v>1</v>
      </c>
    </row>
    <row r="2140" s="103">
      <c r="A2140" s="16" t="inlineStr">
        <is>
          <t>B331</t>
        </is>
      </c>
      <c r="B2140" s="16" t="inlineStr">
        <is>
          <t>上海区域</t>
        </is>
      </c>
      <c r="C2140" s="16" t="inlineStr">
        <is>
          <t>CN0Q</t>
        </is>
      </c>
      <c r="D2140" s="16" t="inlineStr">
        <is>
          <t>EE 苏州比斯特购物村</t>
        </is>
      </c>
      <c r="E2140" s="16" t="n">
        <v>4</v>
      </c>
      <c r="F2140" s="16" t="inlineStr">
        <is>
          <t>奥特莱斯</t>
        </is>
      </c>
      <c r="G2140" s="16" t="inlineStr">
        <is>
          <t>EEYWG25E2G</t>
        </is>
      </c>
      <c r="H2140" s="16" t="n">
        <v>899</v>
      </c>
      <c r="I2140" s="16" t="n">
        <v>899</v>
      </c>
      <c r="J2140" s="17" t="inlineStr">
        <is>
          <t>########</t>
        </is>
      </c>
      <c r="K2140" s="16" t="inlineStr">
        <is>
          <t>(10)White</t>
        </is>
      </c>
      <c r="L2140" s="16" t="inlineStr">
        <is>
          <t>营业中</t>
        </is>
      </c>
      <c r="M2140" s="16" t="inlineStr">
        <is>
          <t>EEYWG25E2G10175</t>
        </is>
      </c>
      <c r="N2140" s="16">
        <f>LEFT(M2140,12)</f>
        <v/>
      </c>
      <c r="O2140" s="16" t="inlineStr">
        <is>
          <t>EEYWG25E2G, (10)White, (175)175</t>
        </is>
      </c>
      <c r="P2140" s="16" t="n">
        <v>899</v>
      </c>
      <c r="Q2140" s="16" t="n">
        <v>899</v>
      </c>
      <c r="R2140" s="16" t="n">
        <v>3</v>
      </c>
      <c r="S2140" s="18" t="n">
        <v>1196</v>
      </c>
      <c r="T2140" s="16" t="n">
        <v>0</v>
      </c>
    </row>
    <row r="2141" s="103">
      <c r="A2141" s="16" t="inlineStr">
        <is>
          <t>B331</t>
        </is>
      </c>
      <c r="B2141" s="16" t="inlineStr">
        <is>
          <t>上海区域</t>
        </is>
      </c>
      <c r="C2141" s="16" t="inlineStr">
        <is>
          <t>CN0Q</t>
        </is>
      </c>
      <c r="D2141" s="16" t="inlineStr">
        <is>
          <t>EE 苏州比斯特购物村</t>
        </is>
      </c>
      <c r="E2141" s="16" t="n">
        <v>4</v>
      </c>
      <c r="F2141" s="16" t="inlineStr">
        <is>
          <t>奥特莱斯</t>
        </is>
      </c>
      <c r="G2141" s="16" t="inlineStr">
        <is>
          <t>EEYWG25E2G</t>
        </is>
      </c>
      <c r="H2141" s="16" t="n">
        <v>899</v>
      </c>
      <c r="I2141" s="16" t="n">
        <v>899</v>
      </c>
      <c r="J2141" s="17" t="inlineStr">
        <is>
          <t>########</t>
        </is>
      </c>
      <c r="K2141" s="16" t="inlineStr">
        <is>
          <t>(10)White</t>
        </is>
      </c>
      <c r="L2141" s="16" t="inlineStr">
        <is>
          <t>营业中</t>
        </is>
      </c>
      <c r="M2141" s="16" t="inlineStr">
        <is>
          <t>EEYWG25E2G10180</t>
        </is>
      </c>
      <c r="N2141" s="16">
        <f>LEFT(M2141,12)</f>
        <v/>
      </c>
      <c r="O2141" s="16" t="inlineStr">
        <is>
          <t>EEYWG25E2G, (10)White, (180)180</t>
        </is>
      </c>
      <c r="P2141" s="16" t="n">
        <v>899</v>
      </c>
      <c r="Q2141" s="16" t="n">
        <v>899</v>
      </c>
      <c r="R2141" s="16" t="n">
        <v>4</v>
      </c>
      <c r="S2141" s="18" t="n">
        <v>1206</v>
      </c>
      <c r="T2141" s="16" t="n">
        <v>2</v>
      </c>
    </row>
    <row r="2142" s="103">
      <c r="A2142" s="16" t="inlineStr">
        <is>
          <t>B331</t>
        </is>
      </c>
      <c r="B2142" s="16" t="inlineStr">
        <is>
          <t>上海区域</t>
        </is>
      </c>
      <c r="C2142" s="16" t="inlineStr">
        <is>
          <t>CN0Q</t>
        </is>
      </c>
      <c r="D2142" s="16" t="inlineStr">
        <is>
          <t>EE 苏州比斯特购物村</t>
        </is>
      </c>
      <c r="E2142" s="16" t="n">
        <v>4</v>
      </c>
      <c r="F2142" s="16" t="inlineStr">
        <is>
          <t>奥特莱斯</t>
        </is>
      </c>
      <c r="G2142" s="16" t="inlineStr">
        <is>
          <t>EEYWG25E2G</t>
        </is>
      </c>
      <c r="H2142" s="16" t="n">
        <v>899</v>
      </c>
      <c r="I2142" s="16" t="n">
        <v>899</v>
      </c>
      <c r="J2142" s="17" t="inlineStr">
        <is>
          <t>########</t>
        </is>
      </c>
      <c r="K2142" s="16" t="inlineStr">
        <is>
          <t>(10)White</t>
        </is>
      </c>
      <c r="L2142" s="16" t="inlineStr">
        <is>
          <t>营业中</t>
        </is>
      </c>
      <c r="M2142" s="16" t="inlineStr">
        <is>
          <t>EEYWG25E2G10185</t>
        </is>
      </c>
      <c r="N2142" s="16">
        <f>LEFT(M2142,12)</f>
        <v/>
      </c>
      <c r="O2142" s="16" t="inlineStr">
        <is>
          <t>EEYWG25E2G, (10)White, (185)185</t>
        </is>
      </c>
      <c r="P2142" s="16" t="n">
        <v>899</v>
      </c>
      <c r="Q2142" s="16" t="n">
        <v>899</v>
      </c>
      <c r="R2142" s="16" t="n">
        <v>3</v>
      </c>
      <c r="S2142" s="18" t="n">
        <v>1144</v>
      </c>
      <c r="T2142" s="16" t="n">
        <v>0</v>
      </c>
    </row>
    <row r="2143" s="103">
      <c r="A2143" s="16" t="inlineStr">
        <is>
          <t>B331</t>
        </is>
      </c>
      <c r="B2143" s="16" t="inlineStr">
        <is>
          <t>上海区域</t>
        </is>
      </c>
      <c r="C2143" s="16" t="inlineStr">
        <is>
          <t>CN0Q</t>
        </is>
      </c>
      <c r="D2143" s="16" t="inlineStr">
        <is>
          <t>EE 苏州比斯特购物村</t>
        </is>
      </c>
      <c r="E2143" s="16" t="n">
        <v>4</v>
      </c>
      <c r="F2143" s="16" t="inlineStr">
        <is>
          <t>奥特莱斯</t>
        </is>
      </c>
      <c r="G2143" s="16" t="inlineStr">
        <is>
          <t>EEYWG25E3G</t>
        </is>
      </c>
      <c r="H2143" s="16" t="n">
        <v>699</v>
      </c>
      <c r="I2143" s="16" t="n">
        <v>699</v>
      </c>
      <c r="J2143" s="17" t="inlineStr">
        <is>
          <t>########</t>
        </is>
      </c>
      <c r="K2143" s="16" t="inlineStr">
        <is>
          <t>(25)Pink</t>
        </is>
      </c>
      <c r="L2143" s="16" t="inlineStr">
        <is>
          <t>营业中</t>
        </is>
      </c>
      <c r="M2143" s="16" t="inlineStr">
        <is>
          <t>EEYWG25E3G25170</t>
        </is>
      </c>
      <c r="N2143" s="16">
        <f>LEFT(M2143,12)</f>
        <v/>
      </c>
      <c r="O2143" s="16" t="inlineStr">
        <is>
          <t>EEYWG25E3G, (25)Pink, (170)170</t>
        </is>
      </c>
      <c r="P2143" s="16" t="n">
        <v>699</v>
      </c>
      <c r="Q2143" s="16" t="n">
        <v>699</v>
      </c>
      <c r="R2143" s="16" t="n"/>
      <c r="S2143" s="16" t="n"/>
      <c r="T2143" s="16" t="n">
        <v>2</v>
      </c>
    </row>
    <row r="2144" s="103">
      <c r="A2144" s="16" t="inlineStr">
        <is>
          <t>B331</t>
        </is>
      </c>
      <c r="B2144" s="16" t="inlineStr">
        <is>
          <t>上海区域</t>
        </is>
      </c>
      <c r="C2144" s="16" t="inlineStr">
        <is>
          <t>CN0Q</t>
        </is>
      </c>
      <c r="D2144" s="16" t="inlineStr">
        <is>
          <t>EE 苏州比斯特购物村</t>
        </is>
      </c>
      <c r="E2144" s="16" t="n">
        <v>4</v>
      </c>
      <c r="F2144" s="16" t="inlineStr">
        <is>
          <t>奥特莱斯</t>
        </is>
      </c>
      <c r="G2144" s="16" t="inlineStr">
        <is>
          <t>EEYWG25E3G</t>
        </is>
      </c>
      <c r="H2144" s="16" t="n">
        <v>699</v>
      </c>
      <c r="I2144" s="16" t="n">
        <v>699</v>
      </c>
      <c r="J2144" s="17" t="inlineStr">
        <is>
          <t>########</t>
        </is>
      </c>
      <c r="K2144" s="16" t="inlineStr">
        <is>
          <t>(25)Pink</t>
        </is>
      </c>
      <c r="L2144" s="16" t="inlineStr">
        <is>
          <t>营业中</t>
        </is>
      </c>
      <c r="M2144" s="16" t="inlineStr">
        <is>
          <t>EEYWG25E3G25175</t>
        </is>
      </c>
      <c r="N2144" s="16">
        <f>LEFT(M2144,12)</f>
        <v/>
      </c>
      <c r="O2144" s="16" t="inlineStr">
        <is>
          <t>EEYWG25E3G, (25)Pink, (175)175</t>
        </is>
      </c>
      <c r="P2144" s="16" t="n">
        <v>699</v>
      </c>
      <c r="Q2144" s="16" t="n">
        <v>699</v>
      </c>
      <c r="R2144" s="16" t="n"/>
      <c r="S2144" s="16" t="n"/>
      <c r="T2144" s="16" t="n">
        <v>2</v>
      </c>
    </row>
    <row r="2145" s="103">
      <c r="A2145" s="16" t="inlineStr">
        <is>
          <t>B331</t>
        </is>
      </c>
      <c r="B2145" s="16" t="inlineStr">
        <is>
          <t>上海区域</t>
        </is>
      </c>
      <c r="C2145" s="16" t="inlineStr">
        <is>
          <t>CN0Q</t>
        </is>
      </c>
      <c r="D2145" s="16" t="inlineStr">
        <is>
          <t>EE 苏州比斯特购物村</t>
        </is>
      </c>
      <c r="E2145" s="16" t="n">
        <v>4</v>
      </c>
      <c r="F2145" s="16" t="inlineStr">
        <is>
          <t>奥特莱斯</t>
        </is>
      </c>
      <c r="G2145" s="16" t="inlineStr">
        <is>
          <t>EEYWG25E3G</t>
        </is>
      </c>
      <c r="H2145" s="16" t="n">
        <v>699</v>
      </c>
      <c r="I2145" s="16" t="n">
        <v>699</v>
      </c>
      <c r="J2145" s="17" t="inlineStr">
        <is>
          <t>########</t>
        </is>
      </c>
      <c r="K2145" s="16" t="inlineStr">
        <is>
          <t>(25)Pink</t>
        </is>
      </c>
      <c r="L2145" s="16" t="inlineStr">
        <is>
          <t>营业中</t>
        </is>
      </c>
      <c r="M2145" s="16" t="inlineStr">
        <is>
          <t>EEYWG25E3G25180</t>
        </is>
      </c>
      <c r="N2145" s="16">
        <f>LEFT(M2145,12)</f>
        <v/>
      </c>
      <c r="O2145" s="16" t="inlineStr">
        <is>
          <t>EEYWG25E3G, (25)Pink, (180)180</t>
        </is>
      </c>
      <c r="P2145" s="16" t="n">
        <v>699</v>
      </c>
      <c r="Q2145" s="16" t="n">
        <v>699</v>
      </c>
      <c r="R2145" s="16" t="n"/>
      <c r="S2145" s="16" t="n"/>
      <c r="T2145" s="16" t="n">
        <v>2</v>
      </c>
    </row>
    <row r="2146" s="103">
      <c r="A2146" s="16" t="inlineStr">
        <is>
          <t>B331</t>
        </is>
      </c>
      <c r="B2146" s="16" t="inlineStr">
        <is>
          <t>上海区域</t>
        </is>
      </c>
      <c r="C2146" s="16" t="inlineStr">
        <is>
          <t>CN0Q</t>
        </is>
      </c>
      <c r="D2146" s="16" t="inlineStr">
        <is>
          <t>EE 苏州比斯特购物村</t>
        </is>
      </c>
      <c r="E2146" s="16" t="n">
        <v>4</v>
      </c>
      <c r="F2146" s="16" t="inlineStr">
        <is>
          <t>奥特莱斯</t>
        </is>
      </c>
      <c r="G2146" s="16" t="inlineStr">
        <is>
          <t>EEYWG25E3G</t>
        </is>
      </c>
      <c r="H2146" s="16" t="n">
        <v>699</v>
      </c>
      <c r="I2146" s="16" t="n">
        <v>699</v>
      </c>
      <c r="J2146" s="17" t="inlineStr">
        <is>
          <t>########</t>
        </is>
      </c>
      <c r="K2146" s="16" t="inlineStr">
        <is>
          <t>(25)Pink</t>
        </is>
      </c>
      <c r="L2146" s="16" t="inlineStr">
        <is>
          <t>营业中</t>
        </is>
      </c>
      <c r="M2146" s="16" t="inlineStr">
        <is>
          <t>EEYWG25E3G25185</t>
        </is>
      </c>
      <c r="N2146" s="16">
        <f>LEFT(M2146,12)</f>
        <v/>
      </c>
      <c r="O2146" s="16" t="inlineStr">
        <is>
          <t>EEYWG25E3G, (25)Pink, (185)185</t>
        </is>
      </c>
      <c r="P2146" s="16" t="n">
        <v>699</v>
      </c>
      <c r="Q2146" s="16" t="n">
        <v>699</v>
      </c>
      <c r="R2146" s="16" t="n"/>
      <c r="S2146" s="16" t="n"/>
      <c r="T2146" s="16" t="n">
        <v>1</v>
      </c>
    </row>
    <row r="2147" s="103">
      <c r="A2147" s="16" t="inlineStr">
        <is>
          <t>B331</t>
        </is>
      </c>
      <c r="B2147" s="16" t="inlineStr">
        <is>
          <t>上海区域</t>
        </is>
      </c>
      <c r="C2147" s="16" t="inlineStr">
        <is>
          <t>CN0Q</t>
        </is>
      </c>
      <c r="D2147" s="16" t="inlineStr">
        <is>
          <t>EE 苏州比斯特购物村</t>
        </is>
      </c>
      <c r="E2147" s="16" t="n">
        <v>4</v>
      </c>
      <c r="F2147" s="16" t="inlineStr">
        <is>
          <t>奥特莱斯</t>
        </is>
      </c>
      <c r="G2147" s="16" t="inlineStr">
        <is>
          <t>EEYWG25E3G</t>
        </is>
      </c>
      <c r="H2147" s="16" t="n">
        <v>699</v>
      </c>
      <c r="I2147" s="16" t="n">
        <v>699</v>
      </c>
      <c r="J2147" s="17" t="inlineStr">
        <is>
          <t>########</t>
        </is>
      </c>
      <c r="K2147" s="16" t="inlineStr">
        <is>
          <t>(40)Green</t>
        </is>
      </c>
      <c r="L2147" s="16" t="inlineStr">
        <is>
          <t>营业中</t>
        </is>
      </c>
      <c r="M2147" s="16" t="inlineStr">
        <is>
          <t>EEYWG25E3G40170</t>
        </is>
      </c>
      <c r="N2147" s="16">
        <f>LEFT(M2147,12)</f>
        <v/>
      </c>
      <c r="O2147" s="16" t="inlineStr">
        <is>
          <t>EEYWG25E3G, (40)Green, (170)170</t>
        </is>
      </c>
      <c r="P2147" s="16" t="n">
        <v>699</v>
      </c>
      <c r="Q2147" s="16" t="n">
        <v>699</v>
      </c>
      <c r="R2147" s="16" t="n"/>
      <c r="S2147" s="16" t="n"/>
      <c r="T2147" s="16" t="n">
        <v>2</v>
      </c>
    </row>
    <row r="2148" s="103">
      <c r="A2148" s="16" t="inlineStr">
        <is>
          <t>B331</t>
        </is>
      </c>
      <c r="B2148" s="16" t="inlineStr">
        <is>
          <t>上海区域</t>
        </is>
      </c>
      <c r="C2148" s="16" t="inlineStr">
        <is>
          <t>CN0Q</t>
        </is>
      </c>
      <c r="D2148" s="16" t="inlineStr">
        <is>
          <t>EE 苏州比斯特购物村</t>
        </is>
      </c>
      <c r="E2148" s="16" t="n">
        <v>4</v>
      </c>
      <c r="F2148" s="16" t="inlineStr">
        <is>
          <t>奥特莱斯</t>
        </is>
      </c>
      <c r="G2148" s="16" t="inlineStr">
        <is>
          <t>EEYWG25E3G</t>
        </is>
      </c>
      <c r="H2148" s="16" t="n">
        <v>699</v>
      </c>
      <c r="I2148" s="16" t="n">
        <v>699</v>
      </c>
      <c r="J2148" s="17" t="inlineStr">
        <is>
          <t>########</t>
        </is>
      </c>
      <c r="K2148" s="16" t="inlineStr">
        <is>
          <t>(40)Green</t>
        </is>
      </c>
      <c r="L2148" s="16" t="inlineStr">
        <is>
          <t>营业中</t>
        </is>
      </c>
      <c r="M2148" s="16" t="inlineStr">
        <is>
          <t>EEYWG25E3G40175</t>
        </is>
      </c>
      <c r="N2148" s="16">
        <f>LEFT(M2148,12)</f>
        <v/>
      </c>
      <c r="O2148" s="16" t="inlineStr">
        <is>
          <t>EEYWG25E3G, (40)Green, (175)175</t>
        </is>
      </c>
      <c r="P2148" s="16" t="n">
        <v>699</v>
      </c>
      <c r="Q2148" s="16" t="n">
        <v>699</v>
      </c>
      <c r="R2148" s="16" t="n"/>
      <c r="S2148" s="16" t="n"/>
      <c r="T2148" s="16" t="n">
        <v>2</v>
      </c>
    </row>
    <row r="2149" s="103">
      <c r="A2149" s="16" t="inlineStr">
        <is>
          <t>B331</t>
        </is>
      </c>
      <c r="B2149" s="16" t="inlineStr">
        <is>
          <t>上海区域</t>
        </is>
      </c>
      <c r="C2149" s="16" t="inlineStr">
        <is>
          <t>CN0Q</t>
        </is>
      </c>
      <c r="D2149" s="16" t="inlineStr">
        <is>
          <t>EE 苏州比斯特购物村</t>
        </is>
      </c>
      <c r="E2149" s="16" t="n">
        <v>4</v>
      </c>
      <c r="F2149" s="16" t="inlineStr">
        <is>
          <t>奥特莱斯</t>
        </is>
      </c>
      <c r="G2149" s="16" t="inlineStr">
        <is>
          <t>EEYWG25E3G</t>
        </is>
      </c>
      <c r="H2149" s="16" t="n">
        <v>699</v>
      </c>
      <c r="I2149" s="16" t="n">
        <v>699</v>
      </c>
      <c r="J2149" s="17" t="inlineStr">
        <is>
          <t>########</t>
        </is>
      </c>
      <c r="K2149" s="16" t="inlineStr">
        <is>
          <t>(40)Green</t>
        </is>
      </c>
      <c r="L2149" s="16" t="inlineStr">
        <is>
          <t>营业中</t>
        </is>
      </c>
      <c r="M2149" s="16" t="inlineStr">
        <is>
          <t>EEYWG25E3G40180</t>
        </is>
      </c>
      <c r="N2149" s="16">
        <f>LEFT(M2149,12)</f>
        <v/>
      </c>
      <c r="O2149" s="16" t="inlineStr">
        <is>
          <t>EEYWG25E3G, (40)Green, (180)180</t>
        </is>
      </c>
      <c r="P2149" s="16" t="n">
        <v>699</v>
      </c>
      <c r="Q2149" s="16" t="n">
        <v>699</v>
      </c>
      <c r="R2149" s="16" t="n"/>
      <c r="S2149" s="16" t="n"/>
      <c r="T2149" s="16" t="n">
        <v>2</v>
      </c>
    </row>
    <row r="2150" s="103">
      <c r="A2150" s="16" t="inlineStr">
        <is>
          <t>B331</t>
        </is>
      </c>
      <c r="B2150" s="16" t="inlineStr">
        <is>
          <t>上海区域</t>
        </is>
      </c>
      <c r="C2150" s="16" t="inlineStr">
        <is>
          <t>CN0Q</t>
        </is>
      </c>
      <c r="D2150" s="16" t="inlineStr">
        <is>
          <t>EE 苏州比斯特购物村</t>
        </is>
      </c>
      <c r="E2150" s="16" t="n">
        <v>4</v>
      </c>
      <c r="F2150" s="16" t="inlineStr">
        <is>
          <t>奥特莱斯</t>
        </is>
      </c>
      <c r="G2150" s="16" t="inlineStr">
        <is>
          <t>EEYWG25E3G</t>
        </is>
      </c>
      <c r="H2150" s="16" t="n">
        <v>699</v>
      </c>
      <c r="I2150" s="16" t="n">
        <v>699</v>
      </c>
      <c r="J2150" s="17" t="inlineStr">
        <is>
          <t>########</t>
        </is>
      </c>
      <c r="K2150" s="16" t="inlineStr">
        <is>
          <t>(40)Green</t>
        </is>
      </c>
      <c r="L2150" s="16" t="inlineStr">
        <is>
          <t>营业中</t>
        </is>
      </c>
      <c r="M2150" s="16" t="inlineStr">
        <is>
          <t>EEYWG25E3G40185</t>
        </is>
      </c>
      <c r="N2150" s="16">
        <f>LEFT(M2150,12)</f>
        <v/>
      </c>
      <c r="O2150" s="16" t="inlineStr">
        <is>
          <t>EEYWG25E3G, (40)Green, (185)185</t>
        </is>
      </c>
      <c r="P2150" s="16" t="n">
        <v>699</v>
      </c>
      <c r="Q2150" s="16" t="n">
        <v>699</v>
      </c>
      <c r="R2150" s="16" t="n"/>
      <c r="S2150" s="16" t="n"/>
      <c r="T2150" s="16" t="n">
        <v>1</v>
      </c>
    </row>
    <row r="2151" s="103">
      <c r="A2151" s="16" t="inlineStr">
        <is>
          <t>B331</t>
        </is>
      </c>
      <c r="B2151" s="16" t="inlineStr">
        <is>
          <t>上海区域</t>
        </is>
      </c>
      <c r="C2151" s="16" t="inlineStr">
        <is>
          <t>CN0Q</t>
        </is>
      </c>
      <c r="D2151" s="16" t="inlineStr">
        <is>
          <t>EE 苏州比斯特购物村</t>
        </is>
      </c>
      <c r="E2151" s="16" t="n">
        <v>4</v>
      </c>
      <c r="F2151" s="16" t="inlineStr">
        <is>
          <t>奥特莱斯</t>
        </is>
      </c>
      <c r="G2151" s="16" t="inlineStr">
        <is>
          <t>EEYWG25E3G</t>
        </is>
      </c>
      <c r="H2151" s="16" t="n">
        <v>699</v>
      </c>
      <c r="I2151" s="16" t="n">
        <v>699</v>
      </c>
      <c r="J2151" s="17" t="inlineStr">
        <is>
          <t>########</t>
        </is>
      </c>
      <c r="K2151" s="16" t="inlineStr">
        <is>
          <t>(59)Navy</t>
        </is>
      </c>
      <c r="L2151" s="16" t="inlineStr">
        <is>
          <t>营业中</t>
        </is>
      </c>
      <c r="M2151" s="16" t="inlineStr">
        <is>
          <t>EEYWG25E3G59170</t>
        </is>
      </c>
      <c r="N2151" s="16">
        <f>LEFT(M2151,12)</f>
        <v/>
      </c>
      <c r="O2151" s="16" t="inlineStr">
        <is>
          <t>EEYWG25E3G, (59)Navy, (170)170</t>
        </is>
      </c>
      <c r="P2151" s="16" t="n">
        <v>699</v>
      </c>
      <c r="Q2151" s="16" t="n">
        <v>699</v>
      </c>
      <c r="R2151" s="16" t="n">
        <v>1</v>
      </c>
      <c r="S2151" s="16" t="n">
        <v>459</v>
      </c>
      <c r="T2151" s="16" t="n">
        <v>1</v>
      </c>
    </row>
    <row r="2152" s="103">
      <c r="A2152" s="16" t="inlineStr">
        <is>
          <t>B331</t>
        </is>
      </c>
      <c r="B2152" s="16" t="inlineStr">
        <is>
          <t>上海区域</t>
        </is>
      </c>
      <c r="C2152" s="16" t="inlineStr">
        <is>
          <t>CN0Q</t>
        </is>
      </c>
      <c r="D2152" s="16" t="inlineStr">
        <is>
          <t>EE 苏州比斯特购物村</t>
        </is>
      </c>
      <c r="E2152" s="16" t="n">
        <v>4</v>
      </c>
      <c r="F2152" s="16" t="inlineStr">
        <is>
          <t>奥特莱斯</t>
        </is>
      </c>
      <c r="G2152" s="16" t="inlineStr">
        <is>
          <t>EEYWG25E3G</t>
        </is>
      </c>
      <c r="H2152" s="16" t="n">
        <v>699</v>
      </c>
      <c r="I2152" s="16" t="n">
        <v>699</v>
      </c>
      <c r="J2152" s="17" t="inlineStr">
        <is>
          <t>########</t>
        </is>
      </c>
      <c r="K2152" s="16" t="inlineStr">
        <is>
          <t>(59)Navy</t>
        </is>
      </c>
      <c r="L2152" s="16" t="inlineStr">
        <is>
          <t>营业中</t>
        </is>
      </c>
      <c r="M2152" s="16" t="inlineStr">
        <is>
          <t>EEYWG25E3G59175</t>
        </is>
      </c>
      <c r="N2152" s="16">
        <f>LEFT(M2152,12)</f>
        <v/>
      </c>
      <c r="O2152" s="16" t="inlineStr">
        <is>
          <t>EEYWG25E3G, (59)Navy, (175)175</t>
        </is>
      </c>
      <c r="P2152" s="16" t="n">
        <v>699</v>
      </c>
      <c r="Q2152" s="16" t="n">
        <v>699</v>
      </c>
      <c r="R2152" s="16" t="n"/>
      <c r="S2152" s="16" t="n"/>
      <c r="T2152" s="16" t="n">
        <v>2</v>
      </c>
    </row>
    <row r="2153" s="103">
      <c r="A2153" s="16" t="inlineStr">
        <is>
          <t>B331</t>
        </is>
      </c>
      <c r="B2153" s="16" t="inlineStr">
        <is>
          <t>上海区域</t>
        </is>
      </c>
      <c r="C2153" s="16" t="inlineStr">
        <is>
          <t>CN0Q</t>
        </is>
      </c>
      <c r="D2153" s="16" t="inlineStr">
        <is>
          <t>EE 苏州比斯特购物村</t>
        </is>
      </c>
      <c r="E2153" s="16" t="n">
        <v>4</v>
      </c>
      <c r="F2153" s="16" t="inlineStr">
        <is>
          <t>奥特莱斯</t>
        </is>
      </c>
      <c r="G2153" s="16" t="inlineStr">
        <is>
          <t>EEYWG25E3G</t>
        </is>
      </c>
      <c r="H2153" s="16" t="n">
        <v>699</v>
      </c>
      <c r="I2153" s="16" t="n">
        <v>699</v>
      </c>
      <c r="J2153" s="17" t="inlineStr">
        <is>
          <t>########</t>
        </is>
      </c>
      <c r="K2153" s="16" t="inlineStr">
        <is>
          <t>(59)Navy</t>
        </is>
      </c>
      <c r="L2153" s="16" t="inlineStr">
        <is>
          <t>营业中</t>
        </is>
      </c>
      <c r="M2153" s="16" t="inlineStr">
        <is>
          <t>EEYWG25E3G59180</t>
        </is>
      </c>
      <c r="N2153" s="16">
        <f>LEFT(M2153,12)</f>
        <v/>
      </c>
      <c r="O2153" s="16" t="inlineStr">
        <is>
          <t>EEYWG25E3G, (59)Navy, (180)180</t>
        </is>
      </c>
      <c r="P2153" s="16" t="n">
        <v>699</v>
      </c>
      <c r="Q2153" s="16" t="n">
        <v>699</v>
      </c>
      <c r="R2153" s="16" t="n"/>
      <c r="S2153" s="16" t="n"/>
      <c r="T2153" s="16" t="n">
        <v>2</v>
      </c>
    </row>
    <row r="2154" s="103">
      <c r="A2154" s="16" t="inlineStr">
        <is>
          <t>B331</t>
        </is>
      </c>
      <c r="B2154" s="16" t="inlineStr">
        <is>
          <t>上海区域</t>
        </is>
      </c>
      <c r="C2154" s="16" t="inlineStr">
        <is>
          <t>CN0Q</t>
        </is>
      </c>
      <c r="D2154" s="16" t="inlineStr">
        <is>
          <t>EE 苏州比斯特购物村</t>
        </is>
      </c>
      <c r="E2154" s="16" t="n">
        <v>4</v>
      </c>
      <c r="F2154" s="16" t="inlineStr">
        <is>
          <t>奥特莱斯</t>
        </is>
      </c>
      <c r="G2154" s="16" t="inlineStr">
        <is>
          <t>EEYWG25E3G</t>
        </is>
      </c>
      <c r="H2154" s="16" t="n">
        <v>699</v>
      </c>
      <c r="I2154" s="16" t="n">
        <v>699</v>
      </c>
      <c r="J2154" s="17" t="inlineStr">
        <is>
          <t>########</t>
        </is>
      </c>
      <c r="K2154" s="16" t="inlineStr">
        <is>
          <t>(59)Navy</t>
        </is>
      </c>
      <c r="L2154" s="16" t="inlineStr">
        <is>
          <t>营业中</t>
        </is>
      </c>
      <c r="M2154" s="16" t="inlineStr">
        <is>
          <t>EEYWG25E3G59185</t>
        </is>
      </c>
      <c r="N2154" s="16">
        <f>LEFT(M2154,12)</f>
        <v/>
      </c>
      <c r="O2154" s="16" t="inlineStr">
        <is>
          <t>EEYWG25E3G, (59)Navy, (185)185</t>
        </is>
      </c>
      <c r="P2154" s="16" t="n">
        <v>699</v>
      </c>
      <c r="Q2154" s="16" t="n">
        <v>699</v>
      </c>
      <c r="R2154" s="16" t="n"/>
      <c r="S2154" s="16" t="n"/>
      <c r="T2154" s="16" t="n">
        <v>1</v>
      </c>
    </row>
    <row r="2155" s="103">
      <c r="A2155" s="16" t="inlineStr">
        <is>
          <t>B331</t>
        </is>
      </c>
      <c r="B2155" s="16" t="inlineStr">
        <is>
          <t>上海区域</t>
        </is>
      </c>
      <c r="C2155" s="16" t="inlineStr">
        <is>
          <t>CN0Q</t>
        </is>
      </c>
      <c r="D2155" s="16" t="inlineStr">
        <is>
          <t>EE 苏州比斯特购物村</t>
        </is>
      </c>
      <c r="E2155" s="16" t="n">
        <v>4</v>
      </c>
      <c r="F2155" s="16" t="inlineStr">
        <is>
          <t>奥特莱斯</t>
        </is>
      </c>
      <c r="G2155" s="16" t="inlineStr">
        <is>
          <t>EEYWG26B01</t>
        </is>
      </c>
      <c r="H2155" s="16" t="n">
        <v>799</v>
      </c>
      <c r="I2155" s="16" t="n">
        <v>899</v>
      </c>
      <c r="J2155" s="17" t="inlineStr">
        <is>
          <t>########</t>
        </is>
      </c>
      <c r="K2155" s="16" t="inlineStr">
        <is>
          <t>(39)Ivory</t>
        </is>
      </c>
      <c r="L2155" s="16" t="inlineStr">
        <is>
          <t>营业中</t>
        </is>
      </c>
      <c r="M2155" s="16" t="inlineStr">
        <is>
          <t>EEYWG26B0139160</t>
        </is>
      </c>
      <c r="N2155" s="16">
        <f>LEFT(M2155,12)</f>
        <v/>
      </c>
      <c r="O2155" s="16" t="inlineStr">
        <is>
          <t>EEYWG26B01, (39)Ivory, (160)160</t>
        </is>
      </c>
      <c r="P2155" s="16" t="n">
        <v>799</v>
      </c>
      <c r="Q2155" s="16" t="n">
        <v>899</v>
      </c>
      <c r="R2155" s="16" t="n"/>
      <c r="S2155" s="16" t="n"/>
      <c r="T2155" s="16" t="n">
        <v>1</v>
      </c>
    </row>
    <row r="2156" s="103">
      <c r="A2156" s="16" t="inlineStr">
        <is>
          <t>B331</t>
        </is>
      </c>
      <c r="B2156" s="16" t="inlineStr">
        <is>
          <t>上海区域</t>
        </is>
      </c>
      <c r="C2156" s="16" t="inlineStr">
        <is>
          <t>CN0Q</t>
        </is>
      </c>
      <c r="D2156" s="16" t="inlineStr">
        <is>
          <t>EE 苏州比斯特购物村</t>
        </is>
      </c>
      <c r="E2156" s="16" t="n">
        <v>4</v>
      </c>
      <c r="F2156" s="16" t="inlineStr">
        <is>
          <t>奥特莱斯</t>
        </is>
      </c>
      <c r="G2156" s="16" t="inlineStr">
        <is>
          <t>EEYWG26B01</t>
        </is>
      </c>
      <c r="H2156" s="16" t="n">
        <v>799</v>
      </c>
      <c r="I2156" s="16" t="n">
        <v>899</v>
      </c>
      <c r="J2156" s="17" t="inlineStr">
        <is>
          <t>########</t>
        </is>
      </c>
      <c r="K2156" s="16" t="inlineStr">
        <is>
          <t>(39)Ivory</t>
        </is>
      </c>
      <c r="L2156" s="16" t="inlineStr">
        <is>
          <t>营业中</t>
        </is>
      </c>
      <c r="M2156" s="16" t="inlineStr">
        <is>
          <t>EEYWG26B0139165</t>
        </is>
      </c>
      <c r="N2156" s="16">
        <f>LEFT(M2156,12)</f>
        <v/>
      </c>
      <c r="O2156" s="16" t="inlineStr">
        <is>
          <t>EEYWG26B01, (39)Ivory, (165)165</t>
        </is>
      </c>
      <c r="P2156" s="16" t="n">
        <v>799</v>
      </c>
      <c r="Q2156" s="16" t="n">
        <v>899</v>
      </c>
      <c r="R2156" s="16" t="n"/>
      <c r="S2156" s="16" t="n"/>
      <c r="T2156" s="16" t="n">
        <v>1</v>
      </c>
    </row>
    <row r="2157" s="103">
      <c r="A2157" s="16" t="inlineStr">
        <is>
          <t>B331</t>
        </is>
      </c>
      <c r="B2157" s="16" t="inlineStr">
        <is>
          <t>上海区域</t>
        </is>
      </c>
      <c r="C2157" s="16" t="inlineStr">
        <is>
          <t>CN0Q</t>
        </is>
      </c>
      <c r="D2157" s="16" t="inlineStr">
        <is>
          <t>EE 苏州比斯特购物村</t>
        </is>
      </c>
      <c r="E2157" s="16" t="n">
        <v>4</v>
      </c>
      <c r="F2157" s="16" t="inlineStr">
        <is>
          <t>奥特莱斯</t>
        </is>
      </c>
      <c r="G2157" s="16" t="inlineStr">
        <is>
          <t>EEYWG26B01</t>
        </is>
      </c>
      <c r="H2157" s="16" t="n">
        <v>799</v>
      </c>
      <c r="I2157" s="16" t="n">
        <v>899</v>
      </c>
      <c r="J2157" s="17" t="inlineStr">
        <is>
          <t>########</t>
        </is>
      </c>
      <c r="K2157" s="16" t="inlineStr">
        <is>
          <t>(39)Ivory</t>
        </is>
      </c>
      <c r="L2157" s="16" t="inlineStr">
        <is>
          <t>营业中</t>
        </is>
      </c>
      <c r="M2157" s="16" t="inlineStr">
        <is>
          <t>EEYWG26B0139170</t>
        </is>
      </c>
      <c r="N2157" s="16">
        <f>LEFT(M2157,12)</f>
        <v/>
      </c>
      <c r="O2157" s="16" t="inlineStr">
        <is>
          <t>EEYWG26B01, (39)Ivory, (170)170</t>
        </is>
      </c>
      <c r="P2157" s="16" t="n">
        <v>799</v>
      </c>
      <c r="Q2157" s="16" t="n">
        <v>899</v>
      </c>
      <c r="R2157" s="16" t="n"/>
      <c r="S2157" s="16" t="n"/>
      <c r="T2157" s="16" t="n">
        <v>1</v>
      </c>
    </row>
    <row r="2158" s="103">
      <c r="A2158" s="16" t="inlineStr">
        <is>
          <t>B331</t>
        </is>
      </c>
      <c r="B2158" s="16" t="inlineStr">
        <is>
          <t>上海区域</t>
        </is>
      </c>
      <c r="C2158" s="16" t="inlineStr">
        <is>
          <t>CN0Q</t>
        </is>
      </c>
      <c r="D2158" s="16" t="inlineStr">
        <is>
          <t>EE 苏州比斯特购物村</t>
        </is>
      </c>
      <c r="E2158" s="16" t="n">
        <v>4</v>
      </c>
      <c r="F2158" s="16" t="inlineStr">
        <is>
          <t>奥特莱斯</t>
        </is>
      </c>
      <c r="G2158" s="16" t="inlineStr">
        <is>
          <t>EEYWG37E01</t>
        </is>
      </c>
      <c r="H2158" s="16" t="n">
        <v>799</v>
      </c>
      <c r="I2158" s="16" t="n">
        <v>799</v>
      </c>
      <c r="J2158" s="17" t="inlineStr">
        <is>
          <t>########</t>
        </is>
      </c>
      <c r="K2158" s="16" t="inlineStr">
        <is>
          <t>(25)Pink</t>
        </is>
      </c>
      <c r="L2158" s="16" t="inlineStr">
        <is>
          <t>营业中</t>
        </is>
      </c>
      <c r="M2158" s="16" t="inlineStr">
        <is>
          <t>EEYWG37E0125160</t>
        </is>
      </c>
      <c r="N2158" s="16">
        <f>LEFT(M2158,12)</f>
        <v/>
      </c>
      <c r="O2158" s="16" t="inlineStr">
        <is>
          <t>EEYWG37E01, (25)Pink, (160)160</t>
        </is>
      </c>
      <c r="P2158" s="16" t="n">
        <v>799</v>
      </c>
      <c r="Q2158" s="16" t="n">
        <v>799</v>
      </c>
      <c r="R2158" s="16" t="n">
        <v>2</v>
      </c>
      <c r="S2158" s="18" t="n">
        <v>1314</v>
      </c>
      <c r="T2158" s="16" t="n">
        <v>0</v>
      </c>
    </row>
    <row r="2159" s="103">
      <c r="A2159" s="16" t="inlineStr">
        <is>
          <t>B331</t>
        </is>
      </c>
      <c r="B2159" s="16" t="inlineStr">
        <is>
          <t>上海区域</t>
        </is>
      </c>
      <c r="C2159" s="16" t="inlineStr">
        <is>
          <t>CN0Q</t>
        </is>
      </c>
      <c r="D2159" s="16" t="inlineStr">
        <is>
          <t>EE 苏州比斯特购物村</t>
        </is>
      </c>
      <c r="E2159" s="16" t="n">
        <v>4</v>
      </c>
      <c r="F2159" s="16" t="inlineStr">
        <is>
          <t>奥特莱斯</t>
        </is>
      </c>
      <c r="G2159" s="16" t="inlineStr">
        <is>
          <t>EEYWG37E01</t>
        </is>
      </c>
      <c r="H2159" s="16" t="n">
        <v>799</v>
      </c>
      <c r="I2159" s="16" t="n">
        <v>799</v>
      </c>
      <c r="J2159" s="17" t="inlineStr">
        <is>
          <t>########</t>
        </is>
      </c>
      <c r="K2159" s="16" t="inlineStr">
        <is>
          <t>(25)Pink</t>
        </is>
      </c>
      <c r="L2159" s="16" t="inlineStr">
        <is>
          <t>营业中</t>
        </is>
      </c>
      <c r="M2159" s="16" t="inlineStr">
        <is>
          <t>EEYWG37E0125165</t>
        </is>
      </c>
      <c r="N2159" s="16">
        <f>LEFT(M2159,12)</f>
        <v/>
      </c>
      <c r="O2159" s="16" t="inlineStr">
        <is>
          <t>EEYWG37E01, (25)Pink, (165)165</t>
        </is>
      </c>
      <c r="P2159" s="16" t="n">
        <v>799</v>
      </c>
      <c r="Q2159" s="16" t="n">
        <v>799</v>
      </c>
      <c r="R2159" s="16" t="n">
        <v>3</v>
      </c>
      <c r="S2159" s="18" t="n">
        <v>1525</v>
      </c>
      <c r="T2159" s="16" t="n">
        <v>0</v>
      </c>
    </row>
    <row r="2160" s="103">
      <c r="A2160" s="16" t="inlineStr">
        <is>
          <t>B331</t>
        </is>
      </c>
      <c r="B2160" s="16" t="inlineStr">
        <is>
          <t>上海区域</t>
        </is>
      </c>
      <c r="C2160" s="16" t="inlineStr">
        <is>
          <t>CN0Q</t>
        </is>
      </c>
      <c r="D2160" s="16" t="inlineStr">
        <is>
          <t>EE 苏州比斯特购物村</t>
        </is>
      </c>
      <c r="E2160" s="16" t="n">
        <v>4</v>
      </c>
      <c r="F2160" s="16" t="inlineStr">
        <is>
          <t>奥特莱斯</t>
        </is>
      </c>
      <c r="G2160" s="16" t="inlineStr">
        <is>
          <t>EEYWG37E01</t>
        </is>
      </c>
      <c r="H2160" s="16" t="n">
        <v>799</v>
      </c>
      <c r="I2160" s="16" t="n">
        <v>799</v>
      </c>
      <c r="J2160" s="17" t="inlineStr">
        <is>
          <t>########</t>
        </is>
      </c>
      <c r="K2160" s="16" t="inlineStr">
        <is>
          <t>(25)Pink</t>
        </is>
      </c>
      <c r="L2160" s="16" t="inlineStr">
        <is>
          <t>营业中</t>
        </is>
      </c>
      <c r="M2160" s="16" t="inlineStr">
        <is>
          <t>EEYWG37E0125170</t>
        </is>
      </c>
      <c r="N2160" s="16">
        <f>LEFT(M2160,12)</f>
        <v/>
      </c>
      <c r="O2160" s="16" t="inlineStr">
        <is>
          <t>EEYWG37E01, (25)Pink, (170)170</t>
        </is>
      </c>
      <c r="P2160" s="16" t="n">
        <v>799</v>
      </c>
      <c r="Q2160" s="16" t="n">
        <v>799</v>
      </c>
      <c r="R2160" s="16" t="n">
        <v>2</v>
      </c>
      <c r="S2160" s="18" t="n">
        <v>1065</v>
      </c>
      <c r="T2160" s="16" t="n">
        <v>0</v>
      </c>
    </row>
    <row r="2161" s="103">
      <c r="A2161" s="16" t="inlineStr">
        <is>
          <t>B331</t>
        </is>
      </c>
      <c r="B2161" s="16" t="inlineStr">
        <is>
          <t>上海区域</t>
        </is>
      </c>
      <c r="C2161" s="16" t="inlineStr">
        <is>
          <t>CN0Q</t>
        </is>
      </c>
      <c r="D2161" s="16" t="inlineStr">
        <is>
          <t>EE 苏州比斯特购物村</t>
        </is>
      </c>
      <c r="E2161" s="16" t="n">
        <v>4</v>
      </c>
      <c r="F2161" s="16" t="inlineStr">
        <is>
          <t>奥特莱斯</t>
        </is>
      </c>
      <c r="G2161" s="16" t="inlineStr">
        <is>
          <t>EEYWG37E01</t>
        </is>
      </c>
      <c r="H2161" s="16" t="n">
        <v>799</v>
      </c>
      <c r="I2161" s="16" t="n">
        <v>799</v>
      </c>
      <c r="J2161" s="17" t="inlineStr">
        <is>
          <t>########</t>
        </is>
      </c>
      <c r="K2161" s="16" t="inlineStr">
        <is>
          <t>(35)Beige</t>
        </is>
      </c>
      <c r="L2161" s="16" t="inlineStr">
        <is>
          <t>营业中</t>
        </is>
      </c>
      <c r="M2161" s="16" t="inlineStr">
        <is>
          <t>EEYWG37E0135160</t>
        </is>
      </c>
      <c r="N2161" s="16">
        <f>LEFT(M2161,12)</f>
        <v/>
      </c>
      <c r="O2161" s="16" t="inlineStr">
        <is>
          <t>EEYWG37E01, (35)Beige, (160)160</t>
        </is>
      </c>
      <c r="P2161" s="16" t="n">
        <v>799</v>
      </c>
      <c r="Q2161" s="16" t="n">
        <v>799</v>
      </c>
      <c r="R2161" s="16" t="n">
        <v>3</v>
      </c>
      <c r="S2161" s="18" t="n">
        <v>1335</v>
      </c>
      <c r="T2161" s="16" t="n">
        <v>0</v>
      </c>
    </row>
    <row r="2162" s="103">
      <c r="A2162" s="16" t="inlineStr">
        <is>
          <t>B331</t>
        </is>
      </c>
      <c r="B2162" s="16" t="inlineStr">
        <is>
          <t>上海区域</t>
        </is>
      </c>
      <c r="C2162" s="16" t="inlineStr">
        <is>
          <t>CN0Q</t>
        </is>
      </c>
      <c r="D2162" s="16" t="inlineStr">
        <is>
          <t>EE 苏州比斯特购物村</t>
        </is>
      </c>
      <c r="E2162" s="16" t="n">
        <v>4</v>
      </c>
      <c r="F2162" s="16" t="inlineStr">
        <is>
          <t>奥特莱斯</t>
        </is>
      </c>
      <c r="G2162" s="16" t="inlineStr">
        <is>
          <t>EEYWG37E01</t>
        </is>
      </c>
      <c r="H2162" s="16" t="n">
        <v>799</v>
      </c>
      <c r="I2162" s="16" t="n">
        <v>799</v>
      </c>
      <c r="J2162" s="17" t="inlineStr">
        <is>
          <t>########</t>
        </is>
      </c>
      <c r="K2162" s="16" t="inlineStr">
        <is>
          <t>(35)Beige</t>
        </is>
      </c>
      <c r="L2162" s="16" t="inlineStr">
        <is>
          <t>营业中</t>
        </is>
      </c>
      <c r="M2162" s="16" t="inlineStr">
        <is>
          <t>EEYWG37E0135165</t>
        </is>
      </c>
      <c r="N2162" s="16">
        <f>LEFT(M2162,12)</f>
        <v/>
      </c>
      <c r="O2162" s="16" t="inlineStr">
        <is>
          <t>EEYWG37E01, (35)Beige, (165)165</t>
        </is>
      </c>
      <c r="P2162" s="16" t="n">
        <v>799</v>
      </c>
      <c r="Q2162" s="16" t="n">
        <v>799</v>
      </c>
      <c r="R2162" s="16" t="n">
        <v>4</v>
      </c>
      <c r="S2162" s="18" t="n">
        <v>1036</v>
      </c>
      <c r="T2162" s="16" t="n">
        <v>0</v>
      </c>
    </row>
    <row r="2163" s="103">
      <c r="A2163" s="16" t="inlineStr">
        <is>
          <t>B331</t>
        </is>
      </c>
      <c r="B2163" s="16" t="inlineStr">
        <is>
          <t>上海区域</t>
        </is>
      </c>
      <c r="C2163" s="16" t="inlineStr">
        <is>
          <t>CN0Q</t>
        </is>
      </c>
      <c r="D2163" s="16" t="inlineStr">
        <is>
          <t>EE 苏州比斯特购物村</t>
        </is>
      </c>
      <c r="E2163" s="16" t="n">
        <v>4</v>
      </c>
      <c r="F2163" s="16" t="inlineStr">
        <is>
          <t>奥特莱斯</t>
        </is>
      </c>
      <c r="G2163" s="16" t="inlineStr">
        <is>
          <t>EEYWG37E01</t>
        </is>
      </c>
      <c r="H2163" s="16" t="n">
        <v>799</v>
      </c>
      <c r="I2163" s="16" t="n">
        <v>799</v>
      </c>
      <c r="J2163" s="17" t="inlineStr">
        <is>
          <t>########</t>
        </is>
      </c>
      <c r="K2163" s="16" t="inlineStr">
        <is>
          <t>(35)Beige</t>
        </is>
      </c>
      <c r="L2163" s="16" t="inlineStr">
        <is>
          <t>营业中</t>
        </is>
      </c>
      <c r="M2163" s="16" t="inlineStr">
        <is>
          <t>EEYWG37E0135170</t>
        </is>
      </c>
      <c r="N2163" s="16">
        <f>LEFT(M2163,12)</f>
        <v/>
      </c>
      <c r="O2163" s="16" t="inlineStr">
        <is>
          <t>EEYWG37E01, (35)Beige, (170)170</t>
        </is>
      </c>
      <c r="P2163" s="16" t="n">
        <v>799</v>
      </c>
      <c r="Q2163" s="16" t="n">
        <v>799</v>
      </c>
      <c r="R2163" s="16" t="n">
        <v>2</v>
      </c>
      <c r="S2163" s="18" t="n">
        <v>1022</v>
      </c>
      <c r="T2163" s="16" t="n">
        <v>0</v>
      </c>
    </row>
    <row r="2164" s="103">
      <c r="A2164" s="16" t="inlineStr">
        <is>
          <t>B331</t>
        </is>
      </c>
      <c r="B2164" s="16" t="inlineStr">
        <is>
          <t>上海区域</t>
        </is>
      </c>
      <c r="C2164" s="16" t="inlineStr">
        <is>
          <t>CN0Q</t>
        </is>
      </c>
      <c r="D2164" s="16" t="inlineStr">
        <is>
          <t>EE 苏州比斯特购物村</t>
        </is>
      </c>
      <c r="E2164" s="16" t="n">
        <v>4</v>
      </c>
      <c r="F2164" s="16" t="inlineStr">
        <is>
          <t>奥特莱斯</t>
        </is>
      </c>
      <c r="G2164" s="16" t="inlineStr">
        <is>
          <t>EEYWG37E01</t>
        </is>
      </c>
      <c r="H2164" s="16" t="n">
        <v>799</v>
      </c>
      <c r="I2164" s="16" t="n">
        <v>799</v>
      </c>
      <c r="J2164" s="17" t="inlineStr">
        <is>
          <t>########</t>
        </is>
      </c>
      <c r="K2164" s="16" t="inlineStr">
        <is>
          <t>(40)Green</t>
        </is>
      </c>
      <c r="L2164" s="16" t="inlineStr">
        <is>
          <t>营业中</t>
        </is>
      </c>
      <c r="M2164" s="16" t="inlineStr">
        <is>
          <t>EEYWG37E0140160</t>
        </is>
      </c>
      <c r="N2164" s="16">
        <f>LEFT(M2164,12)</f>
        <v/>
      </c>
      <c r="O2164" s="16" t="inlineStr">
        <is>
          <t>EEYWG37E01, (40)Green, (160)160</t>
        </is>
      </c>
      <c r="P2164" s="16" t="n">
        <v>799</v>
      </c>
      <c r="Q2164" s="16" t="n">
        <v>799</v>
      </c>
      <c r="R2164" s="16" t="n">
        <v>3</v>
      </c>
      <c r="S2164" s="18" t="n">
        <v>1599</v>
      </c>
      <c r="T2164" s="16" t="n">
        <v>0</v>
      </c>
    </row>
    <row r="2165" s="103">
      <c r="A2165" s="16" t="inlineStr">
        <is>
          <t>B331</t>
        </is>
      </c>
      <c r="B2165" s="16" t="inlineStr">
        <is>
          <t>上海区域</t>
        </is>
      </c>
      <c r="C2165" s="16" t="inlineStr">
        <is>
          <t>CN0Q</t>
        </is>
      </c>
      <c r="D2165" s="16" t="inlineStr">
        <is>
          <t>EE 苏州比斯特购物村</t>
        </is>
      </c>
      <c r="E2165" s="16" t="n">
        <v>4</v>
      </c>
      <c r="F2165" s="16" t="inlineStr">
        <is>
          <t>奥特莱斯</t>
        </is>
      </c>
      <c r="G2165" s="16" t="inlineStr">
        <is>
          <t>EEYWG37E01</t>
        </is>
      </c>
      <c r="H2165" s="16" t="n">
        <v>799</v>
      </c>
      <c r="I2165" s="16" t="n">
        <v>799</v>
      </c>
      <c r="J2165" s="17" t="inlineStr">
        <is>
          <t>########</t>
        </is>
      </c>
      <c r="K2165" s="16" t="inlineStr">
        <is>
          <t>(40)Green</t>
        </is>
      </c>
      <c r="L2165" s="16" t="inlineStr">
        <is>
          <t>营业中</t>
        </is>
      </c>
      <c r="M2165" s="16" t="inlineStr">
        <is>
          <t>EEYWG37E0140165</t>
        </is>
      </c>
      <c r="N2165" s="16">
        <f>LEFT(M2165,12)</f>
        <v/>
      </c>
      <c r="O2165" s="16" t="inlineStr">
        <is>
          <t>EEYWG37E01, (40)Green, (165)165</t>
        </is>
      </c>
      <c r="P2165" s="16" t="n">
        <v>799</v>
      </c>
      <c r="Q2165" s="16" t="n">
        <v>799</v>
      </c>
      <c r="R2165" s="16" t="n">
        <v>4</v>
      </c>
      <c r="S2165" s="18" t="n">
        <v>2140</v>
      </c>
      <c r="T2165" s="16" t="n">
        <v>0</v>
      </c>
    </row>
    <row r="2166" s="103">
      <c r="A2166" s="16" t="inlineStr">
        <is>
          <t>B331</t>
        </is>
      </c>
      <c r="B2166" s="16" t="inlineStr">
        <is>
          <t>上海区域</t>
        </is>
      </c>
      <c r="C2166" s="16" t="inlineStr">
        <is>
          <t>CN0Q</t>
        </is>
      </c>
      <c r="D2166" s="16" t="inlineStr">
        <is>
          <t>EE 苏州比斯特购物村</t>
        </is>
      </c>
      <c r="E2166" s="16" t="n">
        <v>4</v>
      </c>
      <c r="F2166" s="16" t="inlineStr">
        <is>
          <t>奥特莱斯</t>
        </is>
      </c>
      <c r="G2166" s="16" t="inlineStr">
        <is>
          <t>EEYWG37E01</t>
        </is>
      </c>
      <c r="H2166" s="16" t="n">
        <v>799</v>
      </c>
      <c r="I2166" s="16" t="n">
        <v>799</v>
      </c>
      <c r="J2166" s="17" t="inlineStr">
        <is>
          <t>########</t>
        </is>
      </c>
      <c r="K2166" s="16" t="inlineStr">
        <is>
          <t>(40)Green</t>
        </is>
      </c>
      <c r="L2166" s="16" t="inlineStr">
        <is>
          <t>营业中</t>
        </is>
      </c>
      <c r="M2166" s="16" t="inlineStr">
        <is>
          <t>EEYWG37E0140170</t>
        </is>
      </c>
      <c r="N2166" s="16">
        <f>LEFT(M2166,12)</f>
        <v/>
      </c>
      <c r="O2166" s="16" t="inlineStr">
        <is>
          <t>EEYWG37E01, (40)Green, (170)170</t>
        </is>
      </c>
      <c r="P2166" s="16" t="n">
        <v>799</v>
      </c>
      <c r="Q2166" s="16" t="n">
        <v>799</v>
      </c>
      <c r="R2166" s="16" t="n">
        <v>2</v>
      </c>
      <c r="S2166" s="18" t="n">
        <v>1063</v>
      </c>
      <c r="T2166" s="16" t="n">
        <v>0</v>
      </c>
    </row>
    <row r="2167" s="103">
      <c r="A2167" s="16" t="inlineStr">
        <is>
          <t>B331</t>
        </is>
      </c>
      <c r="B2167" s="16" t="inlineStr">
        <is>
          <t>上海区域</t>
        </is>
      </c>
      <c r="C2167" s="16" t="inlineStr">
        <is>
          <t>CN0Q</t>
        </is>
      </c>
      <c r="D2167" s="16" t="inlineStr">
        <is>
          <t>EE 苏州比斯特购物村</t>
        </is>
      </c>
      <c r="E2167" s="16" t="n">
        <v>4</v>
      </c>
      <c r="F2167" s="16" t="inlineStr">
        <is>
          <t>奥特莱斯</t>
        </is>
      </c>
      <c r="G2167" s="16" t="inlineStr">
        <is>
          <t>EEYWG37E01</t>
        </is>
      </c>
      <c r="H2167" s="16" t="n">
        <v>799</v>
      </c>
      <c r="I2167" s="16" t="n">
        <v>799</v>
      </c>
      <c r="J2167" s="17" t="inlineStr">
        <is>
          <t>########</t>
        </is>
      </c>
      <c r="K2167" s="16" t="inlineStr">
        <is>
          <t>(59)Navy</t>
        </is>
      </c>
      <c r="L2167" s="16" t="inlineStr">
        <is>
          <t>营业中</t>
        </is>
      </c>
      <c r="M2167" s="16" t="inlineStr">
        <is>
          <t>EEYWG37E0159160</t>
        </is>
      </c>
      <c r="N2167" s="16">
        <f>LEFT(M2167,12)</f>
        <v/>
      </c>
      <c r="O2167" s="16" t="inlineStr">
        <is>
          <t>EEYWG37E01, (59)Navy, (160)160</t>
        </is>
      </c>
      <c r="P2167" s="16" t="n">
        <v>799</v>
      </c>
      <c r="Q2167" s="16" t="n">
        <v>799</v>
      </c>
      <c r="R2167" s="16" t="n">
        <v>4</v>
      </c>
      <c r="S2167" s="18" t="n">
        <v>2369</v>
      </c>
      <c r="T2167" s="16" t="n">
        <v>0</v>
      </c>
    </row>
    <row r="2168" s="103">
      <c r="A2168" s="16" t="inlineStr">
        <is>
          <t>B331</t>
        </is>
      </c>
      <c r="B2168" s="16" t="inlineStr">
        <is>
          <t>上海区域</t>
        </is>
      </c>
      <c r="C2168" s="16" t="inlineStr">
        <is>
          <t>CN0Q</t>
        </is>
      </c>
      <c r="D2168" s="16" t="inlineStr">
        <is>
          <t>EE 苏州比斯特购物村</t>
        </is>
      </c>
      <c r="E2168" s="16" t="n">
        <v>4</v>
      </c>
      <c r="F2168" s="16" t="inlineStr">
        <is>
          <t>奥特莱斯</t>
        </is>
      </c>
      <c r="G2168" s="16" t="inlineStr">
        <is>
          <t>EEYWG37E01</t>
        </is>
      </c>
      <c r="H2168" s="16" t="n">
        <v>799</v>
      </c>
      <c r="I2168" s="16" t="n">
        <v>799</v>
      </c>
      <c r="J2168" s="17" t="inlineStr">
        <is>
          <t>########</t>
        </is>
      </c>
      <c r="K2168" s="16" t="inlineStr">
        <is>
          <t>(59)Navy</t>
        </is>
      </c>
      <c r="L2168" s="16" t="inlineStr">
        <is>
          <t>营业中</t>
        </is>
      </c>
      <c r="M2168" s="16" t="inlineStr">
        <is>
          <t>EEYWG37E0159165</t>
        </is>
      </c>
      <c r="N2168" s="16">
        <f>LEFT(M2168,12)</f>
        <v/>
      </c>
      <c r="O2168" s="16" t="inlineStr">
        <is>
          <t>EEYWG37E01, (59)Navy, (165)165</t>
        </is>
      </c>
      <c r="P2168" s="16" t="n">
        <v>799</v>
      </c>
      <c r="Q2168" s="16" t="n">
        <v>799</v>
      </c>
      <c r="R2168" s="16" t="n">
        <v>3</v>
      </c>
      <c r="S2168" s="18" t="n">
        <v>1015</v>
      </c>
      <c r="T2168" s="16" t="n">
        <v>0</v>
      </c>
    </row>
    <row r="2169" s="103">
      <c r="A2169" s="16" t="inlineStr">
        <is>
          <t>B331</t>
        </is>
      </c>
      <c r="B2169" s="16" t="inlineStr">
        <is>
          <t>上海区域</t>
        </is>
      </c>
      <c r="C2169" s="16" t="inlineStr">
        <is>
          <t>CN0Q</t>
        </is>
      </c>
      <c r="D2169" s="16" t="inlineStr">
        <is>
          <t>EE 苏州比斯特购物村</t>
        </is>
      </c>
      <c r="E2169" s="16" t="n">
        <v>4</v>
      </c>
      <c r="F2169" s="16" t="inlineStr">
        <is>
          <t>奥特莱斯</t>
        </is>
      </c>
      <c r="G2169" s="16" t="inlineStr">
        <is>
          <t>EEYWG37E01</t>
        </is>
      </c>
      <c r="H2169" s="16" t="n">
        <v>799</v>
      </c>
      <c r="I2169" s="16" t="n">
        <v>799</v>
      </c>
      <c r="J2169" s="17" t="inlineStr">
        <is>
          <t>########</t>
        </is>
      </c>
      <c r="K2169" s="16" t="inlineStr">
        <is>
          <t>(59)Navy</t>
        </is>
      </c>
      <c r="L2169" s="16" t="inlineStr">
        <is>
          <t>营业中</t>
        </is>
      </c>
      <c r="M2169" s="16" t="inlineStr">
        <is>
          <t>EEYWG37E0159170</t>
        </is>
      </c>
      <c r="N2169" s="16">
        <f>LEFT(M2169,12)</f>
        <v/>
      </c>
      <c r="O2169" s="16" t="inlineStr">
        <is>
          <t>EEYWG37E01, (59)Navy, (170)170</t>
        </is>
      </c>
      <c r="P2169" s="16" t="n">
        <v>799</v>
      </c>
      <c r="Q2169" s="16" t="n">
        <v>799</v>
      </c>
      <c r="R2169" s="16" t="n">
        <v>3</v>
      </c>
      <c r="S2169" s="18" t="n">
        <v>1573</v>
      </c>
      <c r="T2169" s="16" t="n">
        <v>0</v>
      </c>
    </row>
    <row r="2170" s="103">
      <c r="A2170" s="16" t="inlineStr">
        <is>
          <t>B331</t>
        </is>
      </c>
      <c r="B2170" s="16" t="inlineStr">
        <is>
          <t>上海区域</t>
        </is>
      </c>
      <c r="C2170" s="16" t="inlineStr">
        <is>
          <t>CN0Q</t>
        </is>
      </c>
      <c r="D2170" s="16" t="inlineStr">
        <is>
          <t>EE 苏州比斯特购物村</t>
        </is>
      </c>
      <c r="E2170" s="16" t="n">
        <v>4</v>
      </c>
      <c r="F2170" s="16" t="inlineStr">
        <is>
          <t>奥特莱斯</t>
        </is>
      </c>
      <c r="G2170" s="16" t="inlineStr">
        <is>
          <t>EEYWG37E01</t>
        </is>
      </c>
      <c r="H2170" s="16" t="n">
        <v>799</v>
      </c>
      <c r="I2170" s="16" t="n">
        <v>799</v>
      </c>
      <c r="J2170" s="17" t="inlineStr">
        <is>
          <t>########</t>
        </is>
      </c>
      <c r="K2170" s="16" t="inlineStr">
        <is>
          <t>(85)Brown</t>
        </is>
      </c>
      <c r="L2170" s="16" t="inlineStr">
        <is>
          <t>营业中</t>
        </is>
      </c>
      <c r="M2170" s="16" t="inlineStr">
        <is>
          <t>EEYWG37E0185160</t>
        </is>
      </c>
      <c r="N2170" s="16">
        <f>LEFT(M2170,12)</f>
        <v/>
      </c>
      <c r="O2170" s="16" t="inlineStr">
        <is>
          <t>EEYWG37E01, (85)Brown, (160)160</t>
        </is>
      </c>
      <c r="P2170" s="16" t="n">
        <v>799</v>
      </c>
      <c r="Q2170" s="16" t="n">
        <v>799</v>
      </c>
      <c r="R2170" s="16" t="n">
        <v>2</v>
      </c>
      <c r="S2170" s="16" t="n">
        <v>713</v>
      </c>
      <c r="T2170" s="16" t="n">
        <v>1</v>
      </c>
    </row>
    <row r="2171" s="103">
      <c r="A2171" s="16" t="inlineStr">
        <is>
          <t>B331</t>
        </is>
      </c>
      <c r="B2171" s="16" t="inlineStr">
        <is>
          <t>上海区域</t>
        </is>
      </c>
      <c r="C2171" s="16" t="inlineStr">
        <is>
          <t>CN0Q</t>
        </is>
      </c>
      <c r="D2171" s="16" t="inlineStr">
        <is>
          <t>EE 苏州比斯特购物村</t>
        </is>
      </c>
      <c r="E2171" s="16" t="n">
        <v>4</v>
      </c>
      <c r="F2171" s="16" t="inlineStr">
        <is>
          <t>奥特莱斯</t>
        </is>
      </c>
      <c r="G2171" s="16" t="inlineStr">
        <is>
          <t>EEYWG37E01</t>
        </is>
      </c>
      <c r="H2171" s="16" t="n">
        <v>799</v>
      </c>
      <c r="I2171" s="16" t="n">
        <v>799</v>
      </c>
      <c r="J2171" s="17" t="inlineStr">
        <is>
          <t>########</t>
        </is>
      </c>
      <c r="K2171" s="16" t="inlineStr">
        <is>
          <t>(85)Brown</t>
        </is>
      </c>
      <c r="L2171" s="16" t="inlineStr">
        <is>
          <t>营业中</t>
        </is>
      </c>
      <c r="M2171" s="16" t="inlineStr">
        <is>
          <t>EEYWG37E0185165</t>
        </is>
      </c>
      <c r="N2171" s="16">
        <f>LEFT(M2171,12)</f>
        <v/>
      </c>
      <c r="O2171" s="16" t="inlineStr">
        <is>
          <t>EEYWG37E01, (85)Brown, (165)165</t>
        </is>
      </c>
      <c r="P2171" s="16" t="n">
        <v>799</v>
      </c>
      <c r="Q2171" s="16" t="n">
        <v>799</v>
      </c>
      <c r="R2171" s="16" t="n">
        <v>3</v>
      </c>
      <c r="S2171" s="18" t="n">
        <v>1625</v>
      </c>
      <c r="T2171" s="16" t="n">
        <v>1</v>
      </c>
    </row>
    <row r="2172" s="103">
      <c r="A2172" s="16" t="inlineStr">
        <is>
          <t>B331</t>
        </is>
      </c>
      <c r="B2172" s="16" t="inlineStr">
        <is>
          <t>上海区域</t>
        </is>
      </c>
      <c r="C2172" s="16" t="inlineStr">
        <is>
          <t>CN0Q</t>
        </is>
      </c>
      <c r="D2172" s="16" t="inlineStr">
        <is>
          <t>EE 苏州比斯特购物村</t>
        </is>
      </c>
      <c r="E2172" s="16" t="n">
        <v>4</v>
      </c>
      <c r="F2172" s="16" t="inlineStr">
        <is>
          <t>奥特莱斯</t>
        </is>
      </c>
      <c r="G2172" s="16" t="inlineStr">
        <is>
          <t>EEYWG37E01</t>
        </is>
      </c>
      <c r="H2172" s="16" t="n">
        <v>799</v>
      </c>
      <c r="I2172" s="16" t="n">
        <v>799</v>
      </c>
      <c r="J2172" s="17" t="inlineStr">
        <is>
          <t>########</t>
        </is>
      </c>
      <c r="K2172" s="16" t="inlineStr">
        <is>
          <t>(85)Brown</t>
        </is>
      </c>
      <c r="L2172" s="16" t="inlineStr">
        <is>
          <t>营业中</t>
        </is>
      </c>
      <c r="M2172" s="16" t="inlineStr">
        <is>
          <t>EEYWG37E0185170</t>
        </is>
      </c>
      <c r="N2172" s="16">
        <f>LEFT(M2172,12)</f>
        <v/>
      </c>
      <c r="O2172" s="16" t="inlineStr">
        <is>
          <t>EEYWG37E01, (85)Brown, (170)170</t>
        </is>
      </c>
      <c r="P2172" s="16" t="n">
        <v>799</v>
      </c>
      <c r="Q2172" s="16" t="n">
        <v>799</v>
      </c>
      <c r="R2172" s="16" t="n">
        <v>1</v>
      </c>
      <c r="S2172" s="16" t="n">
        <v>514</v>
      </c>
      <c r="T2172" s="1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I8" sqref="I8"/>
    </sheetView>
  </sheetViews>
  <sheetFormatPr baseColWidth="8" defaultColWidth="9" defaultRowHeight="12.75"/>
  <cols>
    <col width="9.142857142857141" customWidth="1" style="1" min="1" max="1"/>
    <col width="17.1428571428571" customWidth="1" style="1" min="2" max="2"/>
    <col width="12" customWidth="1" style="1" min="3" max="3"/>
    <col width="9.142857142857141" customWidth="1" style="1" min="4" max="4"/>
    <col width="14.8571428571429" customWidth="1" style="1" min="5" max="5"/>
    <col width="14.4285714285714" customWidth="1" style="1" min="6" max="6"/>
    <col width="9.142857142857141" customWidth="1" style="1" min="7" max="16384"/>
  </cols>
  <sheetData>
    <row r="1" customFormat="1" s="1">
      <c r="A1" s="12" t="inlineStr">
        <is>
          <t>位置</t>
        </is>
      </c>
      <c r="B1" s="12" t="inlineStr">
        <is>
          <t>代码</t>
        </is>
      </c>
      <c r="C1" s="12" t="inlineStr">
        <is>
          <t>销售数量</t>
        </is>
      </c>
      <c r="E1" s="1" t="inlineStr">
        <is>
          <t>行标签</t>
        </is>
      </c>
      <c r="F1" s="1" t="inlineStr">
        <is>
          <t>求和项:销售数量</t>
        </is>
      </c>
    </row>
    <row r="2" ht="14.25" customFormat="1" customHeight="1" s="1">
      <c r="A2" s="13" t="inlineStr">
        <is>
          <t>F001</t>
        </is>
      </c>
      <c r="B2" s="14" t="inlineStr">
        <is>
          <t>EETAG24E02</t>
        </is>
      </c>
      <c r="C2" s="15" t="n">
        <v>4</v>
      </c>
      <c r="E2" s="1" t="inlineStr">
        <is>
          <t>EETAG24E02</t>
        </is>
      </c>
      <c r="F2" s="1" t="n">
        <v>31</v>
      </c>
    </row>
    <row r="3" ht="14.25" customFormat="1" customHeight="1" s="1">
      <c r="A3" s="13" t="inlineStr">
        <is>
          <t>F002</t>
        </is>
      </c>
      <c r="B3" s="14" t="inlineStr">
        <is>
          <t>EETJG24E01</t>
        </is>
      </c>
      <c r="C3" s="15" t="n">
        <v>2</v>
      </c>
      <c r="E3" s="1" t="inlineStr">
        <is>
          <t>F001</t>
        </is>
      </c>
      <c r="F3" s="1" t="n">
        <v>4</v>
      </c>
    </row>
    <row r="4" ht="14.25" customFormat="1" customHeight="1" s="1">
      <c r="A4" s="13" t="inlineStr">
        <is>
          <t>F002</t>
        </is>
      </c>
      <c r="B4" s="14" t="inlineStr">
        <is>
          <t>EETAG24E02</t>
        </is>
      </c>
      <c r="C4" s="15" t="n">
        <v>7</v>
      </c>
      <c r="E4" s="1" t="inlineStr">
        <is>
          <t>F002</t>
        </is>
      </c>
      <c r="F4" s="1" t="n">
        <v>11</v>
      </c>
    </row>
    <row r="5" ht="14.25" customFormat="1" customHeight="1" s="1">
      <c r="A5" s="13" t="inlineStr">
        <is>
          <t>F002</t>
        </is>
      </c>
      <c r="B5" s="14" t="inlineStr">
        <is>
          <t>EETAG24E02</t>
        </is>
      </c>
      <c r="C5" s="15" t="n">
        <v>4</v>
      </c>
      <c r="E5" s="1" t="inlineStr">
        <is>
          <t>H002</t>
        </is>
      </c>
      <c r="F5" s="1" t="n">
        <v>16</v>
      </c>
    </row>
    <row r="6" ht="14.25" customFormat="1" customHeight="1" s="1">
      <c r="A6" s="13" t="inlineStr">
        <is>
          <t>F003</t>
        </is>
      </c>
      <c r="B6" s="14" t="inlineStr">
        <is>
          <t>EETHG25E04</t>
        </is>
      </c>
      <c r="C6" s="15" t="n">
        <v>5</v>
      </c>
      <c r="E6" s="1" t="inlineStr">
        <is>
          <t>EETCG24E06</t>
        </is>
      </c>
      <c r="F6" s="1" t="n">
        <v>18</v>
      </c>
    </row>
    <row r="7" ht="14.25" customFormat="1" customHeight="1" s="1">
      <c r="A7" s="13" t="inlineStr">
        <is>
          <t>F003</t>
        </is>
      </c>
      <c r="B7" s="14" t="inlineStr">
        <is>
          <t>EETHG25E04</t>
        </is>
      </c>
      <c r="C7" s="15" t="n">
        <v>2</v>
      </c>
      <c r="E7" s="1" t="inlineStr">
        <is>
          <t>F004</t>
        </is>
      </c>
      <c r="F7" s="1" t="n">
        <v>1</v>
      </c>
    </row>
    <row r="8" ht="14.25" customFormat="1" customHeight="1" s="1">
      <c r="A8" s="13" t="inlineStr">
        <is>
          <t>F003</t>
        </is>
      </c>
      <c r="B8" s="14" t="inlineStr">
        <is>
          <t>EETHG25E04</t>
        </is>
      </c>
      <c r="C8" s="15" t="n">
        <v>5</v>
      </c>
      <c r="E8" s="1" t="inlineStr">
        <is>
          <t>F007</t>
        </is>
      </c>
      <c r="F8" s="1" t="n">
        <v>4</v>
      </c>
    </row>
    <row r="9" ht="14.25" customFormat="1" customHeight="1" s="1">
      <c r="A9" s="13" t="inlineStr">
        <is>
          <t>F004</t>
        </is>
      </c>
      <c r="B9" s="14" t="inlineStr">
        <is>
          <t>EETCG24E06</t>
        </is>
      </c>
      <c r="C9" s="15" t="n">
        <v>1</v>
      </c>
      <c r="E9" s="1" t="inlineStr">
        <is>
          <t>F008</t>
        </is>
      </c>
      <c r="F9" s="1" t="n">
        <v>10</v>
      </c>
    </row>
    <row r="10" ht="14.25" customFormat="1" customHeight="1" s="1">
      <c r="A10" s="13" t="inlineStr">
        <is>
          <t>F007</t>
        </is>
      </c>
      <c r="B10" s="14" t="inlineStr">
        <is>
          <t>EETCG24E06</t>
        </is>
      </c>
      <c r="C10" s="15" t="n">
        <v>4</v>
      </c>
      <c r="E10" s="1" t="inlineStr">
        <is>
          <t>M005</t>
        </is>
      </c>
      <c r="F10" s="1" t="n">
        <v>3</v>
      </c>
    </row>
    <row r="11" ht="14.25" customFormat="1" customHeight="1" s="1">
      <c r="A11" s="13" t="inlineStr">
        <is>
          <t>F007</t>
        </is>
      </c>
      <c r="B11" s="14" t="inlineStr">
        <is>
          <t>EETCG24E06</t>
        </is>
      </c>
      <c r="C11" s="15" t="n">
        <v>0</v>
      </c>
      <c r="E11" s="1" t="inlineStr">
        <is>
          <t>EETHG25E01</t>
        </is>
      </c>
      <c r="F11" s="1" t="n">
        <v>12</v>
      </c>
    </row>
    <row r="12" ht="14.25" customFormat="1" customHeight="1" s="1">
      <c r="A12" s="13" t="inlineStr">
        <is>
          <t>F008</t>
        </is>
      </c>
      <c r="B12" s="14" t="inlineStr">
        <is>
          <t>EETCG24E06</t>
        </is>
      </c>
      <c r="C12" s="15" t="n">
        <v>5</v>
      </c>
      <c r="E12" s="1" t="inlineStr">
        <is>
          <t>H004</t>
        </is>
      </c>
      <c r="F12" s="1" t="n">
        <v>12</v>
      </c>
    </row>
    <row r="13" ht="14.25" customFormat="1" customHeight="1" s="1">
      <c r="A13" s="13" t="inlineStr">
        <is>
          <t>F008</t>
        </is>
      </c>
      <c r="B13" s="14" t="inlineStr">
        <is>
          <t>EETCG24E06</t>
        </is>
      </c>
      <c r="C13" s="15" t="n">
        <v>5</v>
      </c>
      <c r="E13" s="1" t="inlineStr">
        <is>
          <t>EETHG25E04</t>
        </is>
      </c>
      <c r="F13" s="1" t="n">
        <v>31</v>
      </c>
    </row>
    <row r="14" ht="14.25" customFormat="1" customHeight="1" s="1">
      <c r="A14" s="13" t="inlineStr">
        <is>
          <t>F010</t>
        </is>
      </c>
      <c r="B14" s="14" t="inlineStr">
        <is>
          <t>EETJG23E01</t>
        </is>
      </c>
      <c r="C14" s="15" t="n">
        <v>1</v>
      </c>
      <c r="E14" s="1" t="inlineStr">
        <is>
          <t>F003</t>
        </is>
      </c>
      <c r="F14" s="1" t="n">
        <v>12</v>
      </c>
    </row>
    <row r="15" ht="14.25" customFormat="1" customHeight="1" s="1">
      <c r="A15" s="13" t="inlineStr">
        <is>
          <t>F010</t>
        </is>
      </c>
      <c r="B15" s="14" t="inlineStr">
        <is>
          <t>EETJG23E01</t>
        </is>
      </c>
      <c r="C15" s="15" t="n">
        <v>1</v>
      </c>
      <c r="E15" s="1" t="inlineStr">
        <is>
          <t>H002</t>
        </is>
      </c>
      <c r="F15" s="1" t="n">
        <v>4</v>
      </c>
    </row>
    <row r="16" ht="14.25" customFormat="1" customHeight="1" s="1">
      <c r="A16" s="13" t="inlineStr">
        <is>
          <t>F010</t>
        </is>
      </c>
      <c r="B16" s="14" t="inlineStr">
        <is>
          <t>EETJG23E07</t>
        </is>
      </c>
      <c r="C16" s="15" t="n">
        <v>1</v>
      </c>
      <c r="E16" s="1" t="inlineStr">
        <is>
          <t>M009</t>
        </is>
      </c>
      <c r="F16" s="1" t="n">
        <v>5</v>
      </c>
    </row>
    <row r="17" ht="14.25" customFormat="1" customHeight="1" s="1">
      <c r="A17" s="13" t="inlineStr">
        <is>
          <t>F010</t>
        </is>
      </c>
      <c r="B17" s="14" t="inlineStr">
        <is>
          <t>EETJG23E07</t>
        </is>
      </c>
      <c r="C17" s="15" t="n">
        <v>2</v>
      </c>
      <c r="E17" s="1" t="inlineStr">
        <is>
          <t>T001</t>
        </is>
      </c>
      <c r="F17" s="1" t="n">
        <v>10</v>
      </c>
    </row>
    <row r="18" ht="14.25" customFormat="1" customHeight="1" s="1">
      <c r="A18" s="13" t="inlineStr">
        <is>
          <t>T001</t>
        </is>
      </c>
      <c r="B18" s="14" t="inlineStr">
        <is>
          <t>EETHG25E04</t>
        </is>
      </c>
      <c r="C18" s="15" t="n">
        <v>1</v>
      </c>
      <c r="E18" s="1" t="inlineStr">
        <is>
          <t>EETJG23E01</t>
        </is>
      </c>
      <c r="F18" s="1" t="n">
        <v>4</v>
      </c>
    </row>
    <row r="19" ht="14.25" customFormat="1" customHeight="1" s="1">
      <c r="A19" s="13" t="inlineStr">
        <is>
          <t>T001</t>
        </is>
      </c>
      <c r="B19" s="14" t="inlineStr">
        <is>
          <t>EETHG25E04</t>
        </is>
      </c>
      <c r="C19" s="15" t="n">
        <v>5</v>
      </c>
      <c r="E19" s="1" t="inlineStr">
        <is>
          <t>F010</t>
        </is>
      </c>
      <c r="F19" s="1" t="n">
        <v>2</v>
      </c>
    </row>
    <row r="20" ht="14.25" customFormat="1" customHeight="1" s="1">
      <c r="A20" s="13" t="inlineStr">
        <is>
          <t>T001</t>
        </is>
      </c>
      <c r="B20" s="14" t="inlineStr">
        <is>
          <t>EETHG25E04</t>
        </is>
      </c>
      <c r="C20" s="15" t="n">
        <v>4</v>
      </c>
      <c r="E20" s="1" t="inlineStr">
        <is>
          <t>H002</t>
        </is>
      </c>
      <c r="F20" s="1" t="n">
        <v>2</v>
      </c>
    </row>
    <row r="21" ht="14.25" customFormat="1" customHeight="1" s="1">
      <c r="A21" s="13" t="inlineStr">
        <is>
          <t>T002</t>
        </is>
      </c>
      <c r="B21" s="14" t="inlineStr">
        <is>
          <t>EETJG24E01</t>
        </is>
      </c>
      <c r="C21" s="15" t="n">
        <v>2</v>
      </c>
      <c r="E21" s="1" t="inlineStr">
        <is>
          <t>EETJG23E02</t>
        </is>
      </c>
      <c r="F21" s="1" t="n">
        <v>7</v>
      </c>
    </row>
    <row r="22" ht="14.25" customFormat="1" customHeight="1" s="1">
      <c r="A22" s="13" t="inlineStr">
        <is>
          <t>T002</t>
        </is>
      </c>
      <c r="B22" s="14" t="inlineStr">
        <is>
          <t>EETJG24E01</t>
        </is>
      </c>
      <c r="C22" s="15" t="n">
        <v>2</v>
      </c>
      <c r="E22" s="1" t="inlineStr">
        <is>
          <t>H002</t>
        </is>
      </c>
      <c r="F22" s="1" t="n">
        <v>7</v>
      </c>
    </row>
    <row r="23" ht="14.25" customFormat="1" customHeight="1" s="1">
      <c r="A23" s="13" t="inlineStr">
        <is>
          <t>T003</t>
        </is>
      </c>
      <c r="B23" s="14" t="inlineStr">
        <is>
          <t>EETJG24E01</t>
        </is>
      </c>
      <c r="C23" s="15" t="n">
        <v>2</v>
      </c>
      <c r="E23" s="1" t="inlineStr">
        <is>
          <t>EETJG23E04</t>
        </is>
      </c>
      <c r="F23" s="1" t="n">
        <v>14</v>
      </c>
    </row>
    <row r="24" ht="14.25" customFormat="1" customHeight="1" s="1">
      <c r="A24" s="13" t="inlineStr">
        <is>
          <t>T003</t>
        </is>
      </c>
      <c r="B24" s="14" t="inlineStr">
        <is>
          <t>EETJG24E01</t>
        </is>
      </c>
      <c r="C24" s="15" t="n">
        <v>1</v>
      </c>
      <c r="E24" s="1" t="inlineStr">
        <is>
          <t>H002</t>
        </is>
      </c>
      <c r="F24" s="1" t="n">
        <v>14</v>
      </c>
    </row>
    <row r="25" ht="14.25" customFormat="1" customHeight="1" s="1">
      <c r="A25" s="13" t="inlineStr">
        <is>
          <t>T003</t>
        </is>
      </c>
      <c r="B25" s="14" t="inlineStr">
        <is>
          <t>EETJG24E01</t>
        </is>
      </c>
      <c r="C25" s="15" t="n">
        <v>1</v>
      </c>
      <c r="E25" s="1" t="inlineStr">
        <is>
          <t>EETJG23E07</t>
        </is>
      </c>
      <c r="F25" s="1" t="n">
        <v>8</v>
      </c>
    </row>
    <row r="26" ht="14.25" customFormat="1" customHeight="1" s="1">
      <c r="A26" s="13" t="inlineStr">
        <is>
          <t>H002</t>
        </is>
      </c>
      <c r="B26" s="14" t="inlineStr">
        <is>
          <t>EETAG24E02</t>
        </is>
      </c>
      <c r="C26" s="15" t="n">
        <v>6</v>
      </c>
      <c r="E26" s="1" t="inlineStr">
        <is>
          <t>F010</t>
        </is>
      </c>
      <c r="F26" s="1" t="n">
        <v>3</v>
      </c>
    </row>
    <row r="27" ht="14.25" customFormat="1" customHeight="1" s="1">
      <c r="A27" s="13" t="inlineStr">
        <is>
          <t>H002</t>
        </is>
      </c>
      <c r="B27" s="14" t="inlineStr">
        <is>
          <t>EETAG24E02</t>
        </is>
      </c>
      <c r="C27" s="15" t="n">
        <v>9</v>
      </c>
      <c r="E27" s="1" t="inlineStr">
        <is>
          <t>H002</t>
        </is>
      </c>
      <c r="F27" s="1" t="n">
        <v>5</v>
      </c>
    </row>
    <row r="28" ht="14.25" customFormat="1" customHeight="1" s="1">
      <c r="A28" s="13" t="inlineStr">
        <is>
          <t>H002</t>
        </is>
      </c>
      <c r="B28" s="14" t="inlineStr">
        <is>
          <t>EETHG25E04</t>
        </is>
      </c>
      <c r="C28" s="15" t="n">
        <v>1</v>
      </c>
      <c r="E28" s="1" t="inlineStr">
        <is>
          <t>EETJG24E01</t>
        </is>
      </c>
      <c r="F28" s="1" t="n">
        <v>63</v>
      </c>
    </row>
    <row r="29" ht="14.25" customFormat="1" customHeight="1" s="1">
      <c r="A29" s="13" t="inlineStr">
        <is>
          <t>H002</t>
        </is>
      </c>
      <c r="B29" s="14" t="inlineStr">
        <is>
          <t>EETHG25E04</t>
        </is>
      </c>
      <c r="C29" s="15" t="n">
        <v>3</v>
      </c>
      <c r="E29" s="1" t="inlineStr">
        <is>
          <t>F002</t>
        </is>
      </c>
      <c r="F29" s="1" t="n">
        <v>2</v>
      </c>
    </row>
    <row r="30" ht="14.25" customFormat="1" customHeight="1" s="1">
      <c r="A30" s="13" t="inlineStr">
        <is>
          <t>H002</t>
        </is>
      </c>
      <c r="B30" s="14" t="inlineStr">
        <is>
          <t>EETAG24E02</t>
        </is>
      </c>
      <c r="C30" s="15" t="n">
        <v>0</v>
      </c>
      <c r="E30" s="1" t="inlineStr">
        <is>
          <t>H002</t>
        </is>
      </c>
      <c r="F30" s="1" t="n">
        <v>32</v>
      </c>
    </row>
    <row r="31" ht="14.25" customFormat="1" customHeight="1" s="1">
      <c r="A31" s="13" t="inlineStr">
        <is>
          <t>H002</t>
        </is>
      </c>
      <c r="B31" s="14" t="inlineStr">
        <is>
          <t>EETAG24E02</t>
        </is>
      </c>
      <c r="C31" s="15" t="n">
        <v>0</v>
      </c>
      <c r="E31" s="1" t="inlineStr">
        <is>
          <t>M002</t>
        </is>
      </c>
      <c r="F31" s="1" t="n">
        <v>21</v>
      </c>
    </row>
    <row r="32" ht="14.25" customFormat="1" customHeight="1" s="1">
      <c r="A32" s="13" t="inlineStr">
        <is>
          <t>H002</t>
        </is>
      </c>
      <c r="B32" s="14" t="inlineStr">
        <is>
          <t>EETAG24E02</t>
        </is>
      </c>
      <c r="C32" s="15" t="n">
        <v>1</v>
      </c>
      <c r="E32" s="1" t="inlineStr">
        <is>
          <t>T002</t>
        </is>
      </c>
      <c r="F32" s="1" t="n">
        <v>4</v>
      </c>
    </row>
    <row r="33" ht="14.25" customFormat="1" customHeight="1" s="1">
      <c r="A33" s="13" t="inlineStr">
        <is>
          <t>H002</t>
        </is>
      </c>
      <c r="B33" s="14" t="inlineStr">
        <is>
          <t>EETJG24E01</t>
        </is>
      </c>
      <c r="C33" s="15" t="n">
        <v>21</v>
      </c>
      <c r="E33" s="1" t="inlineStr">
        <is>
          <t>T003</t>
        </is>
      </c>
      <c r="F33" s="1" t="n">
        <v>4</v>
      </c>
    </row>
    <row r="34" ht="14.25" customFormat="1" customHeight="1" s="1">
      <c r="A34" s="13" t="inlineStr">
        <is>
          <t>H002</t>
        </is>
      </c>
      <c r="B34" s="14" t="inlineStr">
        <is>
          <t>EETJG24E01</t>
        </is>
      </c>
      <c r="C34" s="15" t="n">
        <v>9</v>
      </c>
      <c r="E34" s="1" t="inlineStr">
        <is>
          <t>EETJG24E05</t>
        </is>
      </c>
      <c r="F34" s="1" t="n">
        <v>4</v>
      </c>
    </row>
    <row r="35" ht="14.25" customFormat="1" customHeight="1" s="1">
      <c r="A35" s="13" t="inlineStr">
        <is>
          <t>H002</t>
        </is>
      </c>
      <c r="B35" s="14" t="inlineStr">
        <is>
          <t>EETJG23E04</t>
        </is>
      </c>
      <c r="C35" s="15" t="n">
        <v>6</v>
      </c>
      <c r="E35" s="1" t="inlineStr">
        <is>
          <t>H004</t>
        </is>
      </c>
      <c r="F35" s="1" t="n">
        <v>4</v>
      </c>
    </row>
    <row r="36" ht="14.25" customFormat="1" customHeight="1" s="1">
      <c r="A36" s="13" t="inlineStr">
        <is>
          <t>H002</t>
        </is>
      </c>
      <c r="B36" s="14" t="inlineStr">
        <is>
          <t>EETJG23E01</t>
        </is>
      </c>
      <c r="C36" s="15" t="n">
        <v>1</v>
      </c>
      <c r="E36" s="1" t="inlineStr">
        <is>
          <t>(空白)</t>
        </is>
      </c>
    </row>
    <row r="37" ht="14.25" customFormat="1" customHeight="1" s="1">
      <c r="A37" s="13" t="inlineStr">
        <is>
          <t>H002</t>
        </is>
      </c>
      <c r="B37" s="14" t="inlineStr">
        <is>
          <t>EETJG23E01</t>
        </is>
      </c>
      <c r="C37" s="15" t="n">
        <v>1</v>
      </c>
      <c r="E37" s="1" t="inlineStr">
        <is>
          <t>(空白)</t>
        </is>
      </c>
    </row>
    <row r="38" ht="14.25" customFormat="1" customHeight="1" s="1">
      <c r="A38" s="13" t="inlineStr">
        <is>
          <t>H002</t>
        </is>
      </c>
      <c r="B38" s="14" t="inlineStr">
        <is>
          <t>EETJG24E01</t>
        </is>
      </c>
      <c r="C38" s="15" t="n">
        <v>2</v>
      </c>
      <c r="E38" s="1" t="inlineStr">
        <is>
          <t>总计</t>
        </is>
      </c>
      <c r="F38" s="1" t="n">
        <v>192</v>
      </c>
    </row>
    <row r="39" ht="14.25" customFormat="1" customHeight="1" s="1">
      <c r="A39" s="13" t="inlineStr">
        <is>
          <t>H002</t>
        </is>
      </c>
      <c r="B39" s="14" t="inlineStr">
        <is>
          <t>EETJG24E01</t>
        </is>
      </c>
      <c r="C39" s="15" t="n">
        <v>0</v>
      </c>
    </row>
    <row r="40" ht="14.25" customFormat="1" customHeight="1" s="1">
      <c r="A40" s="13" t="inlineStr">
        <is>
          <t>H002</t>
        </is>
      </c>
      <c r="B40" s="14" t="inlineStr">
        <is>
          <t>EETJG23E02</t>
        </is>
      </c>
      <c r="C40" s="15" t="n">
        <v>4</v>
      </c>
    </row>
    <row r="41" ht="14.25" customFormat="1" customHeight="1" s="1">
      <c r="A41" s="13" t="inlineStr">
        <is>
          <t>H002</t>
        </is>
      </c>
      <c r="B41" s="14" t="inlineStr">
        <is>
          <t>EETJG23E02</t>
        </is>
      </c>
      <c r="C41" s="15" t="n">
        <v>3</v>
      </c>
    </row>
    <row r="42" ht="14.25" customFormat="1" customHeight="1" s="1">
      <c r="A42" s="13" t="inlineStr">
        <is>
          <t>H002</t>
        </is>
      </c>
      <c r="B42" s="14" t="inlineStr">
        <is>
          <t>EETJG23E07</t>
        </is>
      </c>
      <c r="C42" s="15" t="n">
        <v>3</v>
      </c>
    </row>
    <row r="43" ht="14.25" customFormat="1" customHeight="1" s="1">
      <c r="A43" s="13" t="inlineStr">
        <is>
          <t>H002</t>
        </is>
      </c>
      <c r="B43" s="14" t="inlineStr">
        <is>
          <t>EETJG23E07</t>
        </is>
      </c>
      <c r="C43" s="15" t="n">
        <v>2</v>
      </c>
    </row>
    <row r="44" ht="14.25" customFormat="1" customHeight="1" s="1">
      <c r="A44" s="13" t="inlineStr">
        <is>
          <t>H002</t>
        </is>
      </c>
      <c r="B44" s="14" t="inlineStr">
        <is>
          <t>EETJG23E04</t>
        </is>
      </c>
      <c r="C44" s="15" t="n">
        <v>0</v>
      </c>
    </row>
    <row r="45" ht="14.25" customFormat="1" customHeight="1" s="1">
      <c r="A45" s="13" t="inlineStr">
        <is>
          <t>H002</t>
        </is>
      </c>
      <c r="B45" s="14" t="inlineStr">
        <is>
          <t>EETJG23E04</t>
        </is>
      </c>
      <c r="C45" s="15" t="n">
        <v>8</v>
      </c>
    </row>
    <row r="46" ht="14.25" customFormat="1" customHeight="1" s="1">
      <c r="A46" s="13" t="inlineStr">
        <is>
          <t>H004</t>
        </is>
      </c>
      <c r="B46" s="14" t="inlineStr">
        <is>
          <t>EETHG25E01</t>
        </is>
      </c>
      <c r="C46" s="15" t="n">
        <v>7</v>
      </c>
    </row>
    <row r="47" ht="14.25" customFormat="1" customHeight="1" s="1">
      <c r="A47" s="13" t="inlineStr">
        <is>
          <t>H004</t>
        </is>
      </c>
      <c r="B47" s="14" t="inlineStr">
        <is>
          <t>EETHG25E01</t>
        </is>
      </c>
      <c r="C47" s="15" t="n">
        <v>5</v>
      </c>
    </row>
    <row r="48" ht="14.25" customFormat="1" customHeight="1" s="1">
      <c r="A48" s="13" t="inlineStr">
        <is>
          <t>H004</t>
        </is>
      </c>
      <c r="B48" s="14" t="inlineStr">
        <is>
          <t>EETJG24E05</t>
        </is>
      </c>
      <c r="C48" s="15" t="n">
        <v>1</v>
      </c>
    </row>
    <row r="49" ht="14.25" customFormat="1" customHeight="1" s="1">
      <c r="A49" s="13" t="inlineStr">
        <is>
          <t>H004</t>
        </is>
      </c>
      <c r="B49" s="14" t="inlineStr">
        <is>
          <t>EETJG24E05</t>
        </is>
      </c>
      <c r="C49" s="15" t="n">
        <v>2</v>
      </c>
    </row>
    <row r="50" ht="14.25" customFormat="1" customHeight="1" s="1">
      <c r="A50" s="13" t="inlineStr">
        <is>
          <t>H004</t>
        </is>
      </c>
      <c r="B50" s="14" t="inlineStr">
        <is>
          <t>EETJG24E05</t>
        </is>
      </c>
      <c r="C50" s="15" t="n">
        <v>1</v>
      </c>
    </row>
    <row r="51" ht="14.25" customFormat="1" customHeight="1" s="1">
      <c r="A51" s="13" t="inlineStr">
        <is>
          <t>M002</t>
        </is>
      </c>
      <c r="B51" s="14" t="inlineStr">
        <is>
          <t>EETJG24E01</t>
        </is>
      </c>
      <c r="C51" s="15" t="n">
        <v>21</v>
      </c>
    </row>
    <row r="52" ht="14.25" customFormat="1" customHeight="1" s="1">
      <c r="A52" s="13" t="inlineStr">
        <is>
          <t>M005</t>
        </is>
      </c>
      <c r="B52" s="14" t="inlineStr">
        <is>
          <t>EETCG24E06</t>
        </is>
      </c>
      <c r="C52" s="15" t="n">
        <v>3</v>
      </c>
    </row>
    <row r="53" ht="14.25" customFormat="1" customHeight="1" s="1">
      <c r="A53" s="13" t="inlineStr">
        <is>
          <t>M009</t>
        </is>
      </c>
      <c r="B53" s="14" t="inlineStr">
        <is>
          <t>EETHG25E04</t>
        </is>
      </c>
      <c r="C53" s="15" t="n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color">
    <outlinePr summaryBelow="1" summaryRight="1"/>
    <pageSetUpPr/>
  </sheetPr>
  <dimension ref="A1:G51"/>
  <sheetViews>
    <sheetView topLeftCell="A19" workbookViewId="0">
      <selection activeCell="J48" sqref="J48"/>
    </sheetView>
  </sheetViews>
  <sheetFormatPr baseColWidth="8" defaultColWidth="13.7142857142857" defaultRowHeight="18" customHeight="1"/>
  <cols>
    <col width="6.28571428571429" customWidth="1" style="84" min="1" max="1"/>
    <col width="21.1428571428571" customWidth="1" style="84" min="2" max="2"/>
    <col width="14.7142857142857" customWidth="1" style="84" min="3" max="3"/>
    <col width="11.8571428571429" customWidth="1" style="84" min="4" max="5"/>
    <col width="18" customWidth="1" style="84" min="6" max="6"/>
    <col width="14.4285714285714" customWidth="1" style="84" min="7" max="7"/>
    <col width="13.7142857142857" customWidth="1" style="84" min="8" max="8"/>
    <col width="20.5714285714286" customWidth="1" style="103" min="10" max="10"/>
    <col width="13.7142857142857" customWidth="1" style="84" min="11" max="26"/>
  </cols>
  <sheetData>
    <row r="1" ht="12.75" customHeight="1" s="103">
      <c r="A1" s="8" t="inlineStr">
        <is>
          <t>色号</t>
        </is>
      </c>
      <c r="B1" s="8" t="inlineStr">
        <is>
          <t>色号</t>
        </is>
      </c>
      <c r="C1" s="8" t="inlineStr">
        <is>
          <t>名称</t>
        </is>
      </c>
      <c r="D1" s="4" t="n"/>
      <c r="E1" s="5" t="inlineStr">
        <is>
          <t>代码</t>
        </is>
      </c>
      <c r="F1" s="5" t="inlineStr">
        <is>
          <t>名称</t>
        </is>
      </c>
      <c r="G1" s="5" t="inlineStr">
        <is>
          <t>名称</t>
        </is>
      </c>
    </row>
    <row r="2" ht="16.5" customHeight="1" s="103">
      <c r="A2" s="8" t="n">
        <v>1</v>
      </c>
      <c r="B2" s="8" t="inlineStr">
        <is>
          <t>(01)M/Indigo</t>
        </is>
      </c>
      <c r="C2" s="8" t="inlineStr">
        <is>
          <t>牛仔色</t>
        </is>
      </c>
      <c r="D2" s="4" t="n"/>
      <c r="E2" s="9" t="inlineStr">
        <is>
          <t>JD</t>
        </is>
      </c>
      <c r="F2" s="9" t="inlineStr">
        <is>
          <t>다운</t>
        </is>
      </c>
      <c r="G2" s="9" t="inlineStr">
        <is>
          <t>羽绒服</t>
        </is>
      </c>
    </row>
    <row r="3" ht="12.75" customHeight="1" s="103">
      <c r="A3" s="8" t="n">
        <v>15</v>
      </c>
      <c r="B3" s="8" t="inlineStr">
        <is>
          <t>(15)Grey</t>
        </is>
      </c>
      <c r="C3" s="8" t="inlineStr">
        <is>
          <t>灰色</t>
        </is>
      </c>
      <c r="D3" s="4" t="n"/>
      <c r="E3" s="9" t="inlineStr">
        <is>
          <t>JP</t>
        </is>
      </c>
      <c r="F3" s="9" t="inlineStr">
        <is>
          <t>패딩</t>
        </is>
      </c>
      <c r="G3" s="9" t="inlineStr">
        <is>
          <t>棉服</t>
        </is>
      </c>
    </row>
    <row r="4" ht="12.75" customHeight="1" s="103">
      <c r="A4" s="8" t="n">
        <v>16</v>
      </c>
      <c r="B4" s="8" t="inlineStr">
        <is>
          <t>(16)L/Grey</t>
        </is>
      </c>
      <c r="C4" s="8" t="inlineStr">
        <is>
          <t>浅灰色</t>
        </is>
      </c>
      <c r="D4" s="4" t="n"/>
      <c r="E4" s="9" t="inlineStr">
        <is>
          <t>JA</t>
        </is>
      </c>
      <c r="F4" s="9" t="inlineStr">
        <is>
          <t>점퍼</t>
        </is>
      </c>
      <c r="G4" s="9" t="inlineStr">
        <is>
          <t>变形外套</t>
        </is>
      </c>
    </row>
    <row r="5" ht="12.75" customHeight="1" s="103">
      <c r="A5" s="8" t="n">
        <v>17</v>
      </c>
      <c r="B5" s="8" t="inlineStr">
        <is>
          <t>(17)D/Grey</t>
        </is>
      </c>
      <c r="C5" s="8" t="inlineStr">
        <is>
          <t>深灰色</t>
        </is>
      </c>
      <c r="D5" s="4" t="n"/>
      <c r="E5" s="9" t="inlineStr">
        <is>
          <t>JW</t>
        </is>
      </c>
      <c r="F5" s="9" t="inlineStr">
        <is>
          <t>모직코트</t>
        </is>
      </c>
      <c r="G5" s="9" t="inlineStr">
        <is>
          <t>毛呢外套</t>
        </is>
      </c>
    </row>
    <row r="6" ht="12.75" customHeight="1" s="103">
      <c r="A6" s="8" t="n">
        <v>18</v>
      </c>
      <c r="B6" s="8" t="inlineStr">
        <is>
          <t>(18)M/Grey</t>
        </is>
      </c>
      <c r="C6" s="8" t="inlineStr">
        <is>
          <t>中灰色</t>
        </is>
      </c>
      <c r="D6" s="4" t="n"/>
      <c r="E6" s="9" t="inlineStr">
        <is>
          <t>JT</t>
        </is>
      </c>
      <c r="F6" s="9" t="inlineStr">
        <is>
          <t>트렌치</t>
        </is>
      </c>
      <c r="G6" s="9" t="inlineStr">
        <is>
          <t>风衣</t>
        </is>
      </c>
    </row>
    <row r="7" ht="12.75" customHeight="1" s="103">
      <c r="A7" s="8" t="n">
        <v>19</v>
      </c>
      <c r="B7" s="8" t="inlineStr">
        <is>
          <t>(19)Black</t>
        </is>
      </c>
      <c r="C7" s="8" t="inlineStr">
        <is>
          <t>黑色</t>
        </is>
      </c>
      <c r="D7" s="4" t="n"/>
      <c r="E7" s="9" t="inlineStr">
        <is>
          <t>JK</t>
        </is>
      </c>
      <c r="F7" s="9" t="inlineStr">
        <is>
          <t>자켓</t>
        </is>
      </c>
      <c r="G7" s="9" t="inlineStr">
        <is>
          <t>夹克</t>
        </is>
      </c>
    </row>
    <row r="8" ht="12.75" customHeight="1" s="103">
      <c r="A8" s="8" t="n">
        <v>20</v>
      </c>
      <c r="B8" s="8" t="inlineStr">
        <is>
          <t>(20)Red</t>
        </is>
      </c>
      <c r="C8" s="8" t="inlineStr">
        <is>
          <t>红色</t>
        </is>
      </c>
      <c r="D8" s="4" t="n"/>
      <c r="E8" s="9" t="inlineStr">
        <is>
          <t>JJ</t>
        </is>
      </c>
      <c r="F8" s="9" t="inlineStr">
        <is>
          <t>데님자켓</t>
        </is>
      </c>
      <c r="G8" s="9" t="inlineStr">
        <is>
          <t>牛仔夹克</t>
        </is>
      </c>
    </row>
    <row r="9" ht="12.75" customHeight="1" s="103">
      <c r="A9" s="8" t="n">
        <v>25</v>
      </c>
      <c r="B9" s="8" t="inlineStr">
        <is>
          <t>(25)Pink</t>
        </is>
      </c>
      <c r="C9" s="8" t="inlineStr">
        <is>
          <t>粉色</t>
        </is>
      </c>
      <c r="D9" s="4" t="n"/>
      <c r="E9" s="9" t="inlineStr">
        <is>
          <t>JH</t>
        </is>
      </c>
      <c r="F9" s="9" t="n"/>
      <c r="G9" s="9" t="inlineStr">
        <is>
          <t>皮草</t>
        </is>
      </c>
    </row>
    <row r="10" ht="12.75" customHeight="1" s="103">
      <c r="A10" s="8" t="n">
        <v>26</v>
      </c>
      <c r="B10" s="8" t="inlineStr">
        <is>
          <t>(26)L/Pink</t>
        </is>
      </c>
      <c r="C10" s="8" t="inlineStr">
        <is>
          <t>浅粉色</t>
        </is>
      </c>
      <c r="D10" s="4" t="n"/>
      <c r="E10" s="9" t="inlineStr">
        <is>
          <t>JL</t>
        </is>
      </c>
      <c r="F10" s="9" t="inlineStr">
        <is>
          <t>가죽자켓</t>
        </is>
      </c>
      <c r="G10" s="9" t="inlineStr">
        <is>
          <t>皮夹克</t>
        </is>
      </c>
    </row>
    <row r="11" ht="12.75" customHeight="1" s="103">
      <c r="A11" s="8" t="n">
        <v>27</v>
      </c>
      <c r="B11" s="8" t="inlineStr">
        <is>
          <t>(27)D/Pink</t>
        </is>
      </c>
      <c r="C11" s="8" t="inlineStr">
        <is>
          <t>深粉色</t>
        </is>
      </c>
      <c r="D11" s="4" t="n"/>
      <c r="E11" s="9" t="inlineStr">
        <is>
          <t>VK</t>
        </is>
      </c>
      <c r="F11" s="9" t="inlineStr">
        <is>
          <t>스웨터조끼</t>
        </is>
      </c>
      <c r="G11" s="9" t="inlineStr">
        <is>
          <t>毛衫背心</t>
        </is>
      </c>
    </row>
    <row r="12" ht="12.75" customHeight="1" s="103">
      <c r="A12" s="8" t="n">
        <v>30</v>
      </c>
      <c r="B12" s="8" t="inlineStr">
        <is>
          <t>(30)Yellow</t>
        </is>
      </c>
      <c r="C12" s="8" t="inlineStr">
        <is>
          <t>黄色</t>
        </is>
      </c>
      <c r="D12" s="4" t="n"/>
      <c r="E12" s="9" t="inlineStr">
        <is>
          <t>VW</t>
        </is>
      </c>
      <c r="F12" s="9" t="inlineStr">
        <is>
          <t>우븐조끼</t>
        </is>
      </c>
      <c r="G12" s="9" t="inlineStr">
        <is>
          <t>梭织背心</t>
        </is>
      </c>
    </row>
    <row r="13" ht="12.75" customHeight="1" s="103">
      <c r="A13" s="8" t="n">
        <v>31</v>
      </c>
      <c r="B13" s="8" t="inlineStr">
        <is>
          <t>(31)L/Yellow</t>
        </is>
      </c>
      <c r="C13" s="8" t="inlineStr">
        <is>
          <t>浅黄色</t>
        </is>
      </c>
      <c r="D13" s="4" t="n"/>
      <c r="E13" s="9" t="inlineStr">
        <is>
          <t>CK</t>
        </is>
      </c>
      <c r="F13" s="9" t="inlineStr">
        <is>
          <t>카디건</t>
        </is>
      </c>
      <c r="G13" s="9" t="inlineStr">
        <is>
          <t>针织开衫</t>
        </is>
      </c>
    </row>
    <row r="14" ht="12.75" customHeight="1" s="103">
      <c r="A14" s="8" t="n">
        <v>32</v>
      </c>
      <c r="B14" s="8" t="inlineStr">
        <is>
          <t>(32)Mustard Yellow</t>
        </is>
      </c>
      <c r="C14" s="8" t="inlineStr">
        <is>
          <t>芥末黄</t>
        </is>
      </c>
      <c r="D14" s="4" t="n"/>
      <c r="E14" s="9" t="inlineStr">
        <is>
          <t>YC</t>
        </is>
      </c>
      <c r="F14" s="9" t="inlineStr">
        <is>
          <t>체크셔츠</t>
        </is>
      </c>
      <c r="G14" s="9" t="inlineStr">
        <is>
          <t>格子衬衫</t>
        </is>
      </c>
    </row>
    <row r="15" ht="12.75" customHeight="1" s="103">
      <c r="A15" s="8" t="n">
        <v>35</v>
      </c>
      <c r="B15" s="8" t="inlineStr">
        <is>
          <t>(35)Beige</t>
        </is>
      </c>
      <c r="C15" s="8" t="inlineStr">
        <is>
          <t>卡其色</t>
        </is>
      </c>
      <c r="D15" s="4" t="n"/>
      <c r="E15" s="9" t="inlineStr">
        <is>
          <t>YS</t>
        </is>
      </c>
      <c r="F15" s="9" t="inlineStr">
        <is>
          <t>ST셔츠</t>
        </is>
      </c>
      <c r="G15" s="9" t="inlineStr">
        <is>
          <t>条纹衬衣</t>
        </is>
      </c>
    </row>
    <row r="16" ht="12.75" customHeight="1" s="103">
      <c r="A16" s="8" t="n">
        <v>36</v>
      </c>
      <c r="B16" s="8" t="inlineStr">
        <is>
          <t>(36)L/Beige</t>
        </is>
      </c>
      <c r="C16" s="8" t="inlineStr">
        <is>
          <t>浅卡其色</t>
        </is>
      </c>
      <c r="D16" s="4" t="n"/>
      <c r="E16" s="9" t="inlineStr">
        <is>
          <t>YW</t>
        </is>
      </c>
      <c r="F16" s="9" t="inlineStr">
        <is>
          <t>솔리드셔츠</t>
        </is>
      </c>
      <c r="G16" s="9" t="inlineStr">
        <is>
          <t>纯色衬衣</t>
        </is>
      </c>
    </row>
    <row r="17" ht="12.75" customHeight="1" s="103">
      <c r="A17" s="8" t="n">
        <v>37</v>
      </c>
      <c r="B17" s="8" t="inlineStr">
        <is>
          <t>(37)D/Beige</t>
        </is>
      </c>
      <c r="C17" s="8" t="inlineStr">
        <is>
          <t>深卡其色</t>
        </is>
      </c>
      <c r="D17" s="4" t="n"/>
      <c r="E17" s="9" t="inlineStr">
        <is>
          <t>YJ</t>
        </is>
      </c>
      <c r="F17" s="9" t="inlineStr">
        <is>
          <t>데님셔츠</t>
        </is>
      </c>
      <c r="G17" s="9" t="inlineStr">
        <is>
          <t>牛仔衬衫</t>
        </is>
      </c>
    </row>
    <row r="18" ht="12.75" customHeight="1" s="103">
      <c r="A18" s="8" t="n">
        <v>39</v>
      </c>
      <c r="B18" s="8" t="inlineStr">
        <is>
          <t>(39)Ivory</t>
        </is>
      </c>
      <c r="C18" s="8" t="inlineStr">
        <is>
          <t>象牙白/白色</t>
        </is>
      </c>
      <c r="D18" s="4" t="n"/>
      <c r="E18" s="9" t="inlineStr">
        <is>
          <t>BW</t>
        </is>
      </c>
      <c r="F18" s="9" t="inlineStr">
        <is>
          <t>플리우스</t>
        </is>
      </c>
      <c r="G18" s="9" t="inlineStr">
        <is>
          <t>雪纺衬衫</t>
        </is>
      </c>
    </row>
    <row r="19" ht="12.75" customHeight="1" s="103">
      <c r="A19" s="8" t="n">
        <v>40</v>
      </c>
      <c r="B19" s="8" t="inlineStr">
        <is>
          <t>(40)Green</t>
        </is>
      </c>
      <c r="C19" s="8" t="inlineStr">
        <is>
          <t>绿色</t>
        </is>
      </c>
      <c r="D19" s="4" t="n"/>
      <c r="E19" s="9" t="inlineStr">
        <is>
          <t>KW</t>
        </is>
      </c>
      <c r="F19" s="9" t="inlineStr">
        <is>
          <t>스웨터</t>
        </is>
      </c>
      <c r="G19" s="9" t="inlineStr">
        <is>
          <t>毛衣（套头）</t>
        </is>
      </c>
    </row>
    <row r="20" ht="12.75" customHeight="1" s="103">
      <c r="A20" s="8" t="n">
        <v>41</v>
      </c>
      <c r="B20" s="8" t="inlineStr">
        <is>
          <t>(41)L/Green</t>
        </is>
      </c>
      <c r="C20" s="8" t="inlineStr">
        <is>
          <t>浅绿色</t>
        </is>
      </c>
      <c r="D20" s="4" t="n"/>
      <c r="E20" s="9" t="inlineStr">
        <is>
          <t>HW</t>
        </is>
      </c>
      <c r="F20" s="9" t="inlineStr">
        <is>
          <t>피케티셔츠</t>
        </is>
      </c>
      <c r="G20" s="9" t="inlineStr">
        <is>
          <t>POLO衫</t>
        </is>
      </c>
    </row>
    <row r="21" ht="12.75" customHeight="1" s="103">
      <c r="A21" s="8" t="n">
        <v>42</v>
      </c>
      <c r="B21" s="8" t="inlineStr">
        <is>
          <t>(42)M/Green</t>
        </is>
      </c>
      <c r="C21" s="8" t="inlineStr">
        <is>
          <t>果冻薄荷</t>
        </is>
      </c>
      <c r="D21" s="4" t="n"/>
      <c r="E21" s="9" t="inlineStr">
        <is>
          <t>MT</t>
        </is>
      </c>
      <c r="F21" s="9" t="inlineStr">
        <is>
          <t>맨투맨</t>
        </is>
      </c>
      <c r="G21" s="9" t="inlineStr">
        <is>
          <t>卫衣</t>
        </is>
      </c>
    </row>
    <row r="22" ht="12.75" customHeight="1" s="103">
      <c r="A22" s="8" t="n">
        <v>49</v>
      </c>
      <c r="B22" s="8" t="inlineStr">
        <is>
          <t>(49)Khaki</t>
        </is>
      </c>
      <c r="C22" s="8" t="inlineStr">
        <is>
          <t>军绿色</t>
        </is>
      </c>
      <c r="D22" s="4" t="n"/>
      <c r="E22" s="9" t="inlineStr">
        <is>
          <t>LA</t>
        </is>
      </c>
      <c r="F22" s="9" t="inlineStr">
        <is>
          <t>티셔츠(롱)</t>
        </is>
      </c>
      <c r="G22" s="9" t="inlineStr">
        <is>
          <t>T恤（长）</t>
        </is>
      </c>
    </row>
    <row r="23" ht="12.75" customHeight="1" s="103">
      <c r="A23" s="8" t="n">
        <v>50</v>
      </c>
      <c r="B23" s="8" t="inlineStr">
        <is>
          <t>(50)Blue</t>
        </is>
      </c>
      <c r="C23" s="8" t="inlineStr">
        <is>
          <t>蓝色</t>
        </is>
      </c>
      <c r="D23" s="4" t="n"/>
      <c r="E23" s="9" t="inlineStr">
        <is>
          <t>RA</t>
        </is>
      </c>
      <c r="F23" s="9" t="inlineStr">
        <is>
          <t>티셔츠(숏)</t>
        </is>
      </c>
      <c r="G23" s="9" t="inlineStr">
        <is>
          <t>T恤（短）</t>
        </is>
      </c>
    </row>
    <row r="24" ht="12.75" customHeight="1" s="103">
      <c r="A24" s="8" t="n">
        <v>51</v>
      </c>
      <c r="B24" s="8" t="inlineStr">
        <is>
          <t>(51)L/Blue</t>
        </is>
      </c>
      <c r="C24" s="8" t="inlineStr">
        <is>
          <t>浅蓝色</t>
        </is>
      </c>
      <c r="D24" s="4" t="n"/>
      <c r="E24" s="9" t="inlineStr">
        <is>
          <t>TA</t>
        </is>
      </c>
      <c r="F24" s="9" t="inlineStr">
        <is>
          <t>점프수트</t>
        </is>
      </c>
      <c r="G24" s="9" t="inlineStr">
        <is>
          <t>变型裤</t>
        </is>
      </c>
    </row>
    <row r="25" ht="12.75" customHeight="1" s="103">
      <c r="A25" s="8" t="n">
        <v>52</v>
      </c>
      <c r="B25" s="8" t="inlineStr">
        <is>
          <t>(52)D/Blue</t>
        </is>
      </c>
      <c r="C25" s="8" t="inlineStr">
        <is>
          <t>深蓝色</t>
        </is>
      </c>
      <c r="D25" s="4" t="n"/>
      <c r="E25" s="9" t="inlineStr">
        <is>
          <t>TC</t>
        </is>
      </c>
      <c r="F25" s="9" t="inlineStr">
        <is>
          <t>면바지</t>
        </is>
      </c>
      <c r="G25" s="9" t="inlineStr">
        <is>
          <t>棉质裤子</t>
        </is>
      </c>
    </row>
    <row r="26" ht="12.75" customHeight="1" s="103">
      <c r="A26" s="8" t="n">
        <v>55</v>
      </c>
      <c r="B26" s="8" t="inlineStr">
        <is>
          <t>(55)Indigo</t>
        </is>
      </c>
      <c r="C26" s="8" t="inlineStr">
        <is>
          <t>牛仔色</t>
        </is>
      </c>
      <c r="D26" s="4" t="n"/>
      <c r="E26" s="9" t="inlineStr">
        <is>
          <t>TH</t>
        </is>
      </c>
      <c r="F26" s="9" t="inlineStr">
        <is>
          <t>반바지</t>
        </is>
      </c>
      <c r="G26" s="9" t="inlineStr">
        <is>
          <t>短裤</t>
        </is>
      </c>
    </row>
    <row r="27" ht="12.75" customHeight="1" s="103">
      <c r="A27" s="8" t="n">
        <v>56</v>
      </c>
      <c r="B27" s="8" t="inlineStr">
        <is>
          <t>(56)L/Indigo</t>
        </is>
      </c>
      <c r="C27" s="8" t="inlineStr">
        <is>
          <t>浅牛仔色</t>
        </is>
      </c>
      <c r="D27" s="4" t="n"/>
      <c r="E27" s="9" t="inlineStr">
        <is>
          <t>TJ</t>
        </is>
      </c>
      <c r="F27" s="9" t="inlineStr">
        <is>
          <t>청바지</t>
        </is>
      </c>
      <c r="G27" s="9" t="inlineStr">
        <is>
          <t>牛仔裤</t>
        </is>
      </c>
    </row>
    <row r="28" ht="12.75" customHeight="1" s="103">
      <c r="A28" s="8" t="n">
        <v>57</v>
      </c>
      <c r="B28" s="8" t="inlineStr">
        <is>
          <t>(57)D/Indigo</t>
        </is>
      </c>
      <c r="C28" s="8" t="inlineStr">
        <is>
          <t>深牛仔色</t>
        </is>
      </c>
      <c r="D28" s="4" t="n"/>
      <c r="E28" s="9" t="inlineStr">
        <is>
          <t>TM</t>
        </is>
      </c>
      <c r="F28" s="9" t="inlineStr">
        <is>
          <t>다이마루바지</t>
        </is>
      </c>
      <c r="G28" s="9" t="inlineStr">
        <is>
          <t>针织裤</t>
        </is>
      </c>
    </row>
    <row r="29" ht="12.75" customHeight="1" s="103">
      <c r="A29" s="8" t="n">
        <v>59</v>
      </c>
      <c r="B29" s="8" t="inlineStr">
        <is>
          <t>(59)Navy</t>
        </is>
      </c>
      <c r="C29" s="8" t="inlineStr">
        <is>
          <t>藏青色</t>
        </is>
      </c>
      <c r="D29" s="4" t="n"/>
      <c r="E29" s="9" t="inlineStr">
        <is>
          <t>TW</t>
        </is>
      </c>
      <c r="F29" s="9" t="inlineStr">
        <is>
          <t>모직바지</t>
        </is>
      </c>
      <c r="G29" s="9" t="inlineStr">
        <is>
          <t>羊毛裤</t>
        </is>
      </c>
    </row>
    <row r="30" ht="12.75" customHeight="1" s="103">
      <c r="A30" s="8" t="n">
        <v>62</v>
      </c>
      <c r="B30" s="8" t="inlineStr">
        <is>
          <t>(62)Hunter</t>
        </is>
      </c>
      <c r="C30" s="8" t="inlineStr">
        <is>
          <t>军绿色</t>
        </is>
      </c>
      <c r="D30" s="4" t="n"/>
      <c r="E30" s="9" t="inlineStr">
        <is>
          <t>OW</t>
        </is>
      </c>
      <c r="F30" s="9" t="inlineStr">
        <is>
          <t>우븐원피스</t>
        </is>
      </c>
      <c r="G30" s="9" t="inlineStr">
        <is>
          <t>梭织连衣裙</t>
        </is>
      </c>
    </row>
    <row r="31" ht="12.75" customHeight="1" s="103">
      <c r="A31" s="8" t="n">
        <v>64</v>
      </c>
      <c r="B31" s="8" t="inlineStr">
        <is>
          <t>(64)Cream</t>
        </is>
      </c>
      <c r="C31" s="8" t="inlineStr">
        <is>
          <t>乳白色</t>
        </is>
      </c>
      <c r="D31" s="4" t="n"/>
      <c r="E31" s="9" t="inlineStr">
        <is>
          <t>OM</t>
        </is>
      </c>
      <c r="F31" s="9" t="inlineStr">
        <is>
          <t>니트원피스</t>
        </is>
      </c>
      <c r="G31" s="9" t="inlineStr">
        <is>
          <t>针织连衣裙</t>
        </is>
      </c>
    </row>
    <row r="32" ht="12.75" customHeight="1" s="103">
      <c r="A32" s="8" t="n">
        <v>70</v>
      </c>
      <c r="B32" s="8" t="inlineStr">
        <is>
          <t>(70)Violet</t>
        </is>
      </c>
      <c r="C32" s="8" t="inlineStr">
        <is>
          <t>紫罗兰</t>
        </is>
      </c>
      <c r="D32" s="4" t="n"/>
      <c r="E32" s="9" t="inlineStr">
        <is>
          <t>OK</t>
        </is>
      </c>
      <c r="F32" s="7" t="inlineStr">
        <is>
          <t>스웨터원피스</t>
        </is>
      </c>
      <c r="G32" s="9" t="inlineStr">
        <is>
          <t>毛衫裙</t>
        </is>
      </c>
    </row>
    <row r="33" ht="12.75" customHeight="1" s="103">
      <c r="A33" s="8" t="n">
        <v>75</v>
      </c>
      <c r="B33" s="8" t="inlineStr">
        <is>
          <t>(75)Purple</t>
        </is>
      </c>
      <c r="C33" s="8" t="inlineStr">
        <is>
          <t>葡萄紫</t>
        </is>
      </c>
      <c r="D33" s="4" t="n"/>
      <c r="E33" s="9" t="inlineStr">
        <is>
          <t>OJ</t>
        </is>
      </c>
      <c r="F33" s="9" t="inlineStr">
        <is>
          <t>데님원피스</t>
        </is>
      </c>
      <c r="G33" s="9" t="inlineStr">
        <is>
          <t>牛仔连衣裙</t>
        </is>
      </c>
    </row>
    <row r="34" ht="12.75" customHeight="1" s="103">
      <c r="A34" s="8" t="n">
        <v>79</v>
      </c>
      <c r="B34" s="8" t="inlineStr">
        <is>
          <t>(79)Olive Green</t>
        </is>
      </c>
      <c r="C34" s="8" t="inlineStr">
        <is>
          <t>橄榄绿</t>
        </is>
      </c>
      <c r="D34" s="4" t="n"/>
      <c r="E34" s="9" t="inlineStr">
        <is>
          <t>WH</t>
        </is>
      </c>
      <c r="F34" s="9" t="inlineStr">
        <is>
          <t>우븐스커트</t>
        </is>
      </c>
      <c r="G34" s="9" t="inlineStr">
        <is>
          <t>梭织半裙</t>
        </is>
      </c>
    </row>
    <row r="35" ht="12.75" customHeight="1" s="103">
      <c r="A35" s="8" t="n">
        <v>84</v>
      </c>
      <c r="B35" s="8" t="inlineStr">
        <is>
          <t>(84)Mint</t>
        </is>
      </c>
      <c r="C35" s="8" t="inlineStr">
        <is>
          <t>薄荷色</t>
        </is>
      </c>
      <c r="D35" s="4" t="n"/>
      <c r="E35" s="9" t="inlineStr">
        <is>
          <t>WJ</t>
        </is>
      </c>
      <c r="F35" s="9" t="inlineStr">
        <is>
          <t>데님스커트</t>
        </is>
      </c>
      <c r="G35" s="9" t="inlineStr">
        <is>
          <t>牛仔半裙</t>
        </is>
      </c>
    </row>
    <row r="36" ht="12.75" customHeight="1" s="103">
      <c r="A36" s="8" t="n">
        <v>85</v>
      </c>
      <c r="B36" s="8" t="inlineStr">
        <is>
          <t>(85)Brown</t>
        </is>
      </c>
      <c r="C36" s="8" t="inlineStr">
        <is>
          <t>棕色</t>
        </is>
      </c>
      <c r="D36" s="4" t="n"/>
      <c r="E36" s="9" t="inlineStr">
        <is>
          <t>SK</t>
        </is>
      </c>
      <c r="F36" s="9" t="inlineStr">
        <is>
          <t>스웨터스커트</t>
        </is>
      </c>
      <c r="G36" s="9" t="inlineStr">
        <is>
          <t>毛织半裙</t>
        </is>
      </c>
    </row>
    <row r="37" ht="12.75" customHeight="1" s="103">
      <c r="A37" s="8" t="n">
        <v>86</v>
      </c>
      <c r="B37" s="8" t="inlineStr">
        <is>
          <t>(86)Light Brown</t>
        </is>
      </c>
      <c r="C37" s="8" t="inlineStr">
        <is>
          <t>浅棕色</t>
        </is>
      </c>
      <c r="D37" s="4" t="n"/>
      <c r="E37" s="9" t="inlineStr">
        <is>
          <t>SM</t>
        </is>
      </c>
      <c r="F37" s="9" t="inlineStr">
        <is>
          <t>니트세트</t>
        </is>
      </c>
      <c r="G37" s="9" t="inlineStr">
        <is>
          <t>针织套装</t>
        </is>
      </c>
    </row>
    <row r="38" ht="12.75" customHeight="1" s="103">
      <c r="A38" s="8" t="n">
        <v>88</v>
      </c>
      <c r="B38" s="8" t="inlineStr">
        <is>
          <t>(88)Lavender</t>
        </is>
      </c>
      <c r="C38" s="8" t="inlineStr">
        <is>
          <t>浅紫色</t>
        </is>
      </c>
      <c r="D38" s="4" t="n"/>
      <c r="E38" s="9" t="inlineStr">
        <is>
          <t>WM</t>
        </is>
      </c>
      <c r="F38" s="9" t="n"/>
      <c r="G38" s="9" t="inlineStr">
        <is>
          <t>针织半裙</t>
        </is>
      </c>
    </row>
    <row r="39" ht="12.75" customHeight="1" s="103">
      <c r="A39" s="8" t="n">
        <v>92</v>
      </c>
      <c r="B39" s="8" t="inlineStr">
        <is>
          <t>(92)Gold</t>
        </is>
      </c>
      <c r="C39" s="8" t="inlineStr">
        <is>
          <t>金色</t>
        </is>
      </c>
      <c r="D39" s="4" t="n"/>
      <c r="E39" s="9" t="inlineStr">
        <is>
          <t>AK</t>
        </is>
      </c>
      <c r="F39" s="9" t="inlineStr">
        <is>
          <t>가방</t>
        </is>
      </c>
      <c r="G39" s="9" t="inlineStr">
        <is>
          <t>包包</t>
        </is>
      </c>
    </row>
    <row r="40" ht="12.75" customHeight="1" s="103">
      <c r="A40" s="8" t="n">
        <v>95</v>
      </c>
      <c r="B40" s="8" t="inlineStr">
        <is>
          <t>(95)Twotone</t>
        </is>
      </c>
      <c r="C40" s="8" t="inlineStr">
        <is>
          <t>Twotone</t>
        </is>
      </c>
      <c r="D40" s="4" t="n"/>
      <c r="E40" s="9" t="inlineStr">
        <is>
          <t>AS</t>
        </is>
      </c>
      <c r="F40" s="9" t="inlineStr">
        <is>
          <t>스카프</t>
        </is>
      </c>
      <c r="G40" s="9" t="inlineStr">
        <is>
          <t>丝巾</t>
        </is>
      </c>
    </row>
    <row r="41" ht="12.75" customHeight="1" s="103">
      <c r="A41" s="8" t="n">
        <v>99</v>
      </c>
      <c r="B41" s="8" t="inlineStr">
        <is>
          <t>(99)Mix</t>
        </is>
      </c>
      <c r="C41" s="8" t="inlineStr">
        <is>
          <t>撞色</t>
        </is>
      </c>
      <c r="D41" s="4" t="n"/>
      <c r="E41" s="9" t="inlineStr">
        <is>
          <t>AY</t>
        </is>
      </c>
      <c r="F41" s="9" t="inlineStr">
        <is>
          <t>양말</t>
        </is>
      </c>
      <c r="G41" s="9" t="inlineStr">
        <is>
          <t>袜子</t>
        </is>
      </c>
    </row>
    <row r="42" ht="12.75" customHeight="1" s="103">
      <c r="A42" s="8" t="n">
        <v>10</v>
      </c>
      <c r="B42" s="8" t="inlineStr">
        <is>
          <t>(10)White</t>
        </is>
      </c>
      <c r="C42" s="8" t="inlineStr">
        <is>
          <t>白色</t>
        </is>
      </c>
      <c r="D42" s="4" t="n"/>
      <c r="E42" s="9" t="inlineStr">
        <is>
          <t>AC</t>
        </is>
      </c>
      <c r="F42" s="9" t="inlineStr">
        <is>
          <t>모자</t>
        </is>
      </c>
      <c r="G42" s="9" t="inlineStr">
        <is>
          <t>帽子</t>
        </is>
      </c>
    </row>
    <row r="43" ht="12.75" customHeight="1" s="103">
      <c r="A43" s="8" t="n">
        <v>3</v>
      </c>
      <c r="B43" s="8" t="inlineStr">
        <is>
          <t>(03)D/NAVY</t>
        </is>
      </c>
      <c r="C43" s="8" t="inlineStr">
        <is>
          <t>藏青色</t>
        </is>
      </c>
      <c r="D43" s="4" t="n"/>
      <c r="E43" s="9" t="inlineStr">
        <is>
          <t>AB</t>
        </is>
      </c>
      <c r="F43" s="9" t="inlineStr">
        <is>
          <t>벨트</t>
        </is>
      </c>
      <c r="G43" s="9" t="inlineStr">
        <is>
          <t>腰带</t>
        </is>
      </c>
    </row>
    <row r="44" ht="12.75" customHeight="1" s="103">
      <c r="A44" s="8" t="n">
        <v>22</v>
      </c>
      <c r="B44" s="8" t="inlineStr">
        <is>
          <t>(22)D/BROWN</t>
        </is>
      </c>
      <c r="C44" s="8" t="inlineStr">
        <is>
          <t>暗棕色</t>
        </is>
      </c>
      <c r="D44" s="4" t="n"/>
      <c r="E44" s="9" t="inlineStr">
        <is>
          <t>AQ</t>
        </is>
      </c>
      <c r="F44" s="9" t="inlineStr">
        <is>
          <t>지갑</t>
        </is>
      </c>
      <c r="G44" s="9" t="inlineStr">
        <is>
          <t>钱包</t>
        </is>
      </c>
    </row>
    <row r="45" ht="12.75" customHeight="1" s="103">
      <c r="A45" s="4" t="n"/>
      <c r="B45" s="4" t="n"/>
      <c r="C45" s="4" t="n"/>
      <c r="D45" s="4" t="n"/>
      <c r="E45" s="9" t="inlineStr">
        <is>
          <t>AM</t>
        </is>
      </c>
      <c r="F45" s="9" t="inlineStr">
        <is>
          <t>머플러</t>
        </is>
      </c>
      <c r="G45" s="9" t="inlineStr">
        <is>
          <t>围巾</t>
        </is>
      </c>
    </row>
    <row r="46" ht="12.75" customHeight="1" s="103">
      <c r="A46" s="4" t="n"/>
      <c r="B46" s="4" t="n"/>
      <c r="C46" s="4" t="n"/>
      <c r="D46" s="4" t="n"/>
      <c r="E46" s="9" t="inlineStr">
        <is>
          <t>CF</t>
        </is>
      </c>
      <c r="F46" s="9" t="inlineStr">
        <is>
          <t>클러치백</t>
        </is>
      </c>
      <c r="G46" s="9" t="inlineStr">
        <is>
          <t>挂饰，手包</t>
        </is>
      </c>
    </row>
    <row r="47" ht="18.75" customHeight="1" s="103">
      <c r="A47" s="4" t="n"/>
      <c r="B47" s="4" t="n"/>
      <c r="C47" s="4" t="n"/>
      <c r="D47" s="4" t="n"/>
      <c r="E47" s="9" t="inlineStr">
        <is>
          <t>YP</t>
        </is>
      </c>
      <c r="F47" s="9" t="inlineStr">
        <is>
          <t>Denim셔츠</t>
        </is>
      </c>
      <c r="G47" s="9" t="inlineStr">
        <is>
          <t>牛仔衬衫</t>
        </is>
      </c>
    </row>
    <row r="48" ht="12.75" customHeight="1" s="103">
      <c r="A48" s="4" t="n"/>
      <c r="B48" s="4" t="n"/>
      <c r="C48" s="4" t="n"/>
      <c r="D48" s="4" t="n"/>
      <c r="E48" s="9" t="inlineStr">
        <is>
          <t>RN</t>
        </is>
      </c>
      <c r="F48" s="9" t="inlineStr">
        <is>
          <t>상의</t>
        </is>
      </c>
      <c r="G48" s="9" t="inlineStr">
        <is>
          <t>针织背心</t>
        </is>
      </c>
    </row>
    <row r="49" ht="12.75" customHeight="1" s="103">
      <c r="A49" s="4" t="n"/>
      <c r="B49" s="4" t="n"/>
      <c r="C49" s="4" t="n"/>
      <c r="D49" s="4" t="n"/>
      <c r="E49" s="9" t="inlineStr">
        <is>
          <t>YA</t>
        </is>
      </c>
      <c r="F49" s="9" t="inlineStr">
        <is>
          <t>상의</t>
        </is>
      </c>
      <c r="G49" s="11" t="inlineStr">
        <is>
          <t>变形衬衫</t>
        </is>
      </c>
    </row>
    <row r="50" ht="12.75" customHeight="1" s="103">
      <c r="A50" s="4" t="n"/>
      <c r="B50" s="4" t="n"/>
      <c r="C50" s="4" t="n"/>
      <c r="D50" s="4" t="n"/>
      <c r="E50" s="9" t="inlineStr">
        <is>
          <t>RS</t>
        </is>
      </c>
      <c r="F50" s="9" t="inlineStr">
        <is>
          <t>상의</t>
        </is>
      </c>
      <c r="G50" s="11" t="inlineStr">
        <is>
          <t>条纹短袖T恤</t>
        </is>
      </c>
    </row>
    <row r="51" ht="12.75" customHeight="1" s="103">
      <c r="A51" s="4" t="n"/>
      <c r="B51" s="4" t="n"/>
      <c r="C51" s="4" t="n"/>
      <c r="D51" s="4" t="n"/>
      <c r="E51" s="9" t="inlineStr">
        <is>
          <t>TK</t>
        </is>
      </c>
      <c r="F51" s="9" t="inlineStr">
        <is>
          <t>하의</t>
        </is>
      </c>
      <c r="G51" s="9" t="inlineStr">
        <is>
          <t>毛织裤子</t>
        </is>
      </c>
    </row>
    <row r="52" ht="12.75" customHeight="1" s="103"/>
    <row r="53" ht="12.75" customHeight="1" s="103"/>
    <row r="54" ht="12.75" customHeight="1" s="103"/>
    <row r="55" ht="12.75" customHeight="1" s="103"/>
    <row r="56" ht="12.75" customHeight="1" s="103"/>
    <row r="57" ht="12.75" customHeight="1" s="103"/>
    <row r="58" ht="12.75" customHeight="1" s="103"/>
    <row r="59" ht="12.75" customHeight="1" s="103"/>
    <row r="60" ht="12.75" customHeight="1" s="103"/>
    <row r="61" ht="12.75" customHeight="1" s="103"/>
    <row r="62" ht="12.75" customHeight="1" s="103"/>
    <row r="63" ht="12.75" customHeight="1" s="103"/>
    <row r="64" ht="12.75" customHeight="1" s="103"/>
    <row r="65" ht="12.75" customHeight="1" s="103"/>
    <row r="66" ht="12.75" customHeight="1" s="103"/>
    <row r="67" ht="12.75" customHeight="1" s="103"/>
    <row r="68" ht="12.75" customHeight="1" s="103"/>
    <row r="69" ht="12.75" customHeight="1" s="103"/>
    <row r="70" ht="12.75" customHeight="1" s="103"/>
    <row r="71" ht="12.75" customHeight="1" s="103"/>
    <row r="72" ht="12.75" customHeight="1" s="103"/>
    <row r="73" ht="12.75" customHeight="1" s="10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tabSelected="1" workbookViewId="0">
      <selection activeCell="I38" sqref="I38"/>
    </sheetView>
  </sheetViews>
  <sheetFormatPr baseColWidth="8" defaultColWidth="9" defaultRowHeight="12.75"/>
  <cols>
    <col width="12.5714285714286" customWidth="1" style="1" min="1" max="1"/>
    <col width="9.142857142857141" customWidth="1" style="1" min="2" max="16384"/>
  </cols>
  <sheetData>
    <row r="1">
      <c r="A1" s="1" t="inlineStr">
        <is>
          <t>代码</t>
        </is>
      </c>
      <c r="B1" s="1" t="inlineStr">
        <is>
          <t>销售</t>
        </is>
      </c>
      <c r="C1" s="1" t="inlineStr">
        <is>
          <t>位置</t>
        </is>
      </c>
    </row>
    <row r="2">
      <c r="A2" s="1" t="inlineStr">
        <is>
          <t>EEWHG23B02</t>
        </is>
      </c>
      <c r="B2" s="1" t="n">
        <v>0</v>
      </c>
      <c r="C2" s="1">
        <f>VLOOKUP(A2,[1]LAYOUT!B:C,2,0)</f>
        <v/>
      </c>
    </row>
    <row r="3">
      <c r="A3" s="1" t="inlineStr">
        <is>
          <t>EEKWG25E01</t>
        </is>
      </c>
      <c r="B3" s="1" t="n">
        <v>0</v>
      </c>
      <c r="C3" s="1">
        <f>VLOOKUP(A3,[1]LAYOUT!B:C,2,0)</f>
        <v/>
      </c>
    </row>
    <row r="4">
      <c r="A4" s="1" t="inlineStr">
        <is>
          <t>EECKG23B03</t>
        </is>
      </c>
      <c r="B4" s="1" t="n">
        <v>0</v>
      </c>
      <c r="C4" s="1">
        <f>VLOOKUP(A4,[1]LAYOUT!B:C,2,0)</f>
        <v/>
      </c>
    </row>
    <row r="5">
      <c r="A5" s="1" t="inlineStr">
        <is>
          <t>EEOWG25Q91</t>
        </is>
      </c>
      <c r="B5" s="1" t="n">
        <v>0</v>
      </c>
      <c r="C5" s="1">
        <f>VLOOKUP(A5,[1]LAYOUT!B:C,2,0)</f>
        <v/>
      </c>
    </row>
    <row r="6">
      <c r="A6" s="1" t="inlineStr">
        <is>
          <t>EEWJG23B01</t>
        </is>
      </c>
      <c r="B6" s="1" t="n">
        <v>0</v>
      </c>
      <c r="C6" s="1">
        <f>VLOOKUP(A6,[1]LAYOUT!B:C,2,0)</f>
        <v/>
      </c>
    </row>
    <row r="7">
      <c r="A7" s="1" t="inlineStr">
        <is>
          <t>EETHG24E03</t>
        </is>
      </c>
      <c r="B7" s="1" t="n">
        <v>0</v>
      </c>
      <c r="C7" s="1">
        <f>VLOOKUP(A7,[1]LAYOUT!B:C,2,0)</f>
        <v/>
      </c>
    </row>
    <row r="8">
      <c r="A8" s="1" t="inlineStr">
        <is>
          <t>EEYSG24E04</t>
        </is>
      </c>
      <c r="B8" s="1" t="n">
        <v>0</v>
      </c>
      <c r="C8" s="1">
        <f>VLOOKUP(A8,[1]LAYOUT!B:C,2,0)</f>
        <v/>
      </c>
    </row>
    <row r="9">
      <c r="A9" s="1" t="inlineStr">
        <is>
          <t>EEOWG26B03</t>
        </is>
      </c>
      <c r="B9" s="1" t="n">
        <v>0</v>
      </c>
      <c r="C9" s="1">
        <f>VLOOKUP(A9,[1]LAYOUT!B:C,2,0)</f>
        <v/>
      </c>
    </row>
    <row r="10">
      <c r="A10" s="1" t="inlineStr">
        <is>
          <t>EECKG25D03</t>
        </is>
      </c>
      <c r="B10" s="1" t="n">
        <v>0</v>
      </c>
      <c r="C10" s="1">
        <f>VLOOKUP(A10,[1]LAYOUT!B:C,2,0)</f>
        <v/>
      </c>
    </row>
    <row r="11">
      <c r="A11" s="1" t="inlineStr">
        <is>
          <t>EEASG24Q1S</t>
        </is>
      </c>
      <c r="B11" s="1" t="n">
        <v>0</v>
      </c>
      <c r="C11" s="1">
        <f>VLOOKUP(A11,[1]LAYOUT!B:C,2,0)</f>
        <v/>
      </c>
    </row>
    <row r="12">
      <c r="A12" s="1" t="inlineStr">
        <is>
          <t>EEVKG23B02</t>
        </is>
      </c>
      <c r="B12" s="1" t="n">
        <v>0</v>
      </c>
      <c r="C12" s="1">
        <f>VLOOKUP(A12,[1]LAYOUT!B:C,2,0)</f>
        <v/>
      </c>
    </row>
    <row r="13">
      <c r="A13" s="1" t="inlineStr">
        <is>
          <t>EERAG26B03</t>
        </is>
      </c>
      <c r="B13" s="1" t="n">
        <v>0</v>
      </c>
      <c r="C13" s="1">
        <f>VLOOKUP(A13,[1]LAYOUT!B:C,2,0)</f>
        <v/>
      </c>
    </row>
    <row r="14">
      <c r="A14" s="1" t="inlineStr">
        <is>
          <t>EEYSG25B1G</t>
        </is>
      </c>
      <c r="B14" s="1" t="n">
        <v>0</v>
      </c>
      <c r="C14" s="1">
        <f>VLOOKUP(A14,[1]LAYOUT!B:C,2,0)</f>
        <v/>
      </c>
    </row>
    <row r="15">
      <c r="A15" s="1" t="inlineStr">
        <is>
          <t>EEYCG25B1G</t>
        </is>
      </c>
      <c r="B15" s="1" t="n">
        <v>0</v>
      </c>
      <c r="C15" s="1">
        <f>VLOOKUP(A15,[1]LAYOUT!B:C,2,0)</f>
        <v/>
      </c>
    </row>
    <row r="16">
      <c r="A16" s="1" t="inlineStr">
        <is>
          <t>EEYPG25B1G</t>
        </is>
      </c>
      <c r="B16" s="1" t="n">
        <v>0</v>
      </c>
      <c r="C16" s="1">
        <f>VLOOKUP(A16,[1]LAYOUT!B:C,2,0)</f>
        <v/>
      </c>
    </row>
    <row r="17">
      <c r="A17" s="1" t="inlineStr">
        <is>
          <t>EERAG23B1G</t>
        </is>
      </c>
      <c r="B17" s="1" t="n">
        <v>0</v>
      </c>
      <c r="C17" s="1">
        <f>VLOOKUP(A17,[1]LAYOUT!B:C,2,0)</f>
        <v/>
      </c>
    </row>
    <row r="18">
      <c r="A18" s="1" t="inlineStr">
        <is>
          <t>EEHWG25B2G</t>
        </is>
      </c>
      <c r="B18" s="1" t="n">
        <v>0</v>
      </c>
      <c r="C18" s="1">
        <f>VLOOKUP(A18,[1]LAYOUT!B:C,2,0)</f>
        <v/>
      </c>
    </row>
    <row r="19">
      <c r="A19" s="1" t="inlineStr">
        <is>
          <t>EEYWG26B01</t>
        </is>
      </c>
      <c r="B19" s="1" t="n">
        <v>0</v>
      </c>
      <c r="C19" s="1">
        <f>VLOOKUP(A19,[1]LAYOUT!B:C,2,0)</f>
        <v/>
      </c>
    </row>
    <row r="20">
      <c r="A20" s="1" t="inlineStr">
        <is>
          <t>EEWHG64S02</t>
        </is>
      </c>
      <c r="B20" s="1" t="n">
        <v>0</v>
      </c>
      <c r="C20" s="1">
        <f>VLOOKUP(A20,[1]LAYOUT!B:C,2,0)</f>
        <v/>
      </c>
    </row>
    <row r="21">
      <c r="A21" s="1" t="inlineStr">
        <is>
          <t>EEWHG23R31</t>
        </is>
      </c>
      <c r="B21" s="1" t="n">
        <v>0</v>
      </c>
      <c r="C21" s="1">
        <f>VLOOKUP(A21,[1]LAYOUT!B:C,2,0)</f>
        <v/>
      </c>
    </row>
    <row r="22">
      <c r="A22" s="1" t="inlineStr">
        <is>
          <t>EETMG25B51</t>
        </is>
      </c>
      <c r="B22" s="1" t="n">
        <v>0</v>
      </c>
      <c r="C22" s="1">
        <f>VLOOKUP(A22,[1]LAYOUT!B:C,2,0)</f>
        <v/>
      </c>
    </row>
    <row r="23">
      <c r="A23" s="1" t="inlineStr">
        <is>
          <t>EETCG24E01</t>
        </is>
      </c>
      <c r="B23" s="1" t="n">
        <v>0</v>
      </c>
      <c r="C23" s="1">
        <f>VLOOKUP(A23,[1]LAYOUT!B:C,2,0)</f>
        <v/>
      </c>
    </row>
    <row r="24">
      <c r="A24" s="1" t="inlineStr">
        <is>
          <t>EEOWG25B09</t>
        </is>
      </c>
      <c r="B24" s="1" t="n">
        <v>0</v>
      </c>
      <c r="C24" s="1">
        <f>VLOOKUP(A24,[1]LAYOUT!B:C,2,0)</f>
        <v/>
      </c>
    </row>
    <row r="25">
      <c r="A25" s="1" t="inlineStr">
        <is>
          <t>EEWHG25E52</t>
        </is>
      </c>
      <c r="B25" s="1" t="n">
        <v>0</v>
      </c>
      <c r="C25" s="1">
        <f>VLOOKUP(A25,[1]LAYOUT!B:C,2,0)</f>
        <v/>
      </c>
    </row>
    <row r="26">
      <c r="A26" s="1" t="inlineStr">
        <is>
          <t>EETKG25D01</t>
        </is>
      </c>
      <c r="B26" s="1" t="n">
        <v>0</v>
      </c>
      <c r="C26" s="1">
        <f>VLOOKUP(A26,[1]LAYOUT!B:C,2,0)</f>
        <v/>
      </c>
    </row>
    <row r="27">
      <c r="A27" s="1" t="inlineStr">
        <is>
          <t>EEOWG25B10</t>
        </is>
      </c>
      <c r="B27" s="1" t="n">
        <v>0</v>
      </c>
      <c r="C27" s="1">
        <f>VLOOKUP(A27,[1]LAYOUT!B:C,2,0)</f>
        <v/>
      </c>
    </row>
    <row r="28">
      <c r="A28" s="1" t="inlineStr">
        <is>
          <t>EEKWG24Q93</t>
        </is>
      </c>
      <c r="B28" s="1" t="n">
        <v>0</v>
      </c>
      <c r="C28" s="1">
        <f>VLOOKUP(A28,[1]LAYOUT!B:C,2,0)</f>
        <v/>
      </c>
    </row>
    <row r="29">
      <c r="A29" s="1" t="inlineStr">
        <is>
          <t>EEKWG23E01</t>
        </is>
      </c>
      <c r="B29" s="1" t="n">
        <v>0</v>
      </c>
      <c r="C29" s="1">
        <f>VLOOKUP(A29,[1]LAYOUT!B:C,2,0)</f>
        <v/>
      </c>
    </row>
    <row r="30">
      <c r="A30" s="1" t="inlineStr">
        <is>
          <t>EEHWG24E02</t>
        </is>
      </c>
      <c r="B30" s="1" t="n">
        <v>0</v>
      </c>
      <c r="C30" s="1">
        <f>VLOOKUP(A30,[1]LAYOUT!B:C,2,0)</f>
        <v/>
      </c>
    </row>
    <row r="31">
      <c r="A31" s="1" t="inlineStr">
        <is>
          <t>EEYCG23E01</t>
        </is>
      </c>
      <c r="B31" s="1" t="n">
        <v>0</v>
      </c>
      <c r="C31" s="1">
        <f>VLOOKUP(A31,[1]LAYOUT!B:C,2,0)</f>
        <v/>
      </c>
    </row>
    <row r="32">
      <c r="A32" s="1" t="inlineStr">
        <is>
          <t>EERAG25E01</t>
        </is>
      </c>
      <c r="B32" s="1" t="n">
        <v>0</v>
      </c>
      <c r="C32" s="1">
        <f>VLOOKUP(A32,[1]LAYOUT!B:C,2,0)</f>
        <v/>
      </c>
    </row>
    <row r="33">
      <c r="A33" s="1" t="inlineStr">
        <is>
          <t>EEKWG24B09</t>
        </is>
      </c>
      <c r="B33" s="1" t="n">
        <v>0</v>
      </c>
      <c r="C33" s="1">
        <f>VLOOKUP(A33,[1]LAYOUT!B:C,2,0)</f>
        <v/>
      </c>
    </row>
    <row r="34">
      <c r="A34" s="1" t="inlineStr">
        <is>
          <t>EETHG23B1G</t>
        </is>
      </c>
      <c r="B34" s="1" t="n">
        <v>0</v>
      </c>
      <c r="C34" s="1">
        <f>VLOOKUP(A34,[1]LAYOUT!B:C,2,0)</f>
        <v/>
      </c>
    </row>
    <row r="35">
      <c r="A35" s="1" t="inlineStr">
        <is>
          <t>EEAKG25B01</t>
        </is>
      </c>
      <c r="B35" s="1" t="n">
        <v>0</v>
      </c>
      <c r="C35" s="1">
        <f>VLOOKUP(A35,[1]LAYOUT!B:C,2,0)</f>
        <v/>
      </c>
    </row>
    <row r="36">
      <c r="A36" s="1" t="inlineStr">
        <is>
          <t>EETJG25E1G</t>
        </is>
      </c>
      <c r="B36" s="1" t="n">
        <v>0</v>
      </c>
      <c r="C36" s="1">
        <f>VLOOKUP(A36,[1]LAYOUT!B:C,2,0)</f>
        <v/>
      </c>
    </row>
    <row r="37">
      <c r="A37" s="1" t="inlineStr">
        <is>
          <t>EEABG23B1G</t>
        </is>
      </c>
      <c r="B37" s="1" t="n">
        <v>0</v>
      </c>
      <c r="C37" s="1">
        <f>VLOOKUP(A37,[1]LAYOUT!B:C,2,0)</f>
        <v/>
      </c>
    </row>
    <row r="38">
      <c r="A38" s="1" t="inlineStr">
        <is>
          <t>EEAKF49M03</t>
        </is>
      </c>
      <c r="B38" s="1" t="n">
        <v>0</v>
      </c>
      <c r="C38" s="1">
        <f>VLOOKUP(A38,[1]LAYOUT!B:C,2,0)</f>
        <v/>
      </c>
    </row>
    <row r="39">
      <c r="A39" s="1" t="inlineStr">
        <is>
          <t>EERAG12E1G</t>
        </is>
      </c>
      <c r="B39" s="1" t="n">
        <v>0</v>
      </c>
      <c r="C39" s="1">
        <f>VLOOKUP(A39,[1]LAYOUT!B:C,2,0)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2026-05-14T16:18:00Z</dcterms:created>
  <dcterms:modified xmlns:dcterms="http://purl.org/dc/terms/" xmlns:xsi="http://www.w3.org/2001/XMLSchema-instance" xsi:type="dcterms:W3CDTF">2026-05-15T07:23:36Z</dcterms:modified>
  <cp:lastModifiedBy>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2541335D22B1499FA76C9F408A4F88EC_13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